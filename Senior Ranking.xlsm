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BBE11D7B-1B16-1644-B4B0-BF78E0F28823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SYN-M" sheetId="23" r:id="rId4"/>
    <sheet name="SYN-W" sheetId="24" r:id="rId5"/>
    <sheet name="TUM-M" sheetId="26" r:id="rId6"/>
    <sheet name="TUM-W" sheetId="27" r:id="rId7"/>
    <sheet name="DMT-M" sheetId="19" r:id="rId8"/>
    <sheet name="DMT-W" sheetId="21" r:id="rId9"/>
  </sheets>
  <definedNames>
    <definedName name="_xlnm._FilterDatabase" localSheetId="7" hidden="1">'DMT-M'!$A$1:$RG$6</definedName>
    <definedName name="_xlnm._FilterDatabase" localSheetId="8" hidden="1">'DMT-W'!$A$1:$RG$6</definedName>
    <definedName name="_xlnm._FilterDatabase" localSheetId="3" hidden="1">'SYN-M'!$A$1:$TN$3</definedName>
    <definedName name="_xlnm._FilterDatabase" localSheetId="4" hidden="1">'SYN-W'!$A$1:$TN$3</definedName>
    <definedName name="_xlnm._FilterDatabase" localSheetId="1" hidden="1">'TRA-M'!$A$1:$TV$18</definedName>
    <definedName name="_xlnm._FilterDatabase" localSheetId="2" hidden="1">'TRA-W'!$A$1:$TV$14</definedName>
    <definedName name="_xlnm._FilterDatabase" localSheetId="5" hidden="1">'TUM-M'!$A$1:$RG$6</definedName>
    <definedName name="_xlnm._FilterDatabase" localSheetId="6" hidden="1">'TUM-W'!$A$1:$RG$6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G11" i="23" l="1"/>
  <c r="AH11" i="23"/>
  <c r="AI11" i="23"/>
  <c r="AJ11" i="23"/>
  <c r="AK11" i="23"/>
  <c r="AL11" i="23"/>
  <c r="AM11" i="23"/>
  <c r="AQ11" i="23" s="1"/>
  <c r="AN11" i="23"/>
  <c r="AO11" i="23"/>
  <c r="AP11" i="23"/>
  <c r="BH11" i="23"/>
  <c r="BI11" i="23"/>
  <c r="BJ11" i="23"/>
  <c r="BN11" i="23" s="1"/>
  <c r="BR11" i="23" s="1"/>
  <c r="BK11" i="23"/>
  <c r="BL11" i="23"/>
  <c r="BM11" i="23"/>
  <c r="BO11" i="23"/>
  <c r="BP11" i="23"/>
  <c r="BQ11" i="23"/>
  <c r="CI11" i="23"/>
  <c r="CJ11" i="23"/>
  <c r="CK11" i="23"/>
  <c r="CO11" i="23" s="1"/>
  <c r="CS11" i="23" s="1"/>
  <c r="CL11" i="23"/>
  <c r="CM11" i="23"/>
  <c r="CN11" i="23"/>
  <c r="CP11" i="23"/>
  <c r="CQ11" i="23"/>
  <c r="CR11" i="23"/>
  <c r="DP11" i="23"/>
  <c r="DQ11" i="23"/>
  <c r="DR11" i="23"/>
  <c r="DV11" i="23" s="1"/>
  <c r="DS11" i="23"/>
  <c r="DT11" i="23"/>
  <c r="DU11" i="23"/>
  <c r="DW11" i="23"/>
  <c r="DX11" i="23"/>
  <c r="DY11" i="23"/>
  <c r="DZ11" i="23"/>
  <c r="EA11" i="23"/>
  <c r="EB11" i="23"/>
  <c r="EX11" i="23"/>
  <c r="EY11" i="23"/>
  <c r="EZ11" i="23"/>
  <c r="FA11" i="23"/>
  <c r="FB11" i="23"/>
  <c r="FC11" i="23"/>
  <c r="FD11" i="23"/>
  <c r="FK11" i="23" s="1"/>
  <c r="FE11" i="23"/>
  <c r="FF11" i="23"/>
  <c r="FG11" i="23"/>
  <c r="FH11" i="23"/>
  <c r="FI11" i="23"/>
  <c r="FJ11" i="23"/>
  <c r="GF11" i="23"/>
  <c r="GG11" i="23"/>
  <c r="GH11" i="23"/>
  <c r="GL11" i="23" s="1"/>
  <c r="GS11" i="23" s="1"/>
  <c r="GI11" i="23"/>
  <c r="GJ11" i="23"/>
  <c r="GK11" i="23"/>
  <c r="GM11" i="23"/>
  <c r="GN11" i="23"/>
  <c r="GO11" i="23"/>
  <c r="GP11" i="23"/>
  <c r="GQ11" i="23"/>
  <c r="GR11" i="23"/>
  <c r="HN11" i="23"/>
  <c r="HO11" i="23"/>
  <c r="HP11" i="23"/>
  <c r="HQ11" i="23"/>
  <c r="HR11" i="23"/>
  <c r="HS11" i="23"/>
  <c r="HU11" i="23"/>
  <c r="HV11" i="23"/>
  <c r="HW11" i="23"/>
  <c r="HX11" i="23"/>
  <c r="HY11" i="23"/>
  <c r="HZ11" i="23"/>
  <c r="IV11" i="23"/>
  <c r="IW11" i="23"/>
  <c r="IX11" i="23"/>
  <c r="JB11" i="23" s="1"/>
  <c r="JI11" i="23" s="1"/>
  <c r="IY11" i="23"/>
  <c r="IZ11" i="23"/>
  <c r="JA11" i="23"/>
  <c r="JC11" i="23"/>
  <c r="JD11" i="23"/>
  <c r="JE11" i="23"/>
  <c r="JF11" i="23"/>
  <c r="JG11" i="23"/>
  <c r="JH11" i="23"/>
  <c r="KD11" i="23"/>
  <c r="KE11" i="23"/>
  <c r="KF11" i="23"/>
  <c r="KG11" i="23"/>
  <c r="KH11" i="23"/>
  <c r="KI11" i="23"/>
  <c r="KJ11" i="23"/>
  <c r="KQ11" i="23" s="1"/>
  <c r="KK11" i="23"/>
  <c r="KL11" i="23"/>
  <c r="KM11" i="23"/>
  <c r="KN11" i="23"/>
  <c r="KO11" i="23"/>
  <c r="KP11" i="23"/>
  <c r="LL11" i="23"/>
  <c r="LM11" i="23"/>
  <c r="LN11" i="23"/>
  <c r="LO11" i="23"/>
  <c r="LP11" i="23"/>
  <c r="LQ11" i="23"/>
  <c r="LS11" i="23"/>
  <c r="LT11" i="23"/>
  <c r="LU11" i="23"/>
  <c r="LV11" i="23"/>
  <c r="LW11" i="23"/>
  <c r="LX11" i="23"/>
  <c r="MT11" i="23"/>
  <c r="MU11" i="23"/>
  <c r="MV11" i="23"/>
  <c r="MW11" i="23"/>
  <c r="MX11" i="23"/>
  <c r="MY11" i="23"/>
  <c r="NA11" i="23"/>
  <c r="NB11" i="23"/>
  <c r="NC11" i="23"/>
  <c r="ND11" i="23"/>
  <c r="NE11" i="23"/>
  <c r="NF11" i="23"/>
  <c r="OB11" i="23"/>
  <c r="OC11" i="23"/>
  <c r="OD11" i="23"/>
  <c r="OE11" i="23"/>
  <c r="OF11" i="23"/>
  <c r="OG11" i="23"/>
  <c r="OI11" i="23"/>
  <c r="OJ11" i="23"/>
  <c r="OK11" i="23"/>
  <c r="OL11" i="23"/>
  <c r="OM11" i="23"/>
  <c r="ON11" i="23"/>
  <c r="PJ11" i="23"/>
  <c r="PK11" i="23"/>
  <c r="PL11" i="23"/>
  <c r="PM11" i="23"/>
  <c r="PN11" i="23"/>
  <c r="PO11" i="23"/>
  <c r="PQ11" i="23"/>
  <c r="PR11" i="23"/>
  <c r="PS11" i="23"/>
  <c r="PT11" i="23"/>
  <c r="PU11" i="23"/>
  <c r="PV11" i="23"/>
  <c r="QR11" i="23"/>
  <c r="QS11" i="23"/>
  <c r="QT11" i="23"/>
  <c r="QU11" i="23"/>
  <c r="QV11" i="23"/>
  <c r="QW11" i="23"/>
  <c r="QY11" i="23"/>
  <c r="QZ11" i="23"/>
  <c r="RA11" i="23"/>
  <c r="RB11" i="23"/>
  <c r="RC11" i="23"/>
  <c r="RD11" i="23"/>
  <c r="RZ11" i="23"/>
  <c r="SA11" i="23"/>
  <c r="SB11" i="23"/>
  <c r="SC11" i="23"/>
  <c r="SD11" i="23"/>
  <c r="SE11" i="23"/>
  <c r="SG11" i="23"/>
  <c r="SH11" i="23"/>
  <c r="SI11" i="23"/>
  <c r="SJ11" i="23"/>
  <c r="SK11" i="23"/>
  <c r="SL11" i="23"/>
  <c r="SN11" i="23"/>
  <c r="SO11" i="23"/>
  <c r="SP11" i="23"/>
  <c r="TD11" i="23" s="1"/>
  <c r="SQ11" i="23"/>
  <c r="TE11" i="23" s="1"/>
  <c r="SR11" i="23"/>
  <c r="SS11" i="23"/>
  <c r="ST11" i="23"/>
  <c r="SU11" i="23"/>
  <c r="TG11" i="23" s="1"/>
  <c r="SV11" i="23"/>
  <c r="TH11" i="23" s="1"/>
  <c r="SW11" i="23"/>
  <c r="SX11" i="23"/>
  <c r="SY11" i="23"/>
  <c r="SZ11" i="23"/>
  <c r="TK11" i="23" s="1"/>
  <c r="TA11" i="23"/>
  <c r="TL11" i="23" s="1"/>
  <c r="TB11" i="23"/>
  <c r="L11" i="23" l="1"/>
  <c r="EC11" i="23"/>
  <c r="PP11" i="23"/>
  <c r="PW11" i="23" s="1"/>
  <c r="HT11" i="23"/>
  <c r="IA11" i="23" s="1"/>
  <c r="TI11" i="23"/>
  <c r="OH11" i="23"/>
  <c r="OO11" i="23" s="1"/>
  <c r="SF11" i="23"/>
  <c r="SM11" i="23" s="1"/>
  <c r="QX11" i="23"/>
  <c r="RE11" i="23" s="1"/>
  <c r="MZ11" i="23"/>
  <c r="NG11" i="23" s="1"/>
  <c r="LR11" i="23"/>
  <c r="LY11" i="23" s="1"/>
  <c r="TF11" i="23"/>
  <c r="TM11" i="23"/>
  <c r="J11" i="23"/>
  <c r="K11" i="23" s="1"/>
  <c r="I11" i="23"/>
  <c r="CU11" i="23"/>
  <c r="M11" i="23"/>
  <c r="G11" i="23"/>
  <c r="F11" i="23"/>
  <c r="TJ11" i="23" l="1"/>
  <c r="TN11" i="23" s="1"/>
  <c r="CT11" i="23"/>
  <c r="N11" i="23" s="1"/>
  <c r="H11" i="23"/>
  <c r="A11" i="23" s="1" a="1"/>
  <c r="A11" i="23" s="1"/>
  <c r="E11" i="23" l="1"/>
  <c r="P11" i="23"/>
  <c r="O11" i="23"/>
  <c r="PA18" i="21" l="1"/>
  <c r="OZ18" i="21"/>
  <c r="OX18" i="21"/>
  <c r="OW18" i="21"/>
  <c r="OV18" i="21"/>
  <c r="OU18" i="21"/>
  <c r="PA17" i="21"/>
  <c r="OZ17" i="21"/>
  <c r="OX17" i="21"/>
  <c r="OW17" i="21"/>
  <c r="OV17" i="21"/>
  <c r="OU17" i="21"/>
  <c r="PA16" i="21"/>
  <c r="OZ16" i="21"/>
  <c r="OX16" i="21"/>
  <c r="OW16" i="21"/>
  <c r="OV16" i="21"/>
  <c r="OU16" i="21"/>
  <c r="PA15" i="21"/>
  <c r="OZ15" i="21"/>
  <c r="OX15" i="21"/>
  <c r="OW15" i="21"/>
  <c r="OV15" i="21"/>
  <c r="PB15" i="21" s="1"/>
  <c r="OU15" i="21"/>
  <c r="PA14" i="21"/>
  <c r="OZ14" i="21"/>
  <c r="OX14" i="21"/>
  <c r="OW14" i="21"/>
  <c r="OV14" i="21"/>
  <c r="OU14" i="21"/>
  <c r="PA13" i="21"/>
  <c r="OZ13" i="21"/>
  <c r="OX13" i="21"/>
  <c r="OW13" i="21"/>
  <c r="OV13" i="21"/>
  <c r="OU13" i="21"/>
  <c r="PA12" i="21"/>
  <c r="OZ12" i="21"/>
  <c r="OX12" i="21"/>
  <c r="OW12" i="21"/>
  <c r="OV12" i="21"/>
  <c r="OU12" i="21"/>
  <c r="PA11" i="21"/>
  <c r="OZ11" i="21"/>
  <c r="OX11" i="21"/>
  <c r="OW11" i="21"/>
  <c r="OV11" i="21"/>
  <c r="PB11" i="21" s="1"/>
  <c r="OU11" i="21"/>
  <c r="PA10" i="21"/>
  <c r="OZ10" i="21"/>
  <c r="OX10" i="21"/>
  <c r="OW10" i="21"/>
  <c r="OV10" i="21"/>
  <c r="PB10" i="21" s="1"/>
  <c r="OU10" i="21"/>
  <c r="PA9" i="21"/>
  <c r="OZ9" i="21"/>
  <c r="OX9" i="21"/>
  <c r="OW9" i="21"/>
  <c r="OV9" i="21"/>
  <c r="OU9" i="21"/>
  <c r="PA8" i="21"/>
  <c r="OZ8" i="21"/>
  <c r="OX8" i="21"/>
  <c r="OW8" i="21"/>
  <c r="OV8" i="21"/>
  <c r="OU8" i="21"/>
  <c r="PA7" i="21"/>
  <c r="OZ7" i="21"/>
  <c r="OX7" i="21"/>
  <c r="OW7" i="21"/>
  <c r="OV7" i="21"/>
  <c r="PB7" i="21" s="1"/>
  <c r="OU7" i="21"/>
  <c r="PA6" i="21"/>
  <c r="OZ6" i="21"/>
  <c r="OX6" i="21"/>
  <c r="OW6" i="21"/>
  <c r="OV6" i="21"/>
  <c r="PB6" i="21" s="1"/>
  <c r="OU6" i="21"/>
  <c r="PA5" i="21"/>
  <c r="OZ5" i="21"/>
  <c r="OX5" i="21"/>
  <c r="OW5" i="21"/>
  <c r="OV5" i="21"/>
  <c r="OU5" i="21"/>
  <c r="PA4" i="21"/>
  <c r="OZ4" i="21"/>
  <c r="OX4" i="21"/>
  <c r="OW4" i="21"/>
  <c r="OV4" i="21"/>
  <c r="OU4" i="21"/>
  <c r="NY18" i="21"/>
  <c r="NX18" i="21"/>
  <c r="NV18" i="21"/>
  <c r="NU18" i="21"/>
  <c r="NT18" i="21"/>
  <c r="NZ18" i="21" s="1"/>
  <c r="NS18" i="21"/>
  <c r="NY17" i="21"/>
  <c r="NX17" i="21"/>
  <c r="NV17" i="21"/>
  <c r="NU17" i="21"/>
  <c r="NT17" i="21"/>
  <c r="NZ17" i="21" s="1"/>
  <c r="NS17" i="21"/>
  <c r="NY16" i="21"/>
  <c r="NX16" i="21"/>
  <c r="NV16" i="21"/>
  <c r="NU16" i="21"/>
  <c r="NT16" i="21"/>
  <c r="NS16" i="21"/>
  <c r="NY15" i="21"/>
  <c r="NX15" i="21"/>
  <c r="NV15" i="21"/>
  <c r="NU15" i="21"/>
  <c r="NT15" i="21"/>
  <c r="NS15" i="21"/>
  <c r="NY14" i="21"/>
  <c r="NX14" i="21"/>
  <c r="NV14" i="21"/>
  <c r="NU14" i="21"/>
  <c r="NT14" i="21"/>
  <c r="NZ14" i="21" s="1"/>
  <c r="NS14" i="21"/>
  <c r="NY13" i="21"/>
  <c r="NX13" i="21"/>
  <c r="NV13" i="21"/>
  <c r="NU13" i="21"/>
  <c r="NT13" i="21"/>
  <c r="NZ13" i="21" s="1"/>
  <c r="NS13" i="21"/>
  <c r="NY12" i="21"/>
  <c r="NX12" i="21"/>
  <c r="NV12" i="21"/>
  <c r="NU12" i="21"/>
  <c r="NT12" i="21"/>
  <c r="NS12" i="21"/>
  <c r="NY11" i="21"/>
  <c r="NX11" i="21"/>
  <c r="NV11" i="21"/>
  <c r="NU11" i="21"/>
  <c r="NT11" i="21"/>
  <c r="NS11" i="21"/>
  <c r="NY10" i="21"/>
  <c r="NX10" i="21"/>
  <c r="NV10" i="21"/>
  <c r="NU10" i="21"/>
  <c r="NT10" i="21"/>
  <c r="NZ10" i="21" s="1"/>
  <c r="NS10" i="21"/>
  <c r="NY9" i="21"/>
  <c r="NX9" i="21"/>
  <c r="NV9" i="21"/>
  <c r="NU9" i="21"/>
  <c r="NT9" i="21"/>
  <c r="NZ9" i="21" s="1"/>
  <c r="NS9" i="21"/>
  <c r="NY8" i="21"/>
  <c r="NX8" i="21"/>
  <c r="NV8" i="21"/>
  <c r="NU8" i="21"/>
  <c r="NT8" i="21"/>
  <c r="NS8" i="21"/>
  <c r="NY7" i="21"/>
  <c r="NX7" i="21"/>
  <c r="NV7" i="21"/>
  <c r="NU7" i="21"/>
  <c r="NT7" i="21"/>
  <c r="NS7" i="21"/>
  <c r="NY6" i="21"/>
  <c r="NX6" i="21"/>
  <c r="NV6" i="21"/>
  <c r="NU6" i="21"/>
  <c r="NT6" i="21"/>
  <c r="NZ6" i="21" s="1"/>
  <c r="NS6" i="21"/>
  <c r="NY5" i="21"/>
  <c r="NX5" i="21"/>
  <c r="NV5" i="21"/>
  <c r="NU5" i="21"/>
  <c r="NT5" i="21"/>
  <c r="NZ5" i="21" s="1"/>
  <c r="NS5" i="21"/>
  <c r="NY4" i="21"/>
  <c r="NX4" i="21"/>
  <c r="NV4" i="21"/>
  <c r="NU4" i="21"/>
  <c r="NT4" i="21"/>
  <c r="NS4" i="21"/>
  <c r="MW18" i="21"/>
  <c r="MV18" i="21"/>
  <c r="MT18" i="21"/>
  <c r="MS18" i="21"/>
  <c r="MR18" i="21"/>
  <c r="MQ18" i="21"/>
  <c r="MW17" i="21"/>
  <c r="MV17" i="21"/>
  <c r="MT17" i="21"/>
  <c r="MS17" i="21"/>
  <c r="MR17" i="21"/>
  <c r="MX17" i="21" s="1"/>
  <c r="MQ17" i="21"/>
  <c r="MW16" i="21"/>
  <c r="MV16" i="21"/>
  <c r="MT16" i="21"/>
  <c r="MS16" i="21"/>
  <c r="MR16" i="21"/>
  <c r="MX16" i="21" s="1"/>
  <c r="MQ16" i="21"/>
  <c r="MW15" i="21"/>
  <c r="MV15" i="21"/>
  <c r="MT15" i="21"/>
  <c r="MS15" i="21"/>
  <c r="MR15" i="21"/>
  <c r="MQ15" i="21"/>
  <c r="MW14" i="21"/>
  <c r="MV14" i="21"/>
  <c r="MT14" i="21"/>
  <c r="MS14" i="21"/>
  <c r="MR14" i="21"/>
  <c r="MQ14" i="21"/>
  <c r="MW13" i="21"/>
  <c r="MV13" i="21"/>
  <c r="MT13" i="21"/>
  <c r="MS13" i="21"/>
  <c r="MR13" i="21"/>
  <c r="MX13" i="21" s="1"/>
  <c r="MQ13" i="21"/>
  <c r="MW12" i="21"/>
  <c r="MV12" i="21"/>
  <c r="MT12" i="21"/>
  <c r="MS12" i="21"/>
  <c r="MR12" i="21"/>
  <c r="MX12" i="21" s="1"/>
  <c r="MQ12" i="21"/>
  <c r="MW11" i="21"/>
  <c r="MV11" i="21"/>
  <c r="MT11" i="21"/>
  <c r="MS11" i="21"/>
  <c r="MR11" i="21"/>
  <c r="MQ11" i="21"/>
  <c r="MW10" i="21"/>
  <c r="MV10" i="21"/>
  <c r="MT10" i="21"/>
  <c r="MS10" i="21"/>
  <c r="MR10" i="21"/>
  <c r="MQ10" i="21"/>
  <c r="MW9" i="21"/>
  <c r="MV9" i="21"/>
  <c r="MT9" i="21"/>
  <c r="MS9" i="21"/>
  <c r="MR9" i="21"/>
  <c r="MX9" i="21" s="1"/>
  <c r="MQ9" i="21"/>
  <c r="MW8" i="21"/>
  <c r="MV8" i="21"/>
  <c r="MT8" i="21"/>
  <c r="MS8" i="21"/>
  <c r="MR8" i="21"/>
  <c r="MX8" i="21" s="1"/>
  <c r="MQ8" i="21"/>
  <c r="MW7" i="21"/>
  <c r="MV7" i="21"/>
  <c r="MT7" i="21"/>
  <c r="MS7" i="21"/>
  <c r="MR7" i="21"/>
  <c r="MQ7" i="21"/>
  <c r="MW6" i="21"/>
  <c r="MV6" i="21"/>
  <c r="MT6" i="21"/>
  <c r="MS6" i="21"/>
  <c r="MR6" i="21"/>
  <c r="MQ6" i="21"/>
  <c r="MW5" i="21"/>
  <c r="MV5" i="21"/>
  <c r="MT5" i="21"/>
  <c r="MS5" i="21"/>
  <c r="MR5" i="21"/>
  <c r="MX5" i="21" s="1"/>
  <c r="MQ5" i="21"/>
  <c r="MW4" i="21"/>
  <c r="MV4" i="21"/>
  <c r="MT4" i="21"/>
  <c r="MS4" i="21"/>
  <c r="MR4" i="21"/>
  <c r="MX4" i="21" s="1"/>
  <c r="MQ4" i="21"/>
  <c r="LU18" i="21"/>
  <c r="LT18" i="21"/>
  <c r="LR18" i="21"/>
  <c r="LQ18" i="21"/>
  <c r="LP18" i="21"/>
  <c r="LO18" i="21"/>
  <c r="LU17" i="21"/>
  <c r="LT17" i="21"/>
  <c r="LR17" i="21"/>
  <c r="LQ17" i="21"/>
  <c r="LP17" i="21"/>
  <c r="LO17" i="21"/>
  <c r="LU16" i="21"/>
  <c r="LT16" i="21"/>
  <c r="LR16" i="21"/>
  <c r="LQ16" i="21"/>
  <c r="LP16" i="21"/>
  <c r="LV16" i="21" s="1"/>
  <c r="LO16" i="21"/>
  <c r="LU15" i="21"/>
  <c r="LT15" i="21"/>
  <c r="LR15" i="21"/>
  <c r="LQ15" i="21"/>
  <c r="LP15" i="21"/>
  <c r="LV15" i="21" s="1"/>
  <c r="LO15" i="21"/>
  <c r="LU14" i="21"/>
  <c r="LT14" i="21"/>
  <c r="LR14" i="21"/>
  <c r="LQ14" i="21"/>
  <c r="LP14" i="21"/>
  <c r="LO14" i="21"/>
  <c r="LU13" i="21"/>
  <c r="LT13" i="21"/>
  <c r="LR13" i="21"/>
  <c r="LQ13" i="21"/>
  <c r="LP13" i="21"/>
  <c r="LO13" i="21"/>
  <c r="LU12" i="21"/>
  <c r="LT12" i="21"/>
  <c r="LR12" i="21"/>
  <c r="LQ12" i="21"/>
  <c r="LP12" i="21"/>
  <c r="LV12" i="21" s="1"/>
  <c r="LO12" i="21"/>
  <c r="LU11" i="21"/>
  <c r="LT11" i="21"/>
  <c r="LR11" i="21"/>
  <c r="LQ11" i="21"/>
  <c r="LP11" i="21"/>
  <c r="LV11" i="21" s="1"/>
  <c r="LO11" i="21"/>
  <c r="LU10" i="21"/>
  <c r="LT10" i="21"/>
  <c r="LR10" i="21"/>
  <c r="LQ10" i="21"/>
  <c r="LP10" i="21"/>
  <c r="LO10" i="21"/>
  <c r="LU9" i="21"/>
  <c r="LT9" i="21"/>
  <c r="LR9" i="21"/>
  <c r="LQ9" i="21"/>
  <c r="LP9" i="21"/>
  <c r="LO9" i="21"/>
  <c r="LU8" i="21"/>
  <c r="LT8" i="21"/>
  <c r="LR8" i="21"/>
  <c r="LQ8" i="21"/>
  <c r="LP8" i="21"/>
  <c r="LV8" i="21" s="1"/>
  <c r="LO8" i="21"/>
  <c r="LU7" i="21"/>
  <c r="LT7" i="21"/>
  <c r="LR7" i="21"/>
  <c r="LQ7" i="21"/>
  <c r="LP7" i="21"/>
  <c r="LV7" i="21" s="1"/>
  <c r="LO7" i="21"/>
  <c r="LU6" i="21"/>
  <c r="LT6" i="21"/>
  <c r="LR6" i="21"/>
  <c r="LQ6" i="21"/>
  <c r="LP6" i="21"/>
  <c r="LO6" i="21"/>
  <c r="LU5" i="21"/>
  <c r="LT5" i="21"/>
  <c r="LR5" i="21"/>
  <c r="LQ5" i="21"/>
  <c r="LP5" i="21"/>
  <c r="LO5" i="21"/>
  <c r="LU4" i="21"/>
  <c r="LT4" i="21"/>
  <c r="LR4" i="21"/>
  <c r="LQ4" i="21"/>
  <c r="LP4" i="21"/>
  <c r="LV4" i="21" s="1"/>
  <c r="LO4" i="21"/>
  <c r="KS18" i="21"/>
  <c r="KR18" i="21"/>
  <c r="KP18" i="21"/>
  <c r="KO18" i="21"/>
  <c r="KN18" i="21"/>
  <c r="KT18" i="21" s="1"/>
  <c r="KM18" i="21"/>
  <c r="KS17" i="21"/>
  <c r="KR17" i="21"/>
  <c r="KP17" i="21"/>
  <c r="KO17" i="21"/>
  <c r="KN17" i="21"/>
  <c r="KM17" i="21"/>
  <c r="KS16" i="21"/>
  <c r="KR16" i="21"/>
  <c r="KP16" i="21"/>
  <c r="KO16" i="21"/>
  <c r="KN16" i="21"/>
  <c r="KM16" i="21"/>
  <c r="KS15" i="21"/>
  <c r="KR15" i="21"/>
  <c r="KP15" i="21"/>
  <c r="KO15" i="21"/>
  <c r="KN15" i="21"/>
  <c r="KT15" i="21" s="1"/>
  <c r="KM15" i="21"/>
  <c r="KS14" i="21"/>
  <c r="KR14" i="21"/>
  <c r="KP14" i="21"/>
  <c r="KO14" i="21"/>
  <c r="KN14" i="21"/>
  <c r="KT14" i="21" s="1"/>
  <c r="KM14" i="21"/>
  <c r="KS13" i="21"/>
  <c r="KR13" i="21"/>
  <c r="KP13" i="21"/>
  <c r="KO13" i="21"/>
  <c r="KN13" i="21"/>
  <c r="KM13" i="21"/>
  <c r="KS12" i="21"/>
  <c r="KR12" i="21"/>
  <c r="KP12" i="21"/>
  <c r="KO12" i="21"/>
  <c r="KN12" i="21"/>
  <c r="KM12" i="21"/>
  <c r="KS11" i="21"/>
  <c r="KR11" i="21"/>
  <c r="KP11" i="21"/>
  <c r="KO11" i="21"/>
  <c r="KN11" i="21"/>
  <c r="KT11" i="21" s="1"/>
  <c r="KM11" i="21"/>
  <c r="KS10" i="21"/>
  <c r="KR10" i="21"/>
  <c r="KP10" i="21"/>
  <c r="KO10" i="21"/>
  <c r="KN10" i="21"/>
  <c r="KT10" i="21" s="1"/>
  <c r="KM10" i="21"/>
  <c r="KS9" i="21"/>
  <c r="KR9" i="21"/>
  <c r="KP9" i="21"/>
  <c r="KO9" i="21"/>
  <c r="KN9" i="21"/>
  <c r="KM9" i="21"/>
  <c r="KS8" i="21"/>
  <c r="KR8" i="21"/>
  <c r="KP8" i="21"/>
  <c r="KO8" i="21"/>
  <c r="KN8" i="21"/>
  <c r="KM8" i="21"/>
  <c r="KS7" i="21"/>
  <c r="KR7" i="21"/>
  <c r="KP7" i="21"/>
  <c r="KO7" i="21"/>
  <c r="KN7" i="21"/>
  <c r="KT7" i="21" s="1"/>
  <c r="KM7" i="21"/>
  <c r="KS6" i="21"/>
  <c r="KR6" i="21"/>
  <c r="KP6" i="21"/>
  <c r="KO6" i="21"/>
  <c r="KN6" i="21"/>
  <c r="KT6" i="21" s="1"/>
  <c r="KM6" i="21"/>
  <c r="KS5" i="21"/>
  <c r="KR5" i="21"/>
  <c r="KP5" i="21"/>
  <c r="KO5" i="21"/>
  <c r="KN5" i="21"/>
  <c r="KM5" i="21"/>
  <c r="KS4" i="21"/>
  <c r="KR4" i="21"/>
  <c r="KP4" i="21"/>
  <c r="KO4" i="21"/>
  <c r="KN4" i="21"/>
  <c r="KM4" i="21"/>
  <c r="JQ18" i="21"/>
  <c r="JP18" i="21"/>
  <c r="JN18" i="21"/>
  <c r="JM18" i="21"/>
  <c r="JL18" i="21"/>
  <c r="JR18" i="21" s="1"/>
  <c r="JK18" i="21"/>
  <c r="JQ17" i="21"/>
  <c r="JP17" i="21"/>
  <c r="JN17" i="21"/>
  <c r="JM17" i="21"/>
  <c r="JL17" i="21"/>
  <c r="JR17" i="21" s="1"/>
  <c r="JK17" i="21"/>
  <c r="JQ16" i="21"/>
  <c r="JP16" i="21"/>
  <c r="JN16" i="21"/>
  <c r="JM16" i="21"/>
  <c r="JL16" i="21"/>
  <c r="JK16" i="21"/>
  <c r="JQ15" i="21"/>
  <c r="JP15" i="21"/>
  <c r="JN15" i="21"/>
  <c r="JM15" i="21"/>
  <c r="JL15" i="21"/>
  <c r="JK15" i="21"/>
  <c r="JQ14" i="21"/>
  <c r="JP14" i="21"/>
  <c r="JN14" i="21"/>
  <c r="JM14" i="21"/>
  <c r="JL14" i="21"/>
  <c r="JR14" i="21" s="1"/>
  <c r="JK14" i="21"/>
  <c r="JQ13" i="21"/>
  <c r="JP13" i="21"/>
  <c r="JN13" i="21"/>
  <c r="JM13" i="21"/>
  <c r="JL13" i="21"/>
  <c r="JR13" i="21" s="1"/>
  <c r="JK13" i="21"/>
  <c r="JQ12" i="21"/>
  <c r="JP12" i="21"/>
  <c r="JN12" i="21"/>
  <c r="JM12" i="21"/>
  <c r="JL12" i="21"/>
  <c r="JK12" i="21"/>
  <c r="JQ11" i="21"/>
  <c r="JP11" i="21"/>
  <c r="JN11" i="21"/>
  <c r="JM11" i="21"/>
  <c r="JL11" i="21"/>
  <c r="JK11" i="21"/>
  <c r="JQ10" i="21"/>
  <c r="JP10" i="21"/>
  <c r="JN10" i="21"/>
  <c r="JM10" i="21"/>
  <c r="JL10" i="21"/>
  <c r="JR10" i="21" s="1"/>
  <c r="JK10" i="21"/>
  <c r="JQ9" i="21"/>
  <c r="JP9" i="21"/>
  <c r="JN9" i="21"/>
  <c r="JM9" i="21"/>
  <c r="JL9" i="21"/>
  <c r="JR9" i="21" s="1"/>
  <c r="JK9" i="21"/>
  <c r="JQ8" i="21"/>
  <c r="JP8" i="21"/>
  <c r="JN8" i="21"/>
  <c r="JM8" i="21"/>
  <c r="JL8" i="21"/>
  <c r="JK8" i="21"/>
  <c r="JQ7" i="21"/>
  <c r="JP7" i="21"/>
  <c r="JN7" i="21"/>
  <c r="JM7" i="21"/>
  <c r="JL7" i="21"/>
  <c r="JK7" i="21"/>
  <c r="JQ6" i="21"/>
  <c r="JP6" i="21"/>
  <c r="JN6" i="21"/>
  <c r="JM6" i="21"/>
  <c r="JL6" i="21"/>
  <c r="JR6" i="21" s="1"/>
  <c r="JK6" i="21"/>
  <c r="JQ5" i="21"/>
  <c r="JP5" i="21"/>
  <c r="JN5" i="21"/>
  <c r="JM5" i="21"/>
  <c r="JL5" i="21"/>
  <c r="JR5" i="21" s="1"/>
  <c r="JK5" i="21"/>
  <c r="JQ4" i="21"/>
  <c r="JP4" i="21"/>
  <c r="JN4" i="21"/>
  <c r="JM4" i="21"/>
  <c r="JL4" i="21"/>
  <c r="JK4" i="21"/>
  <c r="IO18" i="21"/>
  <c r="IN18" i="21"/>
  <c r="IL18" i="21"/>
  <c r="IK18" i="21"/>
  <c r="IJ18" i="21"/>
  <c r="II18" i="21"/>
  <c r="IO17" i="21"/>
  <c r="IN17" i="21"/>
  <c r="IL17" i="21"/>
  <c r="IK17" i="21"/>
  <c r="IJ17" i="21"/>
  <c r="IP17" i="21" s="1"/>
  <c r="II17" i="21"/>
  <c r="IO16" i="21"/>
  <c r="IN16" i="21"/>
  <c r="IL16" i="21"/>
  <c r="IK16" i="21"/>
  <c r="IJ16" i="21"/>
  <c r="IP16" i="21" s="1"/>
  <c r="II16" i="21"/>
  <c r="IO15" i="21"/>
  <c r="IN15" i="21"/>
  <c r="IL15" i="21"/>
  <c r="IK15" i="21"/>
  <c r="IJ15" i="21"/>
  <c r="II15" i="21"/>
  <c r="IO14" i="21"/>
  <c r="IN14" i="21"/>
  <c r="IL14" i="21"/>
  <c r="IK14" i="21"/>
  <c r="IJ14" i="21"/>
  <c r="II14" i="21"/>
  <c r="IO13" i="21"/>
  <c r="IN13" i="21"/>
  <c r="IL13" i="21"/>
  <c r="IK13" i="21"/>
  <c r="IJ13" i="21"/>
  <c r="IP13" i="21" s="1"/>
  <c r="II13" i="21"/>
  <c r="IO12" i="21"/>
  <c r="IN12" i="21"/>
  <c r="IL12" i="21"/>
  <c r="IK12" i="21"/>
  <c r="IJ12" i="21"/>
  <c r="IP12" i="21" s="1"/>
  <c r="II12" i="21"/>
  <c r="IO11" i="21"/>
  <c r="IN11" i="21"/>
  <c r="IL11" i="21"/>
  <c r="IK11" i="21"/>
  <c r="IJ11" i="21"/>
  <c r="II11" i="21"/>
  <c r="IO10" i="21"/>
  <c r="IN10" i="21"/>
  <c r="IL10" i="21"/>
  <c r="IK10" i="21"/>
  <c r="IJ10" i="21"/>
  <c r="II10" i="21"/>
  <c r="IO9" i="21"/>
  <c r="IN9" i="21"/>
  <c r="IL9" i="21"/>
  <c r="IK9" i="21"/>
  <c r="IJ9" i="21"/>
  <c r="IP9" i="21" s="1"/>
  <c r="II9" i="21"/>
  <c r="IO8" i="21"/>
  <c r="IN8" i="21"/>
  <c r="IL8" i="21"/>
  <c r="IK8" i="21"/>
  <c r="IJ8" i="21"/>
  <c r="IP8" i="21" s="1"/>
  <c r="II8" i="21"/>
  <c r="IO7" i="21"/>
  <c r="IN7" i="21"/>
  <c r="IL7" i="21"/>
  <c r="IK7" i="21"/>
  <c r="IJ7" i="21"/>
  <c r="II7" i="21"/>
  <c r="IO6" i="21"/>
  <c r="IN6" i="21"/>
  <c r="IL6" i="21"/>
  <c r="IK6" i="21"/>
  <c r="IJ6" i="21"/>
  <c r="II6" i="21"/>
  <c r="IO5" i="21"/>
  <c r="IN5" i="21"/>
  <c r="IL5" i="21"/>
  <c r="IK5" i="21"/>
  <c r="IJ5" i="21"/>
  <c r="IP5" i="21" s="1"/>
  <c r="II5" i="21"/>
  <c r="IO4" i="21"/>
  <c r="IN4" i="21"/>
  <c r="IL4" i="21"/>
  <c r="IK4" i="21"/>
  <c r="IJ4" i="21"/>
  <c r="IP4" i="21" s="1"/>
  <c r="II4" i="21"/>
  <c r="HM18" i="21"/>
  <c r="HL18" i="21"/>
  <c r="HJ18" i="21"/>
  <c r="HI18" i="21"/>
  <c r="HH18" i="21"/>
  <c r="HG18" i="21"/>
  <c r="HM17" i="21"/>
  <c r="HL17" i="21"/>
  <c r="HJ17" i="21"/>
  <c r="HI17" i="21"/>
  <c r="HH17" i="21"/>
  <c r="HG17" i="21"/>
  <c r="HM16" i="21"/>
  <c r="HL16" i="21"/>
  <c r="HJ16" i="21"/>
  <c r="HI16" i="21"/>
  <c r="HH16" i="21"/>
  <c r="HN16" i="21" s="1"/>
  <c r="HG16" i="21"/>
  <c r="HM15" i="21"/>
  <c r="HL15" i="21"/>
  <c r="HJ15" i="21"/>
  <c r="HI15" i="21"/>
  <c r="HH15" i="21"/>
  <c r="HN15" i="21" s="1"/>
  <c r="HG15" i="21"/>
  <c r="HM14" i="21"/>
  <c r="HL14" i="21"/>
  <c r="HJ14" i="21"/>
  <c r="HI14" i="21"/>
  <c r="HH14" i="21"/>
  <c r="HG14" i="21"/>
  <c r="HM13" i="21"/>
  <c r="HL13" i="21"/>
  <c r="HJ13" i="21"/>
  <c r="HI13" i="21"/>
  <c r="HH13" i="21"/>
  <c r="HG13" i="21"/>
  <c r="HM12" i="21"/>
  <c r="HL12" i="21"/>
  <c r="HJ12" i="21"/>
  <c r="HI12" i="21"/>
  <c r="HH12" i="21"/>
  <c r="HN12" i="21" s="1"/>
  <c r="HG12" i="21"/>
  <c r="HM11" i="21"/>
  <c r="HL11" i="21"/>
  <c r="HJ11" i="21"/>
  <c r="HI11" i="21"/>
  <c r="HH11" i="21"/>
  <c r="HN11" i="21" s="1"/>
  <c r="HG11" i="21"/>
  <c r="HM10" i="21"/>
  <c r="HL10" i="21"/>
  <c r="HJ10" i="21"/>
  <c r="HI10" i="21"/>
  <c r="HH10" i="21"/>
  <c r="HG10" i="21"/>
  <c r="HM9" i="21"/>
  <c r="HL9" i="21"/>
  <c r="HJ9" i="21"/>
  <c r="HI9" i="21"/>
  <c r="HH9" i="21"/>
  <c r="HG9" i="21"/>
  <c r="HM8" i="21"/>
  <c r="HL8" i="21"/>
  <c r="HJ8" i="21"/>
  <c r="HI8" i="21"/>
  <c r="HH8" i="21"/>
  <c r="HN8" i="21" s="1"/>
  <c r="HG8" i="21"/>
  <c r="HM7" i="21"/>
  <c r="HL7" i="21"/>
  <c r="HJ7" i="21"/>
  <c r="HI7" i="21"/>
  <c r="HH7" i="21"/>
  <c r="HN7" i="21" s="1"/>
  <c r="HG7" i="21"/>
  <c r="HM6" i="21"/>
  <c r="HL6" i="21"/>
  <c r="HJ6" i="21"/>
  <c r="HI6" i="21"/>
  <c r="HH6" i="21"/>
  <c r="HG6" i="21"/>
  <c r="HM5" i="21"/>
  <c r="HL5" i="21"/>
  <c r="HJ5" i="21"/>
  <c r="HI5" i="21"/>
  <c r="HH5" i="21"/>
  <c r="HG5" i="21"/>
  <c r="HM4" i="21"/>
  <c r="HL4" i="21"/>
  <c r="HJ4" i="21"/>
  <c r="HI4" i="21"/>
  <c r="HH4" i="21"/>
  <c r="HN4" i="21" s="1"/>
  <c r="HG4" i="21"/>
  <c r="GK18" i="21"/>
  <c r="GJ18" i="21"/>
  <c r="GH18" i="21"/>
  <c r="GG18" i="21"/>
  <c r="GF18" i="21"/>
  <c r="GL18" i="21" s="1"/>
  <c r="GE18" i="21"/>
  <c r="GK17" i="21"/>
  <c r="GJ17" i="21"/>
  <c r="GH17" i="21"/>
  <c r="GG17" i="21"/>
  <c r="GF17" i="21"/>
  <c r="GE17" i="21"/>
  <c r="GK16" i="21"/>
  <c r="GJ16" i="21"/>
  <c r="GH16" i="21"/>
  <c r="GG16" i="21"/>
  <c r="GF16" i="21"/>
  <c r="GE16" i="21"/>
  <c r="GK15" i="21"/>
  <c r="GJ15" i="21"/>
  <c r="GH15" i="21"/>
  <c r="GG15" i="21"/>
  <c r="GF15" i="21"/>
  <c r="GL15" i="21" s="1"/>
  <c r="GE15" i="21"/>
  <c r="GK14" i="21"/>
  <c r="GJ14" i="21"/>
  <c r="GH14" i="21"/>
  <c r="GG14" i="21"/>
  <c r="GF14" i="21"/>
  <c r="GL14" i="21" s="1"/>
  <c r="GE14" i="21"/>
  <c r="GK13" i="21"/>
  <c r="GJ13" i="21"/>
  <c r="GH13" i="21"/>
  <c r="GG13" i="21"/>
  <c r="GF13" i="21"/>
  <c r="GE13" i="21"/>
  <c r="GK12" i="21"/>
  <c r="GJ12" i="21"/>
  <c r="GH12" i="21"/>
  <c r="GG12" i="21"/>
  <c r="GF12" i="21"/>
  <c r="GE12" i="21"/>
  <c r="GK11" i="21"/>
  <c r="GJ11" i="21"/>
  <c r="GH11" i="21"/>
  <c r="GG11" i="21"/>
  <c r="GF11" i="21"/>
  <c r="GL11" i="21" s="1"/>
  <c r="GE11" i="21"/>
  <c r="GK10" i="21"/>
  <c r="GJ10" i="21"/>
  <c r="GH10" i="21"/>
  <c r="GG10" i="21"/>
  <c r="GF10" i="21"/>
  <c r="GL10" i="21" s="1"/>
  <c r="GE10" i="21"/>
  <c r="GK9" i="21"/>
  <c r="GJ9" i="21"/>
  <c r="GH9" i="21"/>
  <c r="GG9" i="21"/>
  <c r="GF9" i="21"/>
  <c r="GE9" i="21"/>
  <c r="GK8" i="21"/>
  <c r="GJ8" i="21"/>
  <c r="GH8" i="21"/>
  <c r="GG8" i="21"/>
  <c r="GF8" i="21"/>
  <c r="GE8" i="21"/>
  <c r="GK7" i="21"/>
  <c r="GJ7" i="21"/>
  <c r="GH7" i="21"/>
  <c r="GG7" i="21"/>
  <c r="GF7" i="21"/>
  <c r="GL7" i="21" s="1"/>
  <c r="GE7" i="21"/>
  <c r="GK6" i="21"/>
  <c r="GJ6" i="21"/>
  <c r="GH6" i="21"/>
  <c r="GG6" i="21"/>
  <c r="GF6" i="21"/>
  <c r="GL6" i="21" s="1"/>
  <c r="GE6" i="21"/>
  <c r="GK5" i="21"/>
  <c r="GJ5" i="21"/>
  <c r="GH5" i="21"/>
  <c r="GG5" i="21"/>
  <c r="GF5" i="21"/>
  <c r="GE5" i="21"/>
  <c r="GK4" i="21"/>
  <c r="GJ4" i="21"/>
  <c r="GH4" i="21"/>
  <c r="GG4" i="21"/>
  <c r="GF4" i="21"/>
  <c r="GE4" i="21"/>
  <c r="FI18" i="21"/>
  <c r="FH18" i="21"/>
  <c r="FF18" i="21"/>
  <c r="FE18" i="21"/>
  <c r="FD18" i="21"/>
  <c r="FJ18" i="21" s="1"/>
  <c r="FC18" i="21"/>
  <c r="FI17" i="21"/>
  <c r="FH17" i="21"/>
  <c r="FF17" i="21"/>
  <c r="FE17" i="21"/>
  <c r="FD17" i="21"/>
  <c r="FJ17" i="21" s="1"/>
  <c r="FC17" i="21"/>
  <c r="FI16" i="21"/>
  <c r="FH16" i="21"/>
  <c r="FF16" i="21"/>
  <c r="FE16" i="21"/>
  <c r="FD16" i="21"/>
  <c r="FC16" i="21"/>
  <c r="FI15" i="21"/>
  <c r="FH15" i="21"/>
  <c r="FF15" i="21"/>
  <c r="FE15" i="21"/>
  <c r="FD15" i="21"/>
  <c r="FC15" i="21"/>
  <c r="FI14" i="21"/>
  <c r="FH14" i="21"/>
  <c r="FF14" i="21"/>
  <c r="FE14" i="21"/>
  <c r="FD14" i="21"/>
  <c r="FJ14" i="21" s="1"/>
  <c r="FC14" i="21"/>
  <c r="FI13" i="21"/>
  <c r="FH13" i="21"/>
  <c r="FF13" i="21"/>
  <c r="FE13" i="21"/>
  <c r="FD13" i="21"/>
  <c r="FJ13" i="21" s="1"/>
  <c r="FC13" i="21"/>
  <c r="FI12" i="21"/>
  <c r="FH12" i="21"/>
  <c r="FF12" i="21"/>
  <c r="FE12" i="21"/>
  <c r="FD12" i="21"/>
  <c r="FC12" i="21"/>
  <c r="FI11" i="21"/>
  <c r="FH11" i="21"/>
  <c r="FF11" i="21"/>
  <c r="FE11" i="21"/>
  <c r="FD11" i="21"/>
  <c r="FC11" i="21"/>
  <c r="FI10" i="21"/>
  <c r="FH10" i="21"/>
  <c r="FF10" i="21"/>
  <c r="FE10" i="21"/>
  <c r="FD10" i="21"/>
  <c r="FJ10" i="21" s="1"/>
  <c r="FC10" i="21"/>
  <c r="FI9" i="21"/>
  <c r="FH9" i="21"/>
  <c r="FF9" i="21"/>
  <c r="FE9" i="21"/>
  <c r="FD9" i="21"/>
  <c r="FC9" i="21"/>
  <c r="FI8" i="21"/>
  <c r="FH8" i="21"/>
  <c r="FF8" i="21"/>
  <c r="FE8" i="21"/>
  <c r="FD8" i="21"/>
  <c r="FC8" i="21"/>
  <c r="FI7" i="21"/>
  <c r="FH7" i="21"/>
  <c r="FF7" i="21"/>
  <c r="FE7" i="21"/>
  <c r="FD7" i="21"/>
  <c r="FC7" i="21"/>
  <c r="FI6" i="21"/>
  <c r="FH6" i="21"/>
  <c r="FF6" i="21"/>
  <c r="FE6" i="21"/>
  <c r="FD6" i="21"/>
  <c r="FJ6" i="21" s="1"/>
  <c r="FC6" i="21"/>
  <c r="FI5" i="21"/>
  <c r="FH5" i="21"/>
  <c r="FF5" i="21"/>
  <c r="FE5" i="21"/>
  <c r="FD5" i="21"/>
  <c r="FC5" i="21"/>
  <c r="FI4" i="21"/>
  <c r="FH4" i="21"/>
  <c r="FF4" i="21"/>
  <c r="FE4" i="21"/>
  <c r="FD4" i="21"/>
  <c r="FC4" i="21"/>
  <c r="EG18" i="21"/>
  <c r="EF18" i="21"/>
  <c r="ED18" i="21"/>
  <c r="EC18" i="21"/>
  <c r="EB18" i="21"/>
  <c r="EA18" i="21"/>
  <c r="EG17" i="21"/>
  <c r="EF17" i="21"/>
  <c r="ED17" i="21"/>
  <c r="EC17" i="21"/>
  <c r="EB17" i="21"/>
  <c r="EH17" i="21" s="1"/>
  <c r="EA17" i="21"/>
  <c r="EG16" i="21"/>
  <c r="EF16" i="21"/>
  <c r="ED16" i="21"/>
  <c r="EC16" i="21"/>
  <c r="EB16" i="21"/>
  <c r="EA16" i="21"/>
  <c r="EG15" i="21"/>
  <c r="EF15" i="21"/>
  <c r="ED15" i="21"/>
  <c r="EC15" i="21"/>
  <c r="EB15" i="21"/>
  <c r="EA15" i="21"/>
  <c r="EG14" i="21"/>
  <c r="EF14" i="21"/>
  <c r="ED14" i="21"/>
  <c r="EC14" i="21"/>
  <c r="EB14" i="21"/>
  <c r="EA14" i="21"/>
  <c r="EG13" i="21"/>
  <c r="EF13" i="21"/>
  <c r="ED13" i="21"/>
  <c r="EC13" i="21"/>
  <c r="EB13" i="21"/>
  <c r="EH13" i="21" s="1"/>
  <c r="EA13" i="21"/>
  <c r="EG12" i="21"/>
  <c r="EF12" i="21"/>
  <c r="ED12" i="21"/>
  <c r="EC12" i="21"/>
  <c r="EB12" i="21"/>
  <c r="EA12" i="21"/>
  <c r="EG11" i="21"/>
  <c r="EF11" i="21"/>
  <c r="ED11" i="21"/>
  <c r="EC11" i="21"/>
  <c r="EB11" i="21"/>
  <c r="EA11" i="21"/>
  <c r="EG10" i="21"/>
  <c r="EF10" i="21"/>
  <c r="ED10" i="21"/>
  <c r="EC10" i="21"/>
  <c r="EB10" i="21"/>
  <c r="EA10" i="21"/>
  <c r="EG9" i="21"/>
  <c r="EF9" i="21"/>
  <c r="ED9" i="21"/>
  <c r="EC9" i="21"/>
  <c r="EB9" i="21"/>
  <c r="EH9" i="21" s="1"/>
  <c r="EA9" i="21"/>
  <c r="EG8" i="21"/>
  <c r="EF8" i="21"/>
  <c r="ED8" i="21"/>
  <c r="EC8" i="21"/>
  <c r="EB8" i="21"/>
  <c r="EA8" i="21"/>
  <c r="EG7" i="21"/>
  <c r="EF7" i="21"/>
  <c r="ED7" i="21"/>
  <c r="EC7" i="21"/>
  <c r="EB7" i="21"/>
  <c r="EA7" i="21"/>
  <c r="EG6" i="21"/>
  <c r="EF6" i="21"/>
  <c r="ED6" i="21"/>
  <c r="EC6" i="21"/>
  <c r="EB6" i="21"/>
  <c r="EA6" i="21"/>
  <c r="EG5" i="21"/>
  <c r="EF5" i="21"/>
  <c r="ED5" i="21"/>
  <c r="EC5" i="21"/>
  <c r="EB5" i="21"/>
  <c r="EH5" i="21" s="1"/>
  <c r="EA5" i="21"/>
  <c r="EG4" i="21"/>
  <c r="EF4" i="21"/>
  <c r="ED4" i="21"/>
  <c r="EC4" i="21"/>
  <c r="EB4" i="21"/>
  <c r="EA4" i="21"/>
  <c r="PA27" i="19"/>
  <c r="OZ27" i="19"/>
  <c r="OX27" i="19"/>
  <c r="OW27" i="19"/>
  <c r="OV27" i="19"/>
  <c r="OU27" i="19"/>
  <c r="PA26" i="19"/>
  <c r="OZ26" i="19"/>
  <c r="OX26" i="19"/>
  <c r="OW26" i="19"/>
  <c r="OV26" i="19"/>
  <c r="OU26" i="19"/>
  <c r="PA25" i="19"/>
  <c r="OZ25" i="19"/>
  <c r="OX25" i="19"/>
  <c r="OW25" i="19"/>
  <c r="OV25" i="19"/>
  <c r="PB25" i="19" s="1"/>
  <c r="OU25" i="19"/>
  <c r="PA24" i="19"/>
  <c r="OZ24" i="19"/>
  <c r="OX24" i="19"/>
  <c r="OW24" i="19"/>
  <c r="OV24" i="19"/>
  <c r="PB24" i="19" s="1"/>
  <c r="OU24" i="19"/>
  <c r="PA23" i="19"/>
  <c r="OZ23" i="19"/>
  <c r="OX23" i="19"/>
  <c r="OW23" i="19"/>
  <c r="OV23" i="19"/>
  <c r="OU23" i="19"/>
  <c r="PA22" i="19"/>
  <c r="OZ22" i="19"/>
  <c r="OX22" i="19"/>
  <c r="OW22" i="19"/>
  <c r="OV22" i="19"/>
  <c r="OU22" i="19"/>
  <c r="PA21" i="19"/>
  <c r="OZ21" i="19"/>
  <c r="OX21" i="19"/>
  <c r="OW21" i="19"/>
  <c r="OV21" i="19"/>
  <c r="PB21" i="19" s="1"/>
  <c r="OU21" i="19"/>
  <c r="PA20" i="19"/>
  <c r="OZ20" i="19"/>
  <c r="OX20" i="19"/>
  <c r="OW20" i="19"/>
  <c r="OV20" i="19"/>
  <c r="PB20" i="19" s="1"/>
  <c r="OU20" i="19"/>
  <c r="PA19" i="19"/>
  <c r="OZ19" i="19"/>
  <c r="OX19" i="19"/>
  <c r="OW19" i="19"/>
  <c r="OV19" i="19"/>
  <c r="OU19" i="19"/>
  <c r="PA13" i="19"/>
  <c r="OZ13" i="19"/>
  <c r="OX13" i="19"/>
  <c r="OW13" i="19"/>
  <c r="OV13" i="19"/>
  <c r="OU13" i="19"/>
  <c r="PA18" i="19"/>
  <c r="OZ18" i="19"/>
  <c r="OX18" i="19"/>
  <c r="OW18" i="19"/>
  <c r="OV18" i="19"/>
  <c r="PB18" i="19" s="1"/>
  <c r="OU18" i="19"/>
  <c r="PA17" i="19"/>
  <c r="OZ17" i="19"/>
  <c r="OX17" i="19"/>
  <c r="OW17" i="19"/>
  <c r="OV17" i="19"/>
  <c r="PB17" i="19" s="1"/>
  <c r="OU17" i="19"/>
  <c r="PA16" i="19"/>
  <c r="OZ16" i="19"/>
  <c r="OX16" i="19"/>
  <c r="OW16" i="19"/>
  <c r="OV16" i="19"/>
  <c r="OU16" i="19"/>
  <c r="PA15" i="19"/>
  <c r="OZ15" i="19"/>
  <c r="OX15" i="19"/>
  <c r="OW15" i="19"/>
  <c r="OV15" i="19"/>
  <c r="OU15" i="19"/>
  <c r="PA14" i="19"/>
  <c r="OZ14" i="19"/>
  <c r="OX14" i="19"/>
  <c r="OW14" i="19"/>
  <c r="OV14" i="19"/>
  <c r="OU14" i="19"/>
  <c r="PA12" i="19"/>
  <c r="OZ12" i="19"/>
  <c r="OX12" i="19"/>
  <c r="OW12" i="19"/>
  <c r="OV12" i="19"/>
  <c r="PB12" i="19" s="1"/>
  <c r="OU12" i="19"/>
  <c r="PA11" i="19"/>
  <c r="OZ11" i="19"/>
  <c r="OX11" i="19"/>
  <c r="OW11" i="19"/>
  <c r="OV11" i="19"/>
  <c r="OU11" i="19"/>
  <c r="PA10" i="19"/>
  <c r="OZ10" i="19"/>
  <c r="OX10" i="19"/>
  <c r="OW10" i="19"/>
  <c r="OV10" i="19"/>
  <c r="OU10" i="19"/>
  <c r="PA9" i="19"/>
  <c r="OZ9" i="19"/>
  <c r="OX9" i="19"/>
  <c r="OW9" i="19"/>
  <c r="OV9" i="19"/>
  <c r="OU9" i="19"/>
  <c r="PA8" i="19"/>
  <c r="OZ8" i="19"/>
  <c r="OX8" i="19"/>
  <c r="OW8" i="19"/>
  <c r="OV8" i="19"/>
  <c r="PB8" i="19" s="1"/>
  <c r="OU8" i="19"/>
  <c r="PA7" i="19"/>
  <c r="OZ7" i="19"/>
  <c r="OX7" i="19"/>
  <c r="OW7" i="19"/>
  <c r="OV7" i="19"/>
  <c r="OU7" i="19"/>
  <c r="PA6" i="19"/>
  <c r="OZ6" i="19"/>
  <c r="OX6" i="19"/>
  <c r="OW6" i="19"/>
  <c r="OV6" i="19"/>
  <c r="OU6" i="19"/>
  <c r="PA5" i="19"/>
  <c r="OZ5" i="19"/>
  <c r="OX5" i="19"/>
  <c r="OW5" i="19"/>
  <c r="OV5" i="19"/>
  <c r="OU5" i="19"/>
  <c r="PA4" i="19"/>
  <c r="OZ4" i="19"/>
  <c r="OX4" i="19"/>
  <c r="OW4" i="19"/>
  <c r="OV4" i="19"/>
  <c r="PB4" i="19" s="1"/>
  <c r="OU4" i="19"/>
  <c r="NY27" i="19"/>
  <c r="NX27" i="19"/>
  <c r="NV27" i="19"/>
  <c r="NU27" i="19"/>
  <c r="NT27" i="19"/>
  <c r="NS27" i="19"/>
  <c r="NY26" i="19"/>
  <c r="NX26" i="19"/>
  <c r="NV26" i="19"/>
  <c r="NU26" i="19"/>
  <c r="NT26" i="19"/>
  <c r="NS26" i="19"/>
  <c r="NY25" i="19"/>
  <c r="NX25" i="19"/>
  <c r="NV25" i="19"/>
  <c r="NU25" i="19"/>
  <c r="NT25" i="19"/>
  <c r="NS25" i="19"/>
  <c r="NY24" i="19"/>
  <c r="NX24" i="19"/>
  <c r="NV24" i="19"/>
  <c r="NU24" i="19"/>
  <c r="NT24" i="19"/>
  <c r="NZ24" i="19" s="1"/>
  <c r="NS24" i="19"/>
  <c r="NY23" i="19"/>
  <c r="NX23" i="19"/>
  <c r="NV23" i="19"/>
  <c r="NU23" i="19"/>
  <c r="NT23" i="19"/>
  <c r="NS23" i="19"/>
  <c r="NY22" i="19"/>
  <c r="NX22" i="19"/>
  <c r="NV22" i="19"/>
  <c r="NU22" i="19"/>
  <c r="NT22" i="19"/>
  <c r="NS22" i="19"/>
  <c r="NY21" i="19"/>
  <c r="NX21" i="19"/>
  <c r="NV21" i="19"/>
  <c r="NU21" i="19"/>
  <c r="NT21" i="19"/>
  <c r="NS21" i="19"/>
  <c r="NY20" i="19"/>
  <c r="NX20" i="19"/>
  <c r="NV20" i="19"/>
  <c r="NU20" i="19"/>
  <c r="NT20" i="19"/>
  <c r="NZ20" i="19" s="1"/>
  <c r="NS20" i="19"/>
  <c r="NY19" i="19"/>
  <c r="NX19" i="19"/>
  <c r="NV19" i="19"/>
  <c r="NU19" i="19"/>
  <c r="NT19" i="19"/>
  <c r="NS19" i="19"/>
  <c r="NY13" i="19"/>
  <c r="NX13" i="19"/>
  <c r="NV13" i="19"/>
  <c r="NU13" i="19"/>
  <c r="NT13" i="19"/>
  <c r="NS13" i="19"/>
  <c r="NY18" i="19"/>
  <c r="NX18" i="19"/>
  <c r="NV18" i="19"/>
  <c r="NU18" i="19"/>
  <c r="NT18" i="19"/>
  <c r="NS18" i="19"/>
  <c r="NY17" i="19"/>
  <c r="NX17" i="19"/>
  <c r="NV17" i="19"/>
  <c r="NU17" i="19"/>
  <c r="NT17" i="19"/>
  <c r="NZ17" i="19" s="1"/>
  <c r="NS17" i="19"/>
  <c r="NY16" i="19"/>
  <c r="NX16" i="19"/>
  <c r="NV16" i="19"/>
  <c r="NU16" i="19"/>
  <c r="NT16" i="19"/>
  <c r="NS16" i="19"/>
  <c r="NY15" i="19"/>
  <c r="NX15" i="19"/>
  <c r="NV15" i="19"/>
  <c r="NU15" i="19"/>
  <c r="NT15" i="19"/>
  <c r="NS15" i="19"/>
  <c r="NY14" i="19"/>
  <c r="NX14" i="19"/>
  <c r="NV14" i="19"/>
  <c r="NU14" i="19"/>
  <c r="NT14" i="19"/>
  <c r="NS14" i="19"/>
  <c r="NY12" i="19"/>
  <c r="NX12" i="19"/>
  <c r="NV12" i="19"/>
  <c r="NU12" i="19"/>
  <c r="NT12" i="19"/>
  <c r="NZ12" i="19" s="1"/>
  <c r="NS12" i="19"/>
  <c r="NY11" i="19"/>
  <c r="NX11" i="19"/>
  <c r="NV11" i="19"/>
  <c r="NU11" i="19"/>
  <c r="NT11" i="19"/>
  <c r="NS11" i="19"/>
  <c r="NY10" i="19"/>
  <c r="NX10" i="19"/>
  <c r="NV10" i="19"/>
  <c r="NU10" i="19"/>
  <c r="NT10" i="19"/>
  <c r="NS10" i="19"/>
  <c r="NY9" i="19"/>
  <c r="NX9" i="19"/>
  <c r="NV9" i="19"/>
  <c r="NU9" i="19"/>
  <c r="NT9" i="19"/>
  <c r="NS9" i="19"/>
  <c r="NY8" i="19"/>
  <c r="NX8" i="19"/>
  <c r="NV8" i="19"/>
  <c r="NU8" i="19"/>
  <c r="NT8" i="19"/>
  <c r="NZ8" i="19" s="1"/>
  <c r="NS8" i="19"/>
  <c r="NY7" i="19"/>
  <c r="NX7" i="19"/>
  <c r="NV7" i="19"/>
  <c r="NU7" i="19"/>
  <c r="NT7" i="19"/>
  <c r="NS7" i="19"/>
  <c r="NY6" i="19"/>
  <c r="NX6" i="19"/>
  <c r="NV6" i="19"/>
  <c r="NU6" i="19"/>
  <c r="NT6" i="19"/>
  <c r="NS6" i="19"/>
  <c r="NY5" i="19"/>
  <c r="NX5" i="19"/>
  <c r="NV5" i="19"/>
  <c r="NU5" i="19"/>
  <c r="NT5" i="19"/>
  <c r="NS5" i="19"/>
  <c r="NY4" i="19"/>
  <c r="NX4" i="19"/>
  <c r="NV4" i="19"/>
  <c r="NU4" i="19"/>
  <c r="NT4" i="19"/>
  <c r="NZ4" i="19" s="1"/>
  <c r="NS4" i="19"/>
  <c r="MW27" i="19"/>
  <c r="MV27" i="19"/>
  <c r="MT27" i="19"/>
  <c r="MS27" i="19"/>
  <c r="MR27" i="19"/>
  <c r="MQ27" i="19"/>
  <c r="MW26" i="19"/>
  <c r="MV26" i="19"/>
  <c r="MT26" i="19"/>
  <c r="MS26" i="19"/>
  <c r="MR26" i="19"/>
  <c r="MQ26" i="19"/>
  <c r="MW25" i="19"/>
  <c r="MV25" i="19"/>
  <c r="MT25" i="19"/>
  <c r="MS25" i="19"/>
  <c r="MR25" i="19"/>
  <c r="MQ25" i="19"/>
  <c r="MW24" i="19"/>
  <c r="MV24" i="19"/>
  <c r="MT24" i="19"/>
  <c r="MS24" i="19"/>
  <c r="MR24" i="19"/>
  <c r="MX24" i="19" s="1"/>
  <c r="MQ24" i="19"/>
  <c r="MW23" i="19"/>
  <c r="MV23" i="19"/>
  <c r="MT23" i="19"/>
  <c r="MS23" i="19"/>
  <c r="MR23" i="19"/>
  <c r="MQ23" i="19"/>
  <c r="MW22" i="19"/>
  <c r="MV22" i="19"/>
  <c r="MT22" i="19"/>
  <c r="MS22" i="19"/>
  <c r="MR22" i="19"/>
  <c r="MQ22" i="19"/>
  <c r="MW21" i="19"/>
  <c r="MV21" i="19"/>
  <c r="MT21" i="19"/>
  <c r="MS21" i="19"/>
  <c r="MR21" i="19"/>
  <c r="MQ21" i="19"/>
  <c r="MW20" i="19"/>
  <c r="MV20" i="19"/>
  <c r="MT20" i="19"/>
  <c r="MS20" i="19"/>
  <c r="MR20" i="19"/>
  <c r="MX20" i="19" s="1"/>
  <c r="MQ20" i="19"/>
  <c r="MW19" i="19"/>
  <c r="MV19" i="19"/>
  <c r="MT19" i="19"/>
  <c r="MS19" i="19"/>
  <c r="MR19" i="19"/>
  <c r="MQ19" i="19"/>
  <c r="MW13" i="19"/>
  <c r="MV13" i="19"/>
  <c r="MT13" i="19"/>
  <c r="MS13" i="19"/>
  <c r="MR13" i="19"/>
  <c r="MQ13" i="19"/>
  <c r="MW18" i="19"/>
  <c r="MV18" i="19"/>
  <c r="MT18" i="19"/>
  <c r="MS18" i="19"/>
  <c r="MR18" i="19"/>
  <c r="MQ18" i="19"/>
  <c r="MW17" i="19"/>
  <c r="MV17" i="19"/>
  <c r="MT17" i="19"/>
  <c r="MS17" i="19"/>
  <c r="MR17" i="19"/>
  <c r="MX17" i="19" s="1"/>
  <c r="MQ17" i="19"/>
  <c r="MW16" i="19"/>
  <c r="MV16" i="19"/>
  <c r="MT16" i="19"/>
  <c r="MS16" i="19"/>
  <c r="MR16" i="19"/>
  <c r="MQ16" i="19"/>
  <c r="MW15" i="19"/>
  <c r="MV15" i="19"/>
  <c r="MT15" i="19"/>
  <c r="MS15" i="19"/>
  <c r="MR15" i="19"/>
  <c r="MQ15" i="19"/>
  <c r="MW14" i="19"/>
  <c r="MV14" i="19"/>
  <c r="MT14" i="19"/>
  <c r="MS14" i="19"/>
  <c r="MR14" i="19"/>
  <c r="MQ14" i="19"/>
  <c r="MW12" i="19"/>
  <c r="MV12" i="19"/>
  <c r="MT12" i="19"/>
  <c r="MS12" i="19"/>
  <c r="MR12" i="19"/>
  <c r="MX12" i="19" s="1"/>
  <c r="MQ12" i="19"/>
  <c r="MW11" i="19"/>
  <c r="MV11" i="19"/>
  <c r="MT11" i="19"/>
  <c r="MS11" i="19"/>
  <c r="MR11" i="19"/>
  <c r="MQ11" i="19"/>
  <c r="MW10" i="19"/>
  <c r="MV10" i="19"/>
  <c r="MT10" i="19"/>
  <c r="MS10" i="19"/>
  <c r="MR10" i="19"/>
  <c r="MQ10" i="19"/>
  <c r="MW9" i="19"/>
  <c r="MV9" i="19"/>
  <c r="MT9" i="19"/>
  <c r="MS9" i="19"/>
  <c r="MR9" i="19"/>
  <c r="MQ9" i="19"/>
  <c r="MW8" i="19"/>
  <c r="MV8" i="19"/>
  <c r="MT8" i="19"/>
  <c r="MS8" i="19"/>
  <c r="MR8" i="19"/>
  <c r="MX8" i="19" s="1"/>
  <c r="MQ8" i="19"/>
  <c r="MW7" i="19"/>
  <c r="MV7" i="19"/>
  <c r="MT7" i="19"/>
  <c r="MS7" i="19"/>
  <c r="MR7" i="19"/>
  <c r="MQ7" i="19"/>
  <c r="MW6" i="19"/>
  <c r="MV6" i="19"/>
  <c r="MT6" i="19"/>
  <c r="MS6" i="19"/>
  <c r="MR6" i="19"/>
  <c r="MQ6" i="19"/>
  <c r="MW5" i="19"/>
  <c r="MV5" i="19"/>
  <c r="MT5" i="19"/>
  <c r="MS5" i="19"/>
  <c r="MR5" i="19"/>
  <c r="MQ5" i="19"/>
  <c r="MW4" i="19"/>
  <c r="MV4" i="19"/>
  <c r="MT4" i="19"/>
  <c r="MS4" i="19"/>
  <c r="MR4" i="19"/>
  <c r="MQ4" i="19"/>
  <c r="LU27" i="19"/>
  <c r="LT27" i="19"/>
  <c r="LR27" i="19"/>
  <c r="LQ27" i="19"/>
  <c r="LP27" i="19"/>
  <c r="LO27" i="19"/>
  <c r="LU26" i="19"/>
  <c r="LT26" i="19"/>
  <c r="LR26" i="19"/>
  <c r="LQ26" i="19"/>
  <c r="LP26" i="19"/>
  <c r="LO26" i="19"/>
  <c r="LU25" i="19"/>
  <c r="LT25" i="19"/>
  <c r="LR25" i="19"/>
  <c r="LQ25" i="19"/>
  <c r="LP25" i="19"/>
  <c r="LO25" i="19"/>
  <c r="LU24" i="19"/>
  <c r="LT24" i="19"/>
  <c r="LR24" i="19"/>
  <c r="LQ24" i="19"/>
  <c r="LP24" i="19"/>
  <c r="LO24" i="19"/>
  <c r="LU23" i="19"/>
  <c r="LT23" i="19"/>
  <c r="LR23" i="19"/>
  <c r="LQ23" i="19"/>
  <c r="LP23" i="19"/>
  <c r="LO23" i="19"/>
  <c r="LU22" i="19"/>
  <c r="LT22" i="19"/>
  <c r="LR22" i="19"/>
  <c r="LQ22" i="19"/>
  <c r="LP22" i="19"/>
  <c r="LO22" i="19"/>
  <c r="LU21" i="19"/>
  <c r="LT21" i="19"/>
  <c r="LR21" i="19"/>
  <c r="LQ21" i="19"/>
  <c r="LP21" i="19"/>
  <c r="LV21" i="19" s="1"/>
  <c r="LO21" i="19"/>
  <c r="LU20" i="19"/>
  <c r="LT20" i="19"/>
  <c r="LR20" i="19"/>
  <c r="LQ20" i="19"/>
  <c r="LP20" i="19"/>
  <c r="LV20" i="19" s="1"/>
  <c r="LO20" i="19"/>
  <c r="LU19" i="19"/>
  <c r="LT19" i="19"/>
  <c r="LR19" i="19"/>
  <c r="LQ19" i="19"/>
  <c r="LP19" i="19"/>
  <c r="LO19" i="19"/>
  <c r="LU13" i="19"/>
  <c r="LT13" i="19"/>
  <c r="LR13" i="19"/>
  <c r="LQ13" i="19"/>
  <c r="LP13" i="19"/>
  <c r="LO13" i="19"/>
  <c r="LU18" i="19"/>
  <c r="LT18" i="19"/>
  <c r="LR18" i="19"/>
  <c r="LQ18" i="19"/>
  <c r="LP18" i="19"/>
  <c r="LV18" i="19" s="1"/>
  <c r="LO18" i="19"/>
  <c r="LU17" i="19"/>
  <c r="LT17" i="19"/>
  <c r="LR17" i="19"/>
  <c r="LQ17" i="19"/>
  <c r="LP17" i="19"/>
  <c r="LV17" i="19" s="1"/>
  <c r="LO17" i="19"/>
  <c r="LU16" i="19"/>
  <c r="LT16" i="19"/>
  <c r="LR16" i="19"/>
  <c r="LQ16" i="19"/>
  <c r="LP16" i="19"/>
  <c r="LO16" i="19"/>
  <c r="LU15" i="19"/>
  <c r="LT15" i="19"/>
  <c r="LR15" i="19"/>
  <c r="LQ15" i="19"/>
  <c r="LP15" i="19"/>
  <c r="LO15" i="19"/>
  <c r="LU14" i="19"/>
  <c r="LT14" i="19"/>
  <c r="LR14" i="19"/>
  <c r="LQ14" i="19"/>
  <c r="LP14" i="19"/>
  <c r="LV14" i="19" s="1"/>
  <c r="LO14" i="19"/>
  <c r="LU12" i="19"/>
  <c r="LT12" i="19"/>
  <c r="LR12" i="19"/>
  <c r="LQ12" i="19"/>
  <c r="LP12" i="19"/>
  <c r="LV12" i="19" s="1"/>
  <c r="LO12" i="19"/>
  <c r="LU11" i="19"/>
  <c r="LT11" i="19"/>
  <c r="LR11" i="19"/>
  <c r="LQ11" i="19"/>
  <c r="LP11" i="19"/>
  <c r="LO11" i="19"/>
  <c r="LU10" i="19"/>
  <c r="LT10" i="19"/>
  <c r="LR10" i="19"/>
  <c r="LQ10" i="19"/>
  <c r="LP10" i="19"/>
  <c r="LO10" i="19"/>
  <c r="LU9" i="19"/>
  <c r="LT9" i="19"/>
  <c r="LR9" i="19"/>
  <c r="LQ9" i="19"/>
  <c r="LP9" i="19"/>
  <c r="LV9" i="19" s="1"/>
  <c r="LO9" i="19"/>
  <c r="LU8" i="19"/>
  <c r="LT8" i="19"/>
  <c r="LR8" i="19"/>
  <c r="LQ8" i="19"/>
  <c r="LP8" i="19"/>
  <c r="LV8" i="19" s="1"/>
  <c r="LO8" i="19"/>
  <c r="LU7" i="19"/>
  <c r="LT7" i="19"/>
  <c r="LR7" i="19"/>
  <c r="LQ7" i="19"/>
  <c r="LP7" i="19"/>
  <c r="LO7" i="19"/>
  <c r="LU6" i="19"/>
  <c r="LT6" i="19"/>
  <c r="LR6" i="19"/>
  <c r="LQ6" i="19"/>
  <c r="LP6" i="19"/>
  <c r="LO6" i="19"/>
  <c r="LU5" i="19"/>
  <c r="LT5" i="19"/>
  <c r="LR5" i="19"/>
  <c r="LQ5" i="19"/>
  <c r="LP5" i="19"/>
  <c r="LV5" i="19" s="1"/>
  <c r="LO5" i="19"/>
  <c r="LU4" i="19"/>
  <c r="LT4" i="19"/>
  <c r="LR4" i="19"/>
  <c r="LQ4" i="19"/>
  <c r="LP4" i="19"/>
  <c r="LV4" i="19" s="1"/>
  <c r="LO4" i="19"/>
  <c r="KS27" i="19"/>
  <c r="KR27" i="19"/>
  <c r="KP27" i="19"/>
  <c r="KO27" i="19"/>
  <c r="KN27" i="19"/>
  <c r="KM27" i="19"/>
  <c r="KS26" i="19"/>
  <c r="KR26" i="19"/>
  <c r="KP26" i="19"/>
  <c r="KO26" i="19"/>
  <c r="KQ26" i="19" s="1"/>
  <c r="KN26" i="19"/>
  <c r="KM26" i="19"/>
  <c r="KS25" i="19"/>
  <c r="KR25" i="19"/>
  <c r="KP25" i="19"/>
  <c r="KO25" i="19"/>
  <c r="KN25" i="19"/>
  <c r="KT25" i="19" s="1"/>
  <c r="KM25" i="19"/>
  <c r="KS24" i="19"/>
  <c r="KR24" i="19"/>
  <c r="KP24" i="19"/>
  <c r="KO24" i="19"/>
  <c r="KN24" i="19"/>
  <c r="KT24" i="19" s="1"/>
  <c r="KM24" i="19"/>
  <c r="KS23" i="19"/>
  <c r="KR23" i="19"/>
  <c r="KP23" i="19"/>
  <c r="KO23" i="19"/>
  <c r="KN23" i="19"/>
  <c r="KM23" i="19"/>
  <c r="KS22" i="19"/>
  <c r="KR22" i="19"/>
  <c r="KP22" i="19"/>
  <c r="KO22" i="19"/>
  <c r="KN22" i="19"/>
  <c r="KM22" i="19"/>
  <c r="KS21" i="19"/>
  <c r="KR21" i="19"/>
  <c r="KP21" i="19"/>
  <c r="KO21" i="19"/>
  <c r="KN21" i="19"/>
  <c r="KT21" i="19" s="1"/>
  <c r="KM21" i="19"/>
  <c r="KS20" i="19"/>
  <c r="KR20" i="19"/>
  <c r="KP20" i="19"/>
  <c r="KO20" i="19"/>
  <c r="KN20" i="19"/>
  <c r="KT20" i="19" s="1"/>
  <c r="KM20" i="19"/>
  <c r="KS19" i="19"/>
  <c r="KR19" i="19"/>
  <c r="KP19" i="19"/>
  <c r="KO19" i="19"/>
  <c r="KN19" i="19"/>
  <c r="KM19" i="19"/>
  <c r="KS13" i="19"/>
  <c r="KR13" i="19"/>
  <c r="KP13" i="19"/>
  <c r="KO13" i="19"/>
  <c r="KN13" i="19"/>
  <c r="KM13" i="19"/>
  <c r="KS18" i="19"/>
  <c r="KR18" i="19"/>
  <c r="KP18" i="19"/>
  <c r="KO18" i="19"/>
  <c r="KN18" i="19"/>
  <c r="KT18" i="19" s="1"/>
  <c r="KM18" i="19"/>
  <c r="KS17" i="19"/>
  <c r="KR17" i="19"/>
  <c r="KP17" i="19"/>
  <c r="KO17" i="19"/>
  <c r="KN17" i="19"/>
  <c r="KT17" i="19" s="1"/>
  <c r="KM17" i="19"/>
  <c r="KS16" i="19"/>
  <c r="KR16" i="19"/>
  <c r="KP16" i="19"/>
  <c r="KO16" i="19"/>
  <c r="KN16" i="19"/>
  <c r="KM16" i="19"/>
  <c r="KS15" i="19"/>
  <c r="KR15" i="19"/>
  <c r="KP15" i="19"/>
  <c r="KO15" i="19"/>
  <c r="KN15" i="19"/>
  <c r="KM15" i="19"/>
  <c r="KS14" i="19"/>
  <c r="KR14" i="19"/>
  <c r="KP14" i="19"/>
  <c r="KO14" i="19"/>
  <c r="KN14" i="19"/>
  <c r="KT14" i="19" s="1"/>
  <c r="KM14" i="19"/>
  <c r="KS12" i="19"/>
  <c r="KR12" i="19"/>
  <c r="KP12" i="19"/>
  <c r="KO12" i="19"/>
  <c r="KN12" i="19"/>
  <c r="KT12" i="19" s="1"/>
  <c r="KM12" i="19"/>
  <c r="KS11" i="19"/>
  <c r="KR11" i="19"/>
  <c r="KP11" i="19"/>
  <c r="KO11" i="19"/>
  <c r="KN11" i="19"/>
  <c r="KM11" i="19"/>
  <c r="KS10" i="19"/>
  <c r="KR10" i="19"/>
  <c r="KP10" i="19"/>
  <c r="KO10" i="19"/>
  <c r="KN10" i="19"/>
  <c r="KM10" i="19"/>
  <c r="KS9" i="19"/>
  <c r="KR9" i="19"/>
  <c r="KP9" i="19"/>
  <c r="KO9" i="19"/>
  <c r="KN9" i="19"/>
  <c r="KT9" i="19" s="1"/>
  <c r="KM9" i="19"/>
  <c r="KS8" i="19"/>
  <c r="KR8" i="19"/>
  <c r="KP8" i="19"/>
  <c r="KO8" i="19"/>
  <c r="KN8" i="19"/>
  <c r="KT8" i="19" s="1"/>
  <c r="KM8" i="19"/>
  <c r="KS7" i="19"/>
  <c r="KR7" i="19"/>
  <c r="KP7" i="19"/>
  <c r="KO7" i="19"/>
  <c r="KN7" i="19"/>
  <c r="KM7" i="19"/>
  <c r="KS6" i="19"/>
  <c r="KR6" i="19"/>
  <c r="KP6" i="19"/>
  <c r="KO6" i="19"/>
  <c r="KN6" i="19"/>
  <c r="KM6" i="19"/>
  <c r="KS5" i="19"/>
  <c r="KR5" i="19"/>
  <c r="KP5" i="19"/>
  <c r="KO5" i="19"/>
  <c r="KN5" i="19"/>
  <c r="KT5" i="19" s="1"/>
  <c r="KM5" i="19"/>
  <c r="KS4" i="19"/>
  <c r="KR4" i="19"/>
  <c r="KP4" i="19"/>
  <c r="KO4" i="19"/>
  <c r="KN4" i="19"/>
  <c r="KT4" i="19" s="1"/>
  <c r="KM4" i="19"/>
  <c r="JQ27" i="19"/>
  <c r="JP27" i="19"/>
  <c r="JN27" i="19"/>
  <c r="JM27" i="19"/>
  <c r="JL27" i="19"/>
  <c r="JK27" i="19"/>
  <c r="JQ26" i="19"/>
  <c r="JP26" i="19"/>
  <c r="JN26" i="19"/>
  <c r="JM26" i="19"/>
  <c r="JL26" i="19"/>
  <c r="JK26" i="19"/>
  <c r="JQ25" i="19"/>
  <c r="JP25" i="19"/>
  <c r="JN25" i="19"/>
  <c r="JM25" i="19"/>
  <c r="JL25" i="19"/>
  <c r="JR25" i="19" s="1"/>
  <c r="JK25" i="19"/>
  <c r="JQ24" i="19"/>
  <c r="JP24" i="19"/>
  <c r="JN24" i="19"/>
  <c r="JM24" i="19"/>
  <c r="JL24" i="19"/>
  <c r="JR24" i="19" s="1"/>
  <c r="JK24" i="19"/>
  <c r="JQ23" i="19"/>
  <c r="JP23" i="19"/>
  <c r="JN23" i="19"/>
  <c r="JM23" i="19"/>
  <c r="JL23" i="19"/>
  <c r="JK23" i="19"/>
  <c r="JQ22" i="19"/>
  <c r="JP22" i="19"/>
  <c r="JN22" i="19"/>
  <c r="JM22" i="19"/>
  <c r="JL22" i="19"/>
  <c r="JK22" i="19"/>
  <c r="JQ21" i="19"/>
  <c r="JP21" i="19"/>
  <c r="JN21" i="19"/>
  <c r="JM21" i="19"/>
  <c r="JL21" i="19"/>
  <c r="JR21" i="19" s="1"/>
  <c r="JK21" i="19"/>
  <c r="JQ20" i="19"/>
  <c r="JP20" i="19"/>
  <c r="JN20" i="19"/>
  <c r="JM20" i="19"/>
  <c r="JL20" i="19"/>
  <c r="JR20" i="19" s="1"/>
  <c r="JK20" i="19"/>
  <c r="JQ19" i="19"/>
  <c r="JP19" i="19"/>
  <c r="JN19" i="19"/>
  <c r="JM19" i="19"/>
  <c r="JL19" i="19"/>
  <c r="JK19" i="19"/>
  <c r="JQ13" i="19"/>
  <c r="JP13" i="19"/>
  <c r="JN13" i="19"/>
  <c r="JM13" i="19"/>
  <c r="JL13" i="19"/>
  <c r="JK13" i="19"/>
  <c r="JQ18" i="19"/>
  <c r="JP18" i="19"/>
  <c r="JN18" i="19"/>
  <c r="JM18" i="19"/>
  <c r="JL18" i="19"/>
  <c r="JR18" i="19" s="1"/>
  <c r="JK18" i="19"/>
  <c r="JQ17" i="19"/>
  <c r="JP17" i="19"/>
  <c r="JN17" i="19"/>
  <c r="JM17" i="19"/>
  <c r="JL17" i="19"/>
  <c r="JR17" i="19" s="1"/>
  <c r="JK17" i="19"/>
  <c r="JQ16" i="19"/>
  <c r="JP16" i="19"/>
  <c r="JN16" i="19"/>
  <c r="JM16" i="19"/>
  <c r="JL16" i="19"/>
  <c r="JK16" i="19"/>
  <c r="JQ15" i="19"/>
  <c r="JP15" i="19"/>
  <c r="JN15" i="19"/>
  <c r="JM15" i="19"/>
  <c r="JL15" i="19"/>
  <c r="JK15" i="19"/>
  <c r="JQ14" i="19"/>
  <c r="JP14" i="19"/>
  <c r="JN14" i="19"/>
  <c r="JM14" i="19"/>
  <c r="JL14" i="19"/>
  <c r="JR14" i="19" s="1"/>
  <c r="JK14" i="19"/>
  <c r="JQ12" i="19"/>
  <c r="JP12" i="19"/>
  <c r="JN12" i="19"/>
  <c r="JM12" i="19"/>
  <c r="JL12" i="19"/>
  <c r="JR12" i="19" s="1"/>
  <c r="JK12" i="19"/>
  <c r="JQ11" i="19"/>
  <c r="JP11" i="19"/>
  <c r="JN11" i="19"/>
  <c r="JM11" i="19"/>
  <c r="JL11" i="19"/>
  <c r="JK11" i="19"/>
  <c r="JQ10" i="19"/>
  <c r="JP10" i="19"/>
  <c r="JN10" i="19"/>
  <c r="JM10" i="19"/>
  <c r="JL10" i="19"/>
  <c r="JK10" i="19"/>
  <c r="JQ9" i="19"/>
  <c r="JP9" i="19"/>
  <c r="JN9" i="19"/>
  <c r="JM9" i="19"/>
  <c r="JL9" i="19"/>
  <c r="JR9" i="19" s="1"/>
  <c r="JK9" i="19"/>
  <c r="JQ8" i="19"/>
  <c r="JP8" i="19"/>
  <c r="JN8" i="19"/>
  <c r="JM8" i="19"/>
  <c r="JL8" i="19"/>
  <c r="JR8" i="19" s="1"/>
  <c r="JK8" i="19"/>
  <c r="JQ7" i="19"/>
  <c r="JP7" i="19"/>
  <c r="JN7" i="19"/>
  <c r="JM7" i="19"/>
  <c r="JL7" i="19"/>
  <c r="JK7" i="19"/>
  <c r="JQ6" i="19"/>
  <c r="JP6" i="19"/>
  <c r="JN6" i="19"/>
  <c r="JM6" i="19"/>
  <c r="JL6" i="19"/>
  <c r="JK6" i="19"/>
  <c r="JQ5" i="19"/>
  <c r="JP5" i="19"/>
  <c r="JN5" i="19"/>
  <c r="JM5" i="19"/>
  <c r="JL5" i="19"/>
  <c r="JR5" i="19" s="1"/>
  <c r="JK5" i="19"/>
  <c r="JQ4" i="19"/>
  <c r="JP4" i="19"/>
  <c r="JN4" i="19"/>
  <c r="JM4" i="19"/>
  <c r="JL4" i="19"/>
  <c r="JR4" i="19" s="1"/>
  <c r="JK4" i="19"/>
  <c r="IO27" i="19"/>
  <c r="IP27" i="19" s="1"/>
  <c r="IN27" i="19"/>
  <c r="IL27" i="19"/>
  <c r="IK27" i="19"/>
  <c r="IJ27" i="19"/>
  <c r="II27" i="19"/>
  <c r="IO26" i="19"/>
  <c r="IN26" i="19"/>
  <c r="IL26" i="19"/>
  <c r="IK26" i="19"/>
  <c r="IJ26" i="19"/>
  <c r="II26" i="19"/>
  <c r="IO25" i="19"/>
  <c r="IN25" i="19"/>
  <c r="IL25" i="19"/>
  <c r="IK25" i="19"/>
  <c r="IJ25" i="19"/>
  <c r="IP25" i="19" s="1"/>
  <c r="II25" i="19"/>
  <c r="IO24" i="19"/>
  <c r="IN24" i="19"/>
  <c r="IL24" i="19"/>
  <c r="IK24" i="19"/>
  <c r="IJ24" i="19"/>
  <c r="II24" i="19"/>
  <c r="IO23" i="19"/>
  <c r="IN23" i="19"/>
  <c r="IL23" i="19"/>
  <c r="IK23" i="19"/>
  <c r="IJ23" i="19"/>
  <c r="II23" i="19"/>
  <c r="IO22" i="19"/>
  <c r="IN22" i="19"/>
  <c r="IL22" i="19"/>
  <c r="IK22" i="19"/>
  <c r="IJ22" i="19"/>
  <c r="II22" i="19"/>
  <c r="IO21" i="19"/>
  <c r="IN21" i="19"/>
  <c r="IL21" i="19"/>
  <c r="IK21" i="19"/>
  <c r="IJ21" i="19"/>
  <c r="II21" i="19"/>
  <c r="IO20" i="19"/>
  <c r="IN20" i="19"/>
  <c r="IL20" i="19"/>
  <c r="IK20" i="19"/>
  <c r="IJ20" i="19"/>
  <c r="IM20" i="19" s="1"/>
  <c r="II20" i="19"/>
  <c r="IO19" i="19"/>
  <c r="IN19" i="19"/>
  <c r="IL19" i="19"/>
  <c r="IK19" i="19"/>
  <c r="IJ19" i="19"/>
  <c r="II19" i="19"/>
  <c r="IO13" i="19"/>
  <c r="IN13" i="19"/>
  <c r="IL13" i="19"/>
  <c r="IK13" i="19"/>
  <c r="IJ13" i="19"/>
  <c r="IM13" i="19" s="1"/>
  <c r="II13" i="19"/>
  <c r="IP18" i="19"/>
  <c r="IO18" i="19"/>
  <c r="IN18" i="19"/>
  <c r="IL18" i="19"/>
  <c r="IK18" i="19"/>
  <c r="IJ18" i="19"/>
  <c r="II18" i="19"/>
  <c r="IO17" i="19"/>
  <c r="IN17" i="19"/>
  <c r="IL17" i="19"/>
  <c r="IK17" i="19"/>
  <c r="IJ17" i="19"/>
  <c r="IP17" i="19" s="1"/>
  <c r="II17" i="19"/>
  <c r="IO16" i="19"/>
  <c r="IN16" i="19"/>
  <c r="IL16" i="19"/>
  <c r="IK16" i="19"/>
  <c r="IJ16" i="19"/>
  <c r="II16" i="19"/>
  <c r="IO15" i="19"/>
  <c r="IN15" i="19"/>
  <c r="IL15" i="19"/>
  <c r="IK15" i="19"/>
  <c r="IJ15" i="19"/>
  <c r="II15" i="19"/>
  <c r="IO14" i="19"/>
  <c r="IN14" i="19"/>
  <c r="IL14" i="19"/>
  <c r="IK14" i="19"/>
  <c r="IP14" i="19" s="1"/>
  <c r="IJ14" i="19"/>
  <c r="II14" i="19"/>
  <c r="IO12" i="19"/>
  <c r="IN12" i="19"/>
  <c r="IL12" i="19"/>
  <c r="IK12" i="19"/>
  <c r="IJ12" i="19"/>
  <c r="IP12" i="19" s="1"/>
  <c r="II12" i="19"/>
  <c r="IO11" i="19"/>
  <c r="IN11" i="19"/>
  <c r="IL11" i="19"/>
  <c r="IK11" i="19"/>
  <c r="IJ11" i="19"/>
  <c r="II11" i="19"/>
  <c r="IO10" i="19"/>
  <c r="IN10" i="19"/>
  <c r="IL10" i="19"/>
  <c r="IK10" i="19"/>
  <c r="IJ10" i="19"/>
  <c r="IM10" i="19" s="1"/>
  <c r="II10" i="19"/>
  <c r="IO9" i="19"/>
  <c r="IP9" i="19" s="1"/>
  <c r="IN9" i="19"/>
  <c r="IL9" i="19"/>
  <c r="IK9" i="19"/>
  <c r="IJ9" i="19"/>
  <c r="II9" i="19"/>
  <c r="IO8" i="19"/>
  <c r="IN8" i="19"/>
  <c r="IL8" i="19"/>
  <c r="IK8" i="19"/>
  <c r="IJ8" i="19"/>
  <c r="II8" i="19"/>
  <c r="IO7" i="19"/>
  <c r="IN7" i="19"/>
  <c r="IL7" i="19"/>
  <c r="IK7" i="19"/>
  <c r="IJ7" i="19"/>
  <c r="IM7" i="19" s="1"/>
  <c r="II7" i="19"/>
  <c r="IO6" i="19"/>
  <c r="IN6" i="19"/>
  <c r="IL6" i="19"/>
  <c r="IK6" i="19"/>
  <c r="IJ6" i="19"/>
  <c r="II6" i="19"/>
  <c r="IO5" i="19"/>
  <c r="IN5" i="19"/>
  <c r="IL5" i="19"/>
  <c r="IK5" i="19"/>
  <c r="IJ5" i="19"/>
  <c r="II5" i="19"/>
  <c r="IO4" i="19"/>
  <c r="IN4" i="19"/>
  <c r="IL4" i="19"/>
  <c r="IK4" i="19"/>
  <c r="IJ4" i="19"/>
  <c r="IM4" i="19" s="1"/>
  <c r="II4" i="19"/>
  <c r="HM27" i="19"/>
  <c r="HL27" i="19"/>
  <c r="HJ27" i="19"/>
  <c r="HI27" i="19"/>
  <c r="HH27" i="19"/>
  <c r="HG27" i="19"/>
  <c r="HM26" i="19"/>
  <c r="HL26" i="19"/>
  <c r="HJ26" i="19"/>
  <c r="HI26" i="19"/>
  <c r="HH26" i="19"/>
  <c r="HG26" i="19"/>
  <c r="HM25" i="19"/>
  <c r="HL25" i="19"/>
  <c r="HJ25" i="19"/>
  <c r="HI25" i="19"/>
  <c r="HH25" i="19"/>
  <c r="HN25" i="19" s="1"/>
  <c r="HG25" i="19"/>
  <c r="HM24" i="19"/>
  <c r="HL24" i="19"/>
  <c r="HJ24" i="19"/>
  <c r="HI24" i="19"/>
  <c r="HH24" i="19"/>
  <c r="HG24" i="19"/>
  <c r="HM23" i="19"/>
  <c r="HL23" i="19"/>
  <c r="HJ23" i="19"/>
  <c r="HI23" i="19"/>
  <c r="HH23" i="19"/>
  <c r="HG23" i="19"/>
  <c r="HM22" i="19"/>
  <c r="HL22" i="19"/>
  <c r="HJ22" i="19"/>
  <c r="HI22" i="19"/>
  <c r="HH22" i="19"/>
  <c r="HG22" i="19"/>
  <c r="HM21" i="19"/>
  <c r="HL21" i="19"/>
  <c r="HJ21" i="19"/>
  <c r="HI21" i="19"/>
  <c r="HH21" i="19"/>
  <c r="HN21" i="19" s="1"/>
  <c r="HG21" i="19"/>
  <c r="HM20" i="19"/>
  <c r="HL20" i="19"/>
  <c r="HJ20" i="19"/>
  <c r="HI20" i="19"/>
  <c r="HH20" i="19"/>
  <c r="HG20" i="19"/>
  <c r="HM19" i="19"/>
  <c r="HL19" i="19"/>
  <c r="HJ19" i="19"/>
  <c r="HI19" i="19"/>
  <c r="HH19" i="19"/>
  <c r="HG19" i="19"/>
  <c r="HM13" i="19"/>
  <c r="HL13" i="19"/>
  <c r="HJ13" i="19"/>
  <c r="HI13" i="19"/>
  <c r="HH13" i="19"/>
  <c r="HG13" i="19"/>
  <c r="HM18" i="19"/>
  <c r="HL18" i="19"/>
  <c r="HJ18" i="19"/>
  <c r="HI18" i="19"/>
  <c r="HH18" i="19"/>
  <c r="HN18" i="19" s="1"/>
  <c r="HG18" i="19"/>
  <c r="HM17" i="19"/>
  <c r="HL17" i="19"/>
  <c r="HJ17" i="19"/>
  <c r="HI17" i="19"/>
  <c r="HH17" i="19"/>
  <c r="HG17" i="19"/>
  <c r="HM16" i="19"/>
  <c r="HL16" i="19"/>
  <c r="HJ16" i="19"/>
  <c r="HI16" i="19"/>
  <c r="HH16" i="19"/>
  <c r="HG16" i="19"/>
  <c r="HM15" i="19"/>
  <c r="HL15" i="19"/>
  <c r="HJ15" i="19"/>
  <c r="HI15" i="19"/>
  <c r="HH15" i="19"/>
  <c r="HG15" i="19"/>
  <c r="HM14" i="19"/>
  <c r="HL14" i="19"/>
  <c r="HJ14" i="19"/>
  <c r="HI14" i="19"/>
  <c r="HH14" i="19"/>
  <c r="HN14" i="19" s="1"/>
  <c r="HG14" i="19"/>
  <c r="HM12" i="19"/>
  <c r="HL12" i="19"/>
  <c r="HJ12" i="19"/>
  <c r="HI12" i="19"/>
  <c r="HH12" i="19"/>
  <c r="HG12" i="19"/>
  <c r="HM11" i="19"/>
  <c r="HL11" i="19"/>
  <c r="HJ11" i="19"/>
  <c r="HI11" i="19"/>
  <c r="HH11" i="19"/>
  <c r="HG11" i="19"/>
  <c r="HM10" i="19"/>
  <c r="HL10" i="19"/>
  <c r="HJ10" i="19"/>
  <c r="HI10" i="19"/>
  <c r="HH10" i="19"/>
  <c r="HG10" i="19"/>
  <c r="HM9" i="19"/>
  <c r="HL9" i="19"/>
  <c r="HJ9" i="19"/>
  <c r="HI9" i="19"/>
  <c r="HH9" i="19"/>
  <c r="HN9" i="19" s="1"/>
  <c r="HG9" i="19"/>
  <c r="HM8" i="19"/>
  <c r="HL8" i="19"/>
  <c r="HJ8" i="19"/>
  <c r="HI8" i="19"/>
  <c r="HH8" i="19"/>
  <c r="HG8" i="19"/>
  <c r="HM7" i="19"/>
  <c r="HL7" i="19"/>
  <c r="HJ7" i="19"/>
  <c r="HI7" i="19"/>
  <c r="HH7" i="19"/>
  <c r="HG7" i="19"/>
  <c r="HM6" i="19"/>
  <c r="HL6" i="19"/>
  <c r="HJ6" i="19"/>
  <c r="HI6" i="19"/>
  <c r="HH6" i="19"/>
  <c r="HG6" i="19"/>
  <c r="HM5" i="19"/>
  <c r="HL5" i="19"/>
  <c r="HJ5" i="19"/>
  <c r="HI5" i="19"/>
  <c r="HH5" i="19"/>
  <c r="HN5" i="19" s="1"/>
  <c r="HG5" i="19"/>
  <c r="HM4" i="19"/>
  <c r="HL4" i="19"/>
  <c r="HJ4" i="19"/>
  <c r="HI4" i="19"/>
  <c r="HH4" i="19"/>
  <c r="HG4" i="19"/>
  <c r="GK27" i="19"/>
  <c r="GJ27" i="19"/>
  <c r="GH27" i="19"/>
  <c r="GG27" i="19"/>
  <c r="GF27" i="19"/>
  <c r="GE27" i="19"/>
  <c r="GK26" i="19"/>
  <c r="GJ26" i="19"/>
  <c r="GH26" i="19"/>
  <c r="GG26" i="19"/>
  <c r="GF26" i="19"/>
  <c r="GE26" i="19"/>
  <c r="GK25" i="19"/>
  <c r="GJ25" i="19"/>
  <c r="GH25" i="19"/>
  <c r="GG25" i="19"/>
  <c r="GF25" i="19"/>
  <c r="GL25" i="19" s="1"/>
  <c r="GE25" i="19"/>
  <c r="GK24" i="19"/>
  <c r="GJ24" i="19"/>
  <c r="GH24" i="19"/>
  <c r="GG24" i="19"/>
  <c r="GF24" i="19"/>
  <c r="GE24" i="19"/>
  <c r="GK23" i="19"/>
  <c r="GJ23" i="19"/>
  <c r="GH23" i="19"/>
  <c r="GG23" i="19"/>
  <c r="GF23" i="19"/>
  <c r="GE23" i="19"/>
  <c r="GK22" i="19"/>
  <c r="GJ22" i="19"/>
  <c r="GH22" i="19"/>
  <c r="GG22" i="19"/>
  <c r="GF22" i="19"/>
  <c r="GE22" i="19"/>
  <c r="GK21" i="19"/>
  <c r="GJ21" i="19"/>
  <c r="GH21" i="19"/>
  <c r="GG21" i="19"/>
  <c r="GF21" i="19"/>
  <c r="GL21" i="19" s="1"/>
  <c r="GE21" i="19"/>
  <c r="GK20" i="19"/>
  <c r="GJ20" i="19"/>
  <c r="GH20" i="19"/>
  <c r="GG20" i="19"/>
  <c r="GF20" i="19"/>
  <c r="GE20" i="19"/>
  <c r="GK19" i="19"/>
  <c r="GJ19" i="19"/>
  <c r="GH19" i="19"/>
  <c r="GG19" i="19"/>
  <c r="GF19" i="19"/>
  <c r="GE19" i="19"/>
  <c r="GK13" i="19"/>
  <c r="GJ13" i="19"/>
  <c r="GH13" i="19"/>
  <c r="GG13" i="19"/>
  <c r="GF13" i="19"/>
  <c r="GE13" i="19"/>
  <c r="GK18" i="19"/>
  <c r="GJ18" i="19"/>
  <c r="GH18" i="19"/>
  <c r="GG18" i="19"/>
  <c r="GF18" i="19"/>
  <c r="GL18" i="19" s="1"/>
  <c r="GE18" i="19"/>
  <c r="GK17" i="19"/>
  <c r="GJ17" i="19"/>
  <c r="GH17" i="19"/>
  <c r="GG17" i="19"/>
  <c r="GF17" i="19"/>
  <c r="GE17" i="19"/>
  <c r="GK16" i="19"/>
  <c r="GJ16" i="19"/>
  <c r="GH16" i="19"/>
  <c r="GG16" i="19"/>
  <c r="GF16" i="19"/>
  <c r="GE16" i="19"/>
  <c r="GK15" i="19"/>
  <c r="GJ15" i="19"/>
  <c r="GH15" i="19"/>
  <c r="GG15" i="19"/>
  <c r="GF15" i="19"/>
  <c r="GE15" i="19"/>
  <c r="GK14" i="19"/>
  <c r="GJ14" i="19"/>
  <c r="GH14" i="19"/>
  <c r="GG14" i="19"/>
  <c r="GF14" i="19"/>
  <c r="GL14" i="19" s="1"/>
  <c r="GE14" i="19"/>
  <c r="GK12" i="19"/>
  <c r="GJ12" i="19"/>
  <c r="GH12" i="19"/>
  <c r="GG12" i="19"/>
  <c r="GF12" i="19"/>
  <c r="GL12" i="19" s="1"/>
  <c r="GE12" i="19"/>
  <c r="GK11" i="19"/>
  <c r="GJ11" i="19"/>
  <c r="GH11" i="19"/>
  <c r="GG11" i="19"/>
  <c r="GF11" i="19"/>
  <c r="GE11" i="19"/>
  <c r="GK10" i="19"/>
  <c r="GJ10" i="19"/>
  <c r="GH10" i="19"/>
  <c r="GG10" i="19"/>
  <c r="GF10" i="19"/>
  <c r="GE10" i="19"/>
  <c r="GK9" i="19"/>
  <c r="GJ9" i="19"/>
  <c r="GH9" i="19"/>
  <c r="GG9" i="19"/>
  <c r="GF9" i="19"/>
  <c r="GL9" i="19" s="1"/>
  <c r="GE9" i="19"/>
  <c r="GK8" i="19"/>
  <c r="GJ8" i="19"/>
  <c r="GH8" i="19"/>
  <c r="GG8" i="19"/>
  <c r="GF8" i="19"/>
  <c r="GL8" i="19" s="1"/>
  <c r="GE8" i="19"/>
  <c r="GK7" i="19"/>
  <c r="GJ7" i="19"/>
  <c r="GH7" i="19"/>
  <c r="GG7" i="19"/>
  <c r="GF7" i="19"/>
  <c r="GE7" i="19"/>
  <c r="GK6" i="19"/>
  <c r="GJ6" i="19"/>
  <c r="GH6" i="19"/>
  <c r="GG6" i="19"/>
  <c r="GF6" i="19"/>
  <c r="GE6" i="19"/>
  <c r="GK5" i="19"/>
  <c r="GJ5" i="19"/>
  <c r="GH5" i="19"/>
  <c r="GG5" i="19"/>
  <c r="GF5" i="19"/>
  <c r="GL5" i="19" s="1"/>
  <c r="GE5" i="19"/>
  <c r="GK4" i="19"/>
  <c r="GJ4" i="19"/>
  <c r="GH4" i="19"/>
  <c r="GG4" i="19"/>
  <c r="GF4" i="19"/>
  <c r="GL4" i="19" s="1"/>
  <c r="GE4" i="19"/>
  <c r="FI27" i="19"/>
  <c r="FH27" i="19"/>
  <c r="FF27" i="19"/>
  <c r="FE27" i="19"/>
  <c r="FD27" i="19"/>
  <c r="FC27" i="19"/>
  <c r="FI26" i="19"/>
  <c r="FH26" i="19"/>
  <c r="FF26" i="19"/>
  <c r="FE26" i="19"/>
  <c r="FD26" i="19"/>
  <c r="FC26" i="19"/>
  <c r="FI25" i="19"/>
  <c r="FH25" i="19"/>
  <c r="FF25" i="19"/>
  <c r="FE25" i="19"/>
  <c r="FD25" i="19"/>
  <c r="FJ25" i="19" s="1"/>
  <c r="FC25" i="19"/>
  <c r="FI24" i="19"/>
  <c r="FH24" i="19"/>
  <c r="FF24" i="19"/>
  <c r="FE24" i="19"/>
  <c r="FD24" i="19"/>
  <c r="FJ24" i="19" s="1"/>
  <c r="FC24" i="19"/>
  <c r="FI23" i="19"/>
  <c r="FH23" i="19"/>
  <c r="FF23" i="19"/>
  <c r="FE23" i="19"/>
  <c r="FD23" i="19"/>
  <c r="FC23" i="19"/>
  <c r="FI22" i="19"/>
  <c r="FH22" i="19"/>
  <c r="FF22" i="19"/>
  <c r="FE22" i="19"/>
  <c r="FD22" i="19"/>
  <c r="FC22" i="19"/>
  <c r="FI21" i="19"/>
  <c r="FH21" i="19"/>
  <c r="FF21" i="19"/>
  <c r="FE21" i="19"/>
  <c r="FD21" i="19"/>
  <c r="FJ21" i="19" s="1"/>
  <c r="FC21" i="19"/>
  <c r="FI20" i="19"/>
  <c r="FH20" i="19"/>
  <c r="FF20" i="19"/>
  <c r="FE20" i="19"/>
  <c r="FD20" i="19"/>
  <c r="FJ20" i="19" s="1"/>
  <c r="FC20" i="19"/>
  <c r="FI19" i="19"/>
  <c r="FH19" i="19"/>
  <c r="FF19" i="19"/>
  <c r="FE19" i="19"/>
  <c r="FD19" i="19"/>
  <c r="FC19" i="19"/>
  <c r="FI13" i="19"/>
  <c r="FH13" i="19"/>
  <c r="FF13" i="19"/>
  <c r="FE13" i="19"/>
  <c r="FD13" i="19"/>
  <c r="FC13" i="19"/>
  <c r="FI18" i="19"/>
  <c r="FH18" i="19"/>
  <c r="FF18" i="19"/>
  <c r="FE18" i="19"/>
  <c r="FD18" i="19"/>
  <c r="FJ18" i="19" s="1"/>
  <c r="FC18" i="19"/>
  <c r="FI17" i="19"/>
  <c r="FH17" i="19"/>
  <c r="FF17" i="19"/>
  <c r="FE17" i="19"/>
  <c r="FD17" i="19"/>
  <c r="FJ17" i="19" s="1"/>
  <c r="FC17" i="19"/>
  <c r="FI16" i="19"/>
  <c r="FH16" i="19"/>
  <c r="FF16" i="19"/>
  <c r="FE16" i="19"/>
  <c r="FD16" i="19"/>
  <c r="FC16" i="19"/>
  <c r="FI15" i="19"/>
  <c r="FH15" i="19"/>
  <c r="FF15" i="19"/>
  <c r="FE15" i="19"/>
  <c r="FD15" i="19"/>
  <c r="FC15" i="19"/>
  <c r="FI14" i="19"/>
  <c r="FH14" i="19"/>
  <c r="FF14" i="19"/>
  <c r="FE14" i="19"/>
  <c r="FD14" i="19"/>
  <c r="FJ14" i="19" s="1"/>
  <c r="FC14" i="19"/>
  <c r="FI12" i="19"/>
  <c r="FH12" i="19"/>
  <c r="FF12" i="19"/>
  <c r="FE12" i="19"/>
  <c r="FD12" i="19"/>
  <c r="FJ12" i="19" s="1"/>
  <c r="FC12" i="19"/>
  <c r="FI11" i="19"/>
  <c r="FH11" i="19"/>
  <c r="FF11" i="19"/>
  <c r="FE11" i="19"/>
  <c r="FD11" i="19"/>
  <c r="FC11" i="19"/>
  <c r="FI10" i="19"/>
  <c r="FH10" i="19"/>
  <c r="FF10" i="19"/>
  <c r="FE10" i="19"/>
  <c r="FD10" i="19"/>
  <c r="FC10" i="19"/>
  <c r="FI9" i="19"/>
  <c r="FH9" i="19"/>
  <c r="FF9" i="19"/>
  <c r="FE9" i="19"/>
  <c r="FD9" i="19"/>
  <c r="FJ9" i="19" s="1"/>
  <c r="FC9" i="19"/>
  <c r="FI8" i="19"/>
  <c r="FH8" i="19"/>
  <c r="FF8" i="19"/>
  <c r="FE8" i="19"/>
  <c r="FD8" i="19"/>
  <c r="FJ8" i="19" s="1"/>
  <c r="FC8" i="19"/>
  <c r="FI7" i="19"/>
  <c r="FH7" i="19"/>
  <c r="FF7" i="19"/>
  <c r="FE7" i="19"/>
  <c r="FD7" i="19"/>
  <c r="FC7" i="19"/>
  <c r="FI6" i="19"/>
  <c r="FH6" i="19"/>
  <c r="FF6" i="19"/>
  <c r="FE6" i="19"/>
  <c r="FD6" i="19"/>
  <c r="FC6" i="19"/>
  <c r="FI5" i="19"/>
  <c r="FH5" i="19"/>
  <c r="FF5" i="19"/>
  <c r="FE5" i="19"/>
  <c r="FD5" i="19"/>
  <c r="FJ5" i="19" s="1"/>
  <c r="FC5" i="19"/>
  <c r="FI4" i="19"/>
  <c r="FH4" i="19"/>
  <c r="FF4" i="19"/>
  <c r="FE4" i="19"/>
  <c r="FD4" i="19"/>
  <c r="FJ4" i="19" s="1"/>
  <c r="FC4" i="19"/>
  <c r="EG27" i="19"/>
  <c r="EF27" i="19"/>
  <c r="ED27" i="19"/>
  <c r="EC27" i="19"/>
  <c r="EB27" i="19"/>
  <c r="EA27" i="19"/>
  <c r="EG26" i="19"/>
  <c r="EF26" i="19"/>
  <c r="ED26" i="19"/>
  <c r="EC26" i="19"/>
  <c r="EB26" i="19"/>
  <c r="EA26" i="19"/>
  <c r="EG25" i="19"/>
  <c r="EF25" i="19"/>
  <c r="ED25" i="19"/>
  <c r="EC25" i="19"/>
  <c r="EB25" i="19"/>
  <c r="EH25" i="19" s="1"/>
  <c r="EA25" i="19"/>
  <c r="EG24" i="19"/>
  <c r="EF24" i="19"/>
  <c r="ED24" i="19"/>
  <c r="EC24" i="19"/>
  <c r="EB24" i="19"/>
  <c r="EH24" i="19" s="1"/>
  <c r="EA24" i="19"/>
  <c r="EG23" i="19"/>
  <c r="EF23" i="19"/>
  <c r="ED23" i="19"/>
  <c r="EC23" i="19"/>
  <c r="EB23" i="19"/>
  <c r="EA23" i="19"/>
  <c r="EG22" i="19"/>
  <c r="EF22" i="19"/>
  <c r="ED22" i="19"/>
  <c r="EC22" i="19"/>
  <c r="EB22" i="19"/>
  <c r="EA22" i="19"/>
  <c r="EG21" i="19"/>
  <c r="EF21" i="19"/>
  <c r="ED21" i="19"/>
  <c r="EC21" i="19"/>
  <c r="EB21" i="19"/>
  <c r="EH21" i="19" s="1"/>
  <c r="EA21" i="19"/>
  <c r="EG20" i="19"/>
  <c r="EF20" i="19"/>
  <c r="ED20" i="19"/>
  <c r="EC20" i="19"/>
  <c r="EB20" i="19"/>
  <c r="EH20" i="19" s="1"/>
  <c r="EA20" i="19"/>
  <c r="EG19" i="19"/>
  <c r="EF19" i="19"/>
  <c r="ED19" i="19"/>
  <c r="EC19" i="19"/>
  <c r="EB19" i="19"/>
  <c r="EA19" i="19"/>
  <c r="EG13" i="19"/>
  <c r="EF13" i="19"/>
  <c r="ED13" i="19"/>
  <c r="EC13" i="19"/>
  <c r="EB13" i="19"/>
  <c r="EA13" i="19"/>
  <c r="EG18" i="19"/>
  <c r="EF18" i="19"/>
  <c r="ED18" i="19"/>
  <c r="EC18" i="19"/>
  <c r="EB18" i="19"/>
  <c r="EH18" i="19" s="1"/>
  <c r="EA18" i="19"/>
  <c r="EG17" i="19"/>
  <c r="EF17" i="19"/>
  <c r="ED17" i="19"/>
  <c r="EC17" i="19"/>
  <c r="EB17" i="19"/>
  <c r="EH17" i="19" s="1"/>
  <c r="EA17" i="19"/>
  <c r="EG16" i="19"/>
  <c r="EF16" i="19"/>
  <c r="ED16" i="19"/>
  <c r="EC16" i="19"/>
  <c r="EB16" i="19"/>
  <c r="EA16" i="19"/>
  <c r="EG15" i="19"/>
  <c r="EF15" i="19"/>
  <c r="ED15" i="19"/>
  <c r="EC15" i="19"/>
  <c r="EB15" i="19"/>
  <c r="EA15" i="19"/>
  <c r="EG14" i="19"/>
  <c r="EF14" i="19"/>
  <c r="ED14" i="19"/>
  <c r="EC14" i="19"/>
  <c r="EB14" i="19"/>
  <c r="EH14" i="19" s="1"/>
  <c r="EA14" i="19"/>
  <c r="EG12" i="19"/>
  <c r="EF12" i="19"/>
  <c r="ED12" i="19"/>
  <c r="EC12" i="19"/>
  <c r="EB12" i="19"/>
  <c r="EH12" i="19" s="1"/>
  <c r="EA12" i="19"/>
  <c r="EG11" i="19"/>
  <c r="EF11" i="19"/>
  <c r="ED11" i="19"/>
  <c r="EC11" i="19"/>
  <c r="EB11" i="19"/>
  <c r="EA11" i="19"/>
  <c r="EG10" i="19"/>
  <c r="EF10" i="19"/>
  <c r="ED10" i="19"/>
  <c r="EC10" i="19"/>
  <c r="EB10" i="19"/>
  <c r="EA10" i="19"/>
  <c r="EG9" i="19"/>
  <c r="EF9" i="19"/>
  <c r="ED9" i="19"/>
  <c r="EC9" i="19"/>
  <c r="EB9" i="19"/>
  <c r="EH9" i="19" s="1"/>
  <c r="EA9" i="19"/>
  <c r="EG8" i="19"/>
  <c r="EF8" i="19"/>
  <c r="ED8" i="19"/>
  <c r="EC8" i="19"/>
  <c r="EB8" i="19"/>
  <c r="EH8" i="19" s="1"/>
  <c r="EA8" i="19"/>
  <c r="EG7" i="19"/>
  <c r="EF7" i="19"/>
  <c r="ED7" i="19"/>
  <c r="EC7" i="19"/>
  <c r="EB7" i="19"/>
  <c r="EA7" i="19"/>
  <c r="EG6" i="19"/>
  <c r="EF6" i="19"/>
  <c r="ED6" i="19"/>
  <c r="EC6" i="19"/>
  <c r="EB6" i="19"/>
  <c r="EA6" i="19"/>
  <c r="EG5" i="19"/>
  <c r="EF5" i="19"/>
  <c r="ED5" i="19"/>
  <c r="EC5" i="19"/>
  <c r="EB5" i="19"/>
  <c r="EH5" i="19" s="1"/>
  <c r="EA5" i="19"/>
  <c r="EG4" i="19"/>
  <c r="EF4" i="19"/>
  <c r="ED4" i="19"/>
  <c r="EC4" i="19"/>
  <c r="EB4" i="19"/>
  <c r="EH4" i="19" s="1"/>
  <c r="EA4" i="19"/>
  <c r="PA13" i="27"/>
  <c r="OZ13" i="27"/>
  <c r="OX13" i="27"/>
  <c r="OW13" i="27"/>
  <c r="OV13" i="27"/>
  <c r="OU13" i="27"/>
  <c r="PA12" i="27"/>
  <c r="OZ12" i="27"/>
  <c r="OX12" i="27"/>
  <c r="OW12" i="27"/>
  <c r="OV12" i="27"/>
  <c r="PB12" i="27" s="1"/>
  <c r="OU12" i="27"/>
  <c r="PA11" i="27"/>
  <c r="OZ11" i="27"/>
  <c r="OX11" i="27"/>
  <c r="OW11" i="27"/>
  <c r="OV11" i="27"/>
  <c r="PB11" i="27" s="1"/>
  <c r="OU11" i="27"/>
  <c r="PA8" i="27"/>
  <c r="OZ8" i="27"/>
  <c r="OX8" i="27"/>
  <c r="OW8" i="27"/>
  <c r="OV8" i="27"/>
  <c r="OU8" i="27"/>
  <c r="PA10" i="27"/>
  <c r="OZ10" i="27"/>
  <c r="OX10" i="27"/>
  <c r="OW10" i="27"/>
  <c r="OV10" i="27"/>
  <c r="OU10" i="27"/>
  <c r="PA9" i="27"/>
  <c r="OZ9" i="27"/>
  <c r="OX9" i="27"/>
  <c r="OW9" i="27"/>
  <c r="OV9" i="27"/>
  <c r="PB9" i="27" s="1"/>
  <c r="OU9" i="27"/>
  <c r="PA7" i="27"/>
  <c r="OZ7" i="27"/>
  <c r="OX7" i="27"/>
  <c r="OW7" i="27"/>
  <c r="OV7" i="27"/>
  <c r="PB7" i="27" s="1"/>
  <c r="OU7" i="27"/>
  <c r="PA6" i="27"/>
  <c r="OZ6" i="27"/>
  <c r="OX6" i="27"/>
  <c r="OW6" i="27"/>
  <c r="OV6" i="27"/>
  <c r="OU6" i="27"/>
  <c r="PA5" i="27"/>
  <c r="OZ5" i="27"/>
  <c r="OX5" i="27"/>
  <c r="OW5" i="27"/>
  <c r="OV5" i="27"/>
  <c r="OU5" i="27"/>
  <c r="PA4" i="27"/>
  <c r="OZ4" i="27"/>
  <c r="OX4" i="27"/>
  <c r="OW4" i="27"/>
  <c r="OV4" i="27"/>
  <c r="PB4" i="27" s="1"/>
  <c r="OU4" i="27"/>
  <c r="NY13" i="27"/>
  <c r="NX13" i="27"/>
  <c r="NV13" i="27"/>
  <c r="NU13" i="27"/>
  <c r="NT13" i="27"/>
  <c r="NZ13" i="27" s="1"/>
  <c r="NS13" i="27"/>
  <c r="NY12" i="27"/>
  <c r="NX12" i="27"/>
  <c r="NV12" i="27"/>
  <c r="NU12" i="27"/>
  <c r="NT12" i="27"/>
  <c r="NS12" i="27"/>
  <c r="NY11" i="27"/>
  <c r="NX11" i="27"/>
  <c r="NV11" i="27"/>
  <c r="NU11" i="27"/>
  <c r="NT11" i="27"/>
  <c r="NS11" i="27"/>
  <c r="NY8" i="27"/>
  <c r="NX8" i="27"/>
  <c r="NV8" i="27"/>
  <c r="NU8" i="27"/>
  <c r="NT8" i="27"/>
  <c r="NZ8" i="27" s="1"/>
  <c r="NS8" i="27"/>
  <c r="NY10" i="27"/>
  <c r="NX10" i="27"/>
  <c r="NV10" i="27"/>
  <c r="NU10" i="27"/>
  <c r="NT10" i="27"/>
  <c r="NZ10" i="27" s="1"/>
  <c r="NS10" i="27"/>
  <c r="NY9" i="27"/>
  <c r="NX9" i="27"/>
  <c r="NV9" i="27"/>
  <c r="NU9" i="27"/>
  <c r="NT9" i="27"/>
  <c r="NS9" i="27"/>
  <c r="NY7" i="27"/>
  <c r="NX7" i="27"/>
  <c r="NV7" i="27"/>
  <c r="NU7" i="27"/>
  <c r="NT7" i="27"/>
  <c r="NS7" i="27"/>
  <c r="NY6" i="27"/>
  <c r="NX6" i="27"/>
  <c r="NV6" i="27"/>
  <c r="NU6" i="27"/>
  <c r="NT6" i="27"/>
  <c r="NZ6" i="27" s="1"/>
  <c r="NS6" i="27"/>
  <c r="NY5" i="27"/>
  <c r="NX5" i="27"/>
  <c r="NV5" i="27"/>
  <c r="NU5" i="27"/>
  <c r="NT5" i="27"/>
  <c r="NZ5" i="27" s="1"/>
  <c r="NS5" i="27"/>
  <c r="NY4" i="27"/>
  <c r="NX4" i="27"/>
  <c r="NV4" i="27"/>
  <c r="NU4" i="27"/>
  <c r="NT4" i="27"/>
  <c r="NS4" i="27"/>
  <c r="MW13" i="27"/>
  <c r="MV13" i="27"/>
  <c r="MT13" i="27"/>
  <c r="MS13" i="27"/>
  <c r="MR13" i="27"/>
  <c r="MQ13" i="27"/>
  <c r="MW12" i="27"/>
  <c r="MV12" i="27"/>
  <c r="MT12" i="27"/>
  <c r="MS12" i="27"/>
  <c r="MR12" i="27"/>
  <c r="MX12" i="27" s="1"/>
  <c r="MQ12" i="27"/>
  <c r="MW11" i="27"/>
  <c r="MV11" i="27"/>
  <c r="MT11" i="27"/>
  <c r="MS11" i="27"/>
  <c r="MR11" i="27"/>
  <c r="MX11" i="27" s="1"/>
  <c r="MQ11" i="27"/>
  <c r="MW8" i="27"/>
  <c r="MV8" i="27"/>
  <c r="MT8" i="27"/>
  <c r="MS8" i="27"/>
  <c r="MR8" i="27"/>
  <c r="MQ8" i="27"/>
  <c r="MW10" i="27"/>
  <c r="MV10" i="27"/>
  <c r="MT10" i="27"/>
  <c r="MS10" i="27"/>
  <c r="MR10" i="27"/>
  <c r="MQ10" i="27"/>
  <c r="MW9" i="27"/>
  <c r="MV9" i="27"/>
  <c r="MT9" i="27"/>
  <c r="MS9" i="27"/>
  <c r="MR9" i="27"/>
  <c r="MX9" i="27" s="1"/>
  <c r="MQ9" i="27"/>
  <c r="MW7" i="27"/>
  <c r="MV7" i="27"/>
  <c r="MT7" i="27"/>
  <c r="MS7" i="27"/>
  <c r="MR7" i="27"/>
  <c r="MX7" i="27" s="1"/>
  <c r="MQ7" i="27"/>
  <c r="MW6" i="27"/>
  <c r="MV6" i="27"/>
  <c r="MT6" i="27"/>
  <c r="MS6" i="27"/>
  <c r="MR6" i="27"/>
  <c r="MQ6" i="27"/>
  <c r="MW5" i="27"/>
  <c r="MV5" i="27"/>
  <c r="MT5" i="27"/>
  <c r="MS5" i="27"/>
  <c r="MR5" i="27"/>
  <c r="MQ5" i="27"/>
  <c r="MW4" i="27"/>
  <c r="MV4" i="27"/>
  <c r="MT4" i="27"/>
  <c r="MS4" i="27"/>
  <c r="MR4" i="27"/>
  <c r="MX4" i="27" s="1"/>
  <c r="MQ4" i="27"/>
  <c r="LU13" i="27"/>
  <c r="LT13" i="27"/>
  <c r="LR13" i="27"/>
  <c r="LQ13" i="27"/>
  <c r="LP13" i="27"/>
  <c r="LV13" i="27" s="1"/>
  <c r="LO13" i="27"/>
  <c r="LU12" i="27"/>
  <c r="LT12" i="27"/>
  <c r="LR12" i="27"/>
  <c r="LQ12" i="27"/>
  <c r="LP12" i="27"/>
  <c r="LO12" i="27"/>
  <c r="LU11" i="27"/>
  <c r="LT11" i="27"/>
  <c r="LR11" i="27"/>
  <c r="LQ11" i="27"/>
  <c r="LP11" i="27"/>
  <c r="LO11" i="27"/>
  <c r="LU8" i="27"/>
  <c r="LT8" i="27"/>
  <c r="LR8" i="27"/>
  <c r="LQ8" i="27"/>
  <c r="LP8" i="27"/>
  <c r="LV8" i="27" s="1"/>
  <c r="LO8" i="27"/>
  <c r="LU10" i="27"/>
  <c r="LT10" i="27"/>
  <c r="LR10" i="27"/>
  <c r="LQ10" i="27"/>
  <c r="LP10" i="27"/>
  <c r="LV10" i="27" s="1"/>
  <c r="LO10" i="27"/>
  <c r="LU9" i="27"/>
  <c r="LT9" i="27"/>
  <c r="LR9" i="27"/>
  <c r="LQ9" i="27"/>
  <c r="LP9" i="27"/>
  <c r="LO9" i="27"/>
  <c r="LU7" i="27"/>
  <c r="LT7" i="27"/>
  <c r="LR7" i="27"/>
  <c r="LQ7" i="27"/>
  <c r="LP7" i="27"/>
  <c r="LO7" i="27"/>
  <c r="LU6" i="27"/>
  <c r="LT6" i="27"/>
  <c r="LR6" i="27"/>
  <c r="LQ6" i="27"/>
  <c r="LP6" i="27"/>
  <c r="LV6" i="27" s="1"/>
  <c r="LO6" i="27"/>
  <c r="LU5" i="27"/>
  <c r="LT5" i="27"/>
  <c r="LR5" i="27"/>
  <c r="LQ5" i="27"/>
  <c r="LP5" i="27"/>
  <c r="LV5" i="27" s="1"/>
  <c r="LO5" i="27"/>
  <c r="LU4" i="27"/>
  <c r="LT4" i="27"/>
  <c r="LR4" i="27"/>
  <c r="LQ4" i="27"/>
  <c r="LP4" i="27"/>
  <c r="LO4" i="27"/>
  <c r="KS13" i="27"/>
  <c r="KR13" i="27"/>
  <c r="KP13" i="27"/>
  <c r="KO13" i="27"/>
  <c r="KN13" i="27"/>
  <c r="KM13" i="27"/>
  <c r="KS12" i="27"/>
  <c r="KR12" i="27"/>
  <c r="KP12" i="27"/>
  <c r="KO12" i="27"/>
  <c r="KN12" i="27"/>
  <c r="KT12" i="27" s="1"/>
  <c r="KM12" i="27"/>
  <c r="KS11" i="27"/>
  <c r="KR11" i="27"/>
  <c r="KP11" i="27"/>
  <c r="KO11" i="27"/>
  <c r="KN11" i="27"/>
  <c r="KT11" i="27" s="1"/>
  <c r="KM11" i="27"/>
  <c r="KS8" i="27"/>
  <c r="KR8" i="27"/>
  <c r="KP8" i="27"/>
  <c r="KO8" i="27"/>
  <c r="KN8" i="27"/>
  <c r="KM8" i="27"/>
  <c r="KS10" i="27"/>
  <c r="KR10" i="27"/>
  <c r="KP10" i="27"/>
  <c r="KO10" i="27"/>
  <c r="KN10" i="27"/>
  <c r="KM10" i="27"/>
  <c r="KS9" i="27"/>
  <c r="KR9" i="27"/>
  <c r="KP9" i="27"/>
  <c r="KO9" i="27"/>
  <c r="KN9" i="27"/>
  <c r="KT9" i="27" s="1"/>
  <c r="KM9" i="27"/>
  <c r="KS7" i="27"/>
  <c r="KR7" i="27"/>
  <c r="KP7" i="27"/>
  <c r="KO7" i="27"/>
  <c r="KN7" i="27"/>
  <c r="KT7" i="27" s="1"/>
  <c r="KM7" i="27"/>
  <c r="KS6" i="27"/>
  <c r="KR6" i="27"/>
  <c r="KP6" i="27"/>
  <c r="KO6" i="27"/>
  <c r="KN6" i="27"/>
  <c r="KM6" i="27"/>
  <c r="KS5" i="27"/>
  <c r="KR5" i="27"/>
  <c r="KP5" i="27"/>
  <c r="KO5" i="27"/>
  <c r="KN5" i="27"/>
  <c r="KM5" i="27"/>
  <c r="KS4" i="27"/>
  <c r="KR4" i="27"/>
  <c r="KP4" i="27"/>
  <c r="KO4" i="27"/>
  <c r="KN4" i="27"/>
  <c r="KT4" i="27" s="1"/>
  <c r="KM4" i="27"/>
  <c r="JQ13" i="27"/>
  <c r="JP13" i="27"/>
  <c r="JN13" i="27"/>
  <c r="JM13" i="27"/>
  <c r="JL13" i="27"/>
  <c r="JR13" i="27" s="1"/>
  <c r="JK13" i="27"/>
  <c r="JQ12" i="27"/>
  <c r="JP12" i="27"/>
  <c r="JN12" i="27"/>
  <c r="JM12" i="27"/>
  <c r="JL12" i="27"/>
  <c r="JK12" i="27"/>
  <c r="JQ11" i="27"/>
  <c r="JP11" i="27"/>
  <c r="JN11" i="27"/>
  <c r="JM11" i="27"/>
  <c r="JL11" i="27"/>
  <c r="JK11" i="27"/>
  <c r="JQ8" i="27"/>
  <c r="JP8" i="27"/>
  <c r="JN8" i="27"/>
  <c r="JM8" i="27"/>
  <c r="JL8" i="27"/>
  <c r="JR8" i="27" s="1"/>
  <c r="JK8" i="27"/>
  <c r="JQ10" i="27"/>
  <c r="JP10" i="27"/>
  <c r="JN10" i="27"/>
  <c r="JM10" i="27"/>
  <c r="JL10" i="27"/>
  <c r="JR10" i="27" s="1"/>
  <c r="JK10" i="27"/>
  <c r="JQ9" i="27"/>
  <c r="JP9" i="27"/>
  <c r="JN9" i="27"/>
  <c r="JM9" i="27"/>
  <c r="JL9" i="27"/>
  <c r="JK9" i="27"/>
  <c r="JQ7" i="27"/>
  <c r="JP7" i="27"/>
  <c r="JN7" i="27"/>
  <c r="JM7" i="27"/>
  <c r="JL7" i="27"/>
  <c r="JK7" i="27"/>
  <c r="JQ6" i="27"/>
  <c r="JP6" i="27"/>
  <c r="JN6" i="27"/>
  <c r="JM6" i="27"/>
  <c r="JL6" i="27"/>
  <c r="JR6" i="27" s="1"/>
  <c r="JK6" i="27"/>
  <c r="JQ5" i="27"/>
  <c r="JP5" i="27"/>
  <c r="JN5" i="27"/>
  <c r="JM5" i="27"/>
  <c r="JL5" i="27"/>
  <c r="JR5" i="27" s="1"/>
  <c r="JK5" i="27"/>
  <c r="JQ4" i="27"/>
  <c r="JP4" i="27"/>
  <c r="JN4" i="27"/>
  <c r="JM4" i="27"/>
  <c r="JL4" i="27"/>
  <c r="JK4" i="27"/>
  <c r="IO13" i="27"/>
  <c r="IN13" i="27"/>
  <c r="IL13" i="27"/>
  <c r="IK13" i="27"/>
  <c r="IJ13" i="27"/>
  <c r="II13" i="27"/>
  <c r="IO12" i="27"/>
  <c r="IN12" i="27"/>
  <c r="IL12" i="27"/>
  <c r="IK12" i="27"/>
  <c r="IJ12" i="27"/>
  <c r="IP12" i="27" s="1"/>
  <c r="II12" i="27"/>
  <c r="IO11" i="27"/>
  <c r="IN11" i="27"/>
  <c r="IL11" i="27"/>
  <c r="IK11" i="27"/>
  <c r="IJ11" i="27"/>
  <c r="IP11" i="27" s="1"/>
  <c r="II11" i="27"/>
  <c r="IO8" i="27"/>
  <c r="IN8" i="27"/>
  <c r="IL8" i="27"/>
  <c r="IK8" i="27"/>
  <c r="IJ8" i="27"/>
  <c r="II8" i="27"/>
  <c r="IO10" i="27"/>
  <c r="IN10" i="27"/>
  <c r="IL10" i="27"/>
  <c r="IK10" i="27"/>
  <c r="IJ10" i="27"/>
  <c r="II10" i="27"/>
  <c r="IO9" i="27"/>
  <c r="IN9" i="27"/>
  <c r="IL9" i="27"/>
  <c r="IK9" i="27"/>
  <c r="IJ9" i="27"/>
  <c r="IP9" i="27" s="1"/>
  <c r="II9" i="27"/>
  <c r="IO7" i="27"/>
  <c r="IN7" i="27"/>
  <c r="IL7" i="27"/>
  <c r="IK7" i="27"/>
  <c r="IJ7" i="27"/>
  <c r="IP7" i="27" s="1"/>
  <c r="II7" i="27"/>
  <c r="IO6" i="27"/>
  <c r="IN6" i="27"/>
  <c r="IL6" i="27"/>
  <c r="IK6" i="27"/>
  <c r="IJ6" i="27"/>
  <c r="II6" i="27"/>
  <c r="IO5" i="27"/>
  <c r="IN5" i="27"/>
  <c r="IL5" i="27"/>
  <c r="IK5" i="27"/>
  <c r="IJ5" i="27"/>
  <c r="II5" i="27"/>
  <c r="IO4" i="27"/>
  <c r="IN4" i="27"/>
  <c r="IL4" i="27"/>
  <c r="IK4" i="27"/>
  <c r="IJ4" i="27"/>
  <c r="IP4" i="27" s="1"/>
  <c r="II4" i="27"/>
  <c r="HM13" i="27"/>
  <c r="HL13" i="27"/>
  <c r="HJ13" i="27"/>
  <c r="HI13" i="27"/>
  <c r="HH13" i="27"/>
  <c r="HN13" i="27" s="1"/>
  <c r="HG13" i="27"/>
  <c r="HM12" i="27"/>
  <c r="HL12" i="27"/>
  <c r="HJ12" i="27"/>
  <c r="HI12" i="27"/>
  <c r="HH12" i="27"/>
  <c r="HG12" i="27"/>
  <c r="HM11" i="27"/>
  <c r="HL11" i="27"/>
  <c r="HJ11" i="27"/>
  <c r="HI11" i="27"/>
  <c r="HH11" i="27"/>
  <c r="HG11" i="27"/>
  <c r="HM8" i="27"/>
  <c r="HL8" i="27"/>
  <c r="HJ8" i="27"/>
  <c r="HI8" i="27"/>
  <c r="HH8" i="27"/>
  <c r="HN8" i="27" s="1"/>
  <c r="HG8" i="27"/>
  <c r="HM10" i="27"/>
  <c r="HL10" i="27"/>
  <c r="HJ10" i="27"/>
  <c r="HI10" i="27"/>
  <c r="HH10" i="27"/>
  <c r="HN10" i="27" s="1"/>
  <c r="HG10" i="27"/>
  <c r="HM9" i="27"/>
  <c r="HL9" i="27"/>
  <c r="HJ9" i="27"/>
  <c r="HI9" i="27"/>
  <c r="HH9" i="27"/>
  <c r="HG9" i="27"/>
  <c r="HM7" i="27"/>
  <c r="HL7" i="27"/>
  <c r="HJ7" i="27"/>
  <c r="HI7" i="27"/>
  <c r="HH7" i="27"/>
  <c r="HG7" i="27"/>
  <c r="HM6" i="27"/>
  <c r="HL6" i="27"/>
  <c r="HJ6" i="27"/>
  <c r="HI6" i="27"/>
  <c r="HH6" i="27"/>
  <c r="HN6" i="27" s="1"/>
  <c r="HG6" i="27"/>
  <c r="HM5" i="27"/>
  <c r="HL5" i="27"/>
  <c r="HJ5" i="27"/>
  <c r="HI5" i="27"/>
  <c r="HH5" i="27"/>
  <c r="HN5" i="27" s="1"/>
  <c r="HG5" i="27"/>
  <c r="HM4" i="27"/>
  <c r="HL4" i="27"/>
  <c r="HJ4" i="27"/>
  <c r="HI4" i="27"/>
  <c r="HH4" i="27"/>
  <c r="HG4" i="27"/>
  <c r="GK13" i="27"/>
  <c r="GJ13" i="27"/>
  <c r="GH13" i="27"/>
  <c r="GG13" i="27"/>
  <c r="GF13" i="27"/>
  <c r="GE13" i="27"/>
  <c r="GK12" i="27"/>
  <c r="GJ12" i="27"/>
  <c r="GH12" i="27"/>
  <c r="GG12" i="27"/>
  <c r="GF12" i="27"/>
  <c r="GL12" i="27" s="1"/>
  <c r="GE12" i="27"/>
  <c r="GK11" i="27"/>
  <c r="GJ11" i="27"/>
  <c r="GH11" i="27"/>
  <c r="GG11" i="27"/>
  <c r="GF11" i="27"/>
  <c r="GL11" i="27" s="1"/>
  <c r="GE11" i="27"/>
  <c r="GK8" i="27"/>
  <c r="GJ8" i="27"/>
  <c r="GH8" i="27"/>
  <c r="GG8" i="27"/>
  <c r="GF8" i="27"/>
  <c r="GE8" i="27"/>
  <c r="GK10" i="27"/>
  <c r="GJ10" i="27"/>
  <c r="GH10" i="27"/>
  <c r="GG10" i="27"/>
  <c r="GF10" i="27"/>
  <c r="GE10" i="27"/>
  <c r="GK9" i="27"/>
  <c r="GJ9" i="27"/>
  <c r="GH9" i="27"/>
  <c r="GG9" i="27"/>
  <c r="GF9" i="27"/>
  <c r="GL9" i="27" s="1"/>
  <c r="GE9" i="27"/>
  <c r="GK7" i="27"/>
  <c r="GJ7" i="27"/>
  <c r="GH7" i="27"/>
  <c r="GG7" i="27"/>
  <c r="GF7" i="27"/>
  <c r="GL7" i="27" s="1"/>
  <c r="GE7" i="27"/>
  <c r="GK6" i="27"/>
  <c r="GJ6" i="27"/>
  <c r="GH6" i="27"/>
  <c r="GG6" i="27"/>
  <c r="GF6" i="27"/>
  <c r="GE6" i="27"/>
  <c r="GK5" i="27"/>
  <c r="GJ5" i="27"/>
  <c r="GH5" i="27"/>
  <c r="GG5" i="27"/>
  <c r="GF5" i="27"/>
  <c r="GE5" i="27"/>
  <c r="GK4" i="27"/>
  <c r="GJ4" i="27"/>
  <c r="GH4" i="27"/>
  <c r="GG4" i="27"/>
  <c r="GF4" i="27"/>
  <c r="GL4" i="27" s="1"/>
  <c r="GE4" i="27"/>
  <c r="FI13" i="27"/>
  <c r="FH13" i="27"/>
  <c r="FF13" i="27"/>
  <c r="FE13" i="27"/>
  <c r="FD13" i="27"/>
  <c r="FJ13" i="27" s="1"/>
  <c r="FC13" i="27"/>
  <c r="FI12" i="27"/>
  <c r="FH12" i="27"/>
  <c r="FF12" i="27"/>
  <c r="FE12" i="27"/>
  <c r="FD12" i="27"/>
  <c r="FC12" i="27"/>
  <c r="FI11" i="27"/>
  <c r="FH11" i="27"/>
  <c r="FF11" i="27"/>
  <c r="FE11" i="27"/>
  <c r="FD11" i="27"/>
  <c r="FC11" i="27"/>
  <c r="FI8" i="27"/>
  <c r="FH8" i="27"/>
  <c r="FF8" i="27"/>
  <c r="FE8" i="27"/>
  <c r="FD8" i="27"/>
  <c r="FJ8" i="27" s="1"/>
  <c r="FC8" i="27"/>
  <c r="FI10" i="27"/>
  <c r="FH10" i="27"/>
  <c r="FF10" i="27"/>
  <c r="FE10" i="27"/>
  <c r="FD10" i="27"/>
  <c r="FJ10" i="27" s="1"/>
  <c r="FC10" i="27"/>
  <c r="FI9" i="27"/>
  <c r="FH9" i="27"/>
  <c r="FF9" i="27"/>
  <c r="FE9" i="27"/>
  <c r="FD9" i="27"/>
  <c r="FC9" i="27"/>
  <c r="FI7" i="27"/>
  <c r="FH7" i="27"/>
  <c r="FF7" i="27"/>
  <c r="FE7" i="27"/>
  <c r="FD7" i="27"/>
  <c r="FC7" i="27"/>
  <c r="FI6" i="27"/>
  <c r="FH6" i="27"/>
  <c r="FF6" i="27"/>
  <c r="FE6" i="27"/>
  <c r="FD6" i="27"/>
  <c r="FC6" i="27"/>
  <c r="FI5" i="27"/>
  <c r="FH5" i="27"/>
  <c r="FF5" i="27"/>
  <c r="FE5" i="27"/>
  <c r="FD5" i="27"/>
  <c r="FC5" i="27"/>
  <c r="FI4" i="27"/>
  <c r="FH4" i="27"/>
  <c r="FF4" i="27"/>
  <c r="FE4" i="27"/>
  <c r="FD4" i="27"/>
  <c r="FC4" i="27"/>
  <c r="EG13" i="27"/>
  <c r="EF13" i="27"/>
  <c r="ED13" i="27"/>
  <c r="EC13" i="27"/>
  <c r="EB13" i="27"/>
  <c r="EA13" i="27"/>
  <c r="EG12" i="27"/>
  <c r="EF12" i="27"/>
  <c r="ED12" i="27"/>
  <c r="EC12" i="27"/>
  <c r="EB12" i="27"/>
  <c r="EA12" i="27"/>
  <c r="EG11" i="27"/>
  <c r="EF11" i="27"/>
  <c r="ED11" i="27"/>
  <c r="EC11" i="27"/>
  <c r="EB11" i="27"/>
  <c r="EA11" i="27"/>
  <c r="EG8" i="27"/>
  <c r="EF8" i="27"/>
  <c r="ED8" i="27"/>
  <c r="EC8" i="27"/>
  <c r="EB8" i="27"/>
  <c r="EA8" i="27"/>
  <c r="EG10" i="27"/>
  <c r="EF10" i="27"/>
  <c r="ED10" i="27"/>
  <c r="EC10" i="27"/>
  <c r="EB10" i="27"/>
  <c r="EA10" i="27"/>
  <c r="EG9" i="27"/>
  <c r="EF9" i="27"/>
  <c r="ED9" i="27"/>
  <c r="EC9" i="27"/>
  <c r="EB9" i="27"/>
  <c r="EA9" i="27"/>
  <c r="EG7" i="27"/>
  <c r="EF7" i="27"/>
  <c r="ED7" i="27"/>
  <c r="EC7" i="27"/>
  <c r="EB7" i="27"/>
  <c r="EA7" i="27"/>
  <c r="EG6" i="27"/>
  <c r="EF6" i="27"/>
  <c r="ED6" i="27"/>
  <c r="EC6" i="27"/>
  <c r="EB6" i="27"/>
  <c r="EA6" i="27"/>
  <c r="EG5" i="27"/>
  <c r="EF5" i="27"/>
  <c r="ED5" i="27"/>
  <c r="EC5" i="27"/>
  <c r="EB5" i="27"/>
  <c r="EA5" i="27"/>
  <c r="EG4" i="27"/>
  <c r="EF4" i="27"/>
  <c r="ED4" i="27"/>
  <c r="EC4" i="27"/>
  <c r="EB4" i="27"/>
  <c r="EA4" i="27"/>
  <c r="PA11" i="26"/>
  <c r="OZ11" i="26"/>
  <c r="OX11" i="26"/>
  <c r="OW11" i="26"/>
  <c r="OV11" i="26"/>
  <c r="PB11" i="26" s="1"/>
  <c r="OU11" i="26"/>
  <c r="PA10" i="26"/>
  <c r="OZ10" i="26"/>
  <c r="OX10" i="26"/>
  <c r="OW10" i="26"/>
  <c r="OV10" i="26"/>
  <c r="OU10" i="26"/>
  <c r="PA7" i="26"/>
  <c r="OZ7" i="26"/>
  <c r="OX7" i="26"/>
  <c r="OW7" i="26"/>
  <c r="OV7" i="26"/>
  <c r="OU7" i="26"/>
  <c r="PA9" i="26"/>
  <c r="OZ9" i="26"/>
  <c r="OX9" i="26"/>
  <c r="OW9" i="26"/>
  <c r="OV9" i="26"/>
  <c r="OU9" i="26"/>
  <c r="PA8" i="26"/>
  <c r="OZ8" i="26"/>
  <c r="OX8" i="26"/>
  <c r="OW8" i="26"/>
  <c r="OV8" i="26"/>
  <c r="PB8" i="26" s="1"/>
  <c r="OU8" i="26"/>
  <c r="PA6" i="26"/>
  <c r="OZ6" i="26"/>
  <c r="OX6" i="26"/>
  <c r="OW6" i="26"/>
  <c r="OV6" i="26"/>
  <c r="PB6" i="26" s="1"/>
  <c r="OU6" i="26"/>
  <c r="PA5" i="26"/>
  <c r="OZ5" i="26"/>
  <c r="OX5" i="26"/>
  <c r="OW5" i="26"/>
  <c r="OV5" i="26"/>
  <c r="PB5" i="26" s="1"/>
  <c r="OU5" i="26"/>
  <c r="PA4" i="26"/>
  <c r="OZ4" i="26"/>
  <c r="OX4" i="26"/>
  <c r="OW4" i="26"/>
  <c r="OV4" i="26"/>
  <c r="OU4" i="26"/>
  <c r="NY11" i="26"/>
  <c r="NX11" i="26"/>
  <c r="NV11" i="26"/>
  <c r="NU11" i="26"/>
  <c r="NT11" i="26"/>
  <c r="NZ11" i="26" s="1"/>
  <c r="NS11" i="26"/>
  <c r="NY10" i="26"/>
  <c r="NX10" i="26"/>
  <c r="NV10" i="26"/>
  <c r="NU10" i="26"/>
  <c r="NT10" i="26"/>
  <c r="NZ10" i="26" s="1"/>
  <c r="NS10" i="26"/>
  <c r="NY7" i="26"/>
  <c r="NX7" i="26"/>
  <c r="NV7" i="26"/>
  <c r="NU7" i="26"/>
  <c r="NT7" i="26"/>
  <c r="NZ7" i="26" s="1"/>
  <c r="NS7" i="26"/>
  <c r="NY9" i="26"/>
  <c r="NX9" i="26"/>
  <c r="NV9" i="26"/>
  <c r="NU9" i="26"/>
  <c r="NT9" i="26"/>
  <c r="NS9" i="26"/>
  <c r="NY8" i="26"/>
  <c r="NX8" i="26"/>
  <c r="NV8" i="26"/>
  <c r="NU8" i="26"/>
  <c r="NT8" i="26"/>
  <c r="NZ8" i="26" s="1"/>
  <c r="NS8" i="26"/>
  <c r="NY6" i="26"/>
  <c r="NX6" i="26"/>
  <c r="NV6" i="26"/>
  <c r="NU6" i="26"/>
  <c r="NT6" i="26"/>
  <c r="NZ6" i="26" s="1"/>
  <c r="NS6" i="26"/>
  <c r="NY5" i="26"/>
  <c r="NX5" i="26"/>
  <c r="NV5" i="26"/>
  <c r="NU5" i="26"/>
  <c r="NT5" i="26"/>
  <c r="NZ5" i="26" s="1"/>
  <c r="NS5" i="26"/>
  <c r="NY4" i="26"/>
  <c r="NX4" i="26"/>
  <c r="NV4" i="26"/>
  <c r="NU4" i="26"/>
  <c r="NT4" i="26"/>
  <c r="NS4" i="26"/>
  <c r="MW11" i="26"/>
  <c r="MV11" i="26"/>
  <c r="MT11" i="26"/>
  <c r="MS11" i="26"/>
  <c r="MR11" i="26"/>
  <c r="MX11" i="26" s="1"/>
  <c r="MQ11" i="26"/>
  <c r="MW10" i="26"/>
  <c r="MV10" i="26"/>
  <c r="MT10" i="26"/>
  <c r="MS10" i="26"/>
  <c r="MR10" i="26"/>
  <c r="MX10" i="26" s="1"/>
  <c r="MQ10" i="26"/>
  <c r="MW7" i="26"/>
  <c r="MV7" i="26"/>
  <c r="MT7" i="26"/>
  <c r="MS7" i="26"/>
  <c r="MR7" i="26"/>
  <c r="MX7" i="26" s="1"/>
  <c r="MQ7" i="26"/>
  <c r="MW9" i="26"/>
  <c r="MV9" i="26"/>
  <c r="MT9" i="26"/>
  <c r="MS9" i="26"/>
  <c r="MR9" i="26"/>
  <c r="MQ9" i="26"/>
  <c r="MW8" i="26"/>
  <c r="MV8" i="26"/>
  <c r="MT8" i="26"/>
  <c r="MS8" i="26"/>
  <c r="MR8" i="26"/>
  <c r="MX8" i="26" s="1"/>
  <c r="MQ8" i="26"/>
  <c r="MW6" i="26"/>
  <c r="MV6" i="26"/>
  <c r="MT6" i="26"/>
  <c r="MS6" i="26"/>
  <c r="MR6" i="26"/>
  <c r="MX6" i="26" s="1"/>
  <c r="MQ6" i="26"/>
  <c r="MW5" i="26"/>
  <c r="MV5" i="26"/>
  <c r="MT5" i="26"/>
  <c r="MS5" i="26"/>
  <c r="MR5" i="26"/>
  <c r="MQ5" i="26"/>
  <c r="MW4" i="26"/>
  <c r="MV4" i="26"/>
  <c r="MT4" i="26"/>
  <c r="MS4" i="26"/>
  <c r="MR4" i="26"/>
  <c r="MQ4" i="26"/>
  <c r="LU11" i="26"/>
  <c r="LT11" i="26"/>
  <c r="LR11" i="26"/>
  <c r="LQ11" i="26"/>
  <c r="LP11" i="26"/>
  <c r="LV11" i="26" s="1"/>
  <c r="LO11" i="26"/>
  <c r="LU10" i="26"/>
  <c r="LT10" i="26"/>
  <c r="LR10" i="26"/>
  <c r="LQ10" i="26"/>
  <c r="LP10" i="26"/>
  <c r="LV10" i="26" s="1"/>
  <c r="LO10" i="26"/>
  <c r="LU7" i="26"/>
  <c r="LT7" i="26"/>
  <c r="LR7" i="26"/>
  <c r="LQ7" i="26"/>
  <c r="LP7" i="26"/>
  <c r="LO7" i="26"/>
  <c r="LU9" i="26"/>
  <c r="LT9" i="26"/>
  <c r="LR9" i="26"/>
  <c r="LQ9" i="26"/>
  <c r="LP9" i="26"/>
  <c r="LO9" i="26"/>
  <c r="LU8" i="26"/>
  <c r="LT8" i="26"/>
  <c r="LR8" i="26"/>
  <c r="LQ8" i="26"/>
  <c r="LP8" i="26"/>
  <c r="LV8" i="26" s="1"/>
  <c r="LO8" i="26"/>
  <c r="LU6" i="26"/>
  <c r="LT6" i="26"/>
  <c r="LR6" i="26"/>
  <c r="LQ6" i="26"/>
  <c r="LP6" i="26"/>
  <c r="LV6" i="26" s="1"/>
  <c r="LO6" i="26"/>
  <c r="LU5" i="26"/>
  <c r="LT5" i="26"/>
  <c r="LR5" i="26"/>
  <c r="LQ5" i="26"/>
  <c r="LP5" i="26"/>
  <c r="LO5" i="26"/>
  <c r="LU4" i="26"/>
  <c r="LT4" i="26"/>
  <c r="LR4" i="26"/>
  <c r="LQ4" i="26"/>
  <c r="LP4" i="26"/>
  <c r="LO4" i="26"/>
  <c r="KS11" i="26"/>
  <c r="KR11" i="26"/>
  <c r="KP11" i="26"/>
  <c r="KO11" i="26"/>
  <c r="KN11" i="26"/>
  <c r="KT11" i="26" s="1"/>
  <c r="KM11" i="26"/>
  <c r="KS10" i="26"/>
  <c r="KR10" i="26"/>
  <c r="KP10" i="26"/>
  <c r="KO10" i="26"/>
  <c r="KN10" i="26"/>
  <c r="KT10" i="26" s="1"/>
  <c r="KM10" i="26"/>
  <c r="KS7" i="26"/>
  <c r="KR7" i="26"/>
  <c r="KP7" i="26"/>
  <c r="KO7" i="26"/>
  <c r="KN7" i="26"/>
  <c r="KM7" i="26"/>
  <c r="KS9" i="26"/>
  <c r="KR9" i="26"/>
  <c r="KP9" i="26"/>
  <c r="KO9" i="26"/>
  <c r="KN9" i="26"/>
  <c r="KM9" i="26"/>
  <c r="KS8" i="26"/>
  <c r="KR8" i="26"/>
  <c r="KP8" i="26"/>
  <c r="KO8" i="26"/>
  <c r="KN8" i="26"/>
  <c r="KT8" i="26" s="1"/>
  <c r="KM8" i="26"/>
  <c r="KS6" i="26"/>
  <c r="KR6" i="26"/>
  <c r="KP6" i="26"/>
  <c r="KO6" i="26"/>
  <c r="KN6" i="26"/>
  <c r="KT6" i="26" s="1"/>
  <c r="KM6" i="26"/>
  <c r="KS5" i="26"/>
  <c r="KR5" i="26"/>
  <c r="KP5" i="26"/>
  <c r="KO5" i="26"/>
  <c r="KN5" i="26"/>
  <c r="KM5" i="26"/>
  <c r="KS4" i="26"/>
  <c r="KR4" i="26"/>
  <c r="KP4" i="26"/>
  <c r="KO4" i="26"/>
  <c r="KN4" i="26"/>
  <c r="KM4" i="26"/>
  <c r="JQ11" i="26"/>
  <c r="JP11" i="26"/>
  <c r="JN11" i="26"/>
  <c r="JM11" i="26"/>
  <c r="JL11" i="26"/>
  <c r="JR11" i="26" s="1"/>
  <c r="JK11" i="26"/>
  <c r="JQ10" i="26"/>
  <c r="JP10" i="26"/>
  <c r="JN10" i="26"/>
  <c r="JM10" i="26"/>
  <c r="JL10" i="26"/>
  <c r="JR10" i="26" s="1"/>
  <c r="JK10" i="26"/>
  <c r="JQ7" i="26"/>
  <c r="JP7" i="26"/>
  <c r="JN7" i="26"/>
  <c r="JM7" i="26"/>
  <c r="JL7" i="26"/>
  <c r="JK7" i="26"/>
  <c r="JQ9" i="26"/>
  <c r="JP9" i="26"/>
  <c r="JN9" i="26"/>
  <c r="JM9" i="26"/>
  <c r="JL9" i="26"/>
  <c r="JK9" i="26"/>
  <c r="JQ8" i="26"/>
  <c r="JP8" i="26"/>
  <c r="JN8" i="26"/>
  <c r="JM8" i="26"/>
  <c r="JL8" i="26"/>
  <c r="JR8" i="26" s="1"/>
  <c r="JK8" i="26"/>
  <c r="JQ6" i="26"/>
  <c r="JP6" i="26"/>
  <c r="JN6" i="26"/>
  <c r="JM6" i="26"/>
  <c r="JL6" i="26"/>
  <c r="JR6" i="26" s="1"/>
  <c r="JK6" i="26"/>
  <c r="JQ5" i="26"/>
  <c r="JP5" i="26"/>
  <c r="JN5" i="26"/>
  <c r="JM5" i="26"/>
  <c r="JL5" i="26"/>
  <c r="JK5" i="26"/>
  <c r="JQ4" i="26"/>
  <c r="JP4" i="26"/>
  <c r="JN4" i="26"/>
  <c r="JM4" i="26"/>
  <c r="JL4" i="26"/>
  <c r="JK4" i="26"/>
  <c r="IO11" i="26"/>
  <c r="IN11" i="26"/>
  <c r="IL11" i="26"/>
  <c r="IK11" i="26"/>
  <c r="IJ11" i="26"/>
  <c r="IP11" i="26" s="1"/>
  <c r="II11" i="26"/>
  <c r="IO10" i="26"/>
  <c r="IN10" i="26"/>
  <c r="IL10" i="26"/>
  <c r="IK10" i="26"/>
  <c r="IJ10" i="26"/>
  <c r="IP10" i="26" s="1"/>
  <c r="II10" i="26"/>
  <c r="IO7" i="26"/>
  <c r="IN7" i="26"/>
  <c r="IL7" i="26"/>
  <c r="IK7" i="26"/>
  <c r="IJ7" i="26"/>
  <c r="II7" i="26"/>
  <c r="IO9" i="26"/>
  <c r="IN9" i="26"/>
  <c r="IL9" i="26"/>
  <c r="IK9" i="26"/>
  <c r="IJ9" i="26"/>
  <c r="II9" i="26"/>
  <c r="IO8" i="26"/>
  <c r="IN8" i="26"/>
  <c r="IL8" i="26"/>
  <c r="IK8" i="26"/>
  <c r="IJ8" i="26"/>
  <c r="IP8" i="26" s="1"/>
  <c r="II8" i="26"/>
  <c r="IO6" i="26"/>
  <c r="IN6" i="26"/>
  <c r="IL6" i="26"/>
  <c r="IK6" i="26"/>
  <c r="IJ6" i="26"/>
  <c r="IP6" i="26" s="1"/>
  <c r="II6" i="26"/>
  <c r="IO5" i="26"/>
  <c r="IN5" i="26"/>
  <c r="IL5" i="26"/>
  <c r="IK5" i="26"/>
  <c r="IJ5" i="26"/>
  <c r="II5" i="26"/>
  <c r="IO4" i="26"/>
  <c r="IN4" i="26"/>
  <c r="IL4" i="26"/>
  <c r="IK4" i="26"/>
  <c r="IJ4" i="26"/>
  <c r="II4" i="26"/>
  <c r="HM11" i="26"/>
  <c r="HL11" i="26"/>
  <c r="HJ11" i="26"/>
  <c r="HI11" i="26"/>
  <c r="HH11" i="26"/>
  <c r="HN11" i="26" s="1"/>
  <c r="HG11" i="26"/>
  <c r="HM10" i="26"/>
  <c r="HL10" i="26"/>
  <c r="HJ10" i="26"/>
  <c r="HI10" i="26"/>
  <c r="HH10" i="26"/>
  <c r="HN10" i="26" s="1"/>
  <c r="HG10" i="26"/>
  <c r="HM7" i="26"/>
  <c r="HL7" i="26"/>
  <c r="HJ7" i="26"/>
  <c r="HI7" i="26"/>
  <c r="HH7" i="26"/>
  <c r="HG7" i="26"/>
  <c r="HM9" i="26"/>
  <c r="HL9" i="26"/>
  <c r="HJ9" i="26"/>
  <c r="HI9" i="26"/>
  <c r="HH9" i="26"/>
  <c r="HG9" i="26"/>
  <c r="HM8" i="26"/>
  <c r="HL8" i="26"/>
  <c r="HJ8" i="26"/>
  <c r="HI8" i="26"/>
  <c r="HH8" i="26"/>
  <c r="HN8" i="26" s="1"/>
  <c r="HG8" i="26"/>
  <c r="HM6" i="26"/>
  <c r="HL6" i="26"/>
  <c r="HJ6" i="26"/>
  <c r="HI6" i="26"/>
  <c r="HH6" i="26"/>
  <c r="HN6" i="26" s="1"/>
  <c r="HG6" i="26"/>
  <c r="HM5" i="26"/>
  <c r="HL5" i="26"/>
  <c r="HJ5" i="26"/>
  <c r="HI5" i="26"/>
  <c r="HH5" i="26"/>
  <c r="HG5" i="26"/>
  <c r="HM4" i="26"/>
  <c r="HL4" i="26"/>
  <c r="HJ4" i="26"/>
  <c r="HI4" i="26"/>
  <c r="HH4" i="26"/>
  <c r="HG4" i="26"/>
  <c r="GK11" i="26"/>
  <c r="GJ11" i="26"/>
  <c r="GH11" i="26"/>
  <c r="GG11" i="26"/>
  <c r="GF11" i="26"/>
  <c r="GL11" i="26" s="1"/>
  <c r="GE11" i="26"/>
  <c r="GK10" i="26"/>
  <c r="GJ10" i="26"/>
  <c r="GH10" i="26"/>
  <c r="GG10" i="26"/>
  <c r="GF10" i="26"/>
  <c r="GL10" i="26" s="1"/>
  <c r="GE10" i="26"/>
  <c r="GK7" i="26"/>
  <c r="GJ7" i="26"/>
  <c r="GH7" i="26"/>
  <c r="GG7" i="26"/>
  <c r="GF7" i="26"/>
  <c r="GE7" i="26"/>
  <c r="GK9" i="26"/>
  <c r="GJ9" i="26"/>
  <c r="GH9" i="26"/>
  <c r="GG9" i="26"/>
  <c r="GF9" i="26"/>
  <c r="GE9" i="26"/>
  <c r="GK8" i="26"/>
  <c r="GJ8" i="26"/>
  <c r="GH8" i="26"/>
  <c r="GG8" i="26"/>
  <c r="GF8" i="26"/>
  <c r="GL8" i="26" s="1"/>
  <c r="GE8" i="26"/>
  <c r="GK6" i="26"/>
  <c r="GJ6" i="26"/>
  <c r="GH6" i="26"/>
  <c r="GG6" i="26"/>
  <c r="GF6" i="26"/>
  <c r="GL6" i="26" s="1"/>
  <c r="GE6" i="26"/>
  <c r="GK5" i="26"/>
  <c r="GJ5" i="26"/>
  <c r="GH5" i="26"/>
  <c r="GG5" i="26"/>
  <c r="GF5" i="26"/>
  <c r="GE5" i="26"/>
  <c r="GK4" i="26"/>
  <c r="GJ4" i="26"/>
  <c r="GH4" i="26"/>
  <c r="GG4" i="26"/>
  <c r="GF4" i="26"/>
  <c r="GE4" i="26"/>
  <c r="FI11" i="26"/>
  <c r="FH11" i="26"/>
  <c r="FF11" i="26"/>
  <c r="FE11" i="26"/>
  <c r="FD11" i="26"/>
  <c r="FJ11" i="26" s="1"/>
  <c r="FC11" i="26"/>
  <c r="FI10" i="26"/>
  <c r="FH10" i="26"/>
  <c r="FF10" i="26"/>
  <c r="FE10" i="26"/>
  <c r="FD10" i="26"/>
  <c r="FJ10" i="26" s="1"/>
  <c r="FC10" i="26"/>
  <c r="FI7" i="26"/>
  <c r="FH7" i="26"/>
  <c r="FF7" i="26"/>
  <c r="FE7" i="26"/>
  <c r="FD7" i="26"/>
  <c r="FC7" i="26"/>
  <c r="FI9" i="26"/>
  <c r="FH9" i="26"/>
  <c r="FF9" i="26"/>
  <c r="FE9" i="26"/>
  <c r="FD9" i="26"/>
  <c r="FC9" i="26"/>
  <c r="FI8" i="26"/>
  <c r="FH8" i="26"/>
  <c r="FF8" i="26"/>
  <c r="FE8" i="26"/>
  <c r="FD8" i="26"/>
  <c r="FJ8" i="26" s="1"/>
  <c r="FC8" i="26"/>
  <c r="FI6" i="26"/>
  <c r="FH6" i="26"/>
  <c r="FF6" i="26"/>
  <c r="FE6" i="26"/>
  <c r="FD6" i="26"/>
  <c r="FJ6" i="26" s="1"/>
  <c r="FC6" i="26"/>
  <c r="FI5" i="26"/>
  <c r="FH5" i="26"/>
  <c r="FF5" i="26"/>
  <c r="FE5" i="26"/>
  <c r="FD5" i="26"/>
  <c r="FC5" i="26"/>
  <c r="FI4" i="26"/>
  <c r="FH4" i="26"/>
  <c r="FF4" i="26"/>
  <c r="FE4" i="26"/>
  <c r="FD4" i="26"/>
  <c r="FC4" i="26"/>
  <c r="EG11" i="26"/>
  <c r="EF11" i="26"/>
  <c r="ED11" i="26"/>
  <c r="EC11" i="26"/>
  <c r="EB11" i="26"/>
  <c r="EH11" i="26" s="1"/>
  <c r="EA11" i="26"/>
  <c r="EG10" i="26"/>
  <c r="EF10" i="26"/>
  <c r="ED10" i="26"/>
  <c r="EC10" i="26"/>
  <c r="EB10" i="26"/>
  <c r="EH10" i="26" s="1"/>
  <c r="EA10" i="26"/>
  <c r="EG7" i="26"/>
  <c r="EF7" i="26"/>
  <c r="ED7" i="26"/>
  <c r="EC7" i="26"/>
  <c r="EB7" i="26"/>
  <c r="EA7" i="26"/>
  <c r="EG9" i="26"/>
  <c r="EF9" i="26"/>
  <c r="ED9" i="26"/>
  <c r="EC9" i="26"/>
  <c r="EB9" i="26"/>
  <c r="EA9" i="26"/>
  <c r="EG8" i="26"/>
  <c r="EF8" i="26"/>
  <c r="ED8" i="26"/>
  <c r="EC8" i="26"/>
  <c r="EB8" i="26"/>
  <c r="EH8" i="26" s="1"/>
  <c r="EA8" i="26"/>
  <c r="EG6" i="26"/>
  <c r="EF6" i="26"/>
  <c r="ED6" i="26"/>
  <c r="EC6" i="26"/>
  <c r="EB6" i="26"/>
  <c r="EH6" i="26" s="1"/>
  <c r="EA6" i="26"/>
  <c r="EG5" i="26"/>
  <c r="EF5" i="26"/>
  <c r="ED5" i="26"/>
  <c r="EC5" i="26"/>
  <c r="EB5" i="26"/>
  <c r="EA5" i="26"/>
  <c r="EG4" i="26"/>
  <c r="EF4" i="26"/>
  <c r="ED4" i="26"/>
  <c r="EC4" i="26"/>
  <c r="EB4" i="26"/>
  <c r="EA4" i="26"/>
  <c r="RD15" i="24"/>
  <c r="RC15" i="24"/>
  <c r="RB15" i="24"/>
  <c r="RA15" i="24"/>
  <c r="QZ15" i="24"/>
  <c r="QY15" i="24"/>
  <c r="QW15" i="24"/>
  <c r="QV15" i="24"/>
  <c r="QU15" i="24"/>
  <c r="QT15" i="24"/>
  <c r="QX15" i="24" s="1"/>
  <c r="RE15" i="24" s="1"/>
  <c r="QS15" i="24"/>
  <c r="QR15" i="24"/>
  <c r="RD14" i="24"/>
  <c r="RC14" i="24"/>
  <c r="RB14" i="24"/>
  <c r="RA14" i="24"/>
  <c r="QZ14" i="24"/>
  <c r="QY14" i="24"/>
  <c r="QW14" i="24"/>
  <c r="QV14" i="24"/>
  <c r="QU14" i="24"/>
  <c r="QT14" i="24"/>
  <c r="QS14" i="24"/>
  <c r="QR14" i="24"/>
  <c r="RD13" i="24"/>
  <c r="RC13" i="24"/>
  <c r="RB13" i="24"/>
  <c r="RA13" i="24"/>
  <c r="QZ13" i="24"/>
  <c r="QY13" i="24"/>
  <c r="QW13" i="24"/>
  <c r="QV13" i="24"/>
  <c r="QU13" i="24"/>
  <c r="QT13" i="24"/>
  <c r="QX13" i="24" s="1"/>
  <c r="QS13" i="24"/>
  <c r="QR13" i="24"/>
  <c r="RD12" i="24"/>
  <c r="RC12" i="24"/>
  <c r="RB12" i="24"/>
  <c r="RA12" i="24"/>
  <c r="QZ12" i="24"/>
  <c r="QY12" i="24"/>
  <c r="QW12" i="24"/>
  <c r="QV12" i="24"/>
  <c r="QU12" i="24"/>
  <c r="QT12" i="24"/>
  <c r="QX12" i="24" s="1"/>
  <c r="QS12" i="24"/>
  <c r="QR12" i="24"/>
  <c r="RD11" i="24"/>
  <c r="RC11" i="24"/>
  <c r="RB11" i="24"/>
  <c r="RA11" i="24"/>
  <c r="QZ11" i="24"/>
  <c r="QY11" i="24"/>
  <c r="QW11" i="24"/>
  <c r="QV11" i="24"/>
  <c r="QU11" i="24"/>
  <c r="QT11" i="24"/>
  <c r="QX11" i="24" s="1"/>
  <c r="QS11" i="24"/>
  <c r="QR11" i="24"/>
  <c r="RD10" i="24"/>
  <c r="RC10" i="24"/>
  <c r="RB10" i="24"/>
  <c r="RA10" i="24"/>
  <c r="QZ10" i="24"/>
  <c r="QY10" i="24"/>
  <c r="QW10" i="24"/>
  <c r="QV10" i="24"/>
  <c r="QU10" i="24"/>
  <c r="QT10" i="24"/>
  <c r="QS10" i="24"/>
  <c r="QR10" i="24"/>
  <c r="RD9" i="24"/>
  <c r="RC9" i="24"/>
  <c r="RB9" i="24"/>
  <c r="RA9" i="24"/>
  <c r="QZ9" i="24"/>
  <c r="QY9" i="24"/>
  <c r="QW9" i="24"/>
  <c r="QV9" i="24"/>
  <c r="QU9" i="24"/>
  <c r="QT9" i="24"/>
  <c r="QX9" i="24" s="1"/>
  <c r="QS9" i="24"/>
  <c r="QR9" i="24"/>
  <c r="RD8" i="24"/>
  <c r="RC8" i="24"/>
  <c r="RB8" i="24"/>
  <c r="RA8" i="24"/>
  <c r="QZ8" i="24"/>
  <c r="QY8" i="24"/>
  <c r="QW8" i="24"/>
  <c r="QV8" i="24"/>
  <c r="QU8" i="24"/>
  <c r="QT8" i="24"/>
  <c r="QX8" i="24" s="1"/>
  <c r="QS8" i="24"/>
  <c r="QR8" i="24"/>
  <c r="RD7" i="24"/>
  <c r="RC7" i="24"/>
  <c r="RB7" i="24"/>
  <c r="RA7" i="24"/>
  <c r="QZ7" i="24"/>
  <c r="QY7" i="24"/>
  <c r="QW7" i="24"/>
  <c r="QV7" i="24"/>
  <c r="QU7" i="24"/>
  <c r="QT7" i="24"/>
  <c r="QX7" i="24" s="1"/>
  <c r="RE7" i="24" s="1"/>
  <c r="QS7" i="24"/>
  <c r="QR7" i="24"/>
  <c r="RD6" i="24"/>
  <c r="RC6" i="24"/>
  <c r="RB6" i="24"/>
  <c r="RA6" i="24"/>
  <c r="QZ6" i="24"/>
  <c r="QY6" i="24"/>
  <c r="QW6" i="24"/>
  <c r="QV6" i="24"/>
  <c r="QU6" i="24"/>
  <c r="QT6" i="24"/>
  <c r="QS6" i="24"/>
  <c r="QR6" i="24"/>
  <c r="RD5" i="24"/>
  <c r="RC5" i="24"/>
  <c r="RB5" i="24"/>
  <c r="RA5" i="24"/>
  <c r="QZ5" i="24"/>
  <c r="QY5" i="24"/>
  <c r="QW5" i="24"/>
  <c r="QV5" i="24"/>
  <c r="QU5" i="24"/>
  <c r="QT5" i="24"/>
  <c r="QX5" i="24" s="1"/>
  <c r="QS5" i="24"/>
  <c r="QR5" i="24"/>
  <c r="RD4" i="24"/>
  <c r="RC4" i="24"/>
  <c r="RB4" i="24"/>
  <c r="RA4" i="24"/>
  <c r="QZ4" i="24"/>
  <c r="QY4" i="24"/>
  <c r="QW4" i="24"/>
  <c r="QV4" i="24"/>
  <c r="QU4" i="24"/>
  <c r="QT4" i="24"/>
  <c r="QS4" i="24"/>
  <c r="QR4" i="24"/>
  <c r="PV15" i="24"/>
  <c r="PU15" i="24"/>
  <c r="PT15" i="24"/>
  <c r="PS15" i="24"/>
  <c r="PR15" i="24"/>
  <c r="PQ15" i="24"/>
  <c r="PO15" i="24"/>
  <c r="PN15" i="24"/>
  <c r="PM15" i="24"/>
  <c r="PL15" i="24"/>
  <c r="PP15" i="24" s="1"/>
  <c r="PW15" i="24" s="1"/>
  <c r="PK15" i="24"/>
  <c r="PJ15" i="24"/>
  <c r="PV14" i="24"/>
  <c r="PU14" i="24"/>
  <c r="PT14" i="24"/>
  <c r="PS14" i="24"/>
  <c r="PR14" i="24"/>
  <c r="PQ14" i="24"/>
  <c r="PO14" i="24"/>
  <c r="PN14" i="24"/>
  <c r="PM14" i="24"/>
  <c r="PL14" i="24"/>
  <c r="PK14" i="24"/>
  <c r="PJ14" i="24"/>
  <c r="PV13" i="24"/>
  <c r="PU13" i="24"/>
  <c r="PT13" i="24"/>
  <c r="PS13" i="24"/>
  <c r="PR13" i="24"/>
  <c r="PQ13" i="24"/>
  <c r="PO13" i="24"/>
  <c r="PN13" i="24"/>
  <c r="PM13" i="24"/>
  <c r="PL13" i="24"/>
  <c r="PP13" i="24" s="1"/>
  <c r="PK13" i="24"/>
  <c r="PJ13" i="24"/>
  <c r="PV12" i="24"/>
  <c r="PU12" i="24"/>
  <c r="PT12" i="24"/>
  <c r="PS12" i="24"/>
  <c r="PR12" i="24"/>
  <c r="PQ12" i="24"/>
  <c r="PO12" i="24"/>
  <c r="PN12" i="24"/>
  <c r="PM12" i="24"/>
  <c r="PL12" i="24"/>
  <c r="PK12" i="24"/>
  <c r="PJ12" i="24"/>
  <c r="PV11" i="24"/>
  <c r="PU11" i="24"/>
  <c r="PT11" i="24"/>
  <c r="PS11" i="24"/>
  <c r="PR11" i="24"/>
  <c r="PQ11" i="24"/>
  <c r="PO11" i="24"/>
  <c r="PN11" i="24"/>
  <c r="PM11" i="24"/>
  <c r="PL11" i="24"/>
  <c r="PP11" i="24" s="1"/>
  <c r="PW11" i="24" s="1"/>
  <c r="PK11" i="24"/>
  <c r="PJ11" i="24"/>
  <c r="PV10" i="24"/>
  <c r="PU10" i="24"/>
  <c r="PT10" i="24"/>
  <c r="PS10" i="24"/>
  <c r="PR10" i="24"/>
  <c r="PQ10" i="24"/>
  <c r="PO10" i="24"/>
  <c r="PN10" i="24"/>
  <c r="PM10" i="24"/>
  <c r="PL10" i="24"/>
  <c r="PK10" i="24"/>
  <c r="PJ10" i="24"/>
  <c r="PV9" i="24"/>
  <c r="PU9" i="24"/>
  <c r="PT9" i="24"/>
  <c r="PS9" i="24"/>
  <c r="PR9" i="24"/>
  <c r="PQ9" i="24"/>
  <c r="PO9" i="24"/>
  <c r="PN9" i="24"/>
  <c r="PM9" i="24"/>
  <c r="PL9" i="24"/>
  <c r="PP9" i="24" s="1"/>
  <c r="PW9" i="24" s="1"/>
  <c r="PK9" i="24"/>
  <c r="PJ9" i="24"/>
  <c r="PV8" i="24"/>
  <c r="PU8" i="24"/>
  <c r="PT8" i="24"/>
  <c r="PS8" i="24"/>
  <c r="PR8" i="24"/>
  <c r="PQ8" i="24"/>
  <c r="PO8" i="24"/>
  <c r="PN8" i="24"/>
  <c r="PM8" i="24"/>
  <c r="PL8" i="24"/>
  <c r="PK8" i="24"/>
  <c r="PJ8" i="24"/>
  <c r="PV7" i="24"/>
  <c r="PU7" i="24"/>
  <c r="PT7" i="24"/>
  <c r="PS7" i="24"/>
  <c r="PR7" i="24"/>
  <c r="PQ7" i="24"/>
  <c r="PO7" i="24"/>
  <c r="PN7" i="24"/>
  <c r="PM7" i="24"/>
  <c r="PL7" i="24"/>
  <c r="PP7" i="24" s="1"/>
  <c r="PW7" i="24" s="1"/>
  <c r="PK7" i="24"/>
  <c r="PJ7" i="24"/>
  <c r="PV6" i="24"/>
  <c r="PU6" i="24"/>
  <c r="PT6" i="24"/>
  <c r="PS6" i="24"/>
  <c r="PR6" i="24"/>
  <c r="PQ6" i="24"/>
  <c r="PO6" i="24"/>
  <c r="PN6" i="24"/>
  <c r="PM6" i="24"/>
  <c r="PL6" i="24"/>
  <c r="PK6" i="24"/>
  <c r="PJ6" i="24"/>
  <c r="PV5" i="24"/>
  <c r="PU5" i="24"/>
  <c r="PT5" i="24"/>
  <c r="PS5" i="24"/>
  <c r="PR5" i="24"/>
  <c r="PQ5" i="24"/>
  <c r="PO5" i="24"/>
  <c r="PN5" i="24"/>
  <c r="PM5" i="24"/>
  <c r="PL5" i="24"/>
  <c r="PP5" i="24" s="1"/>
  <c r="PK5" i="24"/>
  <c r="PJ5" i="24"/>
  <c r="PV4" i="24"/>
  <c r="PU4" i="24"/>
  <c r="PT4" i="24"/>
  <c r="PS4" i="24"/>
  <c r="PR4" i="24"/>
  <c r="PQ4" i="24"/>
  <c r="PO4" i="24"/>
  <c r="PN4" i="24"/>
  <c r="PM4" i="24"/>
  <c r="PL4" i="24"/>
  <c r="PP4" i="24" s="1"/>
  <c r="PK4" i="24"/>
  <c r="PJ4" i="24"/>
  <c r="ON15" i="24"/>
  <c r="OM15" i="24"/>
  <c r="OL15" i="24"/>
  <c r="OK15" i="24"/>
  <c r="OJ15" i="24"/>
  <c r="OI15" i="24"/>
  <c r="OG15" i="24"/>
  <c r="OF15" i="24"/>
  <c r="OE15" i="24"/>
  <c r="OD15" i="24"/>
  <c r="OC15" i="24"/>
  <c r="OB15" i="24"/>
  <c r="ON14" i="24"/>
  <c r="OM14" i="24"/>
  <c r="OL14" i="24"/>
  <c r="OK14" i="24"/>
  <c r="OJ14" i="24"/>
  <c r="OI14" i="24"/>
  <c r="OG14" i="24"/>
  <c r="OF14" i="24"/>
  <c r="OE14" i="24"/>
  <c r="OD14" i="24"/>
  <c r="OC14" i="24"/>
  <c r="OB14" i="24"/>
  <c r="ON13" i="24"/>
  <c r="OM13" i="24"/>
  <c r="OL13" i="24"/>
  <c r="OK13" i="24"/>
  <c r="OJ13" i="24"/>
  <c r="OI13" i="24"/>
  <c r="OG13" i="24"/>
  <c r="OF13" i="24"/>
  <c r="OE13" i="24"/>
  <c r="OD13" i="24"/>
  <c r="OC13" i="24"/>
  <c r="OB13" i="24"/>
  <c r="ON12" i="24"/>
  <c r="OM12" i="24"/>
  <c r="OL12" i="24"/>
  <c r="OK12" i="24"/>
  <c r="OJ12" i="24"/>
  <c r="OI12" i="24"/>
  <c r="OG12" i="24"/>
  <c r="OF12" i="24"/>
  <c r="OE12" i="24"/>
  <c r="OD12" i="24"/>
  <c r="OH12" i="24" s="1"/>
  <c r="OC12" i="24"/>
  <c r="OB12" i="24"/>
  <c r="ON11" i="24"/>
  <c r="OM11" i="24"/>
  <c r="OL11" i="24"/>
  <c r="OK11" i="24"/>
  <c r="OJ11" i="24"/>
  <c r="OI11" i="24"/>
  <c r="OG11" i="24"/>
  <c r="OF11" i="24"/>
  <c r="OE11" i="24"/>
  <c r="OD11" i="24"/>
  <c r="OC11" i="24"/>
  <c r="OB11" i="24"/>
  <c r="ON10" i="24"/>
  <c r="OM10" i="24"/>
  <c r="OL10" i="24"/>
  <c r="OK10" i="24"/>
  <c r="OJ10" i="24"/>
  <c r="OI10" i="24"/>
  <c r="OG10" i="24"/>
  <c r="OF10" i="24"/>
  <c r="OE10" i="24"/>
  <c r="OD10" i="24"/>
  <c r="OC10" i="24"/>
  <c r="OB10" i="24"/>
  <c r="ON9" i="24"/>
  <c r="OM9" i="24"/>
  <c r="OL9" i="24"/>
  <c r="OK9" i="24"/>
  <c r="OJ9" i="24"/>
  <c r="OI9" i="24"/>
  <c r="OG9" i="24"/>
  <c r="OF9" i="24"/>
  <c r="OE9" i="24"/>
  <c r="OD9" i="24"/>
  <c r="OC9" i="24"/>
  <c r="OB9" i="24"/>
  <c r="ON8" i="24"/>
  <c r="OM8" i="24"/>
  <c r="OL8" i="24"/>
  <c r="OK8" i="24"/>
  <c r="OJ8" i="24"/>
  <c r="OI8" i="24"/>
  <c r="OG8" i="24"/>
  <c r="OF8" i="24"/>
  <c r="OE8" i="24"/>
  <c r="OD8" i="24"/>
  <c r="OH8" i="24" s="1"/>
  <c r="OC8" i="24"/>
  <c r="OB8" i="24"/>
  <c r="ON7" i="24"/>
  <c r="OM7" i="24"/>
  <c r="OL7" i="24"/>
  <c r="OK7" i="24"/>
  <c r="OJ7" i="24"/>
  <c r="OI7" i="24"/>
  <c r="OG7" i="24"/>
  <c r="OF7" i="24"/>
  <c r="OE7" i="24"/>
  <c r="OD7" i="24"/>
  <c r="OC7" i="24"/>
  <c r="OB7" i="24"/>
  <c r="ON6" i="24"/>
  <c r="OM6" i="24"/>
  <c r="OL6" i="24"/>
  <c r="OK6" i="24"/>
  <c r="OJ6" i="24"/>
  <c r="OI6" i="24"/>
  <c r="OG6" i="24"/>
  <c r="OF6" i="24"/>
  <c r="OE6" i="24"/>
  <c r="OD6" i="24"/>
  <c r="OC6" i="24"/>
  <c r="OB6" i="24"/>
  <c r="ON5" i="24"/>
  <c r="OM5" i="24"/>
  <c r="OL5" i="24"/>
  <c r="OK5" i="24"/>
  <c r="OJ5" i="24"/>
  <c r="OI5" i="24"/>
  <c r="OG5" i="24"/>
  <c r="OF5" i="24"/>
  <c r="OE5" i="24"/>
  <c r="OD5" i="24"/>
  <c r="OC5" i="24"/>
  <c r="OB5" i="24"/>
  <c r="ON4" i="24"/>
  <c r="OM4" i="24"/>
  <c r="OL4" i="24"/>
  <c r="OK4" i="24"/>
  <c r="OJ4" i="24"/>
  <c r="OI4" i="24"/>
  <c r="OG4" i="24"/>
  <c r="OF4" i="24"/>
  <c r="OE4" i="24"/>
  <c r="OD4" i="24"/>
  <c r="OH4" i="24" s="1"/>
  <c r="OO4" i="24" s="1"/>
  <c r="OC4" i="24"/>
  <c r="OB4" i="24"/>
  <c r="NF15" i="24"/>
  <c r="NE15" i="24"/>
  <c r="ND15" i="24"/>
  <c r="NC15" i="24"/>
  <c r="NB15" i="24"/>
  <c r="NA15" i="24"/>
  <c r="MZ15" i="24"/>
  <c r="NG15" i="24" s="1"/>
  <c r="MY15" i="24"/>
  <c r="MX15" i="24"/>
  <c r="MW15" i="24"/>
  <c r="MV15" i="24"/>
  <c r="MU15" i="24"/>
  <c r="MT15" i="24"/>
  <c r="NF14" i="24"/>
  <c r="NE14" i="24"/>
  <c r="ND14" i="24"/>
  <c r="NC14" i="24"/>
  <c r="NB14" i="24"/>
  <c r="NA14" i="24"/>
  <c r="MY14" i="24"/>
  <c r="MX14" i="24"/>
  <c r="MW14" i="24"/>
  <c r="MV14" i="24"/>
  <c r="MU14" i="24"/>
  <c r="MT14" i="24"/>
  <c r="NF13" i="24"/>
  <c r="NE13" i="24"/>
  <c r="ND13" i="24"/>
  <c r="NC13" i="24"/>
  <c r="NB13" i="24"/>
  <c r="NA13" i="24"/>
  <c r="MY13" i="24"/>
  <c r="MX13" i="24"/>
  <c r="MW13" i="24"/>
  <c r="MV13" i="24"/>
  <c r="MU13" i="24"/>
  <c r="MT13" i="24"/>
  <c r="NF12" i="24"/>
  <c r="NE12" i="24"/>
  <c r="ND12" i="24"/>
  <c r="NC12" i="24"/>
  <c r="NB12" i="24"/>
  <c r="NA12" i="24"/>
  <c r="MY12" i="24"/>
  <c r="MX12" i="24"/>
  <c r="MW12" i="24"/>
  <c r="MV12" i="24"/>
  <c r="MZ12" i="24" s="1"/>
  <c r="MU12" i="24"/>
  <c r="MT12" i="24"/>
  <c r="NF11" i="24"/>
  <c r="NE11" i="24"/>
  <c r="ND11" i="24"/>
  <c r="NC11" i="24"/>
  <c r="NB11" i="24"/>
  <c r="NA11" i="24"/>
  <c r="MY11" i="24"/>
  <c r="MX11" i="24"/>
  <c r="MW11" i="24"/>
  <c r="MV11" i="24"/>
  <c r="MZ11" i="24" s="1"/>
  <c r="MU11" i="24"/>
  <c r="MT11" i="24"/>
  <c r="NF10" i="24"/>
  <c r="NE10" i="24"/>
  <c r="ND10" i="24"/>
  <c r="NC10" i="24"/>
  <c r="NB10" i="24"/>
  <c r="NA10" i="24"/>
  <c r="MY10" i="24"/>
  <c r="MX10" i="24"/>
  <c r="MW10" i="24"/>
  <c r="MV10" i="24"/>
  <c r="MU10" i="24"/>
  <c r="MT10" i="24"/>
  <c r="NF9" i="24"/>
  <c r="NE9" i="24"/>
  <c r="ND9" i="24"/>
  <c r="NC9" i="24"/>
  <c r="NB9" i="24"/>
  <c r="NA9" i="24"/>
  <c r="MY9" i="24"/>
  <c r="MX9" i="24"/>
  <c r="MW9" i="24"/>
  <c r="MV9" i="24"/>
  <c r="MZ9" i="24" s="1"/>
  <c r="MU9" i="24"/>
  <c r="MT9" i="24"/>
  <c r="NF8" i="24"/>
  <c r="NE8" i="24"/>
  <c r="ND8" i="24"/>
  <c r="NC8" i="24"/>
  <c r="NB8" i="24"/>
  <c r="NA8" i="24"/>
  <c r="MY8" i="24"/>
  <c r="MX8" i="24"/>
  <c r="MW8" i="24"/>
  <c r="MV8" i="24"/>
  <c r="MU8" i="24"/>
  <c r="MT8" i="24"/>
  <c r="NF7" i="24"/>
  <c r="NE7" i="24"/>
  <c r="ND7" i="24"/>
  <c r="NC7" i="24"/>
  <c r="NB7" i="24"/>
  <c r="NA7" i="24"/>
  <c r="MY7" i="24"/>
  <c r="MX7" i="24"/>
  <c r="MW7" i="24"/>
  <c r="MV7" i="24"/>
  <c r="MZ7" i="24" s="1"/>
  <c r="MU7" i="24"/>
  <c r="MT7" i="24"/>
  <c r="NF6" i="24"/>
  <c r="NE6" i="24"/>
  <c r="ND6" i="24"/>
  <c r="NC6" i="24"/>
  <c r="NB6" i="24"/>
  <c r="NA6" i="24"/>
  <c r="MY6" i="24"/>
  <c r="MX6" i="24"/>
  <c r="MW6" i="24"/>
  <c r="MV6" i="24"/>
  <c r="MU6" i="24"/>
  <c r="MT6" i="24"/>
  <c r="NF5" i="24"/>
  <c r="NE5" i="24"/>
  <c r="ND5" i="24"/>
  <c r="NC5" i="24"/>
  <c r="NB5" i="24"/>
  <c r="NA5" i="24"/>
  <c r="MY5" i="24"/>
  <c r="MX5" i="24"/>
  <c r="MW5" i="24"/>
  <c r="MV5" i="24"/>
  <c r="MZ5" i="24" s="1"/>
  <c r="MU5" i="24"/>
  <c r="MT5" i="24"/>
  <c r="NF4" i="24"/>
  <c r="NE4" i="24"/>
  <c r="ND4" i="24"/>
  <c r="NC4" i="24"/>
  <c r="NB4" i="24"/>
  <c r="NA4" i="24"/>
  <c r="MY4" i="24"/>
  <c r="MX4" i="24"/>
  <c r="MW4" i="24"/>
  <c r="MV4" i="24"/>
  <c r="MU4" i="24"/>
  <c r="MT4" i="24"/>
  <c r="LX15" i="24"/>
  <c r="LW15" i="24"/>
  <c r="LV15" i="24"/>
  <c r="LU15" i="24"/>
  <c r="LT15" i="24"/>
  <c r="LS15" i="24"/>
  <c r="LQ15" i="24"/>
  <c r="LP15" i="24"/>
  <c r="LO15" i="24"/>
  <c r="LN15" i="24"/>
  <c r="LR15" i="24" s="1"/>
  <c r="LY15" i="24" s="1"/>
  <c r="LM15" i="24"/>
  <c r="LL15" i="24"/>
  <c r="LX14" i="24"/>
  <c r="LW14" i="24"/>
  <c r="LV14" i="24"/>
  <c r="LU14" i="24"/>
  <c r="LT14" i="24"/>
  <c r="LS14" i="24"/>
  <c r="LQ14" i="24"/>
  <c r="LP14" i="24"/>
  <c r="LO14" i="24"/>
  <c r="LN14" i="24"/>
  <c r="LM14" i="24"/>
  <c r="LL14" i="24"/>
  <c r="LX13" i="24"/>
  <c r="LW13" i="24"/>
  <c r="LV13" i="24"/>
  <c r="LU13" i="24"/>
  <c r="LT13" i="24"/>
  <c r="LS13" i="24"/>
  <c r="LQ13" i="24"/>
  <c r="LP13" i="24"/>
  <c r="LO13" i="24"/>
  <c r="LN13" i="24"/>
  <c r="LR13" i="24" s="1"/>
  <c r="LY13" i="24" s="1"/>
  <c r="LM13" i="24"/>
  <c r="LL13" i="24"/>
  <c r="LX12" i="24"/>
  <c r="LW12" i="24"/>
  <c r="LV12" i="24"/>
  <c r="LU12" i="24"/>
  <c r="LT12" i="24"/>
  <c r="LS12" i="24"/>
  <c r="LQ12" i="24"/>
  <c r="LP12" i="24"/>
  <c r="LO12" i="24"/>
  <c r="LN12" i="24"/>
  <c r="LM12" i="24"/>
  <c r="LL12" i="24"/>
  <c r="LX11" i="24"/>
  <c r="LW11" i="24"/>
  <c r="LV11" i="24"/>
  <c r="LU11" i="24"/>
  <c r="LT11" i="24"/>
  <c r="LS11" i="24"/>
  <c r="LQ11" i="24"/>
  <c r="LP11" i="24"/>
  <c r="LO11" i="24"/>
  <c r="LN11" i="24"/>
  <c r="LR11" i="24" s="1"/>
  <c r="LY11" i="24" s="1"/>
  <c r="LM11" i="24"/>
  <c r="LL11" i="24"/>
  <c r="LX10" i="24"/>
  <c r="LW10" i="24"/>
  <c r="LV10" i="24"/>
  <c r="LU10" i="24"/>
  <c r="LT10" i="24"/>
  <c r="LS10" i="24"/>
  <c r="LQ10" i="24"/>
  <c r="LP10" i="24"/>
  <c r="LO10" i="24"/>
  <c r="LN10" i="24"/>
  <c r="LM10" i="24"/>
  <c r="LL10" i="24"/>
  <c r="LX9" i="24"/>
  <c r="LW9" i="24"/>
  <c r="LV9" i="24"/>
  <c r="LU9" i="24"/>
  <c r="LT9" i="24"/>
  <c r="LS9" i="24"/>
  <c r="LQ9" i="24"/>
  <c r="LP9" i="24"/>
  <c r="LO9" i="24"/>
  <c r="LN9" i="24"/>
  <c r="LR9" i="24" s="1"/>
  <c r="LY9" i="24" s="1"/>
  <c r="LM9" i="24"/>
  <c r="LL9" i="24"/>
  <c r="LX8" i="24"/>
  <c r="LW8" i="24"/>
  <c r="LV8" i="24"/>
  <c r="LU8" i="24"/>
  <c r="LT8" i="24"/>
  <c r="LS8" i="24"/>
  <c r="LQ8" i="24"/>
  <c r="LP8" i="24"/>
  <c r="LO8" i="24"/>
  <c r="LN8" i="24"/>
  <c r="LR8" i="24" s="1"/>
  <c r="LM8" i="24"/>
  <c r="LL8" i="24"/>
  <c r="LX7" i="24"/>
  <c r="LW7" i="24"/>
  <c r="LV7" i="24"/>
  <c r="LU7" i="24"/>
  <c r="LT7" i="24"/>
  <c r="LS7" i="24"/>
  <c r="LQ7" i="24"/>
  <c r="LP7" i="24"/>
  <c r="LO7" i="24"/>
  <c r="LN7" i="24"/>
  <c r="LM7" i="24"/>
  <c r="LL7" i="24"/>
  <c r="LX6" i="24"/>
  <c r="LW6" i="24"/>
  <c r="LV6" i="24"/>
  <c r="LU6" i="24"/>
  <c r="LT6" i="24"/>
  <c r="LS6" i="24"/>
  <c r="LQ6" i="24"/>
  <c r="LP6" i="24"/>
  <c r="LO6" i="24"/>
  <c r="LN6" i="24"/>
  <c r="LM6" i="24"/>
  <c r="LL6" i="24"/>
  <c r="LX5" i="24"/>
  <c r="LW5" i="24"/>
  <c r="LV5" i="24"/>
  <c r="LU5" i="24"/>
  <c r="LT5" i="24"/>
  <c r="LS5" i="24"/>
  <c r="LQ5" i="24"/>
  <c r="LP5" i="24"/>
  <c r="LO5" i="24"/>
  <c r="LN5" i="24"/>
  <c r="LM5" i="24"/>
  <c r="LL5" i="24"/>
  <c r="LX4" i="24"/>
  <c r="LW4" i="24"/>
  <c r="LV4" i="24"/>
  <c r="LU4" i="24"/>
  <c r="LT4" i="24"/>
  <c r="LS4" i="24"/>
  <c r="LQ4" i="24"/>
  <c r="LP4" i="24"/>
  <c r="LO4" i="24"/>
  <c r="LN4" i="24"/>
  <c r="LM4" i="24"/>
  <c r="LL4" i="24"/>
  <c r="KP15" i="24"/>
  <c r="KO15" i="24"/>
  <c r="KN15" i="24"/>
  <c r="KM15" i="24"/>
  <c r="KL15" i="24"/>
  <c r="KK15" i="24"/>
  <c r="KI15" i="24"/>
  <c r="KH15" i="24"/>
  <c r="KG15" i="24"/>
  <c r="KF15" i="24"/>
  <c r="KE15" i="24"/>
  <c r="KD15" i="24"/>
  <c r="KP14" i="24"/>
  <c r="KO14" i="24"/>
  <c r="KN14" i="24"/>
  <c r="KM14" i="24"/>
  <c r="KL14" i="24"/>
  <c r="KK14" i="24"/>
  <c r="KI14" i="24"/>
  <c r="KH14" i="24"/>
  <c r="KG14" i="24"/>
  <c r="KF14" i="24"/>
  <c r="KE14" i="24"/>
  <c r="KD14" i="24"/>
  <c r="KP13" i="24"/>
  <c r="KO13" i="24"/>
  <c r="KN13" i="24"/>
  <c r="KM13" i="24"/>
  <c r="KL13" i="24"/>
  <c r="KK13" i="24"/>
  <c r="KI13" i="24"/>
  <c r="KH13" i="24"/>
  <c r="KG13" i="24"/>
  <c r="KF13" i="24"/>
  <c r="KE13" i="24"/>
  <c r="KD13" i="24"/>
  <c r="KP12" i="24"/>
  <c r="KO12" i="24"/>
  <c r="KN12" i="24"/>
  <c r="KM12" i="24"/>
  <c r="KL12" i="24"/>
  <c r="KK12" i="24"/>
  <c r="KI12" i="24"/>
  <c r="KH12" i="24"/>
  <c r="KG12" i="24"/>
  <c r="KF12" i="24"/>
  <c r="KJ12" i="24" s="1"/>
  <c r="KE12" i="24"/>
  <c r="KD12" i="24"/>
  <c r="KP11" i="24"/>
  <c r="KO11" i="24"/>
  <c r="KN11" i="24"/>
  <c r="KM11" i="24"/>
  <c r="KL11" i="24"/>
  <c r="KK11" i="24"/>
  <c r="KI11" i="24"/>
  <c r="KH11" i="24"/>
  <c r="KG11" i="24"/>
  <c r="KF11" i="24"/>
  <c r="KE11" i="24"/>
  <c r="KD11" i="24"/>
  <c r="KP10" i="24"/>
  <c r="KO10" i="24"/>
  <c r="KN10" i="24"/>
  <c r="KM10" i="24"/>
  <c r="KL10" i="24"/>
  <c r="KK10" i="24"/>
  <c r="KI10" i="24"/>
  <c r="KH10" i="24"/>
  <c r="KG10" i="24"/>
  <c r="KF10" i="24"/>
  <c r="KE10" i="24"/>
  <c r="KD10" i="24"/>
  <c r="KP9" i="24"/>
  <c r="KO9" i="24"/>
  <c r="KN9" i="24"/>
  <c r="KM9" i="24"/>
  <c r="KL9" i="24"/>
  <c r="KK9" i="24"/>
  <c r="KI9" i="24"/>
  <c r="KH9" i="24"/>
  <c r="KG9" i="24"/>
  <c r="KF9" i="24"/>
  <c r="KE9" i="24"/>
  <c r="KD9" i="24"/>
  <c r="KP8" i="24"/>
  <c r="KO8" i="24"/>
  <c r="KN8" i="24"/>
  <c r="KM8" i="24"/>
  <c r="KL8" i="24"/>
  <c r="KK8" i="24"/>
  <c r="KI8" i="24"/>
  <c r="KH8" i="24"/>
  <c r="KG8" i="24"/>
  <c r="KF8" i="24"/>
  <c r="KJ8" i="24" s="1"/>
  <c r="KE8" i="24"/>
  <c r="KD8" i="24"/>
  <c r="KP7" i="24"/>
  <c r="KO7" i="24"/>
  <c r="KN7" i="24"/>
  <c r="KM7" i="24"/>
  <c r="KL7" i="24"/>
  <c r="KK7" i="24"/>
  <c r="KI7" i="24"/>
  <c r="KH7" i="24"/>
  <c r="KG7" i="24"/>
  <c r="KF7" i="24"/>
  <c r="KJ7" i="24" s="1"/>
  <c r="KQ7" i="24" s="1"/>
  <c r="KE7" i="24"/>
  <c r="KD7" i="24"/>
  <c r="KP6" i="24"/>
  <c r="KO6" i="24"/>
  <c r="KN6" i="24"/>
  <c r="KM6" i="24"/>
  <c r="KL6" i="24"/>
  <c r="KK6" i="24"/>
  <c r="KI6" i="24"/>
  <c r="KH6" i="24"/>
  <c r="KG6" i="24"/>
  <c r="KF6" i="24"/>
  <c r="KE6" i="24"/>
  <c r="KD6" i="24"/>
  <c r="KP5" i="24"/>
  <c r="KO5" i="24"/>
  <c r="KN5" i="24"/>
  <c r="KM5" i="24"/>
  <c r="KL5" i="24"/>
  <c r="KK5" i="24"/>
  <c r="KI5" i="24"/>
  <c r="KH5" i="24"/>
  <c r="KG5" i="24"/>
  <c r="KF5" i="24"/>
  <c r="KJ5" i="24" s="1"/>
  <c r="KE5" i="24"/>
  <c r="KD5" i="24"/>
  <c r="KP4" i="24"/>
  <c r="KO4" i="24"/>
  <c r="KN4" i="24"/>
  <c r="KM4" i="24"/>
  <c r="KL4" i="24"/>
  <c r="KK4" i="24"/>
  <c r="KI4" i="24"/>
  <c r="KH4" i="24"/>
  <c r="KG4" i="24"/>
  <c r="KF4" i="24"/>
  <c r="KJ4" i="24" s="1"/>
  <c r="KE4" i="24"/>
  <c r="KD4" i="24"/>
  <c r="JH15" i="24"/>
  <c r="JG15" i="24"/>
  <c r="JF15" i="24"/>
  <c r="JE15" i="24"/>
  <c r="JD15" i="24"/>
  <c r="JC15" i="24"/>
  <c r="JA15" i="24"/>
  <c r="IZ15" i="24"/>
  <c r="IY15" i="24"/>
  <c r="IX15" i="24"/>
  <c r="JB15" i="24" s="1"/>
  <c r="IW15" i="24"/>
  <c r="IV15" i="24"/>
  <c r="JH14" i="24"/>
  <c r="JG14" i="24"/>
  <c r="JF14" i="24"/>
  <c r="JE14" i="24"/>
  <c r="JD14" i="24"/>
  <c r="JC14" i="24"/>
  <c r="JA14" i="24"/>
  <c r="IZ14" i="24"/>
  <c r="IY14" i="24"/>
  <c r="IX14" i="24"/>
  <c r="IW14" i="24"/>
  <c r="IV14" i="24"/>
  <c r="JH13" i="24"/>
  <c r="JG13" i="24"/>
  <c r="JF13" i="24"/>
  <c r="JE13" i="24"/>
  <c r="JD13" i="24"/>
  <c r="JC13" i="24"/>
  <c r="JA13" i="24"/>
  <c r="IZ13" i="24"/>
  <c r="IY13" i="24"/>
  <c r="IX13" i="24"/>
  <c r="JB13" i="24" s="1"/>
  <c r="IW13" i="24"/>
  <c r="IV13" i="24"/>
  <c r="JH12" i="24"/>
  <c r="JG12" i="24"/>
  <c r="JF12" i="24"/>
  <c r="JE12" i="24"/>
  <c r="JD12" i="24"/>
  <c r="JC12" i="24"/>
  <c r="JA12" i="24"/>
  <c r="IZ12" i="24"/>
  <c r="IY12" i="24"/>
  <c r="IX12" i="24"/>
  <c r="IW12" i="24"/>
  <c r="IV12" i="24"/>
  <c r="JH11" i="24"/>
  <c r="JG11" i="24"/>
  <c r="JF11" i="24"/>
  <c r="JE11" i="24"/>
  <c r="JD11" i="24"/>
  <c r="JC11" i="24"/>
  <c r="JA11" i="24"/>
  <c r="IZ11" i="24"/>
  <c r="IY11" i="24"/>
  <c r="IX11" i="24"/>
  <c r="JB11" i="24" s="1"/>
  <c r="IW11" i="24"/>
  <c r="IV11" i="24"/>
  <c r="JH10" i="24"/>
  <c r="JG10" i="24"/>
  <c r="JF10" i="24"/>
  <c r="JE10" i="24"/>
  <c r="JD10" i="24"/>
  <c r="JC10" i="24"/>
  <c r="JA10" i="24"/>
  <c r="IZ10" i="24"/>
  <c r="IY10" i="24"/>
  <c r="IX10" i="24"/>
  <c r="IW10" i="24"/>
  <c r="IV10" i="24"/>
  <c r="JH9" i="24"/>
  <c r="JG9" i="24"/>
  <c r="JF9" i="24"/>
  <c r="JE9" i="24"/>
  <c r="JD9" i="24"/>
  <c r="JC9" i="24"/>
  <c r="JA9" i="24"/>
  <c r="IZ9" i="24"/>
  <c r="IY9" i="24"/>
  <c r="IX9" i="24"/>
  <c r="JB9" i="24" s="1"/>
  <c r="IW9" i="24"/>
  <c r="IV9" i="24"/>
  <c r="JH8" i="24"/>
  <c r="JG8" i="24"/>
  <c r="JF8" i="24"/>
  <c r="JE8" i="24"/>
  <c r="JD8" i="24"/>
  <c r="JC8" i="24"/>
  <c r="JA8" i="24"/>
  <c r="IZ8" i="24"/>
  <c r="IY8" i="24"/>
  <c r="IX8" i="24"/>
  <c r="IW8" i="24"/>
  <c r="IV8" i="24"/>
  <c r="JH7" i="24"/>
  <c r="JG7" i="24"/>
  <c r="JF7" i="24"/>
  <c r="JE7" i="24"/>
  <c r="JD7" i="24"/>
  <c r="JC7" i="24"/>
  <c r="JA7" i="24"/>
  <c r="IZ7" i="24"/>
  <c r="IY7" i="24"/>
  <c r="IX7" i="24"/>
  <c r="JB7" i="24" s="1"/>
  <c r="JI7" i="24" s="1"/>
  <c r="IW7" i="24"/>
  <c r="IV7" i="24"/>
  <c r="JH6" i="24"/>
  <c r="JG6" i="24"/>
  <c r="JF6" i="24"/>
  <c r="JE6" i="24"/>
  <c r="JD6" i="24"/>
  <c r="JC6" i="24"/>
  <c r="JA6" i="24"/>
  <c r="JB6" i="24" s="1"/>
  <c r="IZ6" i="24"/>
  <c r="IY6" i="24"/>
  <c r="IX6" i="24"/>
  <c r="IW6" i="24"/>
  <c r="IV6" i="24"/>
  <c r="JH5" i="24"/>
  <c r="JG5" i="24"/>
  <c r="JF5" i="24"/>
  <c r="JE5" i="24"/>
  <c r="JD5" i="24"/>
  <c r="JC5" i="24"/>
  <c r="JA5" i="24"/>
  <c r="IZ5" i="24"/>
  <c r="IY5" i="24"/>
  <c r="IX5" i="24"/>
  <c r="JB5" i="24" s="1"/>
  <c r="JI5" i="24" s="1"/>
  <c r="IW5" i="24"/>
  <c r="IV5" i="24"/>
  <c r="JH4" i="24"/>
  <c r="JG4" i="24"/>
  <c r="JF4" i="24"/>
  <c r="JE4" i="24"/>
  <c r="JD4" i="24"/>
  <c r="JC4" i="24"/>
  <c r="JA4" i="24"/>
  <c r="IZ4" i="24"/>
  <c r="IY4" i="24"/>
  <c r="IX4" i="24"/>
  <c r="IW4" i="24"/>
  <c r="IV4" i="24"/>
  <c r="HZ15" i="24"/>
  <c r="HY15" i="24"/>
  <c r="HX15" i="24"/>
  <c r="HW15" i="24"/>
  <c r="HV15" i="24"/>
  <c r="HU15" i="24"/>
  <c r="HS15" i="24"/>
  <c r="HR15" i="24"/>
  <c r="HQ15" i="24"/>
  <c r="HP15" i="24"/>
  <c r="HT15" i="24" s="1"/>
  <c r="IA15" i="24" s="1"/>
  <c r="HO15" i="24"/>
  <c r="HN15" i="24"/>
  <c r="HZ14" i="24"/>
  <c r="HY14" i="24"/>
  <c r="HX14" i="24"/>
  <c r="HW14" i="24"/>
  <c r="HV14" i="24"/>
  <c r="HU14" i="24"/>
  <c r="HS14" i="24"/>
  <c r="HR14" i="24"/>
  <c r="HQ14" i="24"/>
  <c r="HP14" i="24"/>
  <c r="HO14" i="24"/>
  <c r="HN14" i="24"/>
  <c r="HZ13" i="24"/>
  <c r="HY13" i="24"/>
  <c r="HX13" i="24"/>
  <c r="HW13" i="24"/>
  <c r="HV13" i="24"/>
  <c r="HU13" i="24"/>
  <c r="HS13" i="24"/>
  <c r="HR13" i="24"/>
  <c r="HQ13" i="24"/>
  <c r="HP13" i="24"/>
  <c r="HT13" i="24" s="1"/>
  <c r="IA13" i="24" s="1"/>
  <c r="HO13" i="24"/>
  <c r="HN13" i="24"/>
  <c r="HZ12" i="24"/>
  <c r="HY12" i="24"/>
  <c r="HX12" i="24"/>
  <c r="HW12" i="24"/>
  <c r="HV12" i="24"/>
  <c r="HU12" i="24"/>
  <c r="HS12" i="24"/>
  <c r="HR12" i="24"/>
  <c r="HQ12" i="24"/>
  <c r="HP12" i="24"/>
  <c r="HT12" i="24" s="1"/>
  <c r="HO12" i="24"/>
  <c r="HN12" i="24"/>
  <c r="HZ11" i="24"/>
  <c r="HY11" i="24"/>
  <c r="HX11" i="24"/>
  <c r="HW11" i="24"/>
  <c r="HV11" i="24"/>
  <c r="HU11" i="24"/>
  <c r="HS11" i="24"/>
  <c r="HR11" i="24"/>
  <c r="HQ11" i="24"/>
  <c r="HP11" i="24"/>
  <c r="HO11" i="24"/>
  <c r="HN11" i="24"/>
  <c r="HZ10" i="24"/>
  <c r="HY10" i="24"/>
  <c r="HX10" i="24"/>
  <c r="HW10" i="24"/>
  <c r="HV10" i="24"/>
  <c r="HU10" i="24"/>
  <c r="HS10" i="24"/>
  <c r="HT10" i="24" s="1"/>
  <c r="HR10" i="24"/>
  <c r="HQ10" i="24"/>
  <c r="HP10" i="24"/>
  <c r="HO10" i="24"/>
  <c r="HN10" i="24"/>
  <c r="HZ9" i="24"/>
  <c r="HY9" i="24"/>
  <c r="HX9" i="24"/>
  <c r="HW9" i="24"/>
  <c r="HV9" i="24"/>
  <c r="HU9" i="24"/>
  <c r="HS9" i="24"/>
  <c r="HR9" i="24"/>
  <c r="HQ9" i="24"/>
  <c r="HP9" i="24"/>
  <c r="HO9" i="24"/>
  <c r="HN9" i="24"/>
  <c r="HZ8" i="24"/>
  <c r="HY8" i="24"/>
  <c r="HX8" i="24"/>
  <c r="HW8" i="24"/>
  <c r="HV8" i="24"/>
  <c r="HU8" i="24"/>
  <c r="HS8" i="24"/>
  <c r="HR8" i="24"/>
  <c r="HQ8" i="24"/>
  <c r="HP8" i="24"/>
  <c r="HO8" i="24"/>
  <c r="HN8" i="24"/>
  <c r="HZ7" i="24"/>
  <c r="HY7" i="24"/>
  <c r="HX7" i="24"/>
  <c r="HW7" i="24"/>
  <c r="HV7" i="24"/>
  <c r="HU7" i="24"/>
  <c r="HS7" i="24"/>
  <c r="HR7" i="24"/>
  <c r="HQ7" i="24"/>
  <c r="HP7" i="24"/>
  <c r="HO7" i="24"/>
  <c r="HN7" i="24"/>
  <c r="HZ6" i="24"/>
  <c r="HY6" i="24"/>
  <c r="HX6" i="24"/>
  <c r="HW6" i="24"/>
  <c r="HV6" i="24"/>
  <c r="HU6" i="24"/>
  <c r="HS6" i="24"/>
  <c r="HR6" i="24"/>
  <c r="HQ6" i="24"/>
  <c r="HP6" i="24"/>
  <c r="HO6" i="24"/>
  <c r="HN6" i="24"/>
  <c r="HZ5" i="24"/>
  <c r="HY5" i="24"/>
  <c r="HX5" i="24"/>
  <c r="HW5" i="24"/>
  <c r="HV5" i="24"/>
  <c r="HU5" i="24"/>
  <c r="HS5" i="24"/>
  <c r="HR5" i="24"/>
  <c r="HQ5" i="24"/>
  <c r="HP5" i="24"/>
  <c r="HO5" i="24"/>
  <c r="HN5" i="24"/>
  <c r="HZ4" i="24"/>
  <c r="HY4" i="24"/>
  <c r="HX4" i="24"/>
  <c r="HW4" i="24"/>
  <c r="HV4" i="24"/>
  <c r="HU4" i="24"/>
  <c r="HS4" i="24"/>
  <c r="HR4" i="24"/>
  <c r="HQ4" i="24"/>
  <c r="HP4" i="24"/>
  <c r="HT4" i="24" s="1"/>
  <c r="HO4" i="24"/>
  <c r="HN4" i="24"/>
  <c r="GR15" i="24"/>
  <c r="GQ15" i="24"/>
  <c r="GP15" i="24"/>
  <c r="GO15" i="24"/>
  <c r="GN15" i="24"/>
  <c r="GM15" i="24"/>
  <c r="GK15" i="24"/>
  <c r="GJ15" i="24"/>
  <c r="GI15" i="24"/>
  <c r="GH15" i="24"/>
  <c r="GG15" i="24"/>
  <c r="GF15" i="24"/>
  <c r="GR14" i="24"/>
  <c r="GQ14" i="24"/>
  <c r="GP14" i="24"/>
  <c r="GO14" i="24"/>
  <c r="GN14" i="24"/>
  <c r="GM14" i="24"/>
  <c r="GK14" i="24"/>
  <c r="GJ14" i="24"/>
  <c r="GI14" i="24"/>
  <c r="GH14" i="24"/>
  <c r="GG14" i="24"/>
  <c r="GF14" i="24"/>
  <c r="GR13" i="24"/>
  <c r="GQ13" i="24"/>
  <c r="GP13" i="24"/>
  <c r="GO13" i="24"/>
  <c r="GN13" i="24"/>
  <c r="GM13" i="24"/>
  <c r="GK13" i="24"/>
  <c r="GJ13" i="24"/>
  <c r="GI13" i="24"/>
  <c r="GH13" i="24"/>
  <c r="GG13" i="24"/>
  <c r="GF13" i="24"/>
  <c r="GR12" i="24"/>
  <c r="GQ12" i="24"/>
  <c r="GP12" i="24"/>
  <c r="GO12" i="24"/>
  <c r="GN12" i="24"/>
  <c r="GM12" i="24"/>
  <c r="GK12" i="24"/>
  <c r="GJ12" i="24"/>
  <c r="GI12" i="24"/>
  <c r="GH12" i="24"/>
  <c r="GL12" i="24" s="1"/>
  <c r="GS12" i="24" s="1"/>
  <c r="GG12" i="24"/>
  <c r="GF12" i="24"/>
  <c r="GR11" i="24"/>
  <c r="GQ11" i="24"/>
  <c r="GP11" i="24"/>
  <c r="GO11" i="24"/>
  <c r="GN11" i="24"/>
  <c r="GM11" i="24"/>
  <c r="GK11" i="24"/>
  <c r="GJ11" i="24"/>
  <c r="GI11" i="24"/>
  <c r="GH11" i="24"/>
  <c r="GL11" i="24" s="1"/>
  <c r="GS11" i="24" s="1"/>
  <c r="GG11" i="24"/>
  <c r="GF11" i="24"/>
  <c r="GR10" i="24"/>
  <c r="GQ10" i="24"/>
  <c r="GP10" i="24"/>
  <c r="GO10" i="24"/>
  <c r="GN10" i="24"/>
  <c r="GM10" i="24"/>
  <c r="GK10" i="24"/>
  <c r="GJ10" i="24"/>
  <c r="GI10" i="24"/>
  <c r="GH10" i="24"/>
  <c r="GG10" i="24"/>
  <c r="GF10" i="24"/>
  <c r="GR9" i="24"/>
  <c r="GQ9" i="24"/>
  <c r="GP9" i="24"/>
  <c r="GO9" i="24"/>
  <c r="GN9" i="24"/>
  <c r="GM9" i="24"/>
  <c r="GK9" i="24"/>
  <c r="GJ9" i="24"/>
  <c r="GI9" i="24"/>
  <c r="GH9" i="24"/>
  <c r="GL9" i="24" s="1"/>
  <c r="GG9" i="24"/>
  <c r="GF9" i="24"/>
  <c r="GR8" i="24"/>
  <c r="GQ8" i="24"/>
  <c r="GP8" i="24"/>
  <c r="GO8" i="24"/>
  <c r="GN8" i="24"/>
  <c r="GM8" i="24"/>
  <c r="GK8" i="24"/>
  <c r="GJ8" i="24"/>
  <c r="GI8" i="24"/>
  <c r="GH8" i="24"/>
  <c r="GG8" i="24"/>
  <c r="GF8" i="24"/>
  <c r="GR7" i="24"/>
  <c r="GQ7" i="24"/>
  <c r="GP7" i="24"/>
  <c r="GO7" i="24"/>
  <c r="GN7" i="24"/>
  <c r="GM7" i="24"/>
  <c r="GK7" i="24"/>
  <c r="GJ7" i="24"/>
  <c r="GI7" i="24"/>
  <c r="GH7" i="24"/>
  <c r="GL7" i="24" s="1"/>
  <c r="GG7" i="24"/>
  <c r="GF7" i="24"/>
  <c r="GR6" i="24"/>
  <c r="GQ6" i="24"/>
  <c r="GP6" i="24"/>
  <c r="GO6" i="24"/>
  <c r="GN6" i="24"/>
  <c r="GM6" i="24"/>
  <c r="GK6" i="24"/>
  <c r="GL6" i="24" s="1"/>
  <c r="GJ6" i="24"/>
  <c r="GI6" i="24"/>
  <c r="GH6" i="24"/>
  <c r="GG6" i="24"/>
  <c r="GF6" i="24"/>
  <c r="GR5" i="24"/>
  <c r="GQ5" i="24"/>
  <c r="GP5" i="24"/>
  <c r="GO5" i="24"/>
  <c r="GN5" i="24"/>
  <c r="GM5" i="24"/>
  <c r="GK5" i="24"/>
  <c r="GJ5" i="24"/>
  <c r="GI5" i="24"/>
  <c r="GH5" i="24"/>
  <c r="GL5" i="24" s="1"/>
  <c r="GG5" i="24"/>
  <c r="GF5" i="24"/>
  <c r="GR4" i="24"/>
  <c r="GQ4" i="24"/>
  <c r="GP4" i="24"/>
  <c r="GO4" i="24"/>
  <c r="GN4" i="24"/>
  <c r="GM4" i="24"/>
  <c r="GK4" i="24"/>
  <c r="GJ4" i="24"/>
  <c r="GI4" i="24"/>
  <c r="GH4" i="24"/>
  <c r="GG4" i="24"/>
  <c r="GF4" i="24"/>
  <c r="FJ15" i="24"/>
  <c r="FI15" i="24"/>
  <c r="FH15" i="24"/>
  <c r="FG15" i="24"/>
  <c r="FF15" i="24"/>
  <c r="FE15" i="24"/>
  <c r="FC15" i="24"/>
  <c r="FB15" i="24"/>
  <c r="FA15" i="24"/>
  <c r="EZ15" i="24"/>
  <c r="FD15" i="24" s="1"/>
  <c r="EY15" i="24"/>
  <c r="EX15" i="24"/>
  <c r="FJ14" i="24"/>
  <c r="FI14" i="24"/>
  <c r="FH14" i="24"/>
  <c r="FG14" i="24"/>
  <c r="FF14" i="24"/>
  <c r="FE14" i="24"/>
  <c r="FC14" i="24"/>
  <c r="FD14" i="24" s="1"/>
  <c r="FK14" i="24" s="1"/>
  <c r="FB14" i="24"/>
  <c r="FA14" i="24"/>
  <c r="EZ14" i="24"/>
  <c r="EY14" i="24"/>
  <c r="EX14" i="24"/>
  <c r="FJ13" i="24"/>
  <c r="FI13" i="24"/>
  <c r="FH13" i="24"/>
  <c r="FG13" i="24"/>
  <c r="FF13" i="24"/>
  <c r="FE13" i="24"/>
  <c r="FC13" i="24"/>
  <c r="FB13" i="24"/>
  <c r="FA13" i="24"/>
  <c r="EZ13" i="24"/>
  <c r="FD13" i="24" s="1"/>
  <c r="EY13" i="24"/>
  <c r="EX13" i="24"/>
  <c r="FJ12" i="24"/>
  <c r="FI12" i="24"/>
  <c r="FH12" i="24"/>
  <c r="FG12" i="24"/>
  <c r="FF12" i="24"/>
  <c r="FE12" i="24"/>
  <c r="FC12" i="24"/>
  <c r="FB12" i="24"/>
  <c r="FA12" i="24"/>
  <c r="EZ12" i="24"/>
  <c r="EY12" i="24"/>
  <c r="EX12" i="24"/>
  <c r="FJ11" i="24"/>
  <c r="FI11" i="24"/>
  <c r="FH11" i="24"/>
  <c r="FG11" i="24"/>
  <c r="FF11" i="24"/>
  <c r="FE11" i="24"/>
  <c r="FC11" i="24"/>
  <c r="FB11" i="24"/>
  <c r="FA11" i="24"/>
  <c r="EZ11" i="24"/>
  <c r="FD11" i="24" s="1"/>
  <c r="FK11" i="24" s="1"/>
  <c r="EY11" i="24"/>
  <c r="EX11" i="24"/>
  <c r="FJ10" i="24"/>
  <c r="FI10" i="24"/>
  <c r="FH10" i="24"/>
  <c r="FG10" i="24"/>
  <c r="FF10" i="24"/>
  <c r="FE10" i="24"/>
  <c r="FC10" i="24"/>
  <c r="FD10" i="24" s="1"/>
  <c r="FK10" i="24" s="1"/>
  <c r="FB10" i="24"/>
  <c r="FA10" i="24"/>
  <c r="EZ10" i="24"/>
  <c r="EY10" i="24"/>
  <c r="EX10" i="24"/>
  <c r="FJ9" i="24"/>
  <c r="FI9" i="24"/>
  <c r="FH9" i="24"/>
  <c r="FG9" i="24"/>
  <c r="FF9" i="24"/>
  <c r="FE9" i="24"/>
  <c r="FC9" i="24"/>
  <c r="FB9" i="24"/>
  <c r="FA9" i="24"/>
  <c r="EZ9" i="24"/>
  <c r="FD9" i="24" s="1"/>
  <c r="FK9" i="24" s="1"/>
  <c r="EY9" i="24"/>
  <c r="EX9" i="24"/>
  <c r="FJ8" i="24"/>
  <c r="FI8" i="24"/>
  <c r="FH8" i="24"/>
  <c r="FG8" i="24"/>
  <c r="FF8" i="24"/>
  <c r="FE8" i="24"/>
  <c r="FC8" i="24"/>
  <c r="FB8" i="24"/>
  <c r="FA8" i="24"/>
  <c r="EZ8" i="24"/>
  <c r="EY8" i="24"/>
  <c r="EX8" i="24"/>
  <c r="FJ7" i="24"/>
  <c r="FI7" i="24"/>
  <c r="FH7" i="24"/>
  <c r="FG7" i="24"/>
  <c r="FF7" i="24"/>
  <c r="FE7" i="24"/>
  <c r="FC7" i="24"/>
  <c r="FB7" i="24"/>
  <c r="FA7" i="24"/>
  <c r="EZ7" i="24"/>
  <c r="FD7" i="24" s="1"/>
  <c r="FK7" i="24" s="1"/>
  <c r="EY7" i="24"/>
  <c r="EX7" i="24"/>
  <c r="FJ6" i="24"/>
  <c r="FI6" i="24"/>
  <c r="FH6" i="24"/>
  <c r="FG6" i="24"/>
  <c r="FF6" i="24"/>
  <c r="FE6" i="24"/>
  <c r="FC6" i="24"/>
  <c r="FB6" i="24"/>
  <c r="FA6" i="24"/>
  <c r="EZ6" i="24"/>
  <c r="EY6" i="24"/>
  <c r="EX6" i="24"/>
  <c r="FJ5" i="24"/>
  <c r="FI5" i="24"/>
  <c r="FH5" i="24"/>
  <c r="FG5" i="24"/>
  <c r="FF5" i="24"/>
  <c r="FE5" i="24"/>
  <c r="FC5" i="24"/>
  <c r="FB5" i="24"/>
  <c r="FA5" i="24"/>
  <c r="EZ5" i="24"/>
  <c r="FD5" i="24" s="1"/>
  <c r="FK5" i="24" s="1"/>
  <c r="EY5" i="24"/>
  <c r="EX5" i="24"/>
  <c r="FJ4" i="24"/>
  <c r="FI4" i="24"/>
  <c r="FH4" i="24"/>
  <c r="FG4" i="24"/>
  <c r="FF4" i="24"/>
  <c r="FE4" i="24"/>
  <c r="FC4" i="24"/>
  <c r="FB4" i="24"/>
  <c r="FA4" i="24"/>
  <c r="EZ4" i="24"/>
  <c r="EY4" i="24"/>
  <c r="EX4" i="24"/>
  <c r="EB15" i="24"/>
  <c r="EA15" i="24"/>
  <c r="DZ15" i="24"/>
  <c r="DY15" i="24"/>
  <c r="DX15" i="24"/>
  <c r="DW15" i="24"/>
  <c r="DU15" i="24"/>
  <c r="DT15" i="24"/>
  <c r="DS15" i="24"/>
  <c r="DR15" i="24"/>
  <c r="DV15" i="24" s="1"/>
  <c r="EC15" i="24" s="1"/>
  <c r="DQ15" i="24"/>
  <c r="DP15" i="24"/>
  <c r="EB14" i="24"/>
  <c r="EA14" i="24"/>
  <c r="DZ14" i="24"/>
  <c r="DY14" i="24"/>
  <c r="DX14" i="24"/>
  <c r="DW14" i="24"/>
  <c r="DU14" i="24"/>
  <c r="DT14" i="24"/>
  <c r="DS14" i="24"/>
  <c r="DR14" i="24"/>
  <c r="DQ14" i="24"/>
  <c r="DP14" i="24"/>
  <c r="EB13" i="24"/>
  <c r="EA13" i="24"/>
  <c r="DZ13" i="24"/>
  <c r="DY13" i="24"/>
  <c r="DX13" i="24"/>
  <c r="DW13" i="24"/>
  <c r="DU13" i="24"/>
  <c r="DT13" i="24"/>
  <c r="DS13" i="24"/>
  <c r="DR13" i="24"/>
  <c r="DQ13" i="24"/>
  <c r="DP13" i="24"/>
  <c r="EB12" i="24"/>
  <c r="EA12" i="24"/>
  <c r="DZ12" i="24"/>
  <c r="DY12" i="24"/>
  <c r="DX12" i="24"/>
  <c r="DW12" i="24"/>
  <c r="DU12" i="24"/>
  <c r="DT12" i="24"/>
  <c r="DS12" i="24"/>
  <c r="DR12" i="24"/>
  <c r="DQ12" i="24"/>
  <c r="DP12" i="24"/>
  <c r="EB11" i="24"/>
  <c r="EA11" i="24"/>
  <c r="DZ11" i="24"/>
  <c r="DY11" i="24"/>
  <c r="DX11" i="24"/>
  <c r="DW11" i="24"/>
  <c r="DU11" i="24"/>
  <c r="DT11" i="24"/>
  <c r="DS11" i="24"/>
  <c r="DR11" i="24"/>
  <c r="DQ11" i="24"/>
  <c r="DP11" i="24"/>
  <c r="EB10" i="24"/>
  <c r="EA10" i="24"/>
  <c r="DZ10" i="24"/>
  <c r="DY10" i="24"/>
  <c r="DX10" i="24"/>
  <c r="DW10" i="24"/>
  <c r="DU10" i="24"/>
  <c r="DT10" i="24"/>
  <c r="DS10" i="24"/>
  <c r="DR10" i="24"/>
  <c r="DQ10" i="24"/>
  <c r="DP10" i="24"/>
  <c r="EB9" i="24"/>
  <c r="EA9" i="24"/>
  <c r="DZ9" i="24"/>
  <c r="DY9" i="24"/>
  <c r="DX9" i="24"/>
  <c r="DW9" i="24"/>
  <c r="DU9" i="24"/>
  <c r="DT9" i="24"/>
  <c r="DS9" i="24"/>
  <c r="DR9" i="24"/>
  <c r="DQ9" i="24"/>
  <c r="DP9" i="24"/>
  <c r="EB8" i="24"/>
  <c r="EA8" i="24"/>
  <c r="DZ8" i="24"/>
  <c r="DY8" i="24"/>
  <c r="DX8" i="24"/>
  <c r="DW8" i="24"/>
  <c r="DU8" i="24"/>
  <c r="DT8" i="24"/>
  <c r="DS8" i="24"/>
  <c r="DR8" i="24"/>
  <c r="DQ8" i="24"/>
  <c r="DP8" i="24"/>
  <c r="EB7" i="24"/>
  <c r="EA7" i="24"/>
  <c r="DZ7" i="24"/>
  <c r="DY7" i="24"/>
  <c r="DX7" i="24"/>
  <c r="DW7" i="24"/>
  <c r="DU7" i="24"/>
  <c r="DT7" i="24"/>
  <c r="DS7" i="24"/>
  <c r="DR7" i="24"/>
  <c r="DQ7" i="24"/>
  <c r="DP7" i="24"/>
  <c r="EB6" i="24"/>
  <c r="EA6" i="24"/>
  <c r="DZ6" i="24"/>
  <c r="DY6" i="24"/>
  <c r="DX6" i="24"/>
  <c r="DW6" i="24"/>
  <c r="DU6" i="24"/>
  <c r="DT6" i="24"/>
  <c r="DS6" i="24"/>
  <c r="DR6" i="24"/>
  <c r="DQ6" i="24"/>
  <c r="DP6" i="24"/>
  <c r="EB5" i="24"/>
  <c r="EA5" i="24"/>
  <c r="DZ5" i="24"/>
  <c r="DY5" i="24"/>
  <c r="DX5" i="24"/>
  <c r="DW5" i="24"/>
  <c r="DU5" i="24"/>
  <c r="DT5" i="24"/>
  <c r="DS5" i="24"/>
  <c r="DR5" i="24"/>
  <c r="DQ5" i="24"/>
  <c r="DP5" i="24"/>
  <c r="EB4" i="24"/>
  <c r="EA4" i="24"/>
  <c r="DZ4" i="24"/>
  <c r="DY4" i="24"/>
  <c r="DX4" i="24"/>
  <c r="DW4" i="24"/>
  <c r="DU4" i="24"/>
  <c r="DT4" i="24"/>
  <c r="DS4" i="24"/>
  <c r="DR4" i="24"/>
  <c r="DQ4" i="24"/>
  <c r="DP4" i="24"/>
  <c r="RD16" i="23"/>
  <c r="RC16" i="23"/>
  <c r="RB16" i="23"/>
  <c r="RA16" i="23"/>
  <c r="QZ16" i="23"/>
  <c r="QY16" i="23"/>
  <c r="QW16" i="23"/>
  <c r="QV16" i="23"/>
  <c r="QU16" i="23"/>
  <c r="QT16" i="23"/>
  <c r="QX16" i="23" s="1"/>
  <c r="RE16" i="23" s="1"/>
  <c r="QS16" i="23"/>
  <c r="QR16" i="23"/>
  <c r="RD15" i="23"/>
  <c r="RC15" i="23"/>
  <c r="RB15" i="23"/>
  <c r="RA15" i="23"/>
  <c r="QZ15" i="23"/>
  <c r="QY15" i="23"/>
  <c r="QW15" i="23"/>
  <c r="QV15" i="23"/>
  <c r="QU15" i="23"/>
  <c r="QT15" i="23"/>
  <c r="QS15" i="23"/>
  <c r="QR15" i="23"/>
  <c r="RD13" i="23"/>
  <c r="RC13" i="23"/>
  <c r="RB13" i="23"/>
  <c r="RA13" i="23"/>
  <c r="QZ13" i="23"/>
  <c r="QY13" i="23"/>
  <c r="QW13" i="23"/>
  <c r="QV13" i="23"/>
  <c r="QU13" i="23"/>
  <c r="QT13" i="23"/>
  <c r="QS13" i="23"/>
  <c r="QR13" i="23"/>
  <c r="RD14" i="23"/>
  <c r="RC14" i="23"/>
  <c r="RB14" i="23"/>
  <c r="RA14" i="23"/>
  <c r="QZ14" i="23"/>
  <c r="QY14" i="23"/>
  <c r="QW14" i="23"/>
  <c r="QV14" i="23"/>
  <c r="QU14" i="23"/>
  <c r="QT14" i="23"/>
  <c r="QS14" i="23"/>
  <c r="QR14" i="23"/>
  <c r="RD12" i="23"/>
  <c r="RC12" i="23"/>
  <c r="RB12" i="23"/>
  <c r="RA12" i="23"/>
  <c r="QZ12" i="23"/>
  <c r="QY12" i="23"/>
  <c r="QW12" i="23"/>
  <c r="QV12" i="23"/>
  <c r="QU12" i="23"/>
  <c r="QT12" i="23"/>
  <c r="QX12" i="23" s="1"/>
  <c r="QS12" i="23"/>
  <c r="QR12" i="23"/>
  <c r="RD10" i="23"/>
  <c r="RC10" i="23"/>
  <c r="RB10" i="23"/>
  <c r="RA10" i="23"/>
  <c r="QZ10" i="23"/>
  <c r="QY10" i="23"/>
  <c r="QW10" i="23"/>
  <c r="QX10" i="23" s="1"/>
  <c r="QV10" i="23"/>
  <c r="QU10" i="23"/>
  <c r="QT10" i="23"/>
  <c r="QS10" i="23"/>
  <c r="QR10" i="23"/>
  <c r="RD9" i="23"/>
  <c r="RC9" i="23"/>
  <c r="RB9" i="23"/>
  <c r="RA9" i="23"/>
  <c r="QZ9" i="23"/>
  <c r="QY9" i="23"/>
  <c r="QW9" i="23"/>
  <c r="QV9" i="23"/>
  <c r="QU9" i="23"/>
  <c r="QT9" i="23"/>
  <c r="QX9" i="23" s="1"/>
  <c r="QS9" i="23"/>
  <c r="QR9" i="23"/>
  <c r="RD8" i="23"/>
  <c r="RC8" i="23"/>
  <c r="RB8" i="23"/>
  <c r="RA8" i="23"/>
  <c r="QZ8" i="23"/>
  <c r="QY8" i="23"/>
  <c r="QW8" i="23"/>
  <c r="QV8" i="23"/>
  <c r="QU8" i="23"/>
  <c r="QT8" i="23"/>
  <c r="QS8" i="23"/>
  <c r="QR8" i="23"/>
  <c r="RD7" i="23"/>
  <c r="RC7" i="23"/>
  <c r="RB7" i="23"/>
  <c r="RA7" i="23"/>
  <c r="QZ7" i="23"/>
  <c r="QY7" i="23"/>
  <c r="QW7" i="23"/>
  <c r="QV7" i="23"/>
  <c r="QU7" i="23"/>
  <c r="QT7" i="23"/>
  <c r="QX7" i="23" s="1"/>
  <c r="RE7" i="23" s="1"/>
  <c r="QS7" i="23"/>
  <c r="QR7" i="23"/>
  <c r="RD6" i="23"/>
  <c r="RC6" i="23"/>
  <c r="RB6" i="23"/>
  <c r="RA6" i="23"/>
  <c r="QZ6" i="23"/>
  <c r="QY6" i="23"/>
  <c r="QW6" i="23"/>
  <c r="QV6" i="23"/>
  <c r="QU6" i="23"/>
  <c r="QT6" i="23"/>
  <c r="QS6" i="23"/>
  <c r="QR6" i="23"/>
  <c r="RD5" i="23"/>
  <c r="RC5" i="23"/>
  <c r="RB5" i="23"/>
  <c r="RA5" i="23"/>
  <c r="QZ5" i="23"/>
  <c r="QY5" i="23"/>
  <c r="QW5" i="23"/>
  <c r="QV5" i="23"/>
  <c r="QU5" i="23"/>
  <c r="QT5" i="23"/>
  <c r="QX5" i="23" s="1"/>
  <c r="RE5" i="23" s="1"/>
  <c r="QS5" i="23"/>
  <c r="QR5" i="23"/>
  <c r="RD4" i="23"/>
  <c r="RC4" i="23"/>
  <c r="RB4" i="23"/>
  <c r="RA4" i="23"/>
  <c r="QZ4" i="23"/>
  <c r="QY4" i="23"/>
  <c r="QW4" i="23"/>
  <c r="QV4" i="23"/>
  <c r="QU4" i="23"/>
  <c r="QT4" i="23"/>
  <c r="QS4" i="23"/>
  <c r="QR4" i="23"/>
  <c r="PV16" i="23"/>
  <c r="PU16" i="23"/>
  <c r="PT16" i="23"/>
  <c r="PS16" i="23"/>
  <c r="PR16" i="23"/>
  <c r="PQ16" i="23"/>
  <c r="PO16" i="23"/>
  <c r="PN16" i="23"/>
  <c r="PM16" i="23"/>
  <c r="PL16" i="23"/>
  <c r="PP16" i="23" s="1"/>
  <c r="PW16" i="23" s="1"/>
  <c r="PK16" i="23"/>
  <c r="PJ16" i="23"/>
  <c r="PV15" i="23"/>
  <c r="PU15" i="23"/>
  <c r="PT15" i="23"/>
  <c r="PS15" i="23"/>
  <c r="PR15" i="23"/>
  <c r="PQ15" i="23"/>
  <c r="PO15" i="23"/>
  <c r="PP15" i="23" s="1"/>
  <c r="PN15" i="23"/>
  <c r="PM15" i="23"/>
  <c r="PL15" i="23"/>
  <c r="PK15" i="23"/>
  <c r="PJ15" i="23"/>
  <c r="PV13" i="23"/>
  <c r="PU13" i="23"/>
  <c r="PT13" i="23"/>
  <c r="PS13" i="23"/>
  <c r="PR13" i="23"/>
  <c r="PQ13" i="23"/>
  <c r="PO13" i="23"/>
  <c r="PN13" i="23"/>
  <c r="PM13" i="23"/>
  <c r="PL13" i="23"/>
  <c r="PK13" i="23"/>
  <c r="PJ13" i="23"/>
  <c r="PV14" i="23"/>
  <c r="PU14" i="23"/>
  <c r="PT14" i="23"/>
  <c r="PS14" i="23"/>
  <c r="PR14" i="23"/>
  <c r="PQ14" i="23"/>
  <c r="PO14" i="23"/>
  <c r="PN14" i="23"/>
  <c r="PM14" i="23"/>
  <c r="PL14" i="23"/>
  <c r="PK14" i="23"/>
  <c r="PJ14" i="23"/>
  <c r="PV12" i="23"/>
  <c r="PU12" i="23"/>
  <c r="PT12" i="23"/>
  <c r="PS12" i="23"/>
  <c r="PR12" i="23"/>
  <c r="PQ12" i="23"/>
  <c r="PO12" i="23"/>
  <c r="PN12" i="23"/>
  <c r="PM12" i="23"/>
  <c r="PL12" i="23"/>
  <c r="PP12" i="23" s="1"/>
  <c r="PW12" i="23" s="1"/>
  <c r="PK12" i="23"/>
  <c r="PJ12" i="23"/>
  <c r="PV10" i="23"/>
  <c r="PU10" i="23"/>
  <c r="PT10" i="23"/>
  <c r="PS10" i="23"/>
  <c r="PR10" i="23"/>
  <c r="PQ10" i="23"/>
  <c r="PO10" i="23"/>
  <c r="PP10" i="23" s="1"/>
  <c r="PW10" i="23" s="1"/>
  <c r="PN10" i="23"/>
  <c r="PM10" i="23"/>
  <c r="PL10" i="23"/>
  <c r="PK10" i="23"/>
  <c r="PJ10" i="23"/>
  <c r="PV9" i="23"/>
  <c r="PU9" i="23"/>
  <c r="PT9" i="23"/>
  <c r="PS9" i="23"/>
  <c r="PR9" i="23"/>
  <c r="PQ9" i="23"/>
  <c r="PO9" i="23"/>
  <c r="PN9" i="23"/>
  <c r="PM9" i="23"/>
  <c r="PL9" i="23"/>
  <c r="PP9" i="23" s="1"/>
  <c r="PW9" i="23" s="1"/>
  <c r="PK9" i="23"/>
  <c r="PJ9" i="23"/>
  <c r="PV8" i="23"/>
  <c r="PU8" i="23"/>
  <c r="PT8" i="23"/>
  <c r="PS8" i="23"/>
  <c r="PR8" i="23"/>
  <c r="PQ8" i="23"/>
  <c r="PO8" i="23"/>
  <c r="PN8" i="23"/>
  <c r="PM8" i="23"/>
  <c r="PL8" i="23"/>
  <c r="PK8" i="23"/>
  <c r="PJ8" i="23"/>
  <c r="PV7" i="23"/>
  <c r="PU7" i="23"/>
  <c r="PT7" i="23"/>
  <c r="PS7" i="23"/>
  <c r="PR7" i="23"/>
  <c r="PQ7" i="23"/>
  <c r="PO7" i="23"/>
  <c r="PN7" i="23"/>
  <c r="PM7" i="23"/>
  <c r="PL7" i="23"/>
  <c r="PP7" i="23" s="1"/>
  <c r="PW7" i="23" s="1"/>
  <c r="PK7" i="23"/>
  <c r="PJ7" i="23"/>
  <c r="PV6" i="23"/>
  <c r="PU6" i="23"/>
  <c r="PT6" i="23"/>
  <c r="PS6" i="23"/>
  <c r="PR6" i="23"/>
  <c r="PQ6" i="23"/>
  <c r="PO6" i="23"/>
  <c r="PN6" i="23"/>
  <c r="PM6" i="23"/>
  <c r="PL6" i="23"/>
  <c r="PK6" i="23"/>
  <c r="PJ6" i="23"/>
  <c r="PV5" i="23"/>
  <c r="PU5" i="23"/>
  <c r="PT5" i="23"/>
  <c r="PS5" i="23"/>
  <c r="PR5" i="23"/>
  <c r="PQ5" i="23"/>
  <c r="PO5" i="23"/>
  <c r="PN5" i="23"/>
  <c r="PM5" i="23"/>
  <c r="PL5" i="23"/>
  <c r="PK5" i="23"/>
  <c r="PJ5" i="23"/>
  <c r="PV4" i="23"/>
  <c r="PU4" i="23"/>
  <c r="PT4" i="23"/>
  <c r="PS4" i="23"/>
  <c r="PR4" i="23"/>
  <c r="PQ4" i="23"/>
  <c r="PO4" i="23"/>
  <c r="PN4" i="23"/>
  <c r="PM4" i="23"/>
  <c r="PL4" i="23"/>
  <c r="PK4" i="23"/>
  <c r="PJ4" i="23"/>
  <c r="ON16" i="23"/>
  <c r="OM16" i="23"/>
  <c r="OL16" i="23"/>
  <c r="OK16" i="23"/>
  <c r="OJ16" i="23"/>
  <c r="OI16" i="23"/>
  <c r="OG16" i="23"/>
  <c r="OF16" i="23"/>
  <c r="OE16" i="23"/>
  <c r="OD16" i="23"/>
  <c r="OH16" i="23" s="1"/>
  <c r="OC16" i="23"/>
  <c r="OB16" i="23"/>
  <c r="ON15" i="23"/>
  <c r="OM15" i="23"/>
  <c r="OL15" i="23"/>
  <c r="OK15" i="23"/>
  <c r="OJ15" i="23"/>
  <c r="OI15" i="23"/>
  <c r="OG15" i="23"/>
  <c r="OF15" i="23"/>
  <c r="OE15" i="23"/>
  <c r="OD15" i="23"/>
  <c r="OC15" i="23"/>
  <c r="OB15" i="23"/>
  <c r="ON13" i="23"/>
  <c r="OM13" i="23"/>
  <c r="OL13" i="23"/>
  <c r="OK13" i="23"/>
  <c r="OJ13" i="23"/>
  <c r="OI13" i="23"/>
  <c r="OG13" i="23"/>
  <c r="OF13" i="23"/>
  <c r="OE13" i="23"/>
  <c r="OD13" i="23"/>
  <c r="OC13" i="23"/>
  <c r="OB13" i="23"/>
  <c r="ON14" i="23"/>
  <c r="OM14" i="23"/>
  <c r="OL14" i="23"/>
  <c r="OK14" i="23"/>
  <c r="OJ14" i="23"/>
  <c r="OI14" i="23"/>
  <c r="OG14" i="23"/>
  <c r="OF14" i="23"/>
  <c r="OE14" i="23"/>
  <c r="OD14" i="23"/>
  <c r="OC14" i="23"/>
  <c r="OB14" i="23"/>
  <c r="ON12" i="23"/>
  <c r="OM12" i="23"/>
  <c r="OL12" i="23"/>
  <c r="OK12" i="23"/>
  <c r="OJ12" i="23"/>
  <c r="OI12" i="23"/>
  <c r="OG12" i="23"/>
  <c r="OF12" i="23"/>
  <c r="OE12" i="23"/>
  <c r="OD12" i="23"/>
  <c r="OC12" i="23"/>
  <c r="OB12" i="23"/>
  <c r="ON10" i="23"/>
  <c r="OM10" i="23"/>
  <c r="OL10" i="23"/>
  <c r="OK10" i="23"/>
  <c r="OJ10" i="23"/>
  <c r="OI10" i="23"/>
  <c r="OG10" i="23"/>
  <c r="OF10" i="23"/>
  <c r="OE10" i="23"/>
  <c r="OD10" i="23"/>
  <c r="OC10" i="23"/>
  <c r="OB10" i="23"/>
  <c r="ON9" i="23"/>
  <c r="OM9" i="23"/>
  <c r="OL9" i="23"/>
  <c r="OK9" i="23"/>
  <c r="OJ9" i="23"/>
  <c r="OI9" i="23"/>
  <c r="OG9" i="23"/>
  <c r="OF9" i="23"/>
  <c r="OE9" i="23"/>
  <c r="OD9" i="23"/>
  <c r="OC9" i="23"/>
  <c r="OB9" i="23"/>
  <c r="ON8" i="23"/>
  <c r="OM8" i="23"/>
  <c r="OL8" i="23"/>
  <c r="OK8" i="23"/>
  <c r="OJ8" i="23"/>
  <c r="OI8" i="23"/>
  <c r="OG8" i="23"/>
  <c r="OF8" i="23"/>
  <c r="OE8" i="23"/>
  <c r="OD8" i="23"/>
  <c r="OC8" i="23"/>
  <c r="OB8" i="23"/>
  <c r="ON7" i="23"/>
  <c r="OM7" i="23"/>
  <c r="OL7" i="23"/>
  <c r="OK7" i="23"/>
  <c r="OJ7" i="23"/>
  <c r="OI7" i="23"/>
  <c r="OG7" i="23"/>
  <c r="OF7" i="23"/>
  <c r="OE7" i="23"/>
  <c r="OD7" i="23"/>
  <c r="OH7" i="23" s="1"/>
  <c r="OO7" i="23" s="1"/>
  <c r="OC7" i="23"/>
  <c r="OB7" i="23"/>
  <c r="ON6" i="23"/>
  <c r="OM6" i="23"/>
  <c r="OL6" i="23"/>
  <c r="OK6" i="23"/>
  <c r="OJ6" i="23"/>
  <c r="OI6" i="23"/>
  <c r="OG6" i="23"/>
  <c r="OF6" i="23"/>
  <c r="OE6" i="23"/>
  <c r="OD6" i="23"/>
  <c r="OH6" i="23" s="1"/>
  <c r="OO6" i="23" s="1"/>
  <c r="OC6" i="23"/>
  <c r="OB6" i="23"/>
  <c r="ON5" i="23"/>
  <c r="OM5" i="23"/>
  <c r="OL5" i="23"/>
  <c r="OK5" i="23"/>
  <c r="OJ5" i="23"/>
  <c r="OI5" i="23"/>
  <c r="OG5" i="23"/>
  <c r="OF5" i="23"/>
  <c r="OE5" i="23"/>
  <c r="OD5" i="23"/>
  <c r="OH5" i="23" s="1"/>
  <c r="OC5" i="23"/>
  <c r="OB5" i="23"/>
  <c r="ON4" i="23"/>
  <c r="OM4" i="23"/>
  <c r="OL4" i="23"/>
  <c r="OK4" i="23"/>
  <c r="OJ4" i="23"/>
  <c r="OI4" i="23"/>
  <c r="OG4" i="23"/>
  <c r="OF4" i="23"/>
  <c r="OE4" i="23"/>
  <c r="OD4" i="23"/>
  <c r="OH4" i="23" s="1"/>
  <c r="OO4" i="23" s="1"/>
  <c r="OC4" i="23"/>
  <c r="OB4" i="23"/>
  <c r="NF16" i="23"/>
  <c r="NE16" i="23"/>
  <c r="ND16" i="23"/>
  <c r="NC16" i="23"/>
  <c r="NB16" i="23"/>
  <c r="NA16" i="23"/>
  <c r="MY16" i="23"/>
  <c r="MX16" i="23"/>
  <c r="MW16" i="23"/>
  <c r="MV16" i="23"/>
  <c r="MZ16" i="23" s="1"/>
  <c r="MU16" i="23"/>
  <c r="MT16" i="23"/>
  <c r="NF15" i="23"/>
  <c r="NE15" i="23"/>
  <c r="ND15" i="23"/>
  <c r="NC15" i="23"/>
  <c r="NB15" i="23"/>
  <c r="NA15" i="23"/>
  <c r="MY15" i="23"/>
  <c r="MX15" i="23"/>
  <c r="MW15" i="23"/>
  <c r="MV15" i="23"/>
  <c r="MU15" i="23"/>
  <c r="MT15" i="23"/>
  <c r="NF13" i="23"/>
  <c r="NE13" i="23"/>
  <c r="ND13" i="23"/>
  <c r="NC13" i="23"/>
  <c r="NB13" i="23"/>
  <c r="NA13" i="23"/>
  <c r="MY13" i="23"/>
  <c r="MX13" i="23"/>
  <c r="MW13" i="23"/>
  <c r="MV13" i="23"/>
  <c r="MU13" i="23"/>
  <c r="MT13" i="23"/>
  <c r="NF14" i="23"/>
  <c r="NE14" i="23"/>
  <c r="ND14" i="23"/>
  <c r="NC14" i="23"/>
  <c r="NB14" i="23"/>
  <c r="NA14" i="23"/>
  <c r="MY14" i="23"/>
  <c r="MX14" i="23"/>
  <c r="MW14" i="23"/>
  <c r="MV14" i="23"/>
  <c r="MU14" i="23"/>
  <c r="MT14" i="23"/>
  <c r="NF12" i="23"/>
  <c r="NE12" i="23"/>
  <c r="ND12" i="23"/>
  <c r="NC12" i="23"/>
  <c r="NB12" i="23"/>
  <c r="NA12" i="23"/>
  <c r="MY12" i="23"/>
  <c r="MX12" i="23"/>
  <c r="MW12" i="23"/>
  <c r="MV12" i="23"/>
  <c r="MZ12" i="23" s="1"/>
  <c r="MU12" i="23"/>
  <c r="MT12" i="23"/>
  <c r="NF10" i="23"/>
  <c r="NE10" i="23"/>
  <c r="ND10" i="23"/>
  <c r="NC10" i="23"/>
  <c r="NB10" i="23"/>
  <c r="NA10" i="23"/>
  <c r="MY10" i="23"/>
  <c r="MX10" i="23"/>
  <c r="MW10" i="23"/>
  <c r="MV10" i="23"/>
  <c r="MZ10" i="23" s="1"/>
  <c r="NG10" i="23" s="1"/>
  <c r="MU10" i="23"/>
  <c r="MT10" i="23"/>
  <c r="NF9" i="23"/>
  <c r="NE9" i="23"/>
  <c r="ND9" i="23"/>
  <c r="NC9" i="23"/>
  <c r="NB9" i="23"/>
  <c r="NA9" i="23"/>
  <c r="MY9" i="23"/>
  <c r="MX9" i="23"/>
  <c r="MW9" i="23"/>
  <c r="MV9" i="23"/>
  <c r="MU9" i="23"/>
  <c r="MT9" i="23"/>
  <c r="NF8" i="23"/>
  <c r="NE8" i="23"/>
  <c r="ND8" i="23"/>
  <c r="NC8" i="23"/>
  <c r="NB8" i="23"/>
  <c r="NA8" i="23"/>
  <c r="MY8" i="23"/>
  <c r="MX8" i="23"/>
  <c r="MW8" i="23"/>
  <c r="MV8" i="23"/>
  <c r="MU8" i="23"/>
  <c r="MT8" i="23"/>
  <c r="NF7" i="23"/>
  <c r="NE7" i="23"/>
  <c r="ND7" i="23"/>
  <c r="NC7" i="23"/>
  <c r="NB7" i="23"/>
  <c r="NA7" i="23"/>
  <c r="MY7" i="23"/>
  <c r="MX7" i="23"/>
  <c r="MW7" i="23"/>
  <c r="MV7" i="23"/>
  <c r="MZ7" i="23" s="1"/>
  <c r="MU7" i="23"/>
  <c r="MT7" i="23"/>
  <c r="NF6" i="23"/>
  <c r="NE6" i="23"/>
  <c r="ND6" i="23"/>
  <c r="NC6" i="23"/>
  <c r="NB6" i="23"/>
  <c r="NA6" i="23"/>
  <c r="MY6" i="23"/>
  <c r="MX6" i="23"/>
  <c r="MW6" i="23"/>
  <c r="MV6" i="23"/>
  <c r="MZ6" i="23" s="1"/>
  <c r="NG6" i="23" s="1"/>
  <c r="MU6" i="23"/>
  <c r="MT6" i="23"/>
  <c r="NF5" i="23"/>
  <c r="NE5" i="23"/>
  <c r="ND5" i="23"/>
  <c r="NC5" i="23"/>
  <c r="NB5" i="23"/>
  <c r="NA5" i="23"/>
  <c r="MY5" i="23"/>
  <c r="MX5" i="23"/>
  <c r="MW5" i="23"/>
  <c r="MV5" i="23"/>
  <c r="MU5" i="23"/>
  <c r="MT5" i="23"/>
  <c r="NF4" i="23"/>
  <c r="NE4" i="23"/>
  <c r="ND4" i="23"/>
  <c r="NC4" i="23"/>
  <c r="NB4" i="23"/>
  <c r="NA4" i="23"/>
  <c r="MY4" i="23"/>
  <c r="MX4" i="23"/>
  <c r="MW4" i="23"/>
  <c r="MV4" i="23"/>
  <c r="MZ4" i="23" s="1"/>
  <c r="NG4" i="23" s="1"/>
  <c r="MU4" i="23"/>
  <c r="MT4" i="23"/>
  <c r="LX16" i="23"/>
  <c r="LW16" i="23"/>
  <c r="LV16" i="23"/>
  <c r="LU16" i="23"/>
  <c r="LT16" i="23"/>
  <c r="LS16" i="23"/>
  <c r="LQ16" i="23"/>
  <c r="LP16" i="23"/>
  <c r="LO16" i="23"/>
  <c r="LN16" i="23"/>
  <c r="LM16" i="23"/>
  <c r="LL16" i="23"/>
  <c r="LX15" i="23"/>
  <c r="LW15" i="23"/>
  <c r="LV15" i="23"/>
  <c r="LU15" i="23"/>
  <c r="LT15" i="23"/>
  <c r="LS15" i="23"/>
  <c r="LQ15" i="23"/>
  <c r="LP15" i="23"/>
  <c r="LO15" i="23"/>
  <c r="LN15" i="23"/>
  <c r="LR15" i="23" s="1"/>
  <c r="LM15" i="23"/>
  <c r="LL15" i="23"/>
  <c r="LX13" i="23"/>
  <c r="LW13" i="23"/>
  <c r="LV13" i="23"/>
  <c r="LU13" i="23"/>
  <c r="LT13" i="23"/>
  <c r="LS13" i="23"/>
  <c r="LQ13" i="23"/>
  <c r="LP13" i="23"/>
  <c r="LO13" i="23"/>
  <c r="LN13" i="23"/>
  <c r="LM13" i="23"/>
  <c r="LL13" i="23"/>
  <c r="LX14" i="23"/>
  <c r="LW14" i="23"/>
  <c r="LV14" i="23"/>
  <c r="LU14" i="23"/>
  <c r="LT14" i="23"/>
  <c r="LS14" i="23"/>
  <c r="LQ14" i="23"/>
  <c r="LP14" i="23"/>
  <c r="LO14" i="23"/>
  <c r="LN14" i="23"/>
  <c r="LR14" i="23" s="1"/>
  <c r="LM14" i="23"/>
  <c r="LL14" i="23"/>
  <c r="LX12" i="23"/>
  <c r="LW12" i="23"/>
  <c r="LV12" i="23"/>
  <c r="LU12" i="23"/>
  <c r="LT12" i="23"/>
  <c r="LS12" i="23"/>
  <c r="LR12" i="23"/>
  <c r="LQ12" i="23"/>
  <c r="LP12" i="23"/>
  <c r="LO12" i="23"/>
  <c r="LN12" i="23"/>
  <c r="LM12" i="23"/>
  <c r="LL12" i="23"/>
  <c r="LX10" i="23"/>
  <c r="LW10" i="23"/>
  <c r="LV10" i="23"/>
  <c r="LU10" i="23"/>
  <c r="LT10" i="23"/>
  <c r="LS10" i="23"/>
  <c r="LQ10" i="23"/>
  <c r="LP10" i="23"/>
  <c r="LO10" i="23"/>
  <c r="LN10" i="23"/>
  <c r="LR10" i="23" s="1"/>
  <c r="LM10" i="23"/>
  <c r="LL10" i="23"/>
  <c r="LX9" i="23"/>
  <c r="LW9" i="23"/>
  <c r="LV9" i="23"/>
  <c r="LU9" i="23"/>
  <c r="LT9" i="23"/>
  <c r="LS9" i="23"/>
  <c r="LQ9" i="23"/>
  <c r="LP9" i="23"/>
  <c r="LO9" i="23"/>
  <c r="LN9" i="23"/>
  <c r="LM9" i="23"/>
  <c r="LL9" i="23"/>
  <c r="LX8" i="23"/>
  <c r="LW8" i="23"/>
  <c r="LV8" i="23"/>
  <c r="LU8" i="23"/>
  <c r="LT8" i="23"/>
  <c r="LS8" i="23"/>
  <c r="LQ8" i="23"/>
  <c r="LP8" i="23"/>
  <c r="LO8" i="23"/>
  <c r="LN8" i="23"/>
  <c r="LM8" i="23"/>
  <c r="LL8" i="23"/>
  <c r="LX7" i="23"/>
  <c r="LW7" i="23"/>
  <c r="LV7" i="23"/>
  <c r="LU7" i="23"/>
  <c r="LT7" i="23"/>
  <c r="LS7" i="23"/>
  <c r="LQ7" i="23"/>
  <c r="LP7" i="23"/>
  <c r="LO7" i="23"/>
  <c r="LN7" i="23"/>
  <c r="LM7" i="23"/>
  <c r="LL7" i="23"/>
  <c r="LX6" i="23"/>
  <c r="LW6" i="23"/>
  <c r="LV6" i="23"/>
  <c r="LU6" i="23"/>
  <c r="LT6" i="23"/>
  <c r="LS6" i="23"/>
  <c r="LQ6" i="23"/>
  <c r="LP6" i="23"/>
  <c r="LO6" i="23"/>
  <c r="LN6" i="23"/>
  <c r="LR6" i="23" s="1"/>
  <c r="LM6" i="23"/>
  <c r="LL6" i="23"/>
  <c r="LX5" i="23"/>
  <c r="LW5" i="23"/>
  <c r="LV5" i="23"/>
  <c r="LU5" i="23"/>
  <c r="LT5" i="23"/>
  <c r="LS5" i="23"/>
  <c r="LQ5" i="23"/>
  <c r="LP5" i="23"/>
  <c r="LO5" i="23"/>
  <c r="LN5" i="23"/>
  <c r="LR5" i="23" s="1"/>
  <c r="LM5" i="23"/>
  <c r="LL5" i="23"/>
  <c r="LX4" i="23"/>
  <c r="LW4" i="23"/>
  <c r="LV4" i="23"/>
  <c r="LU4" i="23"/>
  <c r="LT4" i="23"/>
  <c r="LS4" i="23"/>
  <c r="LQ4" i="23"/>
  <c r="LP4" i="23"/>
  <c r="LO4" i="23"/>
  <c r="LN4" i="23"/>
  <c r="LR4" i="23" s="1"/>
  <c r="LM4" i="23"/>
  <c r="LL4" i="23"/>
  <c r="KP16" i="23"/>
  <c r="KO16" i="23"/>
  <c r="KN16" i="23"/>
  <c r="KM16" i="23"/>
  <c r="KL16" i="23"/>
  <c r="KK16" i="23"/>
  <c r="KI16" i="23"/>
  <c r="KH16" i="23"/>
  <c r="KG16" i="23"/>
  <c r="KF16" i="23"/>
  <c r="KJ16" i="23" s="1"/>
  <c r="KQ16" i="23" s="1"/>
  <c r="KE16" i="23"/>
  <c r="KD16" i="23"/>
  <c r="KP15" i="23"/>
  <c r="KO15" i="23"/>
  <c r="KN15" i="23"/>
  <c r="KM15" i="23"/>
  <c r="KL15" i="23"/>
  <c r="KK15" i="23"/>
  <c r="KI15" i="23"/>
  <c r="KH15" i="23"/>
  <c r="KG15" i="23"/>
  <c r="KF15" i="23"/>
  <c r="KE15" i="23"/>
  <c r="KD15" i="23"/>
  <c r="KP13" i="23"/>
  <c r="KO13" i="23"/>
  <c r="KN13" i="23"/>
  <c r="KM13" i="23"/>
  <c r="KL13" i="23"/>
  <c r="KK13" i="23"/>
  <c r="KI13" i="23"/>
  <c r="KH13" i="23"/>
  <c r="KG13" i="23"/>
  <c r="KF13" i="23"/>
  <c r="KJ13" i="23" s="1"/>
  <c r="KQ13" i="23" s="1"/>
  <c r="KE13" i="23"/>
  <c r="KD13" i="23"/>
  <c r="KP14" i="23"/>
  <c r="KO14" i="23"/>
  <c r="KN14" i="23"/>
  <c r="KM14" i="23"/>
  <c r="KL14" i="23"/>
  <c r="KK14" i="23"/>
  <c r="KI14" i="23"/>
  <c r="KH14" i="23"/>
  <c r="KG14" i="23"/>
  <c r="KF14" i="23"/>
  <c r="KJ14" i="23" s="1"/>
  <c r="KE14" i="23"/>
  <c r="KD14" i="23"/>
  <c r="KP12" i="23"/>
  <c r="KO12" i="23"/>
  <c r="KN12" i="23"/>
  <c r="KM12" i="23"/>
  <c r="KL12" i="23"/>
  <c r="KK12" i="23"/>
  <c r="KI12" i="23"/>
  <c r="KH12" i="23"/>
  <c r="KG12" i="23"/>
  <c r="KF12" i="23"/>
  <c r="KJ12" i="23" s="1"/>
  <c r="KQ12" i="23" s="1"/>
  <c r="KE12" i="23"/>
  <c r="KD12" i="23"/>
  <c r="KP10" i="23"/>
  <c r="KO10" i="23"/>
  <c r="KN10" i="23"/>
  <c r="KM10" i="23"/>
  <c r="KL10" i="23"/>
  <c r="KK10" i="23"/>
  <c r="KI10" i="23"/>
  <c r="KH10" i="23"/>
  <c r="KG10" i="23"/>
  <c r="KF10" i="23"/>
  <c r="KE10" i="23"/>
  <c r="KD10" i="23"/>
  <c r="KP9" i="23"/>
  <c r="KO9" i="23"/>
  <c r="KN9" i="23"/>
  <c r="KM9" i="23"/>
  <c r="KL9" i="23"/>
  <c r="KK9" i="23"/>
  <c r="KI9" i="23"/>
  <c r="KH9" i="23"/>
  <c r="KG9" i="23"/>
  <c r="KF9" i="23"/>
  <c r="KE9" i="23"/>
  <c r="KD9" i="23"/>
  <c r="KP8" i="23"/>
  <c r="KO8" i="23"/>
  <c r="KN8" i="23"/>
  <c r="KM8" i="23"/>
  <c r="KL8" i="23"/>
  <c r="KK8" i="23"/>
  <c r="KI8" i="23"/>
  <c r="KH8" i="23"/>
  <c r="KG8" i="23"/>
  <c r="KF8" i="23"/>
  <c r="KE8" i="23"/>
  <c r="KD8" i="23"/>
  <c r="KP7" i="23"/>
  <c r="KO7" i="23"/>
  <c r="KN7" i="23"/>
  <c r="KM7" i="23"/>
  <c r="KL7" i="23"/>
  <c r="KK7" i="23"/>
  <c r="KI7" i="23"/>
  <c r="KH7" i="23"/>
  <c r="KG7" i="23"/>
  <c r="KF7" i="23"/>
  <c r="KJ7" i="23" s="1"/>
  <c r="KQ7" i="23" s="1"/>
  <c r="KE7" i="23"/>
  <c r="KD7" i="23"/>
  <c r="KP6" i="23"/>
  <c r="KO6" i="23"/>
  <c r="KN6" i="23"/>
  <c r="KM6" i="23"/>
  <c r="KL6" i="23"/>
  <c r="KK6" i="23"/>
  <c r="KI6" i="23"/>
  <c r="KH6" i="23"/>
  <c r="KG6" i="23"/>
  <c r="KF6" i="23"/>
  <c r="KE6" i="23"/>
  <c r="KD6" i="23"/>
  <c r="KP5" i="23"/>
  <c r="KO5" i="23"/>
  <c r="KN5" i="23"/>
  <c r="KM5" i="23"/>
  <c r="KL5" i="23"/>
  <c r="KK5" i="23"/>
  <c r="KI5" i="23"/>
  <c r="KH5" i="23"/>
  <c r="KG5" i="23"/>
  <c r="KF5" i="23"/>
  <c r="KE5" i="23"/>
  <c r="KD5" i="23"/>
  <c r="KP4" i="23"/>
  <c r="KO4" i="23"/>
  <c r="KN4" i="23"/>
  <c r="KM4" i="23"/>
  <c r="KL4" i="23"/>
  <c r="KK4" i="23"/>
  <c r="KI4" i="23"/>
  <c r="KH4" i="23"/>
  <c r="KG4" i="23"/>
  <c r="KF4" i="23"/>
  <c r="KE4" i="23"/>
  <c r="KD4" i="23"/>
  <c r="JH16" i="23"/>
  <c r="JG16" i="23"/>
  <c r="JF16" i="23"/>
  <c r="JE16" i="23"/>
  <c r="JD16" i="23"/>
  <c r="JC16" i="23"/>
  <c r="JA16" i="23"/>
  <c r="IZ16" i="23"/>
  <c r="IY16" i="23"/>
  <c r="IX16" i="23"/>
  <c r="IW16" i="23"/>
  <c r="IV16" i="23"/>
  <c r="JH15" i="23"/>
  <c r="JG15" i="23"/>
  <c r="JF15" i="23"/>
  <c r="JE15" i="23"/>
  <c r="JD15" i="23"/>
  <c r="JC15" i="23"/>
  <c r="JA15" i="23"/>
  <c r="IZ15" i="23"/>
  <c r="IY15" i="23"/>
  <c r="IX15" i="23"/>
  <c r="IW15" i="23"/>
  <c r="IV15" i="23"/>
  <c r="JH13" i="23"/>
  <c r="JG13" i="23"/>
  <c r="JF13" i="23"/>
  <c r="JE13" i="23"/>
  <c r="JD13" i="23"/>
  <c r="JC13" i="23"/>
  <c r="JA13" i="23"/>
  <c r="IZ13" i="23"/>
  <c r="IY13" i="23"/>
  <c r="IX13" i="23"/>
  <c r="IW13" i="23"/>
  <c r="IV13" i="23"/>
  <c r="JH14" i="23"/>
  <c r="JG14" i="23"/>
  <c r="JF14" i="23"/>
  <c r="JE14" i="23"/>
  <c r="JD14" i="23"/>
  <c r="JC14" i="23"/>
  <c r="JA14" i="23"/>
  <c r="IZ14" i="23"/>
  <c r="IY14" i="23"/>
  <c r="IX14" i="23"/>
  <c r="IW14" i="23"/>
  <c r="IV14" i="23"/>
  <c r="JH12" i="23"/>
  <c r="JG12" i="23"/>
  <c r="JF12" i="23"/>
  <c r="JE12" i="23"/>
  <c r="JD12" i="23"/>
  <c r="JC12" i="23"/>
  <c r="JA12" i="23"/>
  <c r="IZ12" i="23"/>
  <c r="IY12" i="23"/>
  <c r="IX12" i="23"/>
  <c r="JB12" i="23" s="1"/>
  <c r="JI12" i="23" s="1"/>
  <c r="IW12" i="23"/>
  <c r="IV12" i="23"/>
  <c r="JH10" i="23"/>
  <c r="JG10" i="23"/>
  <c r="JF10" i="23"/>
  <c r="JE10" i="23"/>
  <c r="JD10" i="23"/>
  <c r="JC10" i="23"/>
  <c r="JA10" i="23"/>
  <c r="IZ10" i="23"/>
  <c r="IY10" i="23"/>
  <c r="IX10" i="23"/>
  <c r="JB10" i="23" s="1"/>
  <c r="IW10" i="23"/>
  <c r="IV10" i="23"/>
  <c r="JH9" i="23"/>
  <c r="JG9" i="23"/>
  <c r="JF9" i="23"/>
  <c r="JE9" i="23"/>
  <c r="JD9" i="23"/>
  <c r="JC9" i="23"/>
  <c r="JA9" i="23"/>
  <c r="IZ9" i="23"/>
  <c r="IY9" i="23"/>
  <c r="IX9" i="23"/>
  <c r="JB9" i="23" s="1"/>
  <c r="JI9" i="23" s="1"/>
  <c r="IW9" i="23"/>
  <c r="IV9" i="23"/>
  <c r="JH8" i="23"/>
  <c r="JG8" i="23"/>
  <c r="JF8" i="23"/>
  <c r="JE8" i="23"/>
  <c r="JD8" i="23"/>
  <c r="JC8" i="23"/>
  <c r="JA8" i="23"/>
  <c r="IZ8" i="23"/>
  <c r="IY8" i="23"/>
  <c r="IX8" i="23"/>
  <c r="JB8" i="23" s="1"/>
  <c r="IW8" i="23"/>
  <c r="IV8" i="23"/>
  <c r="JH7" i="23"/>
  <c r="JG7" i="23"/>
  <c r="JF7" i="23"/>
  <c r="JE7" i="23"/>
  <c r="JD7" i="23"/>
  <c r="JC7" i="23"/>
  <c r="JA7" i="23"/>
  <c r="IZ7" i="23"/>
  <c r="IY7" i="23"/>
  <c r="IX7" i="23"/>
  <c r="JB7" i="23" s="1"/>
  <c r="JI7" i="23" s="1"/>
  <c r="IW7" i="23"/>
  <c r="IV7" i="23"/>
  <c r="JH6" i="23"/>
  <c r="JG6" i="23"/>
  <c r="JF6" i="23"/>
  <c r="JE6" i="23"/>
  <c r="JD6" i="23"/>
  <c r="JC6" i="23"/>
  <c r="JA6" i="23"/>
  <c r="IZ6" i="23"/>
  <c r="IY6" i="23"/>
  <c r="IX6" i="23"/>
  <c r="IW6" i="23"/>
  <c r="IV6" i="23"/>
  <c r="JH5" i="23"/>
  <c r="JG5" i="23"/>
  <c r="JF5" i="23"/>
  <c r="JE5" i="23"/>
  <c r="JD5" i="23"/>
  <c r="JC5" i="23"/>
  <c r="JA5" i="23"/>
  <c r="IZ5" i="23"/>
  <c r="IY5" i="23"/>
  <c r="IX5" i="23"/>
  <c r="IW5" i="23"/>
  <c r="IV5" i="23"/>
  <c r="JH4" i="23"/>
  <c r="JG4" i="23"/>
  <c r="JF4" i="23"/>
  <c r="JE4" i="23"/>
  <c r="JD4" i="23"/>
  <c r="JC4" i="23"/>
  <c r="JA4" i="23"/>
  <c r="IZ4" i="23"/>
  <c r="IY4" i="23"/>
  <c r="IX4" i="23"/>
  <c r="IW4" i="23"/>
  <c r="IV4" i="23"/>
  <c r="HZ16" i="23"/>
  <c r="HY16" i="23"/>
  <c r="HX16" i="23"/>
  <c r="HW16" i="23"/>
  <c r="HV16" i="23"/>
  <c r="HU16" i="23"/>
  <c r="HS16" i="23"/>
  <c r="HR16" i="23"/>
  <c r="HQ16" i="23"/>
  <c r="HP16" i="23"/>
  <c r="HT16" i="23" s="1"/>
  <c r="IA16" i="23" s="1"/>
  <c r="HO16" i="23"/>
  <c r="HN16" i="23"/>
  <c r="HZ15" i="23"/>
  <c r="HY15" i="23"/>
  <c r="HX15" i="23"/>
  <c r="HW15" i="23"/>
  <c r="HV15" i="23"/>
  <c r="HU15" i="23"/>
  <c r="HS15" i="23"/>
  <c r="HR15" i="23"/>
  <c r="HQ15" i="23"/>
  <c r="HP15" i="23"/>
  <c r="HO15" i="23"/>
  <c r="HN15" i="23"/>
  <c r="HZ13" i="23"/>
  <c r="HY13" i="23"/>
  <c r="HX13" i="23"/>
  <c r="HW13" i="23"/>
  <c r="HV13" i="23"/>
  <c r="HU13" i="23"/>
  <c r="HS13" i="23"/>
  <c r="HR13" i="23"/>
  <c r="HQ13" i="23"/>
  <c r="HP13" i="23"/>
  <c r="HT13" i="23" s="1"/>
  <c r="IA13" i="23" s="1"/>
  <c r="HO13" i="23"/>
  <c r="HN13" i="23"/>
  <c r="HZ14" i="23"/>
  <c r="HY14" i="23"/>
  <c r="HX14" i="23"/>
  <c r="HW14" i="23"/>
  <c r="HV14" i="23"/>
  <c r="HU14" i="23"/>
  <c r="HS14" i="23"/>
  <c r="HR14" i="23"/>
  <c r="HQ14" i="23"/>
  <c r="HP14" i="23"/>
  <c r="HT14" i="23" s="1"/>
  <c r="HO14" i="23"/>
  <c r="HN14" i="23"/>
  <c r="HZ12" i="23"/>
  <c r="HY12" i="23"/>
  <c r="HX12" i="23"/>
  <c r="HW12" i="23"/>
  <c r="HV12" i="23"/>
  <c r="HU12" i="23"/>
  <c r="HS12" i="23"/>
  <c r="HR12" i="23"/>
  <c r="HQ12" i="23"/>
  <c r="HP12" i="23"/>
  <c r="HT12" i="23" s="1"/>
  <c r="IA12" i="23" s="1"/>
  <c r="HO12" i="23"/>
  <c r="HN12" i="23"/>
  <c r="HZ10" i="23"/>
  <c r="HY10" i="23"/>
  <c r="HX10" i="23"/>
  <c r="HW10" i="23"/>
  <c r="HV10" i="23"/>
  <c r="HU10" i="23"/>
  <c r="HS10" i="23"/>
  <c r="HR10" i="23"/>
  <c r="HQ10" i="23"/>
  <c r="HP10" i="23"/>
  <c r="HO10" i="23"/>
  <c r="HN10" i="23"/>
  <c r="HZ9" i="23"/>
  <c r="HY9" i="23"/>
  <c r="HX9" i="23"/>
  <c r="HW9" i="23"/>
  <c r="HV9" i="23"/>
  <c r="HU9" i="23"/>
  <c r="HS9" i="23"/>
  <c r="HR9" i="23"/>
  <c r="HQ9" i="23"/>
  <c r="HP9" i="23"/>
  <c r="HT9" i="23" s="1"/>
  <c r="HO9" i="23"/>
  <c r="HN9" i="23"/>
  <c r="HZ8" i="23"/>
  <c r="HY8" i="23"/>
  <c r="HX8" i="23"/>
  <c r="HW8" i="23"/>
  <c r="HV8" i="23"/>
  <c r="HU8" i="23"/>
  <c r="HS8" i="23"/>
  <c r="HR8" i="23"/>
  <c r="HQ8" i="23"/>
  <c r="HP8" i="23"/>
  <c r="HO8" i="23"/>
  <c r="HN8" i="23"/>
  <c r="HZ7" i="23"/>
  <c r="HY7" i="23"/>
  <c r="HX7" i="23"/>
  <c r="HW7" i="23"/>
  <c r="HV7" i="23"/>
  <c r="HU7" i="23"/>
  <c r="HS7" i="23"/>
  <c r="HR7" i="23"/>
  <c r="HQ7" i="23"/>
  <c r="HP7" i="23"/>
  <c r="HT7" i="23" s="1"/>
  <c r="IA7" i="23" s="1"/>
  <c r="HO7" i="23"/>
  <c r="HN7" i="23"/>
  <c r="HZ6" i="23"/>
  <c r="HY6" i="23"/>
  <c r="HX6" i="23"/>
  <c r="HW6" i="23"/>
  <c r="HV6" i="23"/>
  <c r="HU6" i="23"/>
  <c r="HS6" i="23"/>
  <c r="HR6" i="23"/>
  <c r="HQ6" i="23"/>
  <c r="HP6" i="23"/>
  <c r="HO6" i="23"/>
  <c r="HN6" i="23"/>
  <c r="HZ5" i="23"/>
  <c r="HY5" i="23"/>
  <c r="HX5" i="23"/>
  <c r="HW5" i="23"/>
  <c r="HV5" i="23"/>
  <c r="HU5" i="23"/>
  <c r="HS5" i="23"/>
  <c r="HR5" i="23"/>
  <c r="HQ5" i="23"/>
  <c r="HP5" i="23"/>
  <c r="HT5" i="23" s="1"/>
  <c r="IA5" i="23" s="1"/>
  <c r="HO5" i="23"/>
  <c r="HN5" i="23"/>
  <c r="HZ4" i="23"/>
  <c r="HY4" i="23"/>
  <c r="HX4" i="23"/>
  <c r="HW4" i="23"/>
  <c r="HV4" i="23"/>
  <c r="HU4" i="23"/>
  <c r="HS4" i="23"/>
  <c r="HR4" i="23"/>
  <c r="HQ4" i="23"/>
  <c r="HP4" i="23"/>
  <c r="HT4" i="23" s="1"/>
  <c r="HO4" i="23"/>
  <c r="HN4" i="23"/>
  <c r="GR16" i="23"/>
  <c r="GQ16" i="23"/>
  <c r="GP16" i="23"/>
  <c r="GO16" i="23"/>
  <c r="GN16" i="23"/>
  <c r="GM16" i="23"/>
  <c r="GK16" i="23"/>
  <c r="GJ16" i="23"/>
  <c r="GI16" i="23"/>
  <c r="GH16" i="23"/>
  <c r="GL16" i="23" s="1"/>
  <c r="GS16" i="23" s="1"/>
  <c r="GG16" i="23"/>
  <c r="GF16" i="23"/>
  <c r="GR15" i="23"/>
  <c r="GQ15" i="23"/>
  <c r="GP15" i="23"/>
  <c r="GO15" i="23"/>
  <c r="GN15" i="23"/>
  <c r="GM15" i="23"/>
  <c r="GK15" i="23"/>
  <c r="GJ15" i="23"/>
  <c r="GI15" i="23"/>
  <c r="GH15" i="23"/>
  <c r="GG15" i="23"/>
  <c r="GF15" i="23"/>
  <c r="GR13" i="23"/>
  <c r="GQ13" i="23"/>
  <c r="GP13" i="23"/>
  <c r="GO13" i="23"/>
  <c r="GN13" i="23"/>
  <c r="GM13" i="23"/>
  <c r="GK13" i="23"/>
  <c r="GJ13" i="23"/>
  <c r="GI13" i="23"/>
  <c r="GH13" i="23"/>
  <c r="GG13" i="23"/>
  <c r="GF13" i="23"/>
  <c r="GR14" i="23"/>
  <c r="GQ14" i="23"/>
  <c r="GP14" i="23"/>
  <c r="GO14" i="23"/>
  <c r="GN14" i="23"/>
  <c r="GM14" i="23"/>
  <c r="GK14" i="23"/>
  <c r="GJ14" i="23"/>
  <c r="GI14" i="23"/>
  <c r="GH14" i="23"/>
  <c r="GG14" i="23"/>
  <c r="GF14" i="23"/>
  <c r="GR12" i="23"/>
  <c r="GQ12" i="23"/>
  <c r="GP12" i="23"/>
  <c r="GO12" i="23"/>
  <c r="GN12" i="23"/>
  <c r="GM12" i="23"/>
  <c r="GK12" i="23"/>
  <c r="GJ12" i="23"/>
  <c r="GI12" i="23"/>
  <c r="GH12" i="23"/>
  <c r="GL12" i="23" s="1"/>
  <c r="GG12" i="23"/>
  <c r="GF12" i="23"/>
  <c r="GR10" i="23"/>
  <c r="GQ10" i="23"/>
  <c r="GP10" i="23"/>
  <c r="GO10" i="23"/>
  <c r="GN10" i="23"/>
  <c r="GM10" i="23"/>
  <c r="GK10" i="23"/>
  <c r="GJ10" i="23"/>
  <c r="GI10" i="23"/>
  <c r="GH10" i="23"/>
  <c r="GG10" i="23"/>
  <c r="GF10" i="23"/>
  <c r="GR9" i="23"/>
  <c r="GQ9" i="23"/>
  <c r="GP9" i="23"/>
  <c r="GO9" i="23"/>
  <c r="GN9" i="23"/>
  <c r="GM9" i="23"/>
  <c r="GK9" i="23"/>
  <c r="GJ9" i="23"/>
  <c r="GI9" i="23"/>
  <c r="GH9" i="23"/>
  <c r="GL9" i="23" s="1"/>
  <c r="GG9" i="23"/>
  <c r="GF9" i="23"/>
  <c r="GR8" i="23"/>
  <c r="GQ8" i="23"/>
  <c r="GP8" i="23"/>
  <c r="GO8" i="23"/>
  <c r="GN8" i="23"/>
  <c r="GM8" i="23"/>
  <c r="GK8" i="23"/>
  <c r="GJ8" i="23"/>
  <c r="GI8" i="23"/>
  <c r="GH8" i="23"/>
  <c r="GG8" i="23"/>
  <c r="GF8" i="23"/>
  <c r="GR7" i="23"/>
  <c r="GQ7" i="23"/>
  <c r="GP7" i="23"/>
  <c r="GO7" i="23"/>
  <c r="GN7" i="23"/>
  <c r="GM7" i="23"/>
  <c r="GK7" i="23"/>
  <c r="GJ7" i="23"/>
  <c r="GI7" i="23"/>
  <c r="GH7" i="23"/>
  <c r="GG7" i="23"/>
  <c r="GF7" i="23"/>
  <c r="GR6" i="23"/>
  <c r="GQ6" i="23"/>
  <c r="GP6" i="23"/>
  <c r="GO6" i="23"/>
  <c r="GN6" i="23"/>
  <c r="GM6" i="23"/>
  <c r="GK6" i="23"/>
  <c r="GJ6" i="23"/>
  <c r="GI6" i="23"/>
  <c r="GH6" i="23"/>
  <c r="GG6" i="23"/>
  <c r="GF6" i="23"/>
  <c r="GR5" i="23"/>
  <c r="GQ5" i="23"/>
  <c r="GP5" i="23"/>
  <c r="GO5" i="23"/>
  <c r="GN5" i="23"/>
  <c r="GM5" i="23"/>
  <c r="GK5" i="23"/>
  <c r="GJ5" i="23"/>
  <c r="GI5" i="23"/>
  <c r="GH5" i="23"/>
  <c r="GG5" i="23"/>
  <c r="GF5" i="23"/>
  <c r="GR4" i="23"/>
  <c r="GQ4" i="23"/>
  <c r="GP4" i="23"/>
  <c r="GO4" i="23"/>
  <c r="GN4" i="23"/>
  <c r="GM4" i="23"/>
  <c r="GK4" i="23"/>
  <c r="GJ4" i="23"/>
  <c r="GI4" i="23"/>
  <c r="GH4" i="23"/>
  <c r="GG4" i="23"/>
  <c r="GF4" i="23"/>
  <c r="FJ16" i="23"/>
  <c r="FI16" i="23"/>
  <c r="FH16" i="23"/>
  <c r="FG16" i="23"/>
  <c r="FF16" i="23"/>
  <c r="FE16" i="23"/>
  <c r="FC16" i="23"/>
  <c r="FB16" i="23"/>
  <c r="FA16" i="23"/>
  <c r="EZ16" i="23"/>
  <c r="FD16" i="23" s="1"/>
  <c r="FK16" i="23" s="1"/>
  <c r="EY16" i="23"/>
  <c r="EX16" i="23"/>
  <c r="FJ15" i="23"/>
  <c r="FI15" i="23"/>
  <c r="FH15" i="23"/>
  <c r="FG15" i="23"/>
  <c r="FF15" i="23"/>
  <c r="FE15" i="23"/>
  <c r="FC15" i="23"/>
  <c r="FB15" i="23"/>
  <c r="FA15" i="23"/>
  <c r="EZ15" i="23"/>
  <c r="EY15" i="23"/>
  <c r="EX15" i="23"/>
  <c r="FJ13" i="23"/>
  <c r="FI13" i="23"/>
  <c r="FH13" i="23"/>
  <c r="FG13" i="23"/>
  <c r="FF13" i="23"/>
  <c r="FE13" i="23"/>
  <c r="FC13" i="23"/>
  <c r="FB13" i="23"/>
  <c r="FA13" i="23"/>
  <c r="EZ13" i="23"/>
  <c r="FD13" i="23" s="1"/>
  <c r="EY13" i="23"/>
  <c r="EX13" i="23"/>
  <c r="FJ14" i="23"/>
  <c r="FI14" i="23"/>
  <c r="FH14" i="23"/>
  <c r="FG14" i="23"/>
  <c r="FF14" i="23"/>
  <c r="FE14" i="23"/>
  <c r="FC14" i="23"/>
  <c r="FB14" i="23"/>
  <c r="FA14" i="23"/>
  <c r="EZ14" i="23"/>
  <c r="FD14" i="23" s="1"/>
  <c r="EY14" i="23"/>
  <c r="EX14" i="23"/>
  <c r="FJ12" i="23"/>
  <c r="FI12" i="23"/>
  <c r="FH12" i="23"/>
  <c r="FG12" i="23"/>
  <c r="FF12" i="23"/>
  <c r="FE12" i="23"/>
  <c r="FC12" i="23"/>
  <c r="FB12" i="23"/>
  <c r="FA12" i="23"/>
  <c r="EZ12" i="23"/>
  <c r="EY12" i="23"/>
  <c r="EX12" i="23"/>
  <c r="FJ10" i="23"/>
  <c r="FI10" i="23"/>
  <c r="FH10" i="23"/>
  <c r="FG10" i="23"/>
  <c r="FF10" i="23"/>
  <c r="FE10" i="23"/>
  <c r="FC10" i="23"/>
  <c r="FB10" i="23"/>
  <c r="FA10" i="23"/>
  <c r="EZ10" i="23"/>
  <c r="EY10" i="23"/>
  <c r="EX10" i="23"/>
  <c r="FJ9" i="23"/>
  <c r="FI9" i="23"/>
  <c r="FH9" i="23"/>
  <c r="FG9" i="23"/>
  <c r="FF9" i="23"/>
  <c r="FE9" i="23"/>
  <c r="FC9" i="23"/>
  <c r="FB9" i="23"/>
  <c r="FA9" i="23"/>
  <c r="EZ9" i="23"/>
  <c r="EY9" i="23"/>
  <c r="EX9" i="23"/>
  <c r="FJ8" i="23"/>
  <c r="FI8" i="23"/>
  <c r="FH8" i="23"/>
  <c r="FG8" i="23"/>
  <c r="FF8" i="23"/>
  <c r="FE8" i="23"/>
  <c r="FC8" i="23"/>
  <c r="FB8" i="23"/>
  <c r="FA8" i="23"/>
  <c r="EZ8" i="23"/>
  <c r="EY8" i="23"/>
  <c r="EX8" i="23"/>
  <c r="FJ7" i="23"/>
  <c r="FI7" i="23"/>
  <c r="FH7" i="23"/>
  <c r="FG7" i="23"/>
  <c r="FF7" i="23"/>
  <c r="FE7" i="23"/>
  <c r="FC7" i="23"/>
  <c r="FB7" i="23"/>
  <c r="FA7" i="23"/>
  <c r="EZ7" i="23"/>
  <c r="FD7" i="23" s="1"/>
  <c r="EY7" i="23"/>
  <c r="EX7" i="23"/>
  <c r="FJ6" i="23"/>
  <c r="FI6" i="23"/>
  <c r="FH6" i="23"/>
  <c r="FG6" i="23"/>
  <c r="FF6" i="23"/>
  <c r="FE6" i="23"/>
  <c r="FC6" i="23"/>
  <c r="FB6" i="23"/>
  <c r="FA6" i="23"/>
  <c r="EZ6" i="23"/>
  <c r="EY6" i="23"/>
  <c r="EX6" i="23"/>
  <c r="FJ5" i="23"/>
  <c r="FI5" i="23"/>
  <c r="FH5" i="23"/>
  <c r="FG5" i="23"/>
  <c r="FF5" i="23"/>
  <c r="FE5" i="23"/>
  <c r="FC5" i="23"/>
  <c r="FB5" i="23"/>
  <c r="FA5" i="23"/>
  <c r="EZ5" i="23"/>
  <c r="FD5" i="23" s="1"/>
  <c r="EY5" i="23"/>
  <c r="EX5" i="23"/>
  <c r="FJ4" i="23"/>
  <c r="FI4" i="23"/>
  <c r="FH4" i="23"/>
  <c r="FG4" i="23"/>
  <c r="FF4" i="23"/>
  <c r="FE4" i="23"/>
  <c r="FC4" i="23"/>
  <c r="FB4" i="23"/>
  <c r="FA4" i="23"/>
  <c r="EZ4" i="23"/>
  <c r="FD4" i="23" s="1"/>
  <c r="EY4" i="23"/>
  <c r="EX4" i="23"/>
  <c r="EB16" i="23"/>
  <c r="EA16" i="23"/>
  <c r="DZ16" i="23"/>
  <c r="DY16" i="23"/>
  <c r="DX16" i="23"/>
  <c r="DW16" i="23"/>
  <c r="DU16" i="23"/>
  <c r="DT16" i="23"/>
  <c r="DS16" i="23"/>
  <c r="DR16" i="23"/>
  <c r="DV16" i="23" s="1"/>
  <c r="EC16" i="23" s="1"/>
  <c r="DQ16" i="23"/>
  <c r="DP16" i="23"/>
  <c r="EB15" i="23"/>
  <c r="EA15" i="23"/>
  <c r="DZ15" i="23"/>
  <c r="DY15" i="23"/>
  <c r="DX15" i="23"/>
  <c r="DW15" i="23"/>
  <c r="DU15" i="23"/>
  <c r="DT15" i="23"/>
  <c r="DS15" i="23"/>
  <c r="DR15" i="23"/>
  <c r="DQ15" i="23"/>
  <c r="DP15" i="23"/>
  <c r="EB13" i="23"/>
  <c r="EA13" i="23"/>
  <c r="DZ13" i="23"/>
  <c r="DY13" i="23"/>
  <c r="DX13" i="23"/>
  <c r="DW13" i="23"/>
  <c r="DU13" i="23"/>
  <c r="DT13" i="23"/>
  <c r="DS13" i="23"/>
  <c r="DR13" i="23"/>
  <c r="DV13" i="23" s="1"/>
  <c r="DQ13" i="23"/>
  <c r="DP13" i="23"/>
  <c r="EB14" i="23"/>
  <c r="EA14" i="23"/>
  <c r="DZ14" i="23"/>
  <c r="DY14" i="23"/>
  <c r="DX14" i="23"/>
  <c r="DW14" i="23"/>
  <c r="DU14" i="23"/>
  <c r="DT14" i="23"/>
  <c r="DS14" i="23"/>
  <c r="DR14" i="23"/>
  <c r="DQ14" i="23"/>
  <c r="DP14" i="23"/>
  <c r="EB12" i="23"/>
  <c r="EA12" i="23"/>
  <c r="DZ12" i="23"/>
  <c r="DY12" i="23"/>
  <c r="DX12" i="23"/>
  <c r="DW12" i="23"/>
  <c r="DU12" i="23"/>
  <c r="DT12" i="23"/>
  <c r="DS12" i="23"/>
  <c r="DR12" i="23"/>
  <c r="DV12" i="23" s="1"/>
  <c r="EC12" i="23" s="1"/>
  <c r="DQ12" i="23"/>
  <c r="DP12" i="23"/>
  <c r="EB10" i="23"/>
  <c r="EA10" i="23"/>
  <c r="DZ10" i="23"/>
  <c r="DY10" i="23"/>
  <c r="DX10" i="23"/>
  <c r="DW10" i="23"/>
  <c r="DU10" i="23"/>
  <c r="DT10" i="23"/>
  <c r="DS10" i="23"/>
  <c r="DR10" i="23"/>
  <c r="DQ10" i="23"/>
  <c r="DP10" i="23"/>
  <c r="EB9" i="23"/>
  <c r="EA9" i="23"/>
  <c r="DZ9" i="23"/>
  <c r="DY9" i="23"/>
  <c r="DX9" i="23"/>
  <c r="DW9" i="23"/>
  <c r="DU9" i="23"/>
  <c r="DT9" i="23"/>
  <c r="DS9" i="23"/>
  <c r="DR9" i="23"/>
  <c r="DV9" i="23" s="1"/>
  <c r="EC9" i="23" s="1"/>
  <c r="DQ9" i="23"/>
  <c r="DP9" i="23"/>
  <c r="EB8" i="23"/>
  <c r="EA8" i="23"/>
  <c r="DZ8" i="23"/>
  <c r="DY8" i="23"/>
  <c r="DX8" i="23"/>
  <c r="DW8" i="23"/>
  <c r="DU8" i="23"/>
  <c r="DT8" i="23"/>
  <c r="DS8" i="23"/>
  <c r="DR8" i="23"/>
  <c r="DV8" i="23" s="1"/>
  <c r="DQ8" i="23"/>
  <c r="DP8" i="23"/>
  <c r="EB7" i="23"/>
  <c r="EA7" i="23"/>
  <c r="DZ7" i="23"/>
  <c r="DY7" i="23"/>
  <c r="DX7" i="23"/>
  <c r="DW7" i="23"/>
  <c r="DU7" i="23"/>
  <c r="DT7" i="23"/>
  <c r="DS7" i="23"/>
  <c r="DR7" i="23"/>
  <c r="DV7" i="23" s="1"/>
  <c r="EC7" i="23" s="1"/>
  <c r="DQ7" i="23"/>
  <c r="DP7" i="23"/>
  <c r="EB6" i="23"/>
  <c r="EA6" i="23"/>
  <c r="DZ6" i="23"/>
  <c r="DY6" i="23"/>
  <c r="DX6" i="23"/>
  <c r="DW6" i="23"/>
  <c r="DU6" i="23"/>
  <c r="DT6" i="23"/>
  <c r="DS6" i="23"/>
  <c r="DR6" i="23"/>
  <c r="DQ6" i="23"/>
  <c r="DP6" i="23"/>
  <c r="EB5" i="23"/>
  <c r="EA5" i="23"/>
  <c r="DZ5" i="23"/>
  <c r="DY5" i="23"/>
  <c r="DX5" i="23"/>
  <c r="DW5" i="23"/>
  <c r="DU5" i="23"/>
  <c r="DT5" i="23"/>
  <c r="DS5" i="23"/>
  <c r="DR5" i="23"/>
  <c r="DQ5" i="23"/>
  <c r="DP5" i="23"/>
  <c r="EB4" i="23"/>
  <c r="EA4" i="23"/>
  <c r="DZ4" i="23"/>
  <c r="DY4" i="23"/>
  <c r="DX4" i="23"/>
  <c r="DW4" i="23"/>
  <c r="DU4" i="23"/>
  <c r="DT4" i="23"/>
  <c r="DS4" i="23"/>
  <c r="DR4" i="23"/>
  <c r="DQ4" i="23"/>
  <c r="DP4" i="23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5" i="22"/>
  <c r="RK15" i="22"/>
  <c r="RJ15" i="22"/>
  <c r="RI15" i="22"/>
  <c r="RH15" i="22"/>
  <c r="RG15" i="22"/>
  <c r="RE15" i="22"/>
  <c r="RD15" i="22"/>
  <c r="RC15" i="22"/>
  <c r="RB15" i="22"/>
  <c r="RF15" i="22" s="1"/>
  <c r="RM15" i="22" s="1"/>
  <c r="RA15" i="22"/>
  <c r="QZ15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3" i="22"/>
  <c r="RK13" i="22"/>
  <c r="RJ13" i="22"/>
  <c r="RI13" i="22"/>
  <c r="RH13" i="22"/>
  <c r="RG13" i="22"/>
  <c r="RE13" i="22"/>
  <c r="RD13" i="22"/>
  <c r="RC13" i="22"/>
  <c r="RB13" i="22"/>
  <c r="RF13" i="22" s="1"/>
  <c r="RM13" i="22" s="1"/>
  <c r="RA13" i="22"/>
  <c r="QZ13" i="22"/>
  <c r="RL12" i="22"/>
  <c r="RK12" i="22"/>
  <c r="RJ12" i="22"/>
  <c r="RI12" i="22"/>
  <c r="RH12" i="22"/>
  <c r="RG12" i="22"/>
  <c r="RF12" i="22"/>
  <c r="RE12" i="22"/>
  <c r="RD12" i="22"/>
  <c r="RC12" i="22"/>
  <c r="RB12" i="22"/>
  <c r="RA12" i="22"/>
  <c r="QZ12" i="22"/>
  <c r="RL11" i="22"/>
  <c r="RK11" i="22"/>
  <c r="RJ11" i="22"/>
  <c r="RI11" i="22"/>
  <c r="RH11" i="22"/>
  <c r="RG11" i="22"/>
  <c r="RE11" i="22"/>
  <c r="RF11" i="22" s="1"/>
  <c r="RM11" i="22" s="1"/>
  <c r="RD11" i="22"/>
  <c r="RC11" i="22"/>
  <c r="RB11" i="22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16" i="22"/>
  <c r="QC16" i="22"/>
  <c r="QB16" i="22"/>
  <c r="QA16" i="22"/>
  <c r="PZ16" i="22"/>
  <c r="PY16" i="22"/>
  <c r="PW16" i="22"/>
  <c r="PX16" i="22" s="1"/>
  <c r="PV16" i="22"/>
  <c r="PU16" i="22"/>
  <c r="PT16" i="22"/>
  <c r="PS16" i="22"/>
  <c r="PR16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2" i="22"/>
  <c r="QC12" i="22"/>
  <c r="QB12" i="22"/>
  <c r="QA12" i="22"/>
  <c r="PZ12" i="22"/>
  <c r="PY12" i="22"/>
  <c r="PW12" i="22"/>
  <c r="PX12" i="22" s="1"/>
  <c r="PV12" i="22"/>
  <c r="PU12" i="22"/>
  <c r="PT12" i="22"/>
  <c r="PS12" i="22"/>
  <c r="PR12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9" i="22"/>
  <c r="QC9" i="22"/>
  <c r="QB9" i="22"/>
  <c r="QA9" i="22"/>
  <c r="PZ9" i="22"/>
  <c r="PY9" i="22"/>
  <c r="PW9" i="22"/>
  <c r="PX9" i="22" s="1"/>
  <c r="QE9" i="22" s="1"/>
  <c r="PV9" i="22"/>
  <c r="PU9" i="22"/>
  <c r="PT9" i="22"/>
  <c r="PS9" i="22"/>
  <c r="PR9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X4" i="22" s="1"/>
  <c r="PV4" i="22"/>
  <c r="PU4" i="22"/>
  <c r="PT4" i="22"/>
  <c r="PS4" i="22"/>
  <c r="PR4" i="22"/>
  <c r="OV17" i="22"/>
  <c r="OU17" i="22"/>
  <c r="OT17" i="22"/>
  <c r="OS17" i="22"/>
  <c r="OR17" i="22"/>
  <c r="OQ17" i="22"/>
  <c r="OO17" i="22"/>
  <c r="OP17" i="22" s="1"/>
  <c r="OW17" i="22" s="1"/>
  <c r="ON17" i="22"/>
  <c r="OM17" i="22"/>
  <c r="OL17" i="22"/>
  <c r="OK17" i="22"/>
  <c r="OJ17" i="22"/>
  <c r="OV16" i="22"/>
  <c r="OU16" i="22"/>
  <c r="OT16" i="22"/>
  <c r="OS16" i="22"/>
  <c r="OR16" i="22"/>
  <c r="OQ16" i="22"/>
  <c r="OO16" i="22"/>
  <c r="ON16" i="22"/>
  <c r="OM16" i="22"/>
  <c r="OL16" i="22"/>
  <c r="OP16" i="22" s="1"/>
  <c r="OW16" i="22" s="1"/>
  <c r="OK16" i="22"/>
  <c r="OJ16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2" i="22"/>
  <c r="OU12" i="22"/>
  <c r="OT12" i="22"/>
  <c r="OS12" i="22"/>
  <c r="OR12" i="22"/>
  <c r="OQ12" i="22"/>
  <c r="OO12" i="22"/>
  <c r="ON12" i="22"/>
  <c r="OM12" i="22"/>
  <c r="OL12" i="22"/>
  <c r="OP12" i="22" s="1"/>
  <c r="OW12" i="22" s="1"/>
  <c r="OK12" i="22"/>
  <c r="OJ12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8" i="22"/>
  <c r="OU8" i="22"/>
  <c r="OT8" i="22"/>
  <c r="OS8" i="22"/>
  <c r="OR8" i="22"/>
  <c r="OQ8" i="22"/>
  <c r="OO8" i="22"/>
  <c r="ON8" i="22"/>
  <c r="OM8" i="22"/>
  <c r="OL8" i="22"/>
  <c r="OP8" i="22" s="1"/>
  <c r="OW8" i="22" s="1"/>
  <c r="OK8" i="22"/>
  <c r="OJ8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P5" i="22"/>
  <c r="OW5" i="22" s="1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17" i="22"/>
  <c r="NM17" i="22"/>
  <c r="NL17" i="22"/>
  <c r="NK17" i="22"/>
  <c r="NJ17" i="22"/>
  <c r="NI17" i="22"/>
  <c r="NG17" i="22"/>
  <c r="NF17" i="22"/>
  <c r="NE17" i="22"/>
  <c r="ND17" i="22"/>
  <c r="NH17" i="22" s="1"/>
  <c r="NO17" i="22" s="1"/>
  <c r="NC17" i="22"/>
  <c r="NB17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2" i="22"/>
  <c r="NM12" i="22"/>
  <c r="NL12" i="22"/>
  <c r="NK12" i="22"/>
  <c r="NJ12" i="22"/>
  <c r="NI12" i="22"/>
  <c r="NG12" i="22"/>
  <c r="NH12" i="22" s="1"/>
  <c r="NF12" i="22"/>
  <c r="NE12" i="22"/>
  <c r="ND12" i="22"/>
  <c r="NC12" i="22"/>
  <c r="NB12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H5" i="22" s="1"/>
  <c r="NC5" i="22"/>
  <c r="NB5" i="22"/>
  <c r="NN4" i="22"/>
  <c r="NM4" i="22"/>
  <c r="NL4" i="22"/>
  <c r="NK4" i="22"/>
  <c r="NJ4" i="22"/>
  <c r="NI4" i="22"/>
  <c r="NG4" i="22"/>
  <c r="NH4" i="22" s="1"/>
  <c r="NF4" i="22"/>
  <c r="NE4" i="22"/>
  <c r="ND4" i="22"/>
  <c r="NC4" i="22"/>
  <c r="NB4" i="22"/>
  <c r="MF17" i="22"/>
  <c r="ME17" i="22"/>
  <c r="MD17" i="22"/>
  <c r="MC17" i="22"/>
  <c r="MB17" i="22"/>
  <c r="MA17" i="22"/>
  <c r="LY17" i="22"/>
  <c r="LX17" i="22"/>
  <c r="LW17" i="22"/>
  <c r="LV17" i="22"/>
  <c r="LZ17" i="22" s="1"/>
  <c r="LU17" i="22"/>
  <c r="LT17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5" i="22"/>
  <c r="ME15" i="22"/>
  <c r="MD15" i="22"/>
  <c r="MC15" i="22"/>
  <c r="MB15" i="22"/>
  <c r="MA15" i="22"/>
  <c r="LY15" i="22"/>
  <c r="LX15" i="22"/>
  <c r="LW15" i="22"/>
  <c r="LV15" i="22"/>
  <c r="LZ15" i="22" s="1"/>
  <c r="LU15" i="22"/>
  <c r="LT15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3" i="22"/>
  <c r="ME13" i="22"/>
  <c r="MD13" i="22"/>
  <c r="MC13" i="22"/>
  <c r="MB13" i="22"/>
  <c r="MA13" i="22"/>
  <c r="LY13" i="22"/>
  <c r="LZ13" i="22" s="1"/>
  <c r="LX13" i="22"/>
  <c r="LW13" i="22"/>
  <c r="LV13" i="22"/>
  <c r="LU13" i="22"/>
  <c r="LT13" i="22"/>
  <c r="MF12" i="22"/>
  <c r="ME12" i="22"/>
  <c r="MD12" i="22"/>
  <c r="MC12" i="22"/>
  <c r="MB12" i="22"/>
  <c r="MA12" i="22"/>
  <c r="LY12" i="22"/>
  <c r="LZ12" i="22" s="1"/>
  <c r="LX12" i="22"/>
  <c r="LW12" i="22"/>
  <c r="LV12" i="22"/>
  <c r="LU12" i="22"/>
  <c r="LT12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9" i="22"/>
  <c r="ME9" i="22"/>
  <c r="MD9" i="22"/>
  <c r="MC9" i="22"/>
  <c r="MB9" i="22"/>
  <c r="MA9" i="22"/>
  <c r="LY9" i="22"/>
  <c r="LX9" i="22"/>
  <c r="LW9" i="22"/>
  <c r="LV9" i="22"/>
  <c r="LZ9" i="22" s="1"/>
  <c r="MG9" i="22" s="1"/>
  <c r="LU9" i="22"/>
  <c r="LT9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Z4" i="22" s="1"/>
  <c r="LX4" i="22"/>
  <c r="LW4" i="22"/>
  <c r="LV4" i="22"/>
  <c r="LU4" i="22"/>
  <c r="LT4" i="22"/>
  <c r="KX17" i="22"/>
  <c r="KW17" i="22"/>
  <c r="KV17" i="22"/>
  <c r="KU17" i="22"/>
  <c r="KT17" i="22"/>
  <c r="KS17" i="22"/>
  <c r="KQ17" i="22"/>
  <c r="KP17" i="22"/>
  <c r="KO17" i="22"/>
  <c r="KN17" i="22"/>
  <c r="KR17" i="22" s="1"/>
  <c r="KY17" i="22" s="1"/>
  <c r="KM17" i="22"/>
  <c r="KL17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5" i="22"/>
  <c r="KW15" i="22"/>
  <c r="KV15" i="22"/>
  <c r="KU15" i="22"/>
  <c r="KT15" i="22"/>
  <c r="KS15" i="22"/>
  <c r="KQ15" i="22"/>
  <c r="KP15" i="22"/>
  <c r="KO15" i="22"/>
  <c r="KN15" i="22"/>
  <c r="KR15" i="22" s="1"/>
  <c r="KM15" i="22"/>
  <c r="KL15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3" i="22"/>
  <c r="KW13" i="22"/>
  <c r="KV13" i="22"/>
  <c r="KU13" i="22"/>
  <c r="KT13" i="22"/>
  <c r="KS13" i="22"/>
  <c r="KQ13" i="22"/>
  <c r="KP13" i="22"/>
  <c r="KO13" i="22"/>
  <c r="KN13" i="22"/>
  <c r="KR13" i="22" s="1"/>
  <c r="KY13" i="22" s="1"/>
  <c r="KM13" i="22"/>
  <c r="KL13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9" i="22"/>
  <c r="KW9" i="22"/>
  <c r="KV9" i="22"/>
  <c r="KU9" i="22"/>
  <c r="KT9" i="22"/>
  <c r="KS9" i="22"/>
  <c r="KQ9" i="22"/>
  <c r="KP9" i="22"/>
  <c r="KO9" i="22"/>
  <c r="KN9" i="22"/>
  <c r="KR9" i="22" s="1"/>
  <c r="KY9" i="22" s="1"/>
  <c r="KM9" i="22"/>
  <c r="KL9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7" i="22"/>
  <c r="KW7" i="22"/>
  <c r="KV7" i="22"/>
  <c r="KU7" i="22"/>
  <c r="KT7" i="22"/>
  <c r="KS7" i="22"/>
  <c r="KQ7" i="22"/>
  <c r="KP7" i="22"/>
  <c r="KO7" i="22"/>
  <c r="KN7" i="22"/>
  <c r="KR7" i="22" s="1"/>
  <c r="KY7" i="22" s="1"/>
  <c r="KM7" i="22"/>
  <c r="KL7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16" i="22"/>
  <c r="JO16" i="22"/>
  <c r="JN16" i="22"/>
  <c r="JM16" i="22"/>
  <c r="JL16" i="22"/>
  <c r="JK16" i="22"/>
  <c r="JI16" i="22"/>
  <c r="JJ16" i="22" s="1"/>
  <c r="JQ16" i="22" s="1"/>
  <c r="JH16" i="22"/>
  <c r="JG16" i="22"/>
  <c r="JF16" i="22"/>
  <c r="JE16" i="22"/>
  <c r="JD16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2" i="22"/>
  <c r="JO12" i="22"/>
  <c r="JN12" i="22"/>
  <c r="JM12" i="22"/>
  <c r="JL12" i="22"/>
  <c r="JK12" i="22"/>
  <c r="JI12" i="22"/>
  <c r="JJ12" i="22" s="1"/>
  <c r="JQ12" i="22" s="1"/>
  <c r="JH12" i="22"/>
  <c r="JG12" i="22"/>
  <c r="JF12" i="22"/>
  <c r="JE12" i="22"/>
  <c r="JD12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17" i="22"/>
  <c r="IG17" i="22"/>
  <c r="IF17" i="22"/>
  <c r="IE17" i="22"/>
  <c r="ID17" i="22"/>
  <c r="IC17" i="22"/>
  <c r="IA17" i="22"/>
  <c r="HZ17" i="22"/>
  <c r="HY17" i="22"/>
  <c r="HX17" i="22"/>
  <c r="IB17" i="22" s="1"/>
  <c r="II17" i="22" s="1"/>
  <c r="HW17" i="22"/>
  <c r="HV17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5" i="22"/>
  <c r="IG15" i="22"/>
  <c r="IF15" i="22"/>
  <c r="IE15" i="22"/>
  <c r="ID15" i="22"/>
  <c r="IC15" i="22"/>
  <c r="IA15" i="22"/>
  <c r="HZ15" i="22"/>
  <c r="HY15" i="22"/>
  <c r="HX15" i="22"/>
  <c r="IB15" i="22" s="1"/>
  <c r="II15" i="22" s="1"/>
  <c r="HW15" i="22"/>
  <c r="HV15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3" i="22"/>
  <c r="IG13" i="22"/>
  <c r="IF13" i="22"/>
  <c r="IE13" i="22"/>
  <c r="ID13" i="22"/>
  <c r="IC13" i="22"/>
  <c r="IA13" i="22"/>
  <c r="HZ13" i="22"/>
  <c r="HY13" i="22"/>
  <c r="HX13" i="22"/>
  <c r="IB13" i="22" s="1"/>
  <c r="II13" i="22" s="1"/>
  <c r="HW13" i="22"/>
  <c r="HV13" i="22"/>
  <c r="IH12" i="22"/>
  <c r="IG12" i="22"/>
  <c r="IF12" i="22"/>
  <c r="IE12" i="22"/>
  <c r="ID12" i="22"/>
  <c r="IC12" i="22"/>
  <c r="IA12" i="22"/>
  <c r="IB12" i="22" s="1"/>
  <c r="HZ12" i="22"/>
  <c r="HY12" i="22"/>
  <c r="HX12" i="22"/>
  <c r="HW12" i="22"/>
  <c r="HV12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9" i="22"/>
  <c r="IG9" i="22"/>
  <c r="IF9" i="22"/>
  <c r="IE9" i="22"/>
  <c r="ID9" i="22"/>
  <c r="IC9" i="22"/>
  <c r="IA9" i="22"/>
  <c r="HZ9" i="22"/>
  <c r="HY9" i="22"/>
  <c r="HX9" i="22"/>
  <c r="IB9" i="22" s="1"/>
  <c r="HW9" i="22"/>
  <c r="HV9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7" i="22"/>
  <c r="IG7" i="22"/>
  <c r="IF7" i="22"/>
  <c r="IE7" i="22"/>
  <c r="ID7" i="22"/>
  <c r="IC7" i="22"/>
  <c r="IA7" i="22"/>
  <c r="HZ7" i="22"/>
  <c r="HY7" i="22"/>
  <c r="HX7" i="22"/>
  <c r="IB7" i="22" s="1"/>
  <c r="HW7" i="22"/>
  <c r="HV7" i="22"/>
  <c r="IH6" i="22"/>
  <c r="IG6" i="22"/>
  <c r="IF6" i="22"/>
  <c r="IE6" i="22"/>
  <c r="ID6" i="22"/>
  <c r="IC6" i="22"/>
  <c r="IA6" i="22"/>
  <c r="HZ6" i="22"/>
  <c r="HY6" i="22"/>
  <c r="HX6" i="22"/>
  <c r="IB6" i="22" s="1"/>
  <c r="HW6" i="22"/>
  <c r="HV6" i="22"/>
  <c r="IH5" i="22"/>
  <c r="IG5" i="22"/>
  <c r="IF5" i="22"/>
  <c r="IE5" i="22"/>
  <c r="ID5" i="22"/>
  <c r="IC5" i="22"/>
  <c r="IA5" i="22"/>
  <c r="HZ5" i="22"/>
  <c r="HY5" i="22"/>
  <c r="HX5" i="22"/>
  <c r="IB5" i="22" s="1"/>
  <c r="II5" i="22" s="1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17" i="22"/>
  <c r="GY17" i="22"/>
  <c r="GX17" i="22"/>
  <c r="GW17" i="22"/>
  <c r="GV17" i="22"/>
  <c r="GU17" i="22"/>
  <c r="GS17" i="22"/>
  <c r="GT17" i="22" s="1"/>
  <c r="HA17" i="22" s="1"/>
  <c r="GR17" i="22"/>
  <c r="GQ17" i="22"/>
  <c r="GP17" i="22"/>
  <c r="GO17" i="22"/>
  <c r="GN17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3" i="22"/>
  <c r="GY13" i="22"/>
  <c r="GX13" i="22"/>
  <c r="GW13" i="22"/>
  <c r="GV13" i="22"/>
  <c r="GU13" i="22"/>
  <c r="GS13" i="22"/>
  <c r="GT13" i="22" s="1"/>
  <c r="GR13" i="22"/>
  <c r="GQ13" i="22"/>
  <c r="GP13" i="22"/>
  <c r="GO13" i="22"/>
  <c r="GN13" i="22"/>
  <c r="GZ12" i="22"/>
  <c r="GY12" i="22"/>
  <c r="GX12" i="22"/>
  <c r="GW12" i="22"/>
  <c r="GV12" i="22"/>
  <c r="GU12" i="22"/>
  <c r="GS12" i="22"/>
  <c r="GT12" i="22" s="1"/>
  <c r="GR12" i="22"/>
  <c r="GQ12" i="22"/>
  <c r="GP12" i="22"/>
  <c r="GO12" i="22"/>
  <c r="GN12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T5" i="22" s="1"/>
  <c r="HA5" i="22" s="1"/>
  <c r="GR5" i="22"/>
  <c r="GQ5" i="22"/>
  <c r="GP5" i="22"/>
  <c r="GO5" i="22"/>
  <c r="GN5" i="22"/>
  <c r="GZ4" i="22"/>
  <c r="GY4" i="22"/>
  <c r="GX4" i="22"/>
  <c r="GW4" i="22"/>
  <c r="GV4" i="22"/>
  <c r="GU4" i="22"/>
  <c r="GS4" i="22"/>
  <c r="GT4" i="22" s="1"/>
  <c r="GR4" i="22"/>
  <c r="GQ4" i="22"/>
  <c r="GP4" i="22"/>
  <c r="GO4" i="22"/>
  <c r="GN4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2" i="22"/>
  <c r="FQ12" i="22"/>
  <c r="FP12" i="22"/>
  <c r="FO12" i="22"/>
  <c r="FN12" i="22"/>
  <c r="FM12" i="22"/>
  <c r="FK12" i="22"/>
  <c r="FL12" i="22" s="1"/>
  <c r="FJ12" i="22"/>
  <c r="FI12" i="22"/>
  <c r="FH12" i="22"/>
  <c r="FG12" i="22"/>
  <c r="FF12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9" i="22"/>
  <c r="FQ9" i="22"/>
  <c r="FP9" i="22"/>
  <c r="FO9" i="22"/>
  <c r="FN9" i="22"/>
  <c r="FM9" i="22"/>
  <c r="FK9" i="22"/>
  <c r="FL9" i="22" s="1"/>
  <c r="FJ9" i="22"/>
  <c r="FI9" i="22"/>
  <c r="FH9" i="22"/>
  <c r="FG9" i="22"/>
  <c r="FF9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6" i="22"/>
  <c r="FQ6" i="22"/>
  <c r="FP6" i="22"/>
  <c r="FO6" i="22"/>
  <c r="FN6" i="22"/>
  <c r="FM6" i="22"/>
  <c r="FK6" i="22"/>
  <c r="FJ6" i="22"/>
  <c r="FI6" i="22"/>
  <c r="FH6" i="22"/>
  <c r="FL6" i="22" s="1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17" i="22"/>
  <c r="EI17" i="22"/>
  <c r="EH17" i="22"/>
  <c r="EG17" i="22"/>
  <c r="EF17" i="22"/>
  <c r="EE17" i="22"/>
  <c r="ED17" i="22"/>
  <c r="EK17" i="22" s="1"/>
  <c r="EC17" i="22"/>
  <c r="EB17" i="22"/>
  <c r="EA17" i="22"/>
  <c r="DZ17" i="22"/>
  <c r="DY17" i="22"/>
  <c r="DX17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5" i="22"/>
  <c r="EI15" i="22"/>
  <c r="EH15" i="22"/>
  <c r="EG15" i="22"/>
  <c r="EF15" i="22"/>
  <c r="EE15" i="22"/>
  <c r="EC15" i="22"/>
  <c r="EB15" i="22"/>
  <c r="EA15" i="22"/>
  <c r="DZ15" i="22"/>
  <c r="ED15" i="22" s="1"/>
  <c r="DY15" i="22"/>
  <c r="DX15" i="22"/>
  <c r="EJ14" i="22"/>
  <c r="EI14" i="22"/>
  <c r="EH14" i="22"/>
  <c r="EG14" i="22"/>
  <c r="EF14" i="22"/>
  <c r="EE14" i="22"/>
  <c r="EC14" i="22"/>
  <c r="EB14" i="22"/>
  <c r="EA14" i="22"/>
  <c r="DZ14" i="22"/>
  <c r="ED14" i="22" s="1"/>
  <c r="EK14" i="22" s="1"/>
  <c r="DY14" i="22"/>
  <c r="DX14" i="22"/>
  <c r="EJ13" i="22"/>
  <c r="EI13" i="22"/>
  <c r="EH13" i="22"/>
  <c r="EG13" i="22"/>
  <c r="EF13" i="22"/>
  <c r="EE13" i="22"/>
  <c r="EC13" i="22"/>
  <c r="EB13" i="22"/>
  <c r="EA13" i="22"/>
  <c r="DZ13" i="22"/>
  <c r="ED13" i="22" s="1"/>
  <c r="DY13" i="22"/>
  <c r="DX13" i="22"/>
  <c r="EJ12" i="22"/>
  <c r="EI12" i="22"/>
  <c r="EH12" i="22"/>
  <c r="EG12" i="22"/>
  <c r="EF12" i="22"/>
  <c r="EE12" i="22"/>
  <c r="EC12" i="22"/>
  <c r="ED12" i="22" s="1"/>
  <c r="EB12" i="22"/>
  <c r="EA12" i="22"/>
  <c r="DZ12" i="22"/>
  <c r="DY12" i="22"/>
  <c r="DX12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D4" i="22" s="1"/>
  <c r="EB4" i="22"/>
  <c r="EA4" i="22"/>
  <c r="DZ4" i="22"/>
  <c r="DY4" i="22"/>
  <c r="DX4" i="22"/>
  <c r="RL23" i="4"/>
  <c r="RK23" i="4"/>
  <c r="RJ23" i="4"/>
  <c r="RI23" i="4"/>
  <c r="RH23" i="4"/>
  <c r="RG23" i="4"/>
  <c r="RE23" i="4"/>
  <c r="RD23" i="4"/>
  <c r="RC23" i="4"/>
  <c r="RB23" i="4"/>
  <c r="RF23" i="4" s="1"/>
  <c r="RM23" i="4" s="1"/>
  <c r="RA23" i="4"/>
  <c r="QZ23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1" i="4"/>
  <c r="RK21" i="4"/>
  <c r="RJ21" i="4"/>
  <c r="RI21" i="4"/>
  <c r="RH21" i="4"/>
  <c r="RG21" i="4"/>
  <c r="RE21" i="4"/>
  <c r="RD21" i="4"/>
  <c r="RC21" i="4"/>
  <c r="RB21" i="4"/>
  <c r="RF21" i="4" s="1"/>
  <c r="RM21" i="4" s="1"/>
  <c r="RA21" i="4"/>
  <c r="QZ21" i="4"/>
  <c r="RL20" i="4"/>
  <c r="RK20" i="4"/>
  <c r="RJ20" i="4"/>
  <c r="RI20" i="4"/>
  <c r="RH20" i="4"/>
  <c r="RG20" i="4"/>
  <c r="RE20" i="4"/>
  <c r="RD20" i="4"/>
  <c r="RC20" i="4"/>
  <c r="RB20" i="4"/>
  <c r="RF20" i="4" s="1"/>
  <c r="RA20" i="4"/>
  <c r="QZ20" i="4"/>
  <c r="RL19" i="4"/>
  <c r="RK19" i="4"/>
  <c r="RJ19" i="4"/>
  <c r="RI19" i="4"/>
  <c r="RH19" i="4"/>
  <c r="RG19" i="4"/>
  <c r="RE19" i="4"/>
  <c r="RD19" i="4"/>
  <c r="RC19" i="4"/>
  <c r="RB19" i="4"/>
  <c r="RF19" i="4" s="1"/>
  <c r="RA19" i="4"/>
  <c r="QZ19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9" i="4"/>
  <c r="RK9" i="4"/>
  <c r="RJ9" i="4"/>
  <c r="RI9" i="4"/>
  <c r="RH9" i="4"/>
  <c r="RG9" i="4"/>
  <c r="RE9" i="4"/>
  <c r="RD9" i="4"/>
  <c r="RC9" i="4"/>
  <c r="RB9" i="4"/>
  <c r="RA9" i="4"/>
  <c r="QZ9" i="4"/>
  <c r="RL14" i="4"/>
  <c r="RK14" i="4"/>
  <c r="RJ14" i="4"/>
  <c r="RI14" i="4"/>
  <c r="RH14" i="4"/>
  <c r="RG14" i="4"/>
  <c r="RE14" i="4"/>
  <c r="RD14" i="4"/>
  <c r="RC14" i="4"/>
  <c r="RB14" i="4"/>
  <c r="RF14" i="4" s="1"/>
  <c r="RM14" i="4" s="1"/>
  <c r="RA14" i="4"/>
  <c r="QZ14" i="4"/>
  <c r="RL13" i="4"/>
  <c r="RK13" i="4"/>
  <c r="RJ13" i="4"/>
  <c r="RI13" i="4"/>
  <c r="RH13" i="4"/>
  <c r="RG13" i="4"/>
  <c r="RE13" i="4"/>
  <c r="RD13" i="4"/>
  <c r="RC13" i="4"/>
  <c r="RB13" i="4"/>
  <c r="RF13" i="4" s="1"/>
  <c r="RA13" i="4"/>
  <c r="QZ13" i="4"/>
  <c r="RL12" i="4"/>
  <c r="RK12" i="4"/>
  <c r="RJ12" i="4"/>
  <c r="RI12" i="4"/>
  <c r="RH12" i="4"/>
  <c r="RG12" i="4"/>
  <c r="RE12" i="4"/>
  <c r="RD12" i="4"/>
  <c r="RC12" i="4"/>
  <c r="RB12" i="4"/>
  <c r="RF12" i="4" s="1"/>
  <c r="RM12" i="4" s="1"/>
  <c r="RA12" i="4"/>
  <c r="QZ12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8" i="4"/>
  <c r="RK8" i="4"/>
  <c r="RJ8" i="4"/>
  <c r="RI8" i="4"/>
  <c r="RH8" i="4"/>
  <c r="RG8" i="4"/>
  <c r="RE8" i="4"/>
  <c r="RD8" i="4"/>
  <c r="RC8" i="4"/>
  <c r="RB8" i="4"/>
  <c r="RA8" i="4"/>
  <c r="QZ8" i="4"/>
  <c r="RL7" i="4"/>
  <c r="RK7" i="4"/>
  <c r="RJ7" i="4"/>
  <c r="RI7" i="4"/>
  <c r="RH7" i="4"/>
  <c r="RG7" i="4"/>
  <c r="RF7" i="4"/>
  <c r="RM7" i="4" s="1"/>
  <c r="RE7" i="4"/>
  <c r="RD7" i="4"/>
  <c r="RC7" i="4"/>
  <c r="RB7" i="4"/>
  <c r="RA7" i="4"/>
  <c r="QZ7" i="4"/>
  <c r="RL6" i="4"/>
  <c r="RK6" i="4"/>
  <c r="RJ6" i="4"/>
  <c r="RI6" i="4"/>
  <c r="RH6" i="4"/>
  <c r="RG6" i="4"/>
  <c r="RE6" i="4"/>
  <c r="RD6" i="4"/>
  <c r="RC6" i="4"/>
  <c r="RB6" i="4"/>
  <c r="RA6" i="4"/>
  <c r="QZ6" i="4"/>
  <c r="RL4" i="4"/>
  <c r="RK4" i="4"/>
  <c r="RJ4" i="4"/>
  <c r="RI4" i="4"/>
  <c r="RH4" i="4"/>
  <c r="RG4" i="4"/>
  <c r="RE4" i="4"/>
  <c r="RD4" i="4"/>
  <c r="RC4" i="4"/>
  <c r="RB4" i="4"/>
  <c r="RF4" i="4" s="1"/>
  <c r="RA4" i="4"/>
  <c r="QZ4" i="4"/>
  <c r="RL5" i="4"/>
  <c r="RK5" i="4"/>
  <c r="RJ5" i="4"/>
  <c r="RI5" i="4"/>
  <c r="RH5" i="4"/>
  <c r="RG5" i="4"/>
  <c r="RE5" i="4"/>
  <c r="RD5" i="4"/>
  <c r="RC5" i="4"/>
  <c r="RB5" i="4"/>
  <c r="RF5" i="4" s="1"/>
  <c r="RM5" i="4" s="1"/>
  <c r="RA5" i="4"/>
  <c r="QZ5" i="4"/>
  <c r="QD23" i="4"/>
  <c r="QC23" i="4"/>
  <c r="QB23" i="4"/>
  <c r="QA23" i="4"/>
  <c r="PZ23" i="4"/>
  <c r="PY23" i="4"/>
  <c r="PW23" i="4"/>
  <c r="PV23" i="4"/>
  <c r="PU23" i="4"/>
  <c r="PT23" i="4"/>
  <c r="PX23" i="4" s="1"/>
  <c r="QE23" i="4" s="1"/>
  <c r="PS23" i="4"/>
  <c r="PR23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0" i="4"/>
  <c r="QC20" i="4"/>
  <c r="QB20" i="4"/>
  <c r="QA20" i="4"/>
  <c r="PZ20" i="4"/>
  <c r="PY20" i="4"/>
  <c r="PW20" i="4"/>
  <c r="PV20" i="4"/>
  <c r="PU20" i="4"/>
  <c r="PT20" i="4"/>
  <c r="PX20" i="4" s="1"/>
  <c r="PS20" i="4"/>
  <c r="PR20" i="4"/>
  <c r="QD19" i="4"/>
  <c r="QC19" i="4"/>
  <c r="QB19" i="4"/>
  <c r="QA19" i="4"/>
  <c r="PZ19" i="4"/>
  <c r="PY19" i="4"/>
  <c r="PX19" i="4"/>
  <c r="PW19" i="4"/>
  <c r="PV19" i="4"/>
  <c r="PU19" i="4"/>
  <c r="PT19" i="4"/>
  <c r="PS19" i="4"/>
  <c r="PR19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7" i="4"/>
  <c r="QC17" i="4"/>
  <c r="QB17" i="4"/>
  <c r="QA17" i="4"/>
  <c r="PZ17" i="4"/>
  <c r="PY17" i="4"/>
  <c r="PW17" i="4"/>
  <c r="PV17" i="4"/>
  <c r="PU17" i="4"/>
  <c r="PT17" i="4"/>
  <c r="PX17" i="4" s="1"/>
  <c r="PS17" i="4"/>
  <c r="PR17" i="4"/>
  <c r="QD16" i="4"/>
  <c r="QC16" i="4"/>
  <c r="QB16" i="4"/>
  <c r="QA16" i="4"/>
  <c r="PZ16" i="4"/>
  <c r="PY16" i="4"/>
  <c r="PW16" i="4"/>
  <c r="PV16" i="4"/>
  <c r="PU16" i="4"/>
  <c r="PT16" i="4"/>
  <c r="PX16" i="4" s="1"/>
  <c r="PS16" i="4"/>
  <c r="PR16" i="4"/>
  <c r="QD15" i="4"/>
  <c r="QC15" i="4"/>
  <c r="QB15" i="4"/>
  <c r="QA15" i="4"/>
  <c r="PZ15" i="4"/>
  <c r="PY15" i="4"/>
  <c r="PW15" i="4"/>
  <c r="PV15" i="4"/>
  <c r="PU15" i="4"/>
  <c r="PT15" i="4"/>
  <c r="PX15" i="4" s="1"/>
  <c r="QE15" i="4" s="1"/>
  <c r="PS15" i="4"/>
  <c r="PR15" i="4"/>
  <c r="QD9" i="4"/>
  <c r="QC9" i="4"/>
  <c r="QB9" i="4"/>
  <c r="QA9" i="4"/>
  <c r="PZ9" i="4"/>
  <c r="PY9" i="4"/>
  <c r="PW9" i="4"/>
  <c r="PV9" i="4"/>
  <c r="PU9" i="4"/>
  <c r="PT9" i="4"/>
  <c r="PS9" i="4"/>
  <c r="PR9" i="4"/>
  <c r="QD14" i="4"/>
  <c r="QC14" i="4"/>
  <c r="QB14" i="4"/>
  <c r="QA14" i="4"/>
  <c r="PZ14" i="4"/>
  <c r="PY14" i="4"/>
  <c r="PW14" i="4"/>
  <c r="PV14" i="4"/>
  <c r="PU14" i="4"/>
  <c r="PT14" i="4"/>
  <c r="PX14" i="4" s="1"/>
  <c r="QE14" i="4" s="1"/>
  <c r="PS14" i="4"/>
  <c r="PR14" i="4"/>
  <c r="QD13" i="4"/>
  <c r="QC13" i="4"/>
  <c r="QB13" i="4"/>
  <c r="QA13" i="4"/>
  <c r="PZ13" i="4"/>
  <c r="PY13" i="4"/>
  <c r="PW13" i="4"/>
  <c r="PV13" i="4"/>
  <c r="PU13" i="4"/>
  <c r="PT13" i="4"/>
  <c r="PS13" i="4"/>
  <c r="PR13" i="4"/>
  <c r="QD12" i="4"/>
  <c r="QC12" i="4"/>
  <c r="QB12" i="4"/>
  <c r="QA12" i="4"/>
  <c r="PZ12" i="4"/>
  <c r="PY12" i="4"/>
  <c r="PW12" i="4"/>
  <c r="PV12" i="4"/>
  <c r="PU12" i="4"/>
  <c r="PT12" i="4"/>
  <c r="PX12" i="4" s="1"/>
  <c r="QE12" i="4" s="1"/>
  <c r="PS12" i="4"/>
  <c r="PR12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10" i="4"/>
  <c r="QC10" i="4"/>
  <c r="QB10" i="4"/>
  <c r="QA10" i="4"/>
  <c r="PZ10" i="4"/>
  <c r="PY10" i="4"/>
  <c r="PW10" i="4"/>
  <c r="PV10" i="4"/>
  <c r="PU10" i="4"/>
  <c r="PT10" i="4"/>
  <c r="PX10" i="4" s="1"/>
  <c r="QE10" i="4" s="1"/>
  <c r="PS10" i="4"/>
  <c r="PR10" i="4"/>
  <c r="QD8" i="4"/>
  <c r="QC8" i="4"/>
  <c r="QB8" i="4"/>
  <c r="QA8" i="4"/>
  <c r="PZ8" i="4"/>
  <c r="PY8" i="4"/>
  <c r="PW8" i="4"/>
  <c r="PV8" i="4"/>
  <c r="PU8" i="4"/>
  <c r="PT8" i="4"/>
  <c r="PS8" i="4"/>
  <c r="PR8" i="4"/>
  <c r="QD7" i="4"/>
  <c r="QC7" i="4"/>
  <c r="QB7" i="4"/>
  <c r="QA7" i="4"/>
  <c r="PZ7" i="4"/>
  <c r="PY7" i="4"/>
  <c r="PW7" i="4"/>
  <c r="PV7" i="4"/>
  <c r="PU7" i="4"/>
  <c r="PT7" i="4"/>
  <c r="PX7" i="4" s="1"/>
  <c r="PS7" i="4"/>
  <c r="PR7" i="4"/>
  <c r="QD6" i="4"/>
  <c r="QC6" i="4"/>
  <c r="QB6" i="4"/>
  <c r="QA6" i="4"/>
  <c r="PZ6" i="4"/>
  <c r="PY6" i="4"/>
  <c r="PW6" i="4"/>
  <c r="PX6" i="4" s="1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X4" i="4" s="1"/>
  <c r="PS4" i="4"/>
  <c r="PR4" i="4"/>
  <c r="QD5" i="4"/>
  <c r="QC5" i="4"/>
  <c r="QB5" i="4"/>
  <c r="QA5" i="4"/>
  <c r="PZ5" i="4"/>
  <c r="PY5" i="4"/>
  <c r="PW5" i="4"/>
  <c r="PV5" i="4"/>
  <c r="PU5" i="4"/>
  <c r="PT5" i="4"/>
  <c r="PS5" i="4"/>
  <c r="PR5" i="4"/>
  <c r="OV23" i="4"/>
  <c r="OU23" i="4"/>
  <c r="OT23" i="4"/>
  <c r="OS23" i="4"/>
  <c r="OR23" i="4"/>
  <c r="OQ23" i="4"/>
  <c r="OO23" i="4"/>
  <c r="ON23" i="4"/>
  <c r="OM23" i="4"/>
  <c r="OL23" i="4"/>
  <c r="OP23" i="4" s="1"/>
  <c r="OK23" i="4"/>
  <c r="OJ23" i="4"/>
  <c r="OV22" i="4"/>
  <c r="OU22" i="4"/>
  <c r="OT22" i="4"/>
  <c r="OS22" i="4"/>
  <c r="OR22" i="4"/>
  <c r="OQ22" i="4"/>
  <c r="OO22" i="4"/>
  <c r="OP22" i="4" s="1"/>
  <c r="ON22" i="4"/>
  <c r="OM22" i="4"/>
  <c r="OL22" i="4"/>
  <c r="OK22" i="4"/>
  <c r="OJ22" i="4"/>
  <c r="OV21" i="4"/>
  <c r="OU21" i="4"/>
  <c r="OT21" i="4"/>
  <c r="OS21" i="4"/>
  <c r="OR21" i="4"/>
  <c r="OQ21" i="4"/>
  <c r="OO21" i="4"/>
  <c r="ON21" i="4"/>
  <c r="OM21" i="4"/>
  <c r="OL21" i="4"/>
  <c r="OP21" i="4" s="1"/>
  <c r="OW21" i="4" s="1"/>
  <c r="OK21" i="4"/>
  <c r="OJ21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9" i="4"/>
  <c r="OU19" i="4"/>
  <c r="OT19" i="4"/>
  <c r="OS19" i="4"/>
  <c r="OR19" i="4"/>
  <c r="OQ19" i="4"/>
  <c r="OO19" i="4"/>
  <c r="ON19" i="4"/>
  <c r="OM19" i="4"/>
  <c r="OL19" i="4"/>
  <c r="OP19" i="4" s="1"/>
  <c r="OW19" i="4" s="1"/>
  <c r="OK19" i="4"/>
  <c r="OJ19" i="4"/>
  <c r="OV18" i="4"/>
  <c r="OU18" i="4"/>
  <c r="OT18" i="4"/>
  <c r="OS18" i="4"/>
  <c r="OR18" i="4"/>
  <c r="OQ18" i="4"/>
  <c r="OO18" i="4"/>
  <c r="OP18" i="4" s="1"/>
  <c r="ON18" i="4"/>
  <c r="OM18" i="4"/>
  <c r="OL18" i="4"/>
  <c r="OK18" i="4"/>
  <c r="OJ18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5" i="4"/>
  <c r="OU15" i="4"/>
  <c r="OT15" i="4"/>
  <c r="OS15" i="4"/>
  <c r="OR15" i="4"/>
  <c r="OQ15" i="4"/>
  <c r="OO15" i="4"/>
  <c r="ON15" i="4"/>
  <c r="OM15" i="4"/>
  <c r="OL15" i="4"/>
  <c r="OP15" i="4" s="1"/>
  <c r="OW15" i="4" s="1"/>
  <c r="OK15" i="4"/>
  <c r="OJ15" i="4"/>
  <c r="OV9" i="4"/>
  <c r="OU9" i="4"/>
  <c r="OT9" i="4"/>
  <c r="OS9" i="4"/>
  <c r="OR9" i="4"/>
  <c r="OQ9" i="4"/>
  <c r="OO9" i="4"/>
  <c r="ON9" i="4"/>
  <c r="OM9" i="4"/>
  <c r="OL9" i="4"/>
  <c r="OK9" i="4"/>
  <c r="OJ9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13" i="4"/>
  <c r="OU13" i="4"/>
  <c r="OT13" i="4"/>
  <c r="OS13" i="4"/>
  <c r="OR13" i="4"/>
  <c r="OQ13" i="4"/>
  <c r="OO13" i="4"/>
  <c r="ON13" i="4"/>
  <c r="OM13" i="4"/>
  <c r="OL13" i="4"/>
  <c r="OP13" i="4" s="1"/>
  <c r="OK13" i="4"/>
  <c r="OJ13" i="4"/>
  <c r="OV12" i="4"/>
  <c r="OU12" i="4"/>
  <c r="OT12" i="4"/>
  <c r="OS12" i="4"/>
  <c r="OR12" i="4"/>
  <c r="OQ12" i="4"/>
  <c r="OO12" i="4"/>
  <c r="ON12" i="4"/>
  <c r="OM12" i="4"/>
  <c r="OL12" i="4"/>
  <c r="OP12" i="4" s="1"/>
  <c r="OK12" i="4"/>
  <c r="OJ12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8" i="4"/>
  <c r="OU8" i="4"/>
  <c r="OT8" i="4"/>
  <c r="OS8" i="4"/>
  <c r="OR8" i="4"/>
  <c r="OQ8" i="4"/>
  <c r="OO8" i="4"/>
  <c r="ON8" i="4"/>
  <c r="OM8" i="4"/>
  <c r="OL8" i="4"/>
  <c r="OP8" i="4" s="1"/>
  <c r="OK8" i="4"/>
  <c r="OJ8" i="4"/>
  <c r="OV7" i="4"/>
  <c r="OU7" i="4"/>
  <c r="OT7" i="4"/>
  <c r="OS7" i="4"/>
  <c r="OR7" i="4"/>
  <c r="OQ7" i="4"/>
  <c r="OO7" i="4"/>
  <c r="ON7" i="4"/>
  <c r="OM7" i="4"/>
  <c r="OL7" i="4"/>
  <c r="OP7" i="4" s="1"/>
  <c r="OW7" i="4" s="1"/>
  <c r="OK7" i="4"/>
  <c r="OJ7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P4" i="4" s="1"/>
  <c r="OK4" i="4"/>
  <c r="OJ4" i="4"/>
  <c r="OV5" i="4"/>
  <c r="OU5" i="4"/>
  <c r="OT5" i="4"/>
  <c r="OS5" i="4"/>
  <c r="OR5" i="4"/>
  <c r="OQ5" i="4"/>
  <c r="OO5" i="4"/>
  <c r="ON5" i="4"/>
  <c r="OM5" i="4"/>
  <c r="OL5" i="4"/>
  <c r="OK5" i="4"/>
  <c r="OJ5" i="4"/>
  <c r="NN23" i="4"/>
  <c r="NM23" i="4"/>
  <c r="NL23" i="4"/>
  <c r="NK23" i="4"/>
  <c r="NJ23" i="4"/>
  <c r="NI23" i="4"/>
  <c r="NG23" i="4"/>
  <c r="NF23" i="4"/>
  <c r="NE23" i="4"/>
  <c r="ND23" i="4"/>
  <c r="NH23" i="4" s="1"/>
  <c r="NO23" i="4" s="1"/>
  <c r="NC23" i="4"/>
  <c r="NB23" i="4"/>
  <c r="NN22" i="4"/>
  <c r="NM22" i="4"/>
  <c r="NL22" i="4"/>
  <c r="NK22" i="4"/>
  <c r="NJ22" i="4"/>
  <c r="NI22" i="4"/>
  <c r="NG22" i="4"/>
  <c r="NH22" i="4" s="1"/>
  <c r="NO22" i="4" s="1"/>
  <c r="NF22" i="4"/>
  <c r="NE22" i="4"/>
  <c r="ND22" i="4"/>
  <c r="NC22" i="4"/>
  <c r="NB22" i="4"/>
  <c r="NN21" i="4"/>
  <c r="NM21" i="4"/>
  <c r="NL21" i="4"/>
  <c r="NK21" i="4"/>
  <c r="NJ21" i="4"/>
  <c r="NI21" i="4"/>
  <c r="NG21" i="4"/>
  <c r="NF21" i="4"/>
  <c r="NE21" i="4"/>
  <c r="ND21" i="4"/>
  <c r="NH21" i="4" s="1"/>
  <c r="NC21" i="4"/>
  <c r="NB21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9" i="4"/>
  <c r="NM19" i="4"/>
  <c r="NL19" i="4"/>
  <c r="NK19" i="4"/>
  <c r="NJ19" i="4"/>
  <c r="NI19" i="4"/>
  <c r="NG19" i="4"/>
  <c r="NF19" i="4"/>
  <c r="NE19" i="4"/>
  <c r="ND19" i="4"/>
  <c r="NH19" i="4" s="1"/>
  <c r="NO19" i="4" s="1"/>
  <c r="NC19" i="4"/>
  <c r="NB19" i="4"/>
  <c r="NN18" i="4"/>
  <c r="NM18" i="4"/>
  <c r="NL18" i="4"/>
  <c r="NK18" i="4"/>
  <c r="NJ18" i="4"/>
  <c r="NI18" i="4"/>
  <c r="NG18" i="4"/>
  <c r="NH18" i="4" s="1"/>
  <c r="NO18" i="4" s="1"/>
  <c r="NF18" i="4"/>
  <c r="NE18" i="4"/>
  <c r="ND18" i="4"/>
  <c r="NC18" i="4"/>
  <c r="NB18" i="4"/>
  <c r="NN17" i="4"/>
  <c r="NM17" i="4"/>
  <c r="NL17" i="4"/>
  <c r="NK17" i="4"/>
  <c r="NJ17" i="4"/>
  <c r="NI17" i="4"/>
  <c r="NG17" i="4"/>
  <c r="NF17" i="4"/>
  <c r="NE17" i="4"/>
  <c r="ND17" i="4"/>
  <c r="NH17" i="4" s="1"/>
  <c r="NO17" i="4" s="1"/>
  <c r="NC17" i="4"/>
  <c r="NB17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5" i="4"/>
  <c r="NM15" i="4"/>
  <c r="NL15" i="4"/>
  <c r="NK15" i="4"/>
  <c r="NJ15" i="4"/>
  <c r="NI15" i="4"/>
  <c r="NG15" i="4"/>
  <c r="NF15" i="4"/>
  <c r="NE15" i="4"/>
  <c r="ND15" i="4"/>
  <c r="NH15" i="4" s="1"/>
  <c r="NO15" i="4" s="1"/>
  <c r="NC15" i="4"/>
  <c r="NB15" i="4"/>
  <c r="NN9" i="4"/>
  <c r="NM9" i="4"/>
  <c r="NL9" i="4"/>
  <c r="NK9" i="4"/>
  <c r="NJ9" i="4"/>
  <c r="NI9" i="4"/>
  <c r="NG9" i="4"/>
  <c r="NH9" i="4" s="1"/>
  <c r="NO9" i="4" s="1"/>
  <c r="NF9" i="4"/>
  <c r="NE9" i="4"/>
  <c r="ND9" i="4"/>
  <c r="NC9" i="4"/>
  <c r="NB9" i="4"/>
  <c r="NN14" i="4"/>
  <c r="NM14" i="4"/>
  <c r="NL14" i="4"/>
  <c r="NK14" i="4"/>
  <c r="NJ14" i="4"/>
  <c r="NI14" i="4"/>
  <c r="NG14" i="4"/>
  <c r="NF14" i="4"/>
  <c r="NE14" i="4"/>
  <c r="ND14" i="4"/>
  <c r="NH14" i="4" s="1"/>
  <c r="NC14" i="4"/>
  <c r="NB14" i="4"/>
  <c r="NN13" i="4"/>
  <c r="NM13" i="4"/>
  <c r="NL13" i="4"/>
  <c r="NK13" i="4"/>
  <c r="NJ13" i="4"/>
  <c r="NI13" i="4"/>
  <c r="NG13" i="4"/>
  <c r="NF13" i="4"/>
  <c r="NE13" i="4"/>
  <c r="ND13" i="4"/>
  <c r="NC13" i="4"/>
  <c r="NB13" i="4"/>
  <c r="NN12" i="4"/>
  <c r="NM12" i="4"/>
  <c r="NL12" i="4"/>
  <c r="NK12" i="4"/>
  <c r="NJ12" i="4"/>
  <c r="NI12" i="4"/>
  <c r="NG12" i="4"/>
  <c r="NF12" i="4"/>
  <c r="NE12" i="4"/>
  <c r="ND12" i="4"/>
  <c r="NH12" i="4" s="1"/>
  <c r="NO12" i="4" s="1"/>
  <c r="NC12" i="4"/>
  <c r="NB12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10" i="4"/>
  <c r="NM10" i="4"/>
  <c r="NL10" i="4"/>
  <c r="NK10" i="4"/>
  <c r="NJ10" i="4"/>
  <c r="NI10" i="4"/>
  <c r="NG10" i="4"/>
  <c r="NF10" i="4"/>
  <c r="NE10" i="4"/>
  <c r="ND10" i="4"/>
  <c r="NH10" i="4" s="1"/>
  <c r="NO10" i="4" s="1"/>
  <c r="NC10" i="4"/>
  <c r="NB10" i="4"/>
  <c r="NN8" i="4"/>
  <c r="NM8" i="4"/>
  <c r="NL8" i="4"/>
  <c r="NK8" i="4"/>
  <c r="NJ8" i="4"/>
  <c r="NI8" i="4"/>
  <c r="NG8" i="4"/>
  <c r="NF8" i="4"/>
  <c r="NE8" i="4"/>
  <c r="ND8" i="4"/>
  <c r="NC8" i="4"/>
  <c r="NB8" i="4"/>
  <c r="NN7" i="4"/>
  <c r="NM7" i="4"/>
  <c r="NL7" i="4"/>
  <c r="NK7" i="4"/>
  <c r="NJ7" i="4"/>
  <c r="NI7" i="4"/>
  <c r="NG7" i="4"/>
  <c r="NF7" i="4"/>
  <c r="NE7" i="4"/>
  <c r="ND7" i="4"/>
  <c r="NC7" i="4"/>
  <c r="NB7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NN5" i="4"/>
  <c r="NM5" i="4"/>
  <c r="NL5" i="4"/>
  <c r="NK5" i="4"/>
  <c r="NJ5" i="4"/>
  <c r="NI5" i="4"/>
  <c r="NG5" i="4"/>
  <c r="NF5" i="4"/>
  <c r="NE5" i="4"/>
  <c r="ND5" i="4"/>
  <c r="NC5" i="4"/>
  <c r="NB5" i="4"/>
  <c r="MF23" i="4"/>
  <c r="ME23" i="4"/>
  <c r="MD23" i="4"/>
  <c r="MC23" i="4"/>
  <c r="MB23" i="4"/>
  <c r="MA23" i="4"/>
  <c r="LY23" i="4"/>
  <c r="LX23" i="4"/>
  <c r="LW23" i="4"/>
  <c r="LV23" i="4"/>
  <c r="LZ23" i="4" s="1"/>
  <c r="MG23" i="4" s="1"/>
  <c r="LU23" i="4"/>
  <c r="LT23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0" i="4"/>
  <c r="ME20" i="4"/>
  <c r="MD20" i="4"/>
  <c r="MC20" i="4"/>
  <c r="MB20" i="4"/>
  <c r="MA20" i="4"/>
  <c r="LY20" i="4"/>
  <c r="LX20" i="4"/>
  <c r="LW20" i="4"/>
  <c r="LV20" i="4"/>
  <c r="LZ20" i="4" s="1"/>
  <c r="MG20" i="4" s="1"/>
  <c r="LU20" i="4"/>
  <c r="LT20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18" i="4"/>
  <c r="ME18" i="4"/>
  <c r="MD18" i="4"/>
  <c r="MC18" i="4"/>
  <c r="MB18" i="4"/>
  <c r="MA18" i="4"/>
  <c r="LY18" i="4"/>
  <c r="LX18" i="4"/>
  <c r="LW18" i="4"/>
  <c r="LV18" i="4"/>
  <c r="LZ18" i="4" s="1"/>
  <c r="LU18" i="4"/>
  <c r="LT18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6" i="4"/>
  <c r="ME16" i="4"/>
  <c r="MD16" i="4"/>
  <c r="MC16" i="4"/>
  <c r="MB16" i="4"/>
  <c r="MA16" i="4"/>
  <c r="LY16" i="4"/>
  <c r="LX16" i="4"/>
  <c r="LW16" i="4"/>
  <c r="LV16" i="4"/>
  <c r="LZ16" i="4" s="1"/>
  <c r="LU16" i="4"/>
  <c r="LT16" i="4"/>
  <c r="MF15" i="4"/>
  <c r="ME15" i="4"/>
  <c r="MD15" i="4"/>
  <c r="MC15" i="4"/>
  <c r="MB15" i="4"/>
  <c r="MA15" i="4"/>
  <c r="LZ15" i="4"/>
  <c r="LY15" i="4"/>
  <c r="LX15" i="4"/>
  <c r="LW15" i="4"/>
  <c r="LV15" i="4"/>
  <c r="LU15" i="4"/>
  <c r="LT15" i="4"/>
  <c r="MF9" i="4"/>
  <c r="ME9" i="4"/>
  <c r="MD9" i="4"/>
  <c r="MC9" i="4"/>
  <c r="MB9" i="4"/>
  <c r="MA9" i="4"/>
  <c r="LY9" i="4"/>
  <c r="LX9" i="4"/>
  <c r="LW9" i="4"/>
  <c r="LV9" i="4"/>
  <c r="LZ9" i="4" s="1"/>
  <c r="LU9" i="4"/>
  <c r="LT9" i="4"/>
  <c r="MF14" i="4"/>
  <c r="ME14" i="4"/>
  <c r="MD14" i="4"/>
  <c r="MC14" i="4"/>
  <c r="MB14" i="4"/>
  <c r="MA14" i="4"/>
  <c r="LY14" i="4"/>
  <c r="LX14" i="4"/>
  <c r="LW14" i="4"/>
  <c r="LV14" i="4"/>
  <c r="LZ14" i="4" s="1"/>
  <c r="LU14" i="4"/>
  <c r="LT14" i="4"/>
  <c r="MF13" i="4"/>
  <c r="ME13" i="4"/>
  <c r="MD13" i="4"/>
  <c r="MC13" i="4"/>
  <c r="MB13" i="4"/>
  <c r="MA13" i="4"/>
  <c r="LY13" i="4"/>
  <c r="LX13" i="4"/>
  <c r="LW13" i="4"/>
  <c r="LV13" i="4"/>
  <c r="LZ13" i="4" s="1"/>
  <c r="LU13" i="4"/>
  <c r="LT13" i="4"/>
  <c r="MF12" i="4"/>
  <c r="ME12" i="4"/>
  <c r="MD12" i="4"/>
  <c r="MC12" i="4"/>
  <c r="MB12" i="4"/>
  <c r="MA12" i="4"/>
  <c r="LY12" i="4"/>
  <c r="LX12" i="4"/>
  <c r="LW12" i="4"/>
  <c r="LV12" i="4"/>
  <c r="LZ12" i="4" s="1"/>
  <c r="LU12" i="4"/>
  <c r="LT12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10" i="4"/>
  <c r="ME10" i="4"/>
  <c r="MD10" i="4"/>
  <c r="MC10" i="4"/>
  <c r="MB10" i="4"/>
  <c r="MA10" i="4"/>
  <c r="LY10" i="4"/>
  <c r="LX10" i="4"/>
  <c r="LW10" i="4"/>
  <c r="LV10" i="4"/>
  <c r="LZ10" i="4" s="1"/>
  <c r="LU10" i="4"/>
  <c r="LT10" i="4"/>
  <c r="MF8" i="4"/>
  <c r="ME8" i="4"/>
  <c r="MD8" i="4"/>
  <c r="MC8" i="4"/>
  <c r="MB8" i="4"/>
  <c r="MA8" i="4"/>
  <c r="LY8" i="4"/>
  <c r="LX8" i="4"/>
  <c r="LW8" i="4"/>
  <c r="LV8" i="4"/>
  <c r="LU8" i="4"/>
  <c r="LT8" i="4"/>
  <c r="MF7" i="4"/>
  <c r="ME7" i="4"/>
  <c r="MD7" i="4"/>
  <c r="MC7" i="4"/>
  <c r="MB7" i="4"/>
  <c r="MA7" i="4"/>
  <c r="LY7" i="4"/>
  <c r="LX7" i="4"/>
  <c r="LW7" i="4"/>
  <c r="LV7" i="4"/>
  <c r="LZ7" i="4" s="1"/>
  <c r="LU7" i="4"/>
  <c r="LT7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Z4" i="4" s="1"/>
  <c r="MG4" i="4" s="1"/>
  <c r="LU4" i="4"/>
  <c r="LT4" i="4"/>
  <c r="MF5" i="4"/>
  <c r="ME5" i="4"/>
  <c r="MD5" i="4"/>
  <c r="MC5" i="4"/>
  <c r="MB5" i="4"/>
  <c r="MA5" i="4"/>
  <c r="LY5" i="4"/>
  <c r="LX5" i="4"/>
  <c r="LW5" i="4"/>
  <c r="LV5" i="4"/>
  <c r="LU5" i="4"/>
  <c r="LT5" i="4"/>
  <c r="KX23" i="4"/>
  <c r="KW23" i="4"/>
  <c r="KV23" i="4"/>
  <c r="KU23" i="4"/>
  <c r="KT23" i="4"/>
  <c r="KS23" i="4"/>
  <c r="KQ23" i="4"/>
  <c r="KP23" i="4"/>
  <c r="KO23" i="4"/>
  <c r="KN23" i="4"/>
  <c r="KR23" i="4" s="1"/>
  <c r="KY23" i="4" s="1"/>
  <c r="KM23" i="4"/>
  <c r="KL23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1" i="4"/>
  <c r="KW21" i="4"/>
  <c r="KV21" i="4"/>
  <c r="KU21" i="4"/>
  <c r="KT21" i="4"/>
  <c r="KS21" i="4"/>
  <c r="KQ21" i="4"/>
  <c r="KP21" i="4"/>
  <c r="KO21" i="4"/>
  <c r="KN21" i="4"/>
  <c r="KR21" i="4" s="1"/>
  <c r="KM21" i="4"/>
  <c r="KL21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9" i="4"/>
  <c r="KW19" i="4"/>
  <c r="KV19" i="4"/>
  <c r="KU19" i="4"/>
  <c r="KT19" i="4"/>
  <c r="KS19" i="4"/>
  <c r="KQ19" i="4"/>
  <c r="KP19" i="4"/>
  <c r="KO19" i="4"/>
  <c r="KN19" i="4"/>
  <c r="KR19" i="4" s="1"/>
  <c r="KY19" i="4" s="1"/>
  <c r="KM19" i="4"/>
  <c r="KL19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7" i="4"/>
  <c r="KW17" i="4"/>
  <c r="KV17" i="4"/>
  <c r="KU17" i="4"/>
  <c r="KT17" i="4"/>
  <c r="KS17" i="4"/>
  <c r="KQ17" i="4"/>
  <c r="KP17" i="4"/>
  <c r="KO17" i="4"/>
  <c r="KN17" i="4"/>
  <c r="KR17" i="4" s="1"/>
  <c r="KY17" i="4" s="1"/>
  <c r="KM17" i="4"/>
  <c r="KL17" i="4"/>
  <c r="KX16" i="4"/>
  <c r="KW16" i="4"/>
  <c r="KV16" i="4"/>
  <c r="KU16" i="4"/>
  <c r="KT16" i="4"/>
  <c r="KS16" i="4"/>
  <c r="KQ16" i="4"/>
  <c r="KP16" i="4"/>
  <c r="KO16" i="4"/>
  <c r="KN16" i="4"/>
  <c r="KR16" i="4" s="1"/>
  <c r="KM16" i="4"/>
  <c r="KL16" i="4"/>
  <c r="KX15" i="4"/>
  <c r="KW15" i="4"/>
  <c r="KV15" i="4"/>
  <c r="KU15" i="4"/>
  <c r="KT15" i="4"/>
  <c r="KS15" i="4"/>
  <c r="KQ15" i="4"/>
  <c r="KP15" i="4"/>
  <c r="KO15" i="4"/>
  <c r="KN15" i="4"/>
  <c r="KR15" i="4" s="1"/>
  <c r="KY15" i="4" s="1"/>
  <c r="KM15" i="4"/>
  <c r="KL15" i="4"/>
  <c r="KX9" i="4"/>
  <c r="KW9" i="4"/>
  <c r="KV9" i="4"/>
  <c r="KU9" i="4"/>
  <c r="KT9" i="4"/>
  <c r="KS9" i="4"/>
  <c r="KQ9" i="4"/>
  <c r="KR9" i="4" s="1"/>
  <c r="KP9" i="4"/>
  <c r="KO9" i="4"/>
  <c r="KN9" i="4"/>
  <c r="KM9" i="4"/>
  <c r="KL9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13" i="4"/>
  <c r="KW13" i="4"/>
  <c r="KV13" i="4"/>
  <c r="KU13" i="4"/>
  <c r="KT13" i="4"/>
  <c r="KS13" i="4"/>
  <c r="KQ13" i="4"/>
  <c r="KP13" i="4"/>
  <c r="KO13" i="4"/>
  <c r="KN13" i="4"/>
  <c r="KM13" i="4"/>
  <c r="KL13" i="4"/>
  <c r="KX12" i="4"/>
  <c r="KW12" i="4"/>
  <c r="KV12" i="4"/>
  <c r="KU12" i="4"/>
  <c r="KT12" i="4"/>
  <c r="KS12" i="4"/>
  <c r="KQ12" i="4"/>
  <c r="KP12" i="4"/>
  <c r="KO12" i="4"/>
  <c r="KN12" i="4"/>
  <c r="KR12" i="4" s="1"/>
  <c r="KY12" i="4" s="1"/>
  <c r="KM12" i="4"/>
  <c r="KL12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8" i="4"/>
  <c r="KW8" i="4"/>
  <c r="KV8" i="4"/>
  <c r="KU8" i="4"/>
  <c r="KT8" i="4"/>
  <c r="KS8" i="4"/>
  <c r="KQ8" i="4"/>
  <c r="KP8" i="4"/>
  <c r="KO8" i="4"/>
  <c r="KN8" i="4"/>
  <c r="KM8" i="4"/>
  <c r="KL8" i="4"/>
  <c r="KX7" i="4"/>
  <c r="KW7" i="4"/>
  <c r="KV7" i="4"/>
  <c r="KU7" i="4"/>
  <c r="KT7" i="4"/>
  <c r="KS7" i="4"/>
  <c r="KQ7" i="4"/>
  <c r="KR7" i="4" s="1"/>
  <c r="KP7" i="4"/>
  <c r="KO7" i="4"/>
  <c r="KN7" i="4"/>
  <c r="KM7" i="4"/>
  <c r="KL7" i="4"/>
  <c r="KX6" i="4"/>
  <c r="KW6" i="4"/>
  <c r="KV6" i="4"/>
  <c r="KU6" i="4"/>
  <c r="KT6" i="4"/>
  <c r="KS6" i="4"/>
  <c r="KQ6" i="4"/>
  <c r="KP6" i="4"/>
  <c r="KO6" i="4"/>
  <c r="KN6" i="4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KX5" i="4"/>
  <c r="KW5" i="4"/>
  <c r="KV5" i="4"/>
  <c r="KU5" i="4"/>
  <c r="KT5" i="4"/>
  <c r="KS5" i="4"/>
  <c r="KQ5" i="4"/>
  <c r="KP5" i="4"/>
  <c r="KO5" i="4"/>
  <c r="KN5" i="4"/>
  <c r="KR5" i="4" s="1"/>
  <c r="KY5" i="4" s="1"/>
  <c r="KM5" i="4"/>
  <c r="KL5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18" i="4"/>
  <c r="JO18" i="4"/>
  <c r="JN18" i="4"/>
  <c r="JM18" i="4"/>
  <c r="JL18" i="4"/>
  <c r="JK18" i="4"/>
  <c r="JI18" i="4"/>
  <c r="JJ18" i="4" s="1"/>
  <c r="JQ18" i="4" s="1"/>
  <c r="JH18" i="4"/>
  <c r="JG18" i="4"/>
  <c r="JF18" i="4"/>
  <c r="JE18" i="4"/>
  <c r="JD18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5" i="4"/>
  <c r="JO15" i="4"/>
  <c r="JN15" i="4"/>
  <c r="JM15" i="4"/>
  <c r="JL15" i="4"/>
  <c r="JK15" i="4"/>
  <c r="JI15" i="4"/>
  <c r="JH15" i="4"/>
  <c r="JG15" i="4"/>
  <c r="JF15" i="4"/>
  <c r="JJ15" i="4" s="1"/>
  <c r="JE15" i="4"/>
  <c r="JD15" i="4"/>
  <c r="JP9" i="4"/>
  <c r="JO9" i="4"/>
  <c r="JN9" i="4"/>
  <c r="JM9" i="4"/>
  <c r="JL9" i="4"/>
  <c r="JK9" i="4"/>
  <c r="JI9" i="4"/>
  <c r="JJ9" i="4" s="1"/>
  <c r="JQ9" i="4" s="1"/>
  <c r="JH9" i="4"/>
  <c r="JG9" i="4"/>
  <c r="JF9" i="4"/>
  <c r="JE9" i="4"/>
  <c r="JD9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13" i="4"/>
  <c r="JO13" i="4"/>
  <c r="JN13" i="4"/>
  <c r="JM13" i="4"/>
  <c r="JL13" i="4"/>
  <c r="JK13" i="4"/>
  <c r="JI13" i="4"/>
  <c r="JH13" i="4"/>
  <c r="JG13" i="4"/>
  <c r="JF13" i="4"/>
  <c r="JE13" i="4"/>
  <c r="JD13" i="4"/>
  <c r="JP12" i="4"/>
  <c r="JO12" i="4"/>
  <c r="JN12" i="4"/>
  <c r="JM12" i="4"/>
  <c r="JL12" i="4"/>
  <c r="JK12" i="4"/>
  <c r="JI12" i="4"/>
  <c r="JH12" i="4"/>
  <c r="JG12" i="4"/>
  <c r="JF12" i="4"/>
  <c r="JJ12" i="4" s="1"/>
  <c r="JE12" i="4"/>
  <c r="JD12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10" i="4"/>
  <c r="JO10" i="4"/>
  <c r="JN10" i="4"/>
  <c r="JM10" i="4"/>
  <c r="JL10" i="4"/>
  <c r="JK10" i="4"/>
  <c r="JI10" i="4"/>
  <c r="JH10" i="4"/>
  <c r="JG10" i="4"/>
  <c r="JF10" i="4"/>
  <c r="JJ10" i="4" s="1"/>
  <c r="JE10" i="4"/>
  <c r="JD10" i="4"/>
  <c r="JP8" i="4"/>
  <c r="JO8" i="4"/>
  <c r="JN8" i="4"/>
  <c r="JM8" i="4"/>
  <c r="JL8" i="4"/>
  <c r="JK8" i="4"/>
  <c r="JI8" i="4"/>
  <c r="JH8" i="4"/>
  <c r="JG8" i="4"/>
  <c r="JF8" i="4"/>
  <c r="JE8" i="4"/>
  <c r="JD8" i="4"/>
  <c r="JP7" i="4"/>
  <c r="JO7" i="4"/>
  <c r="JN7" i="4"/>
  <c r="JM7" i="4"/>
  <c r="JL7" i="4"/>
  <c r="JK7" i="4"/>
  <c r="JI7" i="4"/>
  <c r="JH7" i="4"/>
  <c r="JG7" i="4"/>
  <c r="JF7" i="4"/>
  <c r="JJ7" i="4" s="1"/>
  <c r="JQ7" i="4" s="1"/>
  <c r="JE7" i="4"/>
  <c r="JD7" i="4"/>
  <c r="JP6" i="4"/>
  <c r="JO6" i="4"/>
  <c r="JN6" i="4"/>
  <c r="JM6" i="4"/>
  <c r="JL6" i="4"/>
  <c r="JK6" i="4"/>
  <c r="JI6" i="4"/>
  <c r="JJ6" i="4" s="1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JP5" i="4"/>
  <c r="JO5" i="4"/>
  <c r="JN5" i="4"/>
  <c r="JM5" i="4"/>
  <c r="JL5" i="4"/>
  <c r="JK5" i="4"/>
  <c r="JI5" i="4"/>
  <c r="JH5" i="4"/>
  <c r="JG5" i="4"/>
  <c r="JF5" i="4"/>
  <c r="JE5" i="4"/>
  <c r="JD5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22" i="4"/>
  <c r="IG22" i="4"/>
  <c r="IF22" i="4"/>
  <c r="IE22" i="4"/>
  <c r="ID22" i="4"/>
  <c r="IC22" i="4"/>
  <c r="IA22" i="4"/>
  <c r="IB22" i="4" s="1"/>
  <c r="HZ22" i="4"/>
  <c r="HY22" i="4"/>
  <c r="HX22" i="4"/>
  <c r="HW22" i="4"/>
  <c r="HV22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9" i="4"/>
  <c r="IG9" i="4"/>
  <c r="IF9" i="4"/>
  <c r="IE9" i="4"/>
  <c r="ID9" i="4"/>
  <c r="IC9" i="4"/>
  <c r="IA9" i="4"/>
  <c r="HZ9" i="4"/>
  <c r="HY9" i="4"/>
  <c r="HX9" i="4"/>
  <c r="IB9" i="4" s="1"/>
  <c r="II9" i="4" s="1"/>
  <c r="HW9" i="4"/>
  <c r="HV9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13" i="4"/>
  <c r="IG13" i="4"/>
  <c r="IF13" i="4"/>
  <c r="IE13" i="4"/>
  <c r="ID13" i="4"/>
  <c r="IC13" i="4"/>
  <c r="IA13" i="4"/>
  <c r="HZ13" i="4"/>
  <c r="HY13" i="4"/>
  <c r="HX13" i="4"/>
  <c r="HW13" i="4"/>
  <c r="HV13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1" i="4"/>
  <c r="IG11" i="4"/>
  <c r="IF11" i="4"/>
  <c r="IE11" i="4"/>
  <c r="ID11" i="4"/>
  <c r="IC11" i="4"/>
  <c r="IA11" i="4"/>
  <c r="HZ11" i="4"/>
  <c r="HY11" i="4"/>
  <c r="HX11" i="4"/>
  <c r="IB11" i="4" s="1"/>
  <c r="II11" i="4" s="1"/>
  <c r="HW11" i="4"/>
  <c r="HV11" i="4"/>
  <c r="IH10" i="4"/>
  <c r="IG10" i="4"/>
  <c r="IF10" i="4"/>
  <c r="IE10" i="4"/>
  <c r="ID10" i="4"/>
  <c r="IC10" i="4"/>
  <c r="IA10" i="4"/>
  <c r="HZ10" i="4"/>
  <c r="HY10" i="4"/>
  <c r="HX10" i="4"/>
  <c r="IB10" i="4" s="1"/>
  <c r="HW10" i="4"/>
  <c r="HV10" i="4"/>
  <c r="IH8" i="4"/>
  <c r="IG8" i="4"/>
  <c r="IF8" i="4"/>
  <c r="IE8" i="4"/>
  <c r="ID8" i="4"/>
  <c r="IC8" i="4"/>
  <c r="IA8" i="4"/>
  <c r="HZ8" i="4"/>
  <c r="HY8" i="4"/>
  <c r="HX8" i="4"/>
  <c r="IB8" i="4" s="1"/>
  <c r="II8" i="4" s="1"/>
  <c r="HW8" i="4"/>
  <c r="HV8" i="4"/>
  <c r="IH7" i="4"/>
  <c r="IG7" i="4"/>
  <c r="IF7" i="4"/>
  <c r="IE7" i="4"/>
  <c r="ID7" i="4"/>
  <c r="IC7" i="4"/>
  <c r="IA7" i="4"/>
  <c r="HZ7" i="4"/>
  <c r="HY7" i="4"/>
  <c r="HX7" i="4"/>
  <c r="IB7" i="4" s="1"/>
  <c r="HW7" i="4"/>
  <c r="HV7" i="4"/>
  <c r="IH6" i="4"/>
  <c r="IG6" i="4"/>
  <c r="IF6" i="4"/>
  <c r="IE6" i="4"/>
  <c r="ID6" i="4"/>
  <c r="IC6" i="4"/>
  <c r="IA6" i="4"/>
  <c r="HZ6" i="4"/>
  <c r="HY6" i="4"/>
  <c r="HX6" i="4"/>
  <c r="IB6" i="4" s="1"/>
  <c r="II6" i="4" s="1"/>
  <c r="HW6" i="4"/>
  <c r="HV6" i="4"/>
  <c r="IH4" i="4"/>
  <c r="IG4" i="4"/>
  <c r="IF4" i="4"/>
  <c r="IE4" i="4"/>
  <c r="ID4" i="4"/>
  <c r="IC4" i="4"/>
  <c r="IA4" i="4"/>
  <c r="HZ4" i="4"/>
  <c r="HY4" i="4"/>
  <c r="HX4" i="4"/>
  <c r="IB4" i="4" s="1"/>
  <c r="HW4" i="4"/>
  <c r="HV4" i="4"/>
  <c r="IH5" i="4"/>
  <c r="IG5" i="4"/>
  <c r="IF5" i="4"/>
  <c r="IE5" i="4"/>
  <c r="ID5" i="4"/>
  <c r="IC5" i="4"/>
  <c r="IA5" i="4"/>
  <c r="HZ5" i="4"/>
  <c r="HY5" i="4"/>
  <c r="HX5" i="4"/>
  <c r="IB5" i="4" s="1"/>
  <c r="II5" i="4" s="1"/>
  <c r="HW5" i="4"/>
  <c r="HV5" i="4"/>
  <c r="GZ23" i="4"/>
  <c r="GY23" i="4"/>
  <c r="GX23" i="4"/>
  <c r="GW23" i="4"/>
  <c r="GV23" i="4"/>
  <c r="GU23" i="4"/>
  <c r="GS23" i="4"/>
  <c r="GR23" i="4"/>
  <c r="GQ23" i="4"/>
  <c r="GP23" i="4"/>
  <c r="GT23" i="4" s="1"/>
  <c r="GO23" i="4"/>
  <c r="GN23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1" i="4"/>
  <c r="GY21" i="4"/>
  <c r="GX21" i="4"/>
  <c r="GW21" i="4"/>
  <c r="GV21" i="4"/>
  <c r="GU21" i="4"/>
  <c r="GS21" i="4"/>
  <c r="GR21" i="4"/>
  <c r="GQ21" i="4"/>
  <c r="GP21" i="4"/>
  <c r="GT21" i="4" s="1"/>
  <c r="GO21" i="4"/>
  <c r="GN21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9" i="4"/>
  <c r="GY19" i="4"/>
  <c r="GX19" i="4"/>
  <c r="GW19" i="4"/>
  <c r="GV19" i="4"/>
  <c r="GU19" i="4"/>
  <c r="GS19" i="4"/>
  <c r="GR19" i="4"/>
  <c r="GQ19" i="4"/>
  <c r="GP19" i="4"/>
  <c r="GT19" i="4" s="1"/>
  <c r="GO19" i="4"/>
  <c r="GN19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7" i="4"/>
  <c r="GY17" i="4"/>
  <c r="GX17" i="4"/>
  <c r="GW17" i="4"/>
  <c r="GV17" i="4"/>
  <c r="GU17" i="4"/>
  <c r="GS17" i="4"/>
  <c r="GR17" i="4"/>
  <c r="GQ17" i="4"/>
  <c r="GP17" i="4"/>
  <c r="GT17" i="4" s="1"/>
  <c r="GO17" i="4"/>
  <c r="GN17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5" i="4"/>
  <c r="GY15" i="4"/>
  <c r="GX15" i="4"/>
  <c r="GW15" i="4"/>
  <c r="GV15" i="4"/>
  <c r="GU15" i="4"/>
  <c r="GS15" i="4"/>
  <c r="GR15" i="4"/>
  <c r="GQ15" i="4"/>
  <c r="GP15" i="4"/>
  <c r="GT15" i="4" s="1"/>
  <c r="HA15" i="4" s="1"/>
  <c r="GO15" i="4"/>
  <c r="GN15" i="4"/>
  <c r="GZ9" i="4"/>
  <c r="GY9" i="4"/>
  <c r="GX9" i="4"/>
  <c r="GW9" i="4"/>
  <c r="GV9" i="4"/>
  <c r="GU9" i="4"/>
  <c r="GS9" i="4"/>
  <c r="GR9" i="4"/>
  <c r="GQ9" i="4"/>
  <c r="GP9" i="4"/>
  <c r="GO9" i="4"/>
  <c r="GN9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13" i="4"/>
  <c r="GY13" i="4"/>
  <c r="GX13" i="4"/>
  <c r="GW13" i="4"/>
  <c r="GV13" i="4"/>
  <c r="GU13" i="4"/>
  <c r="GS13" i="4"/>
  <c r="GR13" i="4"/>
  <c r="GQ13" i="4"/>
  <c r="GP13" i="4"/>
  <c r="GO13" i="4"/>
  <c r="GN13" i="4"/>
  <c r="GZ12" i="4"/>
  <c r="GY12" i="4"/>
  <c r="GX12" i="4"/>
  <c r="GW12" i="4"/>
  <c r="GV12" i="4"/>
  <c r="GU12" i="4"/>
  <c r="GS12" i="4"/>
  <c r="GR12" i="4"/>
  <c r="GQ12" i="4"/>
  <c r="GP12" i="4"/>
  <c r="GT12" i="4" s="1"/>
  <c r="HA12" i="4" s="1"/>
  <c r="GO12" i="4"/>
  <c r="GN12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10" i="4"/>
  <c r="GY10" i="4"/>
  <c r="GX10" i="4"/>
  <c r="GW10" i="4"/>
  <c r="GV10" i="4"/>
  <c r="GU10" i="4"/>
  <c r="GS10" i="4"/>
  <c r="GR10" i="4"/>
  <c r="GQ10" i="4"/>
  <c r="GP10" i="4"/>
  <c r="GT10" i="4" s="1"/>
  <c r="HA10" i="4" s="1"/>
  <c r="GO10" i="4"/>
  <c r="GN10" i="4"/>
  <c r="GZ8" i="4"/>
  <c r="GY8" i="4"/>
  <c r="GX8" i="4"/>
  <c r="GW8" i="4"/>
  <c r="GV8" i="4"/>
  <c r="GU8" i="4"/>
  <c r="GS8" i="4"/>
  <c r="GR8" i="4"/>
  <c r="GQ8" i="4"/>
  <c r="GP8" i="4"/>
  <c r="GT8" i="4" s="1"/>
  <c r="GO8" i="4"/>
  <c r="GN8" i="4"/>
  <c r="GZ7" i="4"/>
  <c r="GY7" i="4"/>
  <c r="GX7" i="4"/>
  <c r="GW7" i="4"/>
  <c r="GV7" i="4"/>
  <c r="GU7" i="4"/>
  <c r="GS7" i="4"/>
  <c r="GR7" i="4"/>
  <c r="GQ7" i="4"/>
  <c r="GP7" i="4"/>
  <c r="GT7" i="4" s="1"/>
  <c r="HA7" i="4" s="1"/>
  <c r="GO7" i="4"/>
  <c r="GN7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GZ5" i="4"/>
  <c r="GY5" i="4"/>
  <c r="GX5" i="4"/>
  <c r="GW5" i="4"/>
  <c r="GV5" i="4"/>
  <c r="GU5" i="4"/>
  <c r="GS5" i="4"/>
  <c r="GR5" i="4"/>
  <c r="GQ5" i="4"/>
  <c r="GP5" i="4"/>
  <c r="GT5" i="4" s="1"/>
  <c r="GO5" i="4"/>
  <c r="GN5" i="4"/>
  <c r="FR23" i="4"/>
  <c r="FQ23" i="4"/>
  <c r="FP23" i="4"/>
  <c r="FO23" i="4"/>
  <c r="FN23" i="4"/>
  <c r="FM23" i="4"/>
  <c r="FK23" i="4"/>
  <c r="FJ23" i="4"/>
  <c r="FI23" i="4"/>
  <c r="FH23" i="4"/>
  <c r="FL23" i="4" s="1"/>
  <c r="FS23" i="4" s="1"/>
  <c r="FG23" i="4"/>
  <c r="FF23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5" i="4"/>
  <c r="FQ15" i="4"/>
  <c r="FP15" i="4"/>
  <c r="FO15" i="4"/>
  <c r="FN15" i="4"/>
  <c r="FM15" i="4"/>
  <c r="FL15" i="4"/>
  <c r="FK15" i="4"/>
  <c r="FJ15" i="4"/>
  <c r="FI15" i="4"/>
  <c r="FH15" i="4"/>
  <c r="FG15" i="4"/>
  <c r="FF15" i="4"/>
  <c r="FR9" i="4"/>
  <c r="FQ9" i="4"/>
  <c r="FP9" i="4"/>
  <c r="FO9" i="4"/>
  <c r="FN9" i="4"/>
  <c r="FM9" i="4"/>
  <c r="FK9" i="4"/>
  <c r="FJ9" i="4"/>
  <c r="FI9" i="4"/>
  <c r="FH9" i="4"/>
  <c r="FG9" i="4"/>
  <c r="FF9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13" i="4"/>
  <c r="FQ13" i="4"/>
  <c r="FP13" i="4"/>
  <c r="FO13" i="4"/>
  <c r="FN13" i="4"/>
  <c r="FM13" i="4"/>
  <c r="FK13" i="4"/>
  <c r="FJ13" i="4"/>
  <c r="FI13" i="4"/>
  <c r="FH13" i="4"/>
  <c r="FG13" i="4"/>
  <c r="FF13" i="4"/>
  <c r="FR12" i="4"/>
  <c r="FQ12" i="4"/>
  <c r="FP12" i="4"/>
  <c r="FO12" i="4"/>
  <c r="FN12" i="4"/>
  <c r="FM12" i="4"/>
  <c r="FK12" i="4"/>
  <c r="FJ12" i="4"/>
  <c r="FI12" i="4"/>
  <c r="FH12" i="4"/>
  <c r="FL12" i="4" s="1"/>
  <c r="FS12" i="4" s="1"/>
  <c r="FG12" i="4"/>
  <c r="FF12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10" i="4"/>
  <c r="FQ10" i="4"/>
  <c r="FP10" i="4"/>
  <c r="FO10" i="4"/>
  <c r="FN10" i="4"/>
  <c r="FM10" i="4"/>
  <c r="FK10" i="4"/>
  <c r="FJ10" i="4"/>
  <c r="FI10" i="4"/>
  <c r="FH10" i="4"/>
  <c r="FL10" i="4" s="1"/>
  <c r="FG10" i="4"/>
  <c r="FF10" i="4"/>
  <c r="FR8" i="4"/>
  <c r="FQ8" i="4"/>
  <c r="FP8" i="4"/>
  <c r="FO8" i="4"/>
  <c r="FN8" i="4"/>
  <c r="FM8" i="4"/>
  <c r="FK8" i="4"/>
  <c r="FJ8" i="4"/>
  <c r="FI8" i="4"/>
  <c r="FH8" i="4"/>
  <c r="FG8" i="4"/>
  <c r="FF8" i="4"/>
  <c r="FR7" i="4"/>
  <c r="FQ7" i="4"/>
  <c r="FP7" i="4"/>
  <c r="FO7" i="4"/>
  <c r="FN7" i="4"/>
  <c r="FM7" i="4"/>
  <c r="FK7" i="4"/>
  <c r="FJ7" i="4"/>
  <c r="FI7" i="4"/>
  <c r="FH7" i="4"/>
  <c r="FL7" i="4" s="1"/>
  <c r="FS7" i="4" s="1"/>
  <c r="FG7" i="4"/>
  <c r="FF7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L4" i="4" s="1"/>
  <c r="FS4" i="4" s="1"/>
  <c r="FG4" i="4"/>
  <c r="FF4" i="4"/>
  <c r="FR5" i="4"/>
  <c r="FQ5" i="4"/>
  <c r="FP5" i="4"/>
  <c r="FO5" i="4"/>
  <c r="FN5" i="4"/>
  <c r="FM5" i="4"/>
  <c r="FK5" i="4"/>
  <c r="FJ5" i="4"/>
  <c r="FI5" i="4"/>
  <c r="FH5" i="4"/>
  <c r="FG5" i="4"/>
  <c r="FF5" i="4"/>
  <c r="EJ23" i="4"/>
  <c r="EI23" i="4"/>
  <c r="EH23" i="4"/>
  <c r="EG23" i="4"/>
  <c r="EF23" i="4"/>
  <c r="EE23" i="4"/>
  <c r="EC23" i="4"/>
  <c r="EB23" i="4"/>
  <c r="EA23" i="4"/>
  <c r="DZ23" i="4"/>
  <c r="ED23" i="4" s="1"/>
  <c r="EK23" i="4" s="1"/>
  <c r="DY23" i="4"/>
  <c r="DX23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1" i="4"/>
  <c r="EI21" i="4"/>
  <c r="EH21" i="4"/>
  <c r="EG21" i="4"/>
  <c r="EF21" i="4"/>
  <c r="EE21" i="4"/>
  <c r="EC21" i="4"/>
  <c r="EB21" i="4"/>
  <c r="EA21" i="4"/>
  <c r="DZ21" i="4"/>
  <c r="ED21" i="4" s="1"/>
  <c r="EK21" i="4" s="1"/>
  <c r="DY21" i="4"/>
  <c r="DX21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9" i="4"/>
  <c r="EI19" i="4"/>
  <c r="EH19" i="4"/>
  <c r="EG19" i="4"/>
  <c r="EF19" i="4"/>
  <c r="EE19" i="4"/>
  <c r="EC19" i="4"/>
  <c r="EB19" i="4"/>
  <c r="EA19" i="4"/>
  <c r="DZ19" i="4"/>
  <c r="ED19" i="4" s="1"/>
  <c r="EK19" i="4" s="1"/>
  <c r="DY19" i="4"/>
  <c r="DX19" i="4"/>
  <c r="EJ18" i="4"/>
  <c r="EI18" i="4"/>
  <c r="EH18" i="4"/>
  <c r="EG18" i="4"/>
  <c r="EF18" i="4"/>
  <c r="EE18" i="4"/>
  <c r="EC18" i="4"/>
  <c r="EB18" i="4"/>
  <c r="EA18" i="4"/>
  <c r="DZ18" i="4"/>
  <c r="ED18" i="4" s="1"/>
  <c r="DY18" i="4"/>
  <c r="DX18" i="4"/>
  <c r="EJ17" i="4"/>
  <c r="EI17" i="4"/>
  <c r="EH17" i="4"/>
  <c r="EG17" i="4"/>
  <c r="EF17" i="4"/>
  <c r="EE17" i="4"/>
  <c r="EC17" i="4"/>
  <c r="EB17" i="4"/>
  <c r="EA17" i="4"/>
  <c r="DZ17" i="4"/>
  <c r="ED17" i="4" s="1"/>
  <c r="EK17" i="4" s="1"/>
  <c r="DY17" i="4"/>
  <c r="DX17" i="4"/>
  <c r="EJ16" i="4"/>
  <c r="EI16" i="4"/>
  <c r="EH16" i="4"/>
  <c r="EG16" i="4"/>
  <c r="EF16" i="4"/>
  <c r="EE16" i="4"/>
  <c r="ED16" i="4"/>
  <c r="EK16" i="4" s="1"/>
  <c r="EC16" i="4"/>
  <c r="EB16" i="4"/>
  <c r="EA16" i="4"/>
  <c r="DZ16" i="4"/>
  <c r="DY16" i="4"/>
  <c r="DX16" i="4"/>
  <c r="EJ15" i="4"/>
  <c r="EI15" i="4"/>
  <c r="EH15" i="4"/>
  <c r="EG15" i="4"/>
  <c r="EF15" i="4"/>
  <c r="EE15" i="4"/>
  <c r="EC15" i="4"/>
  <c r="EB15" i="4"/>
  <c r="EA15" i="4"/>
  <c r="DZ15" i="4"/>
  <c r="ED15" i="4" s="1"/>
  <c r="DY15" i="4"/>
  <c r="DX15" i="4"/>
  <c r="EJ9" i="4"/>
  <c r="EI9" i="4"/>
  <c r="EH9" i="4"/>
  <c r="EG9" i="4"/>
  <c r="EF9" i="4"/>
  <c r="EE9" i="4"/>
  <c r="EC9" i="4"/>
  <c r="EB9" i="4"/>
  <c r="EA9" i="4"/>
  <c r="DZ9" i="4"/>
  <c r="ED9" i="4" s="1"/>
  <c r="DY9" i="4"/>
  <c r="DX9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13" i="4"/>
  <c r="EI13" i="4"/>
  <c r="EH13" i="4"/>
  <c r="EG13" i="4"/>
  <c r="EF13" i="4"/>
  <c r="EE13" i="4"/>
  <c r="EC13" i="4"/>
  <c r="EB13" i="4"/>
  <c r="EA13" i="4"/>
  <c r="DZ13" i="4"/>
  <c r="ED13" i="4" s="1"/>
  <c r="DY13" i="4"/>
  <c r="DX13" i="4"/>
  <c r="EJ12" i="4"/>
  <c r="EI12" i="4"/>
  <c r="EH12" i="4"/>
  <c r="EG12" i="4"/>
  <c r="EF12" i="4"/>
  <c r="EE12" i="4"/>
  <c r="EC12" i="4"/>
  <c r="EB12" i="4"/>
  <c r="EA12" i="4"/>
  <c r="DZ12" i="4"/>
  <c r="ED12" i="4" s="1"/>
  <c r="DY12" i="4"/>
  <c r="DX12" i="4"/>
  <c r="EJ11" i="4"/>
  <c r="EI11" i="4"/>
  <c r="EH11" i="4"/>
  <c r="EG11" i="4"/>
  <c r="EF11" i="4"/>
  <c r="EE11" i="4"/>
  <c r="EC11" i="4"/>
  <c r="EB11" i="4"/>
  <c r="EA11" i="4"/>
  <c r="DZ11" i="4"/>
  <c r="ED11" i="4" s="1"/>
  <c r="DY11" i="4"/>
  <c r="DX11" i="4"/>
  <c r="EJ10" i="4"/>
  <c r="EI10" i="4"/>
  <c r="EH10" i="4"/>
  <c r="EG10" i="4"/>
  <c r="EF10" i="4"/>
  <c r="EE10" i="4"/>
  <c r="EC10" i="4"/>
  <c r="EB10" i="4"/>
  <c r="EA10" i="4"/>
  <c r="DZ10" i="4"/>
  <c r="ED10" i="4" s="1"/>
  <c r="EK10" i="4" s="1"/>
  <c r="DY10" i="4"/>
  <c r="DX10" i="4"/>
  <c r="EJ8" i="4"/>
  <c r="EI8" i="4"/>
  <c r="EH8" i="4"/>
  <c r="EG8" i="4"/>
  <c r="EF8" i="4"/>
  <c r="EE8" i="4"/>
  <c r="EC8" i="4"/>
  <c r="EB8" i="4"/>
  <c r="EA8" i="4"/>
  <c r="DZ8" i="4"/>
  <c r="ED8" i="4" s="1"/>
  <c r="DY8" i="4"/>
  <c r="DX8" i="4"/>
  <c r="EJ7" i="4"/>
  <c r="EI7" i="4"/>
  <c r="EH7" i="4"/>
  <c r="EG7" i="4"/>
  <c r="EF7" i="4"/>
  <c r="EE7" i="4"/>
  <c r="EC7" i="4"/>
  <c r="EB7" i="4"/>
  <c r="EA7" i="4"/>
  <c r="DZ7" i="4"/>
  <c r="ED7" i="4" s="1"/>
  <c r="DY7" i="4"/>
  <c r="DX7" i="4"/>
  <c r="EJ6" i="4"/>
  <c r="EI6" i="4"/>
  <c r="EH6" i="4"/>
  <c r="EG6" i="4"/>
  <c r="EF6" i="4"/>
  <c r="EE6" i="4"/>
  <c r="EC6" i="4"/>
  <c r="EB6" i="4"/>
  <c r="EA6" i="4"/>
  <c r="DZ6" i="4"/>
  <c r="ED6" i="4" s="1"/>
  <c r="EK6" i="4" s="1"/>
  <c r="DY6" i="4"/>
  <c r="DX6" i="4"/>
  <c r="EJ4" i="4"/>
  <c r="EI4" i="4"/>
  <c r="EH4" i="4"/>
  <c r="EG4" i="4"/>
  <c r="EF4" i="4"/>
  <c r="EE4" i="4"/>
  <c r="EC4" i="4"/>
  <c r="EB4" i="4"/>
  <c r="EA4" i="4"/>
  <c r="DZ4" i="4"/>
  <c r="ED4" i="4" s="1"/>
  <c r="EK4" i="4" s="1"/>
  <c r="DY4" i="4"/>
  <c r="DX4" i="4"/>
  <c r="EJ5" i="4"/>
  <c r="EI5" i="4"/>
  <c r="EH5" i="4"/>
  <c r="EG5" i="4"/>
  <c r="EF5" i="4"/>
  <c r="EE5" i="4"/>
  <c r="EC5" i="4"/>
  <c r="EB5" i="4"/>
  <c r="EA5" i="4"/>
  <c r="DZ5" i="4"/>
  <c r="ED5" i="4" s="1"/>
  <c r="EK5" i="4" s="1"/>
  <c r="DY5" i="4"/>
  <c r="DX5" i="4"/>
  <c r="CX4" i="27"/>
  <c r="AP11" i="27"/>
  <c r="AQ11" i="27"/>
  <c r="AR11" i="27"/>
  <c r="AS11" i="27"/>
  <c r="AU11" i="27"/>
  <c r="AV11" i="27"/>
  <c r="BS11" i="27"/>
  <c r="BT11" i="27"/>
  <c r="BU11" i="27"/>
  <c r="BV11" i="27"/>
  <c r="BX11" i="27"/>
  <c r="BY11" i="27"/>
  <c r="CV11" i="27"/>
  <c r="CW11" i="27"/>
  <c r="CX11" i="27"/>
  <c r="CY11" i="27"/>
  <c r="DA11" i="27"/>
  <c r="DB11" i="27"/>
  <c r="PW11" i="27"/>
  <c r="PX11" i="27"/>
  <c r="PY11" i="27"/>
  <c r="PZ11" i="27"/>
  <c r="QB11" i="27"/>
  <c r="QC11" i="27"/>
  <c r="QE11" i="27"/>
  <c r="QF11" i="27"/>
  <c r="QG11" i="27"/>
  <c r="QH11" i="27"/>
  <c r="QI11" i="27"/>
  <c r="QJ11" i="27"/>
  <c r="QK11" i="27"/>
  <c r="QL11" i="27"/>
  <c r="QM11" i="27"/>
  <c r="QN11" i="27"/>
  <c r="QO11" i="27"/>
  <c r="QP11" i="27"/>
  <c r="QQ11" i="27"/>
  <c r="QR11" i="27"/>
  <c r="QS11" i="27"/>
  <c r="QT11" i="27"/>
  <c r="QU11" i="27"/>
  <c r="QV11" i="27"/>
  <c r="QW11" i="27"/>
  <c r="QX11" i="27"/>
  <c r="PB18" i="21" l="1"/>
  <c r="EH4" i="21"/>
  <c r="EH8" i="21"/>
  <c r="EH12" i="21"/>
  <c r="EH16" i="21"/>
  <c r="FJ5" i="21"/>
  <c r="FJ9" i="21"/>
  <c r="PB14" i="21"/>
  <c r="EH7" i="21"/>
  <c r="EH11" i="21"/>
  <c r="EH15" i="21"/>
  <c r="FJ4" i="21"/>
  <c r="FJ8" i="21"/>
  <c r="FJ12" i="21"/>
  <c r="FJ16" i="21"/>
  <c r="GL5" i="21"/>
  <c r="GL9" i="21"/>
  <c r="GL13" i="21"/>
  <c r="GL17" i="21"/>
  <c r="HN6" i="21"/>
  <c r="HN10" i="21"/>
  <c r="HN14" i="21"/>
  <c r="HN18" i="21"/>
  <c r="IP7" i="21"/>
  <c r="IP11" i="21"/>
  <c r="IP15" i="21"/>
  <c r="JR4" i="21"/>
  <c r="JR8" i="21"/>
  <c r="JR12" i="21"/>
  <c r="JR16" i="21"/>
  <c r="KT5" i="21"/>
  <c r="KT9" i="21"/>
  <c r="KT13" i="21"/>
  <c r="KT17" i="21"/>
  <c r="LV6" i="21"/>
  <c r="LV10" i="21"/>
  <c r="LV14" i="21"/>
  <c r="LV18" i="21"/>
  <c r="MX7" i="21"/>
  <c r="MX11" i="21"/>
  <c r="MX15" i="21"/>
  <c r="NZ4" i="21"/>
  <c r="NZ8" i="21"/>
  <c r="NZ12" i="21"/>
  <c r="NZ16" i="21"/>
  <c r="PB5" i="21"/>
  <c r="PB9" i="21"/>
  <c r="PB13" i="21"/>
  <c r="PB17" i="21"/>
  <c r="EH6" i="21"/>
  <c r="EH10" i="21"/>
  <c r="EH14" i="21"/>
  <c r="EH18" i="21"/>
  <c r="FJ7" i="21"/>
  <c r="FJ11" i="21"/>
  <c r="FJ15" i="21"/>
  <c r="GL4" i="21"/>
  <c r="GL8" i="21"/>
  <c r="GL12" i="21"/>
  <c r="GL16" i="21"/>
  <c r="HN5" i="21"/>
  <c r="HN9" i="21"/>
  <c r="HN13" i="21"/>
  <c r="HN17" i="21"/>
  <c r="IP6" i="21"/>
  <c r="IP10" i="21"/>
  <c r="IP14" i="21"/>
  <c r="IP18" i="21"/>
  <c r="JR7" i="21"/>
  <c r="JR11" i="21"/>
  <c r="JR15" i="21"/>
  <c r="KT4" i="21"/>
  <c r="KT8" i="21"/>
  <c r="KT12" i="21"/>
  <c r="KT16" i="21"/>
  <c r="LV5" i="21"/>
  <c r="LV9" i="21"/>
  <c r="LV13" i="21"/>
  <c r="LV17" i="21"/>
  <c r="MX6" i="21"/>
  <c r="MX10" i="21"/>
  <c r="MX14" i="21"/>
  <c r="MX18" i="21"/>
  <c r="NZ7" i="21"/>
  <c r="NZ11" i="21"/>
  <c r="NZ15" i="21"/>
  <c r="PB4" i="21"/>
  <c r="PB8" i="21"/>
  <c r="PB12" i="21"/>
  <c r="PB16" i="21"/>
  <c r="IP21" i="19"/>
  <c r="LV25" i="19"/>
  <c r="MX5" i="19"/>
  <c r="MX9" i="19"/>
  <c r="MX14" i="19"/>
  <c r="MX18" i="19"/>
  <c r="MX21" i="19"/>
  <c r="MX25" i="19"/>
  <c r="NZ5" i="19"/>
  <c r="NZ9" i="19"/>
  <c r="NZ14" i="19"/>
  <c r="NZ18" i="19"/>
  <c r="NZ21" i="19"/>
  <c r="NZ25" i="19"/>
  <c r="PB5" i="19"/>
  <c r="PB9" i="19"/>
  <c r="PB14" i="19"/>
  <c r="IP4" i="19"/>
  <c r="IM6" i="19"/>
  <c r="IM16" i="19"/>
  <c r="IP24" i="19"/>
  <c r="LV24" i="19"/>
  <c r="MX4" i="19"/>
  <c r="IM15" i="19"/>
  <c r="IM23" i="19"/>
  <c r="GL17" i="19"/>
  <c r="GL20" i="19"/>
  <c r="GL24" i="19"/>
  <c r="HN4" i="19"/>
  <c r="HN8" i="19"/>
  <c r="HN12" i="19"/>
  <c r="HN17" i="19"/>
  <c r="HN20" i="19"/>
  <c r="HN24" i="19"/>
  <c r="IP5" i="19"/>
  <c r="IP11" i="19"/>
  <c r="IP8" i="19"/>
  <c r="IP20" i="19"/>
  <c r="IM22" i="19"/>
  <c r="IM12" i="19"/>
  <c r="IP19" i="19"/>
  <c r="IM26" i="19"/>
  <c r="IM5" i="19"/>
  <c r="IP10" i="19"/>
  <c r="IM14" i="19"/>
  <c r="IP13" i="19"/>
  <c r="IM21" i="19"/>
  <c r="IP26" i="19"/>
  <c r="KQ25" i="19"/>
  <c r="IM11" i="19"/>
  <c r="IM19" i="19"/>
  <c r="IM27" i="19"/>
  <c r="KQ24" i="19"/>
  <c r="EH7" i="19"/>
  <c r="EH11" i="19"/>
  <c r="EH16" i="19"/>
  <c r="EH19" i="19"/>
  <c r="EH23" i="19"/>
  <c r="EH27" i="19"/>
  <c r="FJ7" i="19"/>
  <c r="FJ11" i="19"/>
  <c r="FJ16" i="19"/>
  <c r="FJ19" i="19"/>
  <c r="FJ23" i="19"/>
  <c r="FJ27" i="19"/>
  <c r="GL7" i="19"/>
  <c r="GL11" i="19"/>
  <c r="GL16" i="19"/>
  <c r="GL19" i="19"/>
  <c r="GL23" i="19"/>
  <c r="GL27" i="19"/>
  <c r="HN7" i="19"/>
  <c r="HN11" i="19"/>
  <c r="HN16" i="19"/>
  <c r="HN19" i="19"/>
  <c r="HN23" i="19"/>
  <c r="HN27" i="19"/>
  <c r="IP7" i="19"/>
  <c r="IP16" i="19"/>
  <c r="IP23" i="19"/>
  <c r="JR7" i="19"/>
  <c r="JR11" i="19"/>
  <c r="JR16" i="19"/>
  <c r="JR19" i="19"/>
  <c r="JR23" i="19"/>
  <c r="JR27" i="19"/>
  <c r="KT7" i="19"/>
  <c r="KT11" i="19"/>
  <c r="KT16" i="19"/>
  <c r="KT19" i="19"/>
  <c r="KT23" i="19"/>
  <c r="KT27" i="19"/>
  <c r="LV7" i="19"/>
  <c r="LV16" i="19"/>
  <c r="LV19" i="19"/>
  <c r="LV23" i="19"/>
  <c r="LV27" i="19"/>
  <c r="MX7" i="19"/>
  <c r="MX11" i="19"/>
  <c r="MX16" i="19"/>
  <c r="MX19" i="19"/>
  <c r="MX23" i="19"/>
  <c r="MX27" i="19"/>
  <c r="NZ7" i="19"/>
  <c r="NZ11" i="19"/>
  <c r="NZ16" i="19"/>
  <c r="NZ19" i="19"/>
  <c r="NZ23" i="19"/>
  <c r="NZ27" i="19"/>
  <c r="PB7" i="19"/>
  <c r="PB11" i="19"/>
  <c r="PB16" i="19"/>
  <c r="PB19" i="19"/>
  <c r="PB23" i="19"/>
  <c r="PB27" i="19"/>
  <c r="IP6" i="19"/>
  <c r="IM9" i="19"/>
  <c r="IP15" i="19"/>
  <c r="IM18" i="19"/>
  <c r="IP22" i="19"/>
  <c r="IM25" i="19"/>
  <c r="KQ23" i="19"/>
  <c r="KQ27" i="19"/>
  <c r="EH6" i="19"/>
  <c r="EH10" i="19"/>
  <c r="EH15" i="19"/>
  <c r="EH13" i="19"/>
  <c r="EH22" i="19"/>
  <c r="EH26" i="19"/>
  <c r="FJ6" i="19"/>
  <c r="FJ10" i="19"/>
  <c r="FJ15" i="19"/>
  <c r="FJ13" i="19"/>
  <c r="FJ22" i="19"/>
  <c r="FJ26" i="19"/>
  <c r="GL6" i="19"/>
  <c r="GL10" i="19"/>
  <c r="GL15" i="19"/>
  <c r="GL13" i="19"/>
  <c r="GL22" i="19"/>
  <c r="GL26" i="19"/>
  <c r="HN6" i="19"/>
  <c r="HN10" i="19"/>
  <c r="HN15" i="19"/>
  <c r="HN13" i="19"/>
  <c r="HN22" i="19"/>
  <c r="HN26" i="19"/>
  <c r="IM8" i="19"/>
  <c r="IM17" i="19"/>
  <c r="IM24" i="19"/>
  <c r="JR6" i="19"/>
  <c r="JR10" i="19"/>
  <c r="JR15" i="19"/>
  <c r="JR13" i="19"/>
  <c r="JR22" i="19"/>
  <c r="JR26" i="19"/>
  <c r="KT6" i="19"/>
  <c r="KT10" i="19"/>
  <c r="KT15" i="19"/>
  <c r="KT13" i="19"/>
  <c r="KT22" i="19"/>
  <c r="KT26" i="19"/>
  <c r="LV6" i="19"/>
  <c r="LV10" i="19"/>
  <c r="LV15" i="19"/>
  <c r="LV22" i="19"/>
  <c r="LV26" i="19"/>
  <c r="MX6" i="19"/>
  <c r="MX10" i="19"/>
  <c r="MX15" i="19"/>
  <c r="MX13" i="19"/>
  <c r="MX22" i="19"/>
  <c r="MX26" i="19"/>
  <c r="NZ6" i="19"/>
  <c r="NZ10" i="19"/>
  <c r="NZ15" i="19"/>
  <c r="NZ13" i="19"/>
  <c r="NZ22" i="19"/>
  <c r="NZ26" i="19"/>
  <c r="PB6" i="19"/>
  <c r="PB10" i="19"/>
  <c r="PB15" i="19"/>
  <c r="PB13" i="19"/>
  <c r="PB22" i="19"/>
  <c r="PB26" i="19"/>
  <c r="FJ6" i="27"/>
  <c r="FJ9" i="27"/>
  <c r="FJ12" i="27"/>
  <c r="GL6" i="27"/>
  <c r="IP8" i="27"/>
  <c r="EH7" i="27"/>
  <c r="EH11" i="27"/>
  <c r="FG5" i="27"/>
  <c r="EH6" i="27"/>
  <c r="EH8" i="27"/>
  <c r="FG4" i="27"/>
  <c r="GL8" i="27"/>
  <c r="HN4" i="27"/>
  <c r="HN9" i="27"/>
  <c r="HN12" i="27"/>
  <c r="IP6" i="27"/>
  <c r="JR4" i="27"/>
  <c r="JR9" i="27"/>
  <c r="JR12" i="27"/>
  <c r="KT6" i="27"/>
  <c r="KT8" i="27"/>
  <c r="LV4" i="27"/>
  <c r="LV9" i="27"/>
  <c r="LV12" i="27"/>
  <c r="MX6" i="27"/>
  <c r="MX8" i="27"/>
  <c r="NZ4" i="27"/>
  <c r="NZ9" i="27"/>
  <c r="NZ12" i="27"/>
  <c r="PB6" i="27"/>
  <c r="PB8" i="27"/>
  <c r="EH5" i="27"/>
  <c r="EH10" i="27"/>
  <c r="EH13" i="27"/>
  <c r="FJ5" i="27"/>
  <c r="FJ7" i="27"/>
  <c r="FJ11" i="27"/>
  <c r="GL5" i="27"/>
  <c r="GL10" i="27"/>
  <c r="GL13" i="27"/>
  <c r="HN7" i="27"/>
  <c r="HN11" i="27"/>
  <c r="IP5" i="27"/>
  <c r="IP10" i="27"/>
  <c r="IP13" i="27"/>
  <c r="JR7" i="27"/>
  <c r="JR11" i="27"/>
  <c r="KT5" i="27"/>
  <c r="KT10" i="27"/>
  <c r="KT13" i="27"/>
  <c r="LV7" i="27"/>
  <c r="LV11" i="27"/>
  <c r="MX5" i="27"/>
  <c r="MX10" i="27"/>
  <c r="MX13" i="27"/>
  <c r="NZ7" i="27"/>
  <c r="NZ11" i="27"/>
  <c r="PB5" i="27"/>
  <c r="PB10" i="27"/>
  <c r="PB13" i="27"/>
  <c r="EH4" i="27"/>
  <c r="EH9" i="27"/>
  <c r="EH12" i="27"/>
  <c r="FJ4" i="27"/>
  <c r="FG6" i="27"/>
  <c r="PB10" i="26"/>
  <c r="LV7" i="26"/>
  <c r="PB7" i="26"/>
  <c r="JR4" i="26"/>
  <c r="JR9" i="26"/>
  <c r="KT4" i="26"/>
  <c r="KT9" i="26"/>
  <c r="LV4" i="26"/>
  <c r="LV9" i="26"/>
  <c r="MX4" i="26"/>
  <c r="MX9" i="26"/>
  <c r="NZ4" i="26"/>
  <c r="NZ9" i="26"/>
  <c r="PB4" i="26"/>
  <c r="PB9" i="26"/>
  <c r="NW8" i="26"/>
  <c r="NW11" i="26"/>
  <c r="NW6" i="26"/>
  <c r="NW10" i="26"/>
  <c r="EH5" i="26"/>
  <c r="EH7" i="26"/>
  <c r="FJ5" i="26"/>
  <c r="FJ7" i="26"/>
  <c r="GL5" i="26"/>
  <c r="GL7" i="26"/>
  <c r="HN5" i="26"/>
  <c r="HN7" i="26"/>
  <c r="IP5" i="26"/>
  <c r="JR5" i="26"/>
  <c r="JR7" i="26"/>
  <c r="KT5" i="26"/>
  <c r="KT7" i="26"/>
  <c r="LV5" i="26"/>
  <c r="MX5" i="26"/>
  <c r="NW5" i="26"/>
  <c r="NW7" i="26"/>
  <c r="EH4" i="26"/>
  <c r="EH9" i="26"/>
  <c r="FJ4" i="26"/>
  <c r="FJ9" i="26"/>
  <c r="GL4" i="26"/>
  <c r="GL9" i="26"/>
  <c r="HN4" i="26"/>
  <c r="HN9" i="26"/>
  <c r="IP4" i="26"/>
  <c r="NW4" i="26"/>
  <c r="NW9" i="26"/>
  <c r="JI11" i="24"/>
  <c r="JI15" i="24"/>
  <c r="LR6" i="24"/>
  <c r="LR14" i="24"/>
  <c r="LY14" i="24" s="1"/>
  <c r="MZ6" i="24"/>
  <c r="NG6" i="24" s="1"/>
  <c r="MZ10" i="24"/>
  <c r="NG7" i="24"/>
  <c r="NG11" i="24"/>
  <c r="MZ13" i="24"/>
  <c r="PP10" i="24"/>
  <c r="PW10" i="24" s="1"/>
  <c r="PP14" i="24"/>
  <c r="PW14" i="24" s="1"/>
  <c r="QX6" i="24"/>
  <c r="DV7" i="24"/>
  <c r="EC7" i="24" s="1"/>
  <c r="DV11" i="24"/>
  <c r="EC11" i="24" s="1"/>
  <c r="DV4" i="24"/>
  <c r="EC4" i="24" s="1"/>
  <c r="DV8" i="24"/>
  <c r="DV12" i="24"/>
  <c r="FD4" i="24"/>
  <c r="GL8" i="24"/>
  <c r="GS8" i="24" s="1"/>
  <c r="GL15" i="24"/>
  <c r="GS15" i="24" s="1"/>
  <c r="HT7" i="24"/>
  <c r="IA7" i="24" s="1"/>
  <c r="HT11" i="24"/>
  <c r="IA11" i="24" s="1"/>
  <c r="KQ4" i="24"/>
  <c r="KJ11" i="24"/>
  <c r="KQ11" i="24" s="1"/>
  <c r="KJ15" i="24"/>
  <c r="KQ15" i="24" s="1"/>
  <c r="LR7" i="24"/>
  <c r="LY7" i="24" s="1"/>
  <c r="KQ8" i="24"/>
  <c r="NG12" i="24"/>
  <c r="OH7" i="24"/>
  <c r="OO7" i="24" s="1"/>
  <c r="OH11" i="24"/>
  <c r="OO11" i="24" s="1"/>
  <c r="OH15" i="24"/>
  <c r="OO15" i="24" s="1"/>
  <c r="FK15" i="24"/>
  <c r="GS7" i="24"/>
  <c r="JI6" i="24"/>
  <c r="JB10" i="24"/>
  <c r="JI10" i="24" s="1"/>
  <c r="JB14" i="24"/>
  <c r="JI14" i="24" s="1"/>
  <c r="EC8" i="24"/>
  <c r="FK13" i="24"/>
  <c r="GS6" i="24"/>
  <c r="IA4" i="24"/>
  <c r="JI9" i="24"/>
  <c r="KQ12" i="24"/>
  <c r="NG5" i="24"/>
  <c r="NG10" i="24"/>
  <c r="OO8" i="24"/>
  <c r="PW13" i="24"/>
  <c r="RE6" i="24"/>
  <c r="EC12" i="24"/>
  <c r="GS5" i="24"/>
  <c r="GL10" i="24"/>
  <c r="GS10" i="24" s="1"/>
  <c r="HT8" i="24"/>
  <c r="IA8" i="24" s="1"/>
  <c r="JI13" i="24"/>
  <c r="KJ6" i="24"/>
  <c r="KQ6" i="24" s="1"/>
  <c r="LR4" i="24"/>
  <c r="LY4" i="24" s="1"/>
  <c r="NG9" i="24"/>
  <c r="MZ14" i="24"/>
  <c r="NG14" i="24" s="1"/>
  <c r="OO12" i="24"/>
  <c r="RE5" i="24"/>
  <c r="QX10" i="24"/>
  <c r="RE10" i="24" s="1"/>
  <c r="QX14" i="24"/>
  <c r="RE14" i="24" s="1"/>
  <c r="DV6" i="24"/>
  <c r="EC6" i="24" s="1"/>
  <c r="FK4" i="24"/>
  <c r="GS9" i="24"/>
  <c r="GL14" i="24"/>
  <c r="GS14" i="24" s="1"/>
  <c r="IA12" i="24"/>
  <c r="KQ5" i="24"/>
  <c r="KJ10" i="24"/>
  <c r="KQ10" i="24" s="1"/>
  <c r="LY8" i="24"/>
  <c r="NG13" i="24"/>
  <c r="OH6" i="24"/>
  <c r="OO6" i="24" s="1"/>
  <c r="PW4" i="24"/>
  <c r="RE9" i="24"/>
  <c r="RE11" i="24"/>
  <c r="RE13" i="24"/>
  <c r="DV5" i="24"/>
  <c r="EC5" i="24" s="1"/>
  <c r="DV10" i="24"/>
  <c r="EC10" i="24" s="1"/>
  <c r="FD8" i="24"/>
  <c r="FK8" i="24" s="1"/>
  <c r="GL13" i="24"/>
  <c r="GS13" i="24" s="1"/>
  <c r="HT6" i="24"/>
  <c r="IA6" i="24" s="1"/>
  <c r="JB4" i="24"/>
  <c r="JI4" i="24" s="1"/>
  <c r="KJ9" i="24"/>
  <c r="KQ9" i="24" s="1"/>
  <c r="KJ14" i="24"/>
  <c r="KQ14" i="24" s="1"/>
  <c r="LR12" i="24"/>
  <c r="LY12" i="24" s="1"/>
  <c r="OH5" i="24"/>
  <c r="OO5" i="24" s="1"/>
  <c r="OH10" i="24"/>
  <c r="OO10" i="24" s="1"/>
  <c r="PP8" i="24"/>
  <c r="PW8" i="24" s="1"/>
  <c r="DV9" i="24"/>
  <c r="EC9" i="24" s="1"/>
  <c r="DV14" i="24"/>
  <c r="EC14" i="24" s="1"/>
  <c r="FD12" i="24"/>
  <c r="FK12" i="24" s="1"/>
  <c r="HT5" i="24"/>
  <c r="IA5" i="24" s="1"/>
  <c r="IA10" i="24"/>
  <c r="JB8" i="24"/>
  <c r="JI8" i="24" s="1"/>
  <c r="KJ13" i="24"/>
  <c r="KQ13" i="24" s="1"/>
  <c r="LY6" i="24"/>
  <c r="MZ4" i="24"/>
  <c r="NG4" i="24" s="1"/>
  <c r="OH9" i="24"/>
  <c r="OO9" i="24" s="1"/>
  <c r="OH14" i="24"/>
  <c r="OO14" i="24" s="1"/>
  <c r="PP12" i="24"/>
  <c r="PW12" i="24" s="1"/>
  <c r="DV13" i="24"/>
  <c r="EC13" i="24" s="1"/>
  <c r="FD6" i="24"/>
  <c r="FK6" i="24" s="1"/>
  <c r="GL4" i="24"/>
  <c r="GS4" i="24" s="1"/>
  <c r="HT9" i="24"/>
  <c r="IA9" i="24" s="1"/>
  <c r="HT14" i="24"/>
  <c r="IA14" i="24" s="1"/>
  <c r="JB12" i="24"/>
  <c r="JI12" i="24" s="1"/>
  <c r="LR5" i="24"/>
  <c r="LY5" i="24" s="1"/>
  <c r="LR10" i="24"/>
  <c r="LY10" i="24" s="1"/>
  <c r="MZ8" i="24"/>
  <c r="NG8" i="24" s="1"/>
  <c r="OH13" i="24"/>
  <c r="OO13" i="24" s="1"/>
  <c r="PP6" i="24"/>
  <c r="PW6" i="24" s="1"/>
  <c r="QX4" i="24"/>
  <c r="RE4" i="24" s="1"/>
  <c r="PW5" i="24"/>
  <c r="RE8" i="24"/>
  <c r="RE12" i="24"/>
  <c r="LY5" i="23"/>
  <c r="NG7" i="23"/>
  <c r="NG12" i="23"/>
  <c r="NG16" i="23"/>
  <c r="PW15" i="23"/>
  <c r="RE10" i="23"/>
  <c r="IA4" i="23"/>
  <c r="IA14" i="23"/>
  <c r="JI8" i="23"/>
  <c r="JI10" i="23"/>
  <c r="KQ14" i="23"/>
  <c r="LY4" i="23"/>
  <c r="LY6" i="23"/>
  <c r="LY10" i="23"/>
  <c r="LY12" i="23"/>
  <c r="LR16" i="23"/>
  <c r="LY16" i="23" s="1"/>
  <c r="OH14" i="23"/>
  <c r="OO14" i="23" s="1"/>
  <c r="OO5" i="23"/>
  <c r="OH10" i="23"/>
  <c r="DV6" i="23"/>
  <c r="EC6" i="23" s="1"/>
  <c r="DV15" i="23"/>
  <c r="EC15" i="23" s="1"/>
  <c r="FD10" i="23"/>
  <c r="FK10" i="23" s="1"/>
  <c r="JB14" i="23"/>
  <c r="KJ4" i="23"/>
  <c r="KQ4" i="23" s="1"/>
  <c r="OH12" i="23"/>
  <c r="OO12" i="23" s="1"/>
  <c r="OH13" i="23"/>
  <c r="FK5" i="23"/>
  <c r="FK7" i="23"/>
  <c r="RE9" i="23"/>
  <c r="RE12" i="23"/>
  <c r="GS9" i="23"/>
  <c r="GL15" i="23"/>
  <c r="GS15" i="23" s="1"/>
  <c r="HT10" i="23"/>
  <c r="IA10" i="23" s="1"/>
  <c r="LY14" i="23"/>
  <c r="LY15" i="23"/>
  <c r="FD12" i="23"/>
  <c r="FK12" i="23" s="1"/>
  <c r="JB16" i="23"/>
  <c r="JI16" i="23" s="1"/>
  <c r="KJ5" i="23"/>
  <c r="KQ5" i="23" s="1"/>
  <c r="KJ10" i="23"/>
  <c r="LR8" i="23"/>
  <c r="LY8" i="23" s="1"/>
  <c r="OH15" i="23"/>
  <c r="OO15" i="23" s="1"/>
  <c r="FK4" i="23"/>
  <c r="FK14" i="23"/>
  <c r="GL7" i="23"/>
  <c r="GS7" i="23" s="1"/>
  <c r="LR7" i="23"/>
  <c r="LY7" i="23" s="1"/>
  <c r="LR9" i="23"/>
  <c r="LY9" i="23" s="1"/>
  <c r="PP4" i="23"/>
  <c r="PW4" i="23" s="1"/>
  <c r="QX4" i="23"/>
  <c r="RE4" i="23" s="1"/>
  <c r="QX14" i="23"/>
  <c r="RE14" i="23" s="1"/>
  <c r="GL4" i="23"/>
  <c r="GL8" i="23"/>
  <c r="GS8" i="23" s="1"/>
  <c r="MZ15" i="23"/>
  <c r="NG15" i="23" s="1"/>
  <c r="EK4" i="22"/>
  <c r="ED5" i="22"/>
  <c r="EK5" i="22" s="1"/>
  <c r="ED7" i="22"/>
  <c r="ED9" i="22"/>
  <c r="EK9" i="22" s="1"/>
  <c r="GT14" i="22"/>
  <c r="HA14" i="22" s="1"/>
  <c r="MG15" i="22"/>
  <c r="MG17" i="22"/>
  <c r="NO5" i="22"/>
  <c r="NH7" i="22"/>
  <c r="NO7" i="22" s="1"/>
  <c r="NH9" i="22"/>
  <c r="NO9" i="22" s="1"/>
  <c r="NH11" i="22"/>
  <c r="NO11" i="22" s="1"/>
  <c r="NH13" i="22"/>
  <c r="NO13" i="22" s="1"/>
  <c r="NH15" i="22"/>
  <c r="NO15" i="22" s="1"/>
  <c r="OP4" i="22"/>
  <c r="OW4" i="22" s="1"/>
  <c r="RF4" i="22"/>
  <c r="RM4" i="22" s="1"/>
  <c r="RF6" i="22"/>
  <c r="RM6" i="22" s="1"/>
  <c r="RF8" i="22"/>
  <c r="RM8" i="22" s="1"/>
  <c r="RF10" i="22"/>
  <c r="RM10" i="22" s="1"/>
  <c r="FL14" i="22"/>
  <c r="GT6" i="22"/>
  <c r="HA6" i="22" s="1"/>
  <c r="LZ5" i="22"/>
  <c r="MG5" i="22" s="1"/>
  <c r="LZ7" i="22"/>
  <c r="MG7" i="22" s="1"/>
  <c r="NO4" i="22"/>
  <c r="PX6" i="22"/>
  <c r="QE6" i="22" s="1"/>
  <c r="RF17" i="22"/>
  <c r="RM17" i="22" s="1"/>
  <c r="FL4" i="22"/>
  <c r="JJ5" i="22"/>
  <c r="JJ9" i="22"/>
  <c r="JJ13" i="22"/>
  <c r="JQ13" i="22" s="1"/>
  <c r="JJ17" i="22"/>
  <c r="JQ17" i="22" s="1"/>
  <c r="KR5" i="22"/>
  <c r="KY5" i="22" s="1"/>
  <c r="FL7" i="22"/>
  <c r="KR8" i="22"/>
  <c r="FL17" i="22"/>
  <c r="FS17" i="22" s="1"/>
  <c r="GT7" i="22"/>
  <c r="HA7" i="22" s="1"/>
  <c r="GT9" i="22"/>
  <c r="HA9" i="22" s="1"/>
  <c r="LZ6" i="22"/>
  <c r="MG6" i="22" s="1"/>
  <c r="MG13" i="22"/>
  <c r="PX5" i="22"/>
  <c r="QE5" i="22" s="1"/>
  <c r="PX7" i="22"/>
  <c r="QE7" i="22" s="1"/>
  <c r="QE12" i="22"/>
  <c r="RF16" i="22"/>
  <c r="RM16" i="22" s="1"/>
  <c r="FL5" i="22"/>
  <c r="FS5" i="22" s="1"/>
  <c r="HA4" i="22"/>
  <c r="IB14" i="22"/>
  <c r="II14" i="22" s="1"/>
  <c r="KR6" i="22"/>
  <c r="KY6" i="22" s="1"/>
  <c r="KR14" i="22"/>
  <c r="KY14" i="22" s="1"/>
  <c r="KR16" i="22"/>
  <c r="KY16" i="22" s="1"/>
  <c r="OP9" i="22"/>
  <c r="OW9" i="22" s="1"/>
  <c r="OP13" i="22"/>
  <c r="OW13" i="22" s="1"/>
  <c r="RF14" i="22"/>
  <c r="RM14" i="22" s="1"/>
  <c r="FL13" i="22"/>
  <c r="FS13" i="22" s="1"/>
  <c r="FL15" i="22"/>
  <c r="FS15" i="22" s="1"/>
  <c r="ED6" i="22"/>
  <c r="EK6" i="22" s="1"/>
  <c r="GT15" i="22"/>
  <c r="IB4" i="22"/>
  <c r="II4" i="22" s="1"/>
  <c r="LZ14" i="22"/>
  <c r="NH6" i="22"/>
  <c r="NO6" i="22" s="1"/>
  <c r="NH14" i="22"/>
  <c r="NO14" i="22" s="1"/>
  <c r="PX13" i="22"/>
  <c r="QE13" i="22" s="1"/>
  <c r="PX15" i="22"/>
  <c r="QE15" i="22" s="1"/>
  <c r="PX17" i="22"/>
  <c r="QE17" i="22" s="1"/>
  <c r="RF5" i="22"/>
  <c r="RM5" i="22" s="1"/>
  <c r="RF7" i="22"/>
  <c r="RM7" i="22" s="1"/>
  <c r="RF9" i="22"/>
  <c r="RM9" i="22" s="1"/>
  <c r="EK12" i="22"/>
  <c r="II9" i="22"/>
  <c r="FS7" i="22"/>
  <c r="FS12" i="22"/>
  <c r="II7" i="22"/>
  <c r="II12" i="22"/>
  <c r="KY8" i="22"/>
  <c r="MG12" i="22"/>
  <c r="FS6" i="22"/>
  <c r="ED10" i="22"/>
  <c r="EK10" i="22" s="1"/>
  <c r="EK13" i="22"/>
  <c r="FL11" i="22"/>
  <c r="FS11" i="22" s="1"/>
  <c r="FL16" i="22"/>
  <c r="FS16" i="22" s="1"/>
  <c r="GT10" i="22"/>
  <c r="HA10" i="22" s="1"/>
  <c r="HA13" i="22"/>
  <c r="IB11" i="22"/>
  <c r="II11" i="22" s="1"/>
  <c r="IB16" i="22"/>
  <c r="II16" i="22" s="1"/>
  <c r="KR10" i="22"/>
  <c r="KY10" i="22" s="1"/>
  <c r="KR12" i="22"/>
  <c r="KY12" i="22" s="1"/>
  <c r="LZ11" i="22"/>
  <c r="MG11" i="22" s="1"/>
  <c r="LZ16" i="22"/>
  <c r="MG16" i="22" s="1"/>
  <c r="NH10" i="22"/>
  <c r="NO10" i="22" s="1"/>
  <c r="OP7" i="22"/>
  <c r="OW7" i="22" s="1"/>
  <c r="OP14" i="22"/>
  <c r="OW14" i="22" s="1"/>
  <c r="PX11" i="22"/>
  <c r="QE11" i="22" s="1"/>
  <c r="QE16" i="22"/>
  <c r="ED8" i="22"/>
  <c r="EK8" i="22" s="1"/>
  <c r="GT8" i="22"/>
  <c r="HA8" i="22" s="1"/>
  <c r="JJ7" i="22"/>
  <c r="JQ7" i="22" s="1"/>
  <c r="JJ11" i="22"/>
  <c r="JQ11" i="22" s="1"/>
  <c r="JJ15" i="22"/>
  <c r="JQ15" i="22" s="1"/>
  <c r="NH8" i="22"/>
  <c r="NO8" i="22" s="1"/>
  <c r="OP11" i="22"/>
  <c r="OW11" i="22" s="1"/>
  <c r="NO12" i="22"/>
  <c r="HA12" i="22"/>
  <c r="ED11" i="22"/>
  <c r="EK11" i="22" s="1"/>
  <c r="ED16" i="22"/>
  <c r="EK16" i="22" s="1"/>
  <c r="FL10" i="22"/>
  <c r="FS10" i="22" s="1"/>
  <c r="GT11" i="22"/>
  <c r="HA11" i="22" s="1"/>
  <c r="GT16" i="22"/>
  <c r="HA16" i="22" s="1"/>
  <c r="IB10" i="22"/>
  <c r="II10" i="22" s="1"/>
  <c r="KR11" i="22"/>
  <c r="KY11" i="22" s="1"/>
  <c r="LZ10" i="22"/>
  <c r="MG10" i="22" s="1"/>
  <c r="NH16" i="22"/>
  <c r="NO16" i="22" s="1"/>
  <c r="OP6" i="22"/>
  <c r="OW6" i="22" s="1"/>
  <c r="OP15" i="22"/>
  <c r="OW15" i="22" s="1"/>
  <c r="PX10" i="22"/>
  <c r="QE10" i="22" s="1"/>
  <c r="EK7" i="22"/>
  <c r="EK15" i="22"/>
  <c r="FS4" i="22"/>
  <c r="FS14" i="22"/>
  <c r="HA15" i="22"/>
  <c r="JQ5" i="22"/>
  <c r="JQ9" i="22"/>
  <c r="KY15" i="22"/>
  <c r="MG4" i="22"/>
  <c r="MG14" i="22"/>
  <c r="QE4" i="22"/>
  <c r="PX14" i="22"/>
  <c r="QE14" i="22" s="1"/>
  <c r="FS9" i="22"/>
  <c r="II6" i="22"/>
  <c r="FL8" i="22"/>
  <c r="FS8" i="22" s="1"/>
  <c r="IB8" i="22"/>
  <c r="II8" i="22" s="1"/>
  <c r="JJ4" i="22"/>
  <c r="JQ4" i="22" s="1"/>
  <c r="JJ6" i="22"/>
  <c r="JQ6" i="22" s="1"/>
  <c r="JJ8" i="22"/>
  <c r="JQ8" i="22" s="1"/>
  <c r="JJ10" i="22"/>
  <c r="JQ10" i="22" s="1"/>
  <c r="JJ14" i="22"/>
  <c r="JQ14" i="22" s="1"/>
  <c r="KR4" i="22"/>
  <c r="KY4" i="22" s="1"/>
  <c r="LZ8" i="22"/>
  <c r="MG8" i="22" s="1"/>
  <c r="OP10" i="22"/>
  <c r="OW10" i="22" s="1"/>
  <c r="PX8" i="22"/>
  <c r="QE8" i="22" s="1"/>
  <c r="RM12" i="22"/>
  <c r="FL19" i="4"/>
  <c r="FS19" i="4" s="1"/>
  <c r="GT9" i="4"/>
  <c r="HA9" i="4" s="1"/>
  <c r="GT18" i="4"/>
  <c r="GT22" i="4"/>
  <c r="HA22" i="4" s="1"/>
  <c r="NH7" i="4"/>
  <c r="NO7" i="4" s="1"/>
  <c r="ED14" i="4"/>
  <c r="EK14" i="4" s="1"/>
  <c r="HA17" i="4"/>
  <c r="HA19" i="4"/>
  <c r="JJ22" i="4"/>
  <c r="JQ22" i="4" s="1"/>
  <c r="NH5" i="4"/>
  <c r="NH8" i="4"/>
  <c r="OP5" i="4"/>
  <c r="OW5" i="4" s="1"/>
  <c r="RM4" i="4"/>
  <c r="RF11" i="4"/>
  <c r="RM11" i="4" s="1"/>
  <c r="RF18" i="4"/>
  <c r="RM18" i="4" s="1"/>
  <c r="EK8" i="4"/>
  <c r="EK11" i="4"/>
  <c r="EK13" i="4"/>
  <c r="JQ10" i="4"/>
  <c r="JQ12" i="4"/>
  <c r="JQ15" i="4"/>
  <c r="JJ17" i="4"/>
  <c r="JQ17" i="4" s="1"/>
  <c r="JJ19" i="4"/>
  <c r="JQ19" i="4" s="1"/>
  <c r="JJ21" i="4"/>
  <c r="JQ21" i="4" s="1"/>
  <c r="JJ23" i="4"/>
  <c r="JQ23" i="4" s="1"/>
  <c r="KR4" i="4"/>
  <c r="KR22" i="4"/>
  <c r="KY22" i="4" s="1"/>
  <c r="LZ5" i="4"/>
  <c r="MG5" i="4" s="1"/>
  <c r="OW13" i="4"/>
  <c r="RF15" i="4"/>
  <c r="RM15" i="4" s="1"/>
  <c r="RF17" i="4"/>
  <c r="RM17" i="4" s="1"/>
  <c r="ED20" i="4"/>
  <c r="ED22" i="4"/>
  <c r="FL13" i="4"/>
  <c r="FS13" i="4" s="1"/>
  <c r="FL9" i="4"/>
  <c r="FS9" i="4" s="1"/>
  <c r="FS15" i="4"/>
  <c r="MG7" i="4"/>
  <c r="MG12" i="4"/>
  <c r="OP16" i="4"/>
  <c r="FL20" i="4"/>
  <c r="FS20" i="4" s="1"/>
  <c r="QE16" i="4"/>
  <c r="QE19" i="4"/>
  <c r="KY7" i="4"/>
  <c r="EK15" i="4"/>
  <c r="IB16" i="4"/>
  <c r="II16" i="4" s="1"/>
  <c r="IB18" i="4"/>
  <c r="II18" i="4" s="1"/>
  <c r="JJ8" i="4"/>
  <c r="JQ8" i="4" s="1"/>
  <c r="KR6" i="4"/>
  <c r="KY6" i="4" s="1"/>
  <c r="KR8" i="4"/>
  <c r="KY8" i="4" s="1"/>
  <c r="OW12" i="4"/>
  <c r="QE6" i="4"/>
  <c r="FL14" i="4"/>
  <c r="MG13" i="4"/>
  <c r="MG9" i="4"/>
  <c r="MG15" i="4"/>
  <c r="LZ19" i="4"/>
  <c r="MG19" i="4" s="1"/>
  <c r="OW23" i="4"/>
  <c r="PX11" i="4"/>
  <c r="QE11" i="4" s="1"/>
  <c r="PX9" i="4"/>
  <c r="QE9" i="4" s="1"/>
  <c r="RM20" i="4"/>
  <c r="FL16" i="4"/>
  <c r="FS16" i="4" s="1"/>
  <c r="FL18" i="4"/>
  <c r="FS18" i="4" s="1"/>
  <c r="GT14" i="4"/>
  <c r="HA14" i="4" s="1"/>
  <c r="HA18" i="4"/>
  <c r="IB13" i="4"/>
  <c r="II13" i="4" s="1"/>
  <c r="JJ14" i="4"/>
  <c r="JQ14" i="4" s="1"/>
  <c r="KY21" i="4"/>
  <c r="MG16" i="4"/>
  <c r="MG18" i="4"/>
  <c r="NO14" i="4"/>
  <c r="OW8" i="4"/>
  <c r="QE4" i="4"/>
  <c r="QE20" i="4"/>
  <c r="RF22" i="4"/>
  <c r="RM22" i="4" s="1"/>
  <c r="FS10" i="4"/>
  <c r="HA5" i="4"/>
  <c r="HA21" i="4"/>
  <c r="IB20" i="4"/>
  <c r="II20" i="4" s="1"/>
  <c r="JJ5" i="4"/>
  <c r="JQ5" i="4" s="1"/>
  <c r="KR13" i="4"/>
  <c r="KY13" i="4" s="1"/>
  <c r="MG10" i="4"/>
  <c r="NO5" i="4"/>
  <c r="NO21" i="4"/>
  <c r="OP6" i="4"/>
  <c r="OW6" i="4" s="1"/>
  <c r="OW16" i="4"/>
  <c r="PX18" i="4"/>
  <c r="QE18" i="4" s="1"/>
  <c r="RF8" i="4"/>
  <c r="RM8" i="4" s="1"/>
  <c r="EK7" i="4"/>
  <c r="EK9" i="4"/>
  <c r="FS14" i="4"/>
  <c r="HA8" i="4"/>
  <c r="II4" i="4"/>
  <c r="II7" i="4"/>
  <c r="II10" i="4"/>
  <c r="KY4" i="4"/>
  <c r="KY16" i="4"/>
  <c r="MG14" i="4"/>
  <c r="NO8" i="4"/>
  <c r="OW4" i="4"/>
  <c r="OP11" i="4"/>
  <c r="OW11" i="4" s="1"/>
  <c r="OP20" i="4"/>
  <c r="OW20" i="4" s="1"/>
  <c r="QE17" i="4"/>
  <c r="PX22" i="4"/>
  <c r="QE22" i="4" s="1"/>
  <c r="RM13" i="4"/>
  <c r="FL17" i="4"/>
  <c r="FS17" i="4" s="1"/>
  <c r="FL22" i="4"/>
  <c r="FS22" i="4" s="1"/>
  <c r="GT13" i="4"/>
  <c r="HA13" i="4" s="1"/>
  <c r="IB12" i="4"/>
  <c r="II12" i="4" s="1"/>
  <c r="IB14" i="4"/>
  <c r="II14" i="4" s="1"/>
  <c r="JJ13" i="4"/>
  <c r="JQ13" i="4" s="1"/>
  <c r="KR11" i="4"/>
  <c r="KY11" i="4" s="1"/>
  <c r="KR20" i="4"/>
  <c r="KY20" i="4" s="1"/>
  <c r="LZ17" i="4"/>
  <c r="MG17" i="4" s="1"/>
  <c r="LZ22" i="4"/>
  <c r="MG22" i="4" s="1"/>
  <c r="NH13" i="4"/>
  <c r="NO13" i="4" s="1"/>
  <c r="OP10" i="4"/>
  <c r="OW10" i="4" s="1"/>
  <c r="OP9" i="4"/>
  <c r="OW9" i="4" s="1"/>
  <c r="PX5" i="4"/>
  <c r="QE5" i="4" s="1"/>
  <c r="QE7" i="4"/>
  <c r="PX21" i="4"/>
  <c r="QE21" i="4" s="1"/>
  <c r="RF6" i="4"/>
  <c r="RM6" i="4" s="1"/>
  <c r="RF16" i="4"/>
  <c r="RM16" i="4" s="1"/>
  <c r="RM19" i="4"/>
  <c r="EK12" i="4"/>
  <c r="EK18" i="4"/>
  <c r="EK20" i="4"/>
  <c r="EK22" i="4"/>
  <c r="FL5" i="4"/>
  <c r="FS5" i="4" s="1"/>
  <c r="FL6" i="4"/>
  <c r="FS6" i="4" s="1"/>
  <c r="FL21" i="4"/>
  <c r="FS21" i="4" s="1"/>
  <c r="GT6" i="4"/>
  <c r="HA6" i="4" s="1"/>
  <c r="GT16" i="4"/>
  <c r="HA16" i="4" s="1"/>
  <c r="IB15" i="4"/>
  <c r="II15" i="4" s="1"/>
  <c r="IB17" i="4"/>
  <c r="II17" i="4" s="1"/>
  <c r="II22" i="4"/>
  <c r="JQ6" i="4"/>
  <c r="JJ16" i="4"/>
  <c r="JQ16" i="4" s="1"/>
  <c r="KR10" i="4"/>
  <c r="KY10" i="4" s="1"/>
  <c r="KY9" i="4"/>
  <c r="LZ6" i="4"/>
  <c r="MG6" i="4" s="1"/>
  <c r="LZ21" i="4"/>
  <c r="MG21" i="4" s="1"/>
  <c r="NH6" i="4"/>
  <c r="NO6" i="4" s="1"/>
  <c r="NH16" i="4"/>
  <c r="NO16" i="4" s="1"/>
  <c r="OP14" i="4"/>
  <c r="OW14" i="4" s="1"/>
  <c r="OW18" i="4"/>
  <c r="PX8" i="4"/>
  <c r="QE8" i="4" s="1"/>
  <c r="FL8" i="4"/>
  <c r="FS8" i="4" s="1"/>
  <c r="FL11" i="4"/>
  <c r="FS11" i="4" s="1"/>
  <c r="GT4" i="4"/>
  <c r="HA4" i="4" s="1"/>
  <c r="GT11" i="4"/>
  <c r="HA11" i="4" s="1"/>
  <c r="GT20" i="4"/>
  <c r="HA20" i="4" s="1"/>
  <c r="HA23" i="4"/>
  <c r="IB19" i="4"/>
  <c r="II19" i="4" s="1"/>
  <c r="IB21" i="4"/>
  <c r="II21" i="4" s="1"/>
  <c r="IB23" i="4"/>
  <c r="II23" i="4" s="1"/>
  <c r="JJ4" i="4"/>
  <c r="JQ4" i="4" s="1"/>
  <c r="JJ11" i="4"/>
  <c r="JQ11" i="4" s="1"/>
  <c r="JJ20" i="4"/>
  <c r="JQ20" i="4" s="1"/>
  <c r="KR14" i="4"/>
  <c r="KY14" i="4" s="1"/>
  <c r="KR18" i="4"/>
  <c r="KY18" i="4" s="1"/>
  <c r="LZ8" i="4"/>
  <c r="MG8" i="4" s="1"/>
  <c r="LZ11" i="4"/>
  <c r="MG11" i="4" s="1"/>
  <c r="NH4" i="4"/>
  <c r="NO4" i="4" s="1"/>
  <c r="NH11" i="4"/>
  <c r="NO11" i="4" s="1"/>
  <c r="NH20" i="4"/>
  <c r="NO20" i="4" s="1"/>
  <c r="OP17" i="4"/>
  <c r="OW17" i="4" s="1"/>
  <c r="OW22" i="4"/>
  <c r="PX13" i="4"/>
  <c r="QE13" i="4" s="1"/>
  <c r="RF10" i="4"/>
  <c r="RM10" i="4" s="1"/>
  <c r="RF9" i="4"/>
  <c r="RM9" i="4" s="1"/>
  <c r="IP7" i="26"/>
  <c r="IP9" i="26"/>
  <c r="LV13" i="19"/>
  <c r="LV11" i="19"/>
  <c r="GS12" i="23"/>
  <c r="OO16" i="23"/>
  <c r="DV4" i="23"/>
  <c r="EC4" i="23" s="1"/>
  <c r="FD9" i="23"/>
  <c r="FK9" i="23" s="1"/>
  <c r="FD15" i="23"/>
  <c r="FK15" i="23" s="1"/>
  <c r="GL14" i="23"/>
  <c r="GS14" i="23" s="1"/>
  <c r="JB5" i="23"/>
  <c r="JI5" i="23" s="1"/>
  <c r="KJ8" i="23"/>
  <c r="KQ8" i="23" s="1"/>
  <c r="QX15" i="23"/>
  <c r="RE15" i="23" s="1"/>
  <c r="EC8" i="23"/>
  <c r="FK13" i="23"/>
  <c r="GL6" i="23"/>
  <c r="GS6" i="23" s="1"/>
  <c r="OO10" i="23"/>
  <c r="PP8" i="23"/>
  <c r="PW8" i="23" s="1"/>
  <c r="QX13" i="23"/>
  <c r="RE13" i="23" s="1"/>
  <c r="DV14" i="23"/>
  <c r="EC14" i="23" s="1"/>
  <c r="GL5" i="23"/>
  <c r="GS5" i="23" s="1"/>
  <c r="GL10" i="23"/>
  <c r="GS10" i="23" s="1"/>
  <c r="HT8" i="23"/>
  <c r="IA8" i="23" s="1"/>
  <c r="JB13" i="23"/>
  <c r="JI13" i="23" s="1"/>
  <c r="KJ6" i="23"/>
  <c r="KQ6" i="23" s="1"/>
  <c r="MZ8" i="23"/>
  <c r="NG8" i="23" s="1"/>
  <c r="OH9" i="23"/>
  <c r="OO9" i="23" s="1"/>
  <c r="PP14" i="23"/>
  <c r="PW14" i="23" s="1"/>
  <c r="KQ10" i="23"/>
  <c r="LR13" i="23"/>
  <c r="LY13" i="23" s="1"/>
  <c r="MZ13" i="23"/>
  <c r="NG13" i="23" s="1"/>
  <c r="OO13" i="23"/>
  <c r="PP6" i="23"/>
  <c r="PW6" i="23" s="1"/>
  <c r="DV5" i="23"/>
  <c r="EC5" i="23" s="1"/>
  <c r="DV10" i="23"/>
  <c r="EC10" i="23" s="1"/>
  <c r="FD8" i="23"/>
  <c r="FK8" i="23" s="1"/>
  <c r="GL13" i="23"/>
  <c r="GS13" i="23" s="1"/>
  <c r="HT6" i="23"/>
  <c r="IA6" i="23" s="1"/>
  <c r="JB4" i="23"/>
  <c r="JI4" i="23" s="1"/>
  <c r="JB6" i="23"/>
  <c r="JI6" i="23" s="1"/>
  <c r="KJ9" i="23"/>
  <c r="KQ9" i="23" s="1"/>
  <c r="KJ15" i="23"/>
  <c r="KQ15" i="23" s="1"/>
  <c r="MZ5" i="23"/>
  <c r="NG5" i="23" s="1"/>
  <c r="MZ14" i="23"/>
  <c r="NG14" i="23" s="1"/>
  <c r="PP5" i="23"/>
  <c r="PW5" i="23" s="1"/>
  <c r="QX8" i="23"/>
  <c r="RE8" i="23" s="1"/>
  <c r="EC13" i="23"/>
  <c r="FD6" i="23"/>
  <c r="FK6" i="23" s="1"/>
  <c r="GS4" i="23"/>
  <c r="IA9" i="23"/>
  <c r="HT15" i="23"/>
  <c r="IA15" i="23" s="1"/>
  <c r="JI14" i="23"/>
  <c r="JB15" i="23"/>
  <c r="JI15" i="23" s="1"/>
  <c r="MZ9" i="23"/>
  <c r="NG9" i="23" s="1"/>
  <c r="OH8" i="23"/>
  <c r="OO8" i="23" s="1"/>
  <c r="PP13" i="23"/>
  <c r="PW13" i="23" s="1"/>
  <c r="QX6" i="23"/>
  <c r="RE6" i="23" s="1"/>
  <c r="OY4" i="21"/>
  <c r="OY5" i="21"/>
  <c r="OY6" i="21"/>
  <c r="OY7" i="21"/>
  <c r="OY8" i="21"/>
  <c r="OY9" i="21"/>
  <c r="OY10" i="21"/>
  <c r="OY11" i="21"/>
  <c r="OY12" i="21"/>
  <c r="OY13" i="21"/>
  <c r="OY14" i="21"/>
  <c r="OY15" i="21"/>
  <c r="OY16" i="21"/>
  <c r="OY17" i="21"/>
  <c r="OY18" i="21"/>
  <c r="NW4" i="21"/>
  <c r="NW5" i="21"/>
  <c r="NW6" i="21"/>
  <c r="NW7" i="21"/>
  <c r="NW8" i="21"/>
  <c r="NW9" i="21"/>
  <c r="NW10" i="21"/>
  <c r="NW11" i="21"/>
  <c r="NW12" i="21"/>
  <c r="NW13" i="21"/>
  <c r="NW14" i="21"/>
  <c r="NW15" i="21"/>
  <c r="NW16" i="21"/>
  <c r="NW17" i="21"/>
  <c r="NW18" i="21"/>
  <c r="MU4" i="21"/>
  <c r="MU5" i="21"/>
  <c r="MU6" i="21"/>
  <c r="MU7" i="21"/>
  <c r="MU8" i="21"/>
  <c r="MU9" i="21"/>
  <c r="MU10" i="21"/>
  <c r="MU11" i="21"/>
  <c r="MU12" i="21"/>
  <c r="MU13" i="21"/>
  <c r="MU14" i="21"/>
  <c r="MU15" i="21"/>
  <c r="MU16" i="21"/>
  <c r="MU17" i="21"/>
  <c r="MU18" i="21"/>
  <c r="LS4" i="21"/>
  <c r="LS5" i="21"/>
  <c r="LS6" i="21"/>
  <c r="LS7" i="21"/>
  <c r="LS8" i="21"/>
  <c r="LS9" i="21"/>
  <c r="LS10" i="21"/>
  <c r="LS11" i="21"/>
  <c r="LS12" i="21"/>
  <c r="LS13" i="21"/>
  <c r="LS14" i="21"/>
  <c r="LS15" i="21"/>
  <c r="LS16" i="21"/>
  <c r="LS17" i="21"/>
  <c r="LS18" i="21"/>
  <c r="KQ4" i="21"/>
  <c r="KQ5" i="21"/>
  <c r="KQ6" i="21"/>
  <c r="KQ7" i="21"/>
  <c r="KQ8" i="21"/>
  <c r="KQ9" i="21"/>
  <c r="KQ10" i="21"/>
  <c r="KQ11" i="21"/>
  <c r="KQ12" i="21"/>
  <c r="KQ13" i="21"/>
  <c r="KQ14" i="21"/>
  <c r="KQ15" i="21"/>
  <c r="KQ16" i="21"/>
  <c r="KQ17" i="21"/>
  <c r="KQ18" i="21"/>
  <c r="JO4" i="21"/>
  <c r="JO5" i="21"/>
  <c r="JO6" i="21"/>
  <c r="JO7" i="21"/>
  <c r="JO8" i="21"/>
  <c r="JO9" i="21"/>
  <c r="JO10" i="21"/>
  <c r="JO11" i="21"/>
  <c r="JO12" i="21"/>
  <c r="JO13" i="21"/>
  <c r="JO14" i="21"/>
  <c r="JO15" i="21"/>
  <c r="JO16" i="21"/>
  <c r="JO17" i="21"/>
  <c r="JO18" i="21"/>
  <c r="IM4" i="21"/>
  <c r="IM5" i="21"/>
  <c r="IM6" i="21"/>
  <c r="IM7" i="21"/>
  <c r="IM8" i="21"/>
  <c r="IM9" i="21"/>
  <c r="IM10" i="21"/>
  <c r="IM11" i="21"/>
  <c r="IM12" i="21"/>
  <c r="IM13" i="21"/>
  <c r="IM14" i="21"/>
  <c r="IM15" i="21"/>
  <c r="IM16" i="21"/>
  <c r="IM17" i="21"/>
  <c r="IM18" i="21"/>
  <c r="HK4" i="21"/>
  <c r="HK5" i="21"/>
  <c r="HK6" i="21"/>
  <c r="HK7" i="21"/>
  <c r="HK8" i="21"/>
  <c r="HK9" i="21"/>
  <c r="HK10" i="21"/>
  <c r="HK11" i="21"/>
  <c r="HK12" i="21"/>
  <c r="HK13" i="21"/>
  <c r="HK14" i="21"/>
  <c r="HK15" i="21"/>
  <c r="HK16" i="21"/>
  <c r="HK17" i="21"/>
  <c r="HK18" i="21"/>
  <c r="GI4" i="21"/>
  <c r="GI5" i="21"/>
  <c r="GI6" i="21"/>
  <c r="GI7" i="21"/>
  <c r="GI8" i="21"/>
  <c r="GI9" i="21"/>
  <c r="GI10" i="21"/>
  <c r="GI11" i="21"/>
  <c r="GI12" i="21"/>
  <c r="GI13" i="21"/>
  <c r="GI14" i="21"/>
  <c r="GI15" i="21"/>
  <c r="GI16" i="21"/>
  <c r="GI17" i="21"/>
  <c r="GI18" i="21"/>
  <c r="FG4" i="21"/>
  <c r="FG5" i="21"/>
  <c r="FG6" i="21"/>
  <c r="FG7" i="21"/>
  <c r="FG8" i="21"/>
  <c r="FG9" i="21"/>
  <c r="FG10" i="21"/>
  <c r="FG11" i="21"/>
  <c r="FG12" i="21"/>
  <c r="FG13" i="21"/>
  <c r="FG14" i="21"/>
  <c r="FG15" i="21"/>
  <c r="FG16" i="21"/>
  <c r="FG17" i="21"/>
  <c r="FG18" i="21"/>
  <c r="EE4" i="21"/>
  <c r="EE5" i="21"/>
  <c r="EE6" i="21"/>
  <c r="EE7" i="21"/>
  <c r="EE8" i="21"/>
  <c r="EE9" i="21"/>
  <c r="EE10" i="21"/>
  <c r="EE11" i="21"/>
  <c r="EE12" i="21"/>
  <c r="EE13" i="21"/>
  <c r="EE14" i="21"/>
  <c r="EE15" i="21"/>
  <c r="EE16" i="21"/>
  <c r="EE17" i="21"/>
  <c r="EE18" i="21"/>
  <c r="OY4" i="19"/>
  <c r="OY5" i="19"/>
  <c r="OY6" i="19"/>
  <c r="OY7" i="19"/>
  <c r="OY8" i="19"/>
  <c r="OY9" i="19"/>
  <c r="OY10" i="19"/>
  <c r="OY11" i="19"/>
  <c r="OY12" i="19"/>
  <c r="OY14" i="19"/>
  <c r="OY15" i="19"/>
  <c r="OY16" i="19"/>
  <c r="OY17" i="19"/>
  <c r="OY18" i="19"/>
  <c r="OY13" i="19"/>
  <c r="OY19" i="19"/>
  <c r="OY20" i="19"/>
  <c r="OY21" i="19"/>
  <c r="OY22" i="19"/>
  <c r="OY23" i="19"/>
  <c r="OY24" i="19"/>
  <c r="OY25" i="19"/>
  <c r="OY26" i="19"/>
  <c r="OY27" i="19"/>
  <c r="NW4" i="19"/>
  <c r="NW5" i="19"/>
  <c r="NW6" i="19"/>
  <c r="NW7" i="19"/>
  <c r="NW8" i="19"/>
  <c r="NW9" i="19"/>
  <c r="NW10" i="19"/>
  <c r="NW11" i="19"/>
  <c r="NW12" i="19"/>
  <c r="NW14" i="19"/>
  <c r="NW15" i="19"/>
  <c r="NW16" i="19"/>
  <c r="NW17" i="19"/>
  <c r="NW18" i="19"/>
  <c r="NW13" i="19"/>
  <c r="NW19" i="19"/>
  <c r="NW20" i="19"/>
  <c r="NW21" i="19"/>
  <c r="NW22" i="19"/>
  <c r="NW23" i="19"/>
  <c r="NW24" i="19"/>
  <c r="NW25" i="19"/>
  <c r="NW26" i="19"/>
  <c r="NW27" i="19"/>
  <c r="MU4" i="19"/>
  <c r="MU5" i="19"/>
  <c r="MU6" i="19"/>
  <c r="MU7" i="19"/>
  <c r="MU8" i="19"/>
  <c r="MU9" i="19"/>
  <c r="MU10" i="19"/>
  <c r="MU11" i="19"/>
  <c r="MU12" i="19"/>
  <c r="MU14" i="19"/>
  <c r="MU15" i="19"/>
  <c r="MU16" i="19"/>
  <c r="MU17" i="19"/>
  <c r="MU18" i="19"/>
  <c r="MU13" i="19"/>
  <c r="MU19" i="19"/>
  <c r="MU20" i="19"/>
  <c r="MU21" i="19"/>
  <c r="MU22" i="19"/>
  <c r="MU23" i="19"/>
  <c r="MU24" i="19"/>
  <c r="MU25" i="19"/>
  <c r="MU26" i="19"/>
  <c r="MU27" i="19"/>
  <c r="LS4" i="19"/>
  <c r="LS5" i="19"/>
  <c r="LS6" i="19"/>
  <c r="LS7" i="19"/>
  <c r="LS8" i="19"/>
  <c r="LS9" i="19"/>
  <c r="LS10" i="19"/>
  <c r="LS11" i="19"/>
  <c r="LS12" i="19"/>
  <c r="LS14" i="19"/>
  <c r="LS15" i="19"/>
  <c r="LS16" i="19"/>
  <c r="LS17" i="19"/>
  <c r="LS18" i="19"/>
  <c r="LS13" i="19"/>
  <c r="LS19" i="19"/>
  <c r="LS20" i="19"/>
  <c r="LS21" i="19"/>
  <c r="LS22" i="19"/>
  <c r="LS23" i="19"/>
  <c r="LS24" i="19"/>
  <c r="LS25" i="19"/>
  <c r="LS26" i="19"/>
  <c r="LS27" i="19"/>
  <c r="KQ4" i="19"/>
  <c r="KQ5" i="19"/>
  <c r="KQ6" i="19"/>
  <c r="KQ7" i="19"/>
  <c r="KQ8" i="19"/>
  <c r="KQ9" i="19"/>
  <c r="KQ10" i="19"/>
  <c r="KQ11" i="19"/>
  <c r="KQ12" i="19"/>
  <c r="KQ14" i="19"/>
  <c r="KQ15" i="19"/>
  <c r="KQ16" i="19"/>
  <c r="KQ17" i="19"/>
  <c r="KQ18" i="19"/>
  <c r="KQ13" i="19"/>
  <c r="KQ19" i="19"/>
  <c r="KQ20" i="19"/>
  <c r="KQ21" i="19"/>
  <c r="KQ22" i="19"/>
  <c r="JO4" i="19"/>
  <c r="JO5" i="19"/>
  <c r="JO6" i="19"/>
  <c r="JO7" i="19"/>
  <c r="JO8" i="19"/>
  <c r="JO9" i="19"/>
  <c r="JO10" i="19"/>
  <c r="JO11" i="19"/>
  <c r="JO12" i="19"/>
  <c r="JO14" i="19"/>
  <c r="JO15" i="19"/>
  <c r="JO16" i="19"/>
  <c r="JO17" i="19"/>
  <c r="JO18" i="19"/>
  <c r="JO13" i="19"/>
  <c r="JO19" i="19"/>
  <c r="JO20" i="19"/>
  <c r="JO21" i="19"/>
  <c r="JO22" i="19"/>
  <c r="JO23" i="19"/>
  <c r="JO24" i="19"/>
  <c r="JO25" i="19"/>
  <c r="JO26" i="19"/>
  <c r="JO27" i="19"/>
  <c r="HK4" i="19"/>
  <c r="HK5" i="19"/>
  <c r="HK6" i="19"/>
  <c r="HK7" i="19"/>
  <c r="HK8" i="19"/>
  <c r="HK9" i="19"/>
  <c r="HK10" i="19"/>
  <c r="HK11" i="19"/>
  <c r="HK12" i="19"/>
  <c r="HK14" i="19"/>
  <c r="HK15" i="19"/>
  <c r="HK16" i="19"/>
  <c r="HK17" i="19"/>
  <c r="HK18" i="19"/>
  <c r="HK13" i="19"/>
  <c r="HK19" i="19"/>
  <c r="HK20" i="19"/>
  <c r="HK21" i="19"/>
  <c r="HK22" i="19"/>
  <c r="HK23" i="19"/>
  <c r="HK24" i="19"/>
  <c r="HK25" i="19"/>
  <c r="HK26" i="19"/>
  <c r="HK27" i="19"/>
  <c r="GI4" i="19"/>
  <c r="GI5" i="19"/>
  <c r="GI6" i="19"/>
  <c r="GI7" i="19"/>
  <c r="GI8" i="19"/>
  <c r="GI9" i="19"/>
  <c r="GI10" i="19"/>
  <c r="GI11" i="19"/>
  <c r="GI12" i="19"/>
  <c r="GI14" i="19"/>
  <c r="GI15" i="19"/>
  <c r="GI16" i="19"/>
  <c r="GI17" i="19"/>
  <c r="GI18" i="19"/>
  <c r="GI13" i="19"/>
  <c r="GI19" i="19"/>
  <c r="GI20" i="19"/>
  <c r="GI21" i="19"/>
  <c r="GI22" i="19"/>
  <c r="GI23" i="19"/>
  <c r="GI24" i="19"/>
  <c r="GI25" i="19"/>
  <c r="GI26" i="19"/>
  <c r="GI27" i="19"/>
  <c r="FG4" i="19"/>
  <c r="FG5" i="19"/>
  <c r="FG6" i="19"/>
  <c r="FG7" i="19"/>
  <c r="FG8" i="19"/>
  <c r="FG9" i="19"/>
  <c r="FG10" i="19"/>
  <c r="FG11" i="19"/>
  <c r="FG12" i="19"/>
  <c r="FG14" i="19"/>
  <c r="FG15" i="19"/>
  <c r="FG16" i="19"/>
  <c r="FG17" i="19"/>
  <c r="FG18" i="19"/>
  <c r="FG13" i="19"/>
  <c r="FG19" i="19"/>
  <c r="FG20" i="19"/>
  <c r="FG21" i="19"/>
  <c r="FG22" i="19"/>
  <c r="FG23" i="19"/>
  <c r="FG24" i="19"/>
  <c r="FG25" i="19"/>
  <c r="FG26" i="19"/>
  <c r="FG27" i="19"/>
  <c r="EE4" i="19"/>
  <c r="EE5" i="19"/>
  <c r="EE6" i="19"/>
  <c r="EE7" i="19"/>
  <c r="EE8" i="19"/>
  <c r="EE9" i="19"/>
  <c r="EE10" i="19"/>
  <c r="EE11" i="19"/>
  <c r="EE12" i="19"/>
  <c r="EE14" i="19"/>
  <c r="EE15" i="19"/>
  <c r="EE16" i="19"/>
  <c r="EE17" i="19"/>
  <c r="EE18" i="19"/>
  <c r="EE13" i="19"/>
  <c r="EE19" i="19"/>
  <c r="EE20" i="19"/>
  <c r="EE21" i="19"/>
  <c r="EE22" i="19"/>
  <c r="EE23" i="19"/>
  <c r="EE24" i="19"/>
  <c r="EE25" i="19"/>
  <c r="EE26" i="19"/>
  <c r="EE27" i="19"/>
  <c r="OY4" i="27"/>
  <c r="OY5" i="27"/>
  <c r="OY6" i="27"/>
  <c r="OY7" i="27"/>
  <c r="OY9" i="27"/>
  <c r="OY10" i="27"/>
  <c r="OY8" i="27"/>
  <c r="OY11" i="27"/>
  <c r="OY12" i="27"/>
  <c r="OY13" i="27"/>
  <c r="NW4" i="27"/>
  <c r="NW5" i="27"/>
  <c r="NW6" i="27"/>
  <c r="NW7" i="27"/>
  <c r="NW9" i="27"/>
  <c r="NW10" i="27"/>
  <c r="NW8" i="27"/>
  <c r="NW11" i="27"/>
  <c r="NW12" i="27"/>
  <c r="NW13" i="27"/>
  <c r="MU4" i="27"/>
  <c r="MU5" i="27"/>
  <c r="MU6" i="27"/>
  <c r="MU7" i="27"/>
  <c r="MU9" i="27"/>
  <c r="MU10" i="27"/>
  <c r="MU8" i="27"/>
  <c r="MU11" i="27"/>
  <c r="MU12" i="27"/>
  <c r="MU13" i="27"/>
  <c r="LS4" i="27"/>
  <c r="LS5" i="27"/>
  <c r="LS6" i="27"/>
  <c r="LS7" i="27"/>
  <c r="LS9" i="27"/>
  <c r="LS10" i="27"/>
  <c r="LS8" i="27"/>
  <c r="LS11" i="27"/>
  <c r="LS12" i="27"/>
  <c r="LS13" i="27"/>
  <c r="KQ4" i="27"/>
  <c r="KQ5" i="27"/>
  <c r="KQ6" i="27"/>
  <c r="KQ7" i="27"/>
  <c r="KQ9" i="27"/>
  <c r="KQ10" i="27"/>
  <c r="KQ8" i="27"/>
  <c r="KQ11" i="27"/>
  <c r="KQ12" i="27"/>
  <c r="KQ13" i="27"/>
  <c r="JO4" i="27"/>
  <c r="JO5" i="27"/>
  <c r="JO6" i="27"/>
  <c r="JO7" i="27"/>
  <c r="JO9" i="27"/>
  <c r="JO10" i="27"/>
  <c r="JO8" i="27"/>
  <c r="JO11" i="27"/>
  <c r="JO12" i="27"/>
  <c r="JO13" i="27"/>
  <c r="IM4" i="27"/>
  <c r="IM5" i="27"/>
  <c r="IM6" i="27"/>
  <c r="IM7" i="27"/>
  <c r="IM9" i="27"/>
  <c r="IM10" i="27"/>
  <c r="IM8" i="27"/>
  <c r="IM11" i="27"/>
  <c r="IM12" i="27"/>
  <c r="IM13" i="27"/>
  <c r="HK4" i="27"/>
  <c r="HK5" i="27"/>
  <c r="HK6" i="27"/>
  <c r="HK7" i="27"/>
  <c r="HK9" i="27"/>
  <c r="HK10" i="27"/>
  <c r="HK8" i="27"/>
  <c r="HK11" i="27"/>
  <c r="HK12" i="27"/>
  <c r="HK13" i="27"/>
  <c r="GI4" i="27"/>
  <c r="GI5" i="27"/>
  <c r="GI6" i="27"/>
  <c r="GI7" i="27"/>
  <c r="GI9" i="27"/>
  <c r="GI10" i="27"/>
  <c r="GI8" i="27"/>
  <c r="GI11" i="27"/>
  <c r="GI12" i="27"/>
  <c r="GI13" i="27"/>
  <c r="FG7" i="27"/>
  <c r="FG9" i="27"/>
  <c r="FG10" i="27"/>
  <c r="FG8" i="27"/>
  <c r="FG11" i="27"/>
  <c r="FG12" i="27"/>
  <c r="FG13" i="27"/>
  <c r="EE4" i="27"/>
  <c r="EE5" i="27"/>
  <c r="EE6" i="27"/>
  <c r="EE7" i="27"/>
  <c r="EE9" i="27"/>
  <c r="EE10" i="27"/>
  <c r="EE8" i="27"/>
  <c r="EE11" i="27"/>
  <c r="EE12" i="27"/>
  <c r="EE13" i="27"/>
  <c r="OY4" i="26"/>
  <c r="OY5" i="26"/>
  <c r="OY6" i="26"/>
  <c r="OY8" i="26"/>
  <c r="OY9" i="26"/>
  <c r="OY7" i="26"/>
  <c r="OY10" i="26"/>
  <c r="OY11" i="26"/>
  <c r="MU4" i="26"/>
  <c r="MU5" i="26"/>
  <c r="MU6" i="26"/>
  <c r="MU8" i="26"/>
  <c r="MU9" i="26"/>
  <c r="MU7" i="26"/>
  <c r="MU10" i="26"/>
  <c r="MU11" i="26"/>
  <c r="LS4" i="26"/>
  <c r="LS5" i="26"/>
  <c r="LS6" i="26"/>
  <c r="LS8" i="26"/>
  <c r="LS9" i="26"/>
  <c r="LS7" i="26"/>
  <c r="LS10" i="26"/>
  <c r="LS11" i="26"/>
  <c r="KQ4" i="26"/>
  <c r="KQ5" i="26"/>
  <c r="KQ6" i="26"/>
  <c r="KQ8" i="26"/>
  <c r="KQ9" i="26"/>
  <c r="KQ7" i="26"/>
  <c r="KQ10" i="26"/>
  <c r="KQ11" i="26"/>
  <c r="JO4" i="26"/>
  <c r="JO5" i="26"/>
  <c r="JO6" i="26"/>
  <c r="JO8" i="26"/>
  <c r="JO9" i="26"/>
  <c r="JO7" i="26"/>
  <c r="JO10" i="26"/>
  <c r="JO11" i="26"/>
  <c r="IM4" i="26"/>
  <c r="IM5" i="26"/>
  <c r="IM6" i="26"/>
  <c r="IM8" i="26"/>
  <c r="IM9" i="26"/>
  <c r="IM7" i="26"/>
  <c r="IM10" i="26"/>
  <c r="IM11" i="26"/>
  <c r="HK4" i="26"/>
  <c r="HK5" i="26"/>
  <c r="HK6" i="26"/>
  <c r="HK8" i="26"/>
  <c r="HK9" i="26"/>
  <c r="HK7" i="26"/>
  <c r="HK10" i="26"/>
  <c r="HK11" i="26"/>
  <c r="GI4" i="26"/>
  <c r="GI5" i="26"/>
  <c r="GI6" i="26"/>
  <c r="GI8" i="26"/>
  <c r="GI9" i="26"/>
  <c r="GI7" i="26"/>
  <c r="GI10" i="26"/>
  <c r="GI11" i="26"/>
  <c r="FG4" i="26"/>
  <c r="FG5" i="26"/>
  <c r="FG6" i="26"/>
  <c r="FG8" i="26"/>
  <c r="FG9" i="26"/>
  <c r="FG7" i="26"/>
  <c r="FG10" i="26"/>
  <c r="FG11" i="26"/>
  <c r="EE4" i="26"/>
  <c r="EE5" i="26"/>
  <c r="EE6" i="26"/>
  <c r="EE8" i="26"/>
  <c r="EE9" i="26"/>
  <c r="EE7" i="26"/>
  <c r="EE10" i="26"/>
  <c r="EE11" i="26"/>
  <c r="AW11" i="27"/>
  <c r="BZ11" i="27"/>
  <c r="RE11" i="27"/>
  <c r="QD11" i="27"/>
  <c r="DC11" i="27"/>
  <c r="P11" i="27"/>
  <c r="DF11" i="27" s="1"/>
  <c r="QA11" i="27"/>
  <c r="QZ11" i="27"/>
  <c r="N11" i="27"/>
  <c r="DE11" i="27" s="1"/>
  <c r="RB11" i="27"/>
  <c r="RF11" i="27"/>
  <c r="RA11" i="27"/>
  <c r="L11" i="27"/>
  <c r="M11" i="27" s="1"/>
  <c r="RC11" i="27"/>
  <c r="F11" i="27"/>
  <c r="CZ11" i="27"/>
  <c r="BW11" i="27"/>
  <c r="AT11" i="27"/>
  <c r="J11" i="27"/>
  <c r="G11" i="27"/>
  <c r="AP7" i="26"/>
  <c r="AQ7" i="26"/>
  <c r="AR7" i="26"/>
  <c r="AS7" i="26"/>
  <c r="AU7" i="26"/>
  <c r="AV7" i="26"/>
  <c r="BS7" i="26"/>
  <c r="BT7" i="26"/>
  <c r="BU7" i="26"/>
  <c r="BV7" i="26"/>
  <c r="BX7" i="26"/>
  <c r="BY7" i="26"/>
  <c r="CV7" i="26"/>
  <c r="CW7" i="26"/>
  <c r="CX7" i="26"/>
  <c r="CY7" i="26"/>
  <c r="DA7" i="26"/>
  <c r="DB7" i="26"/>
  <c r="PW7" i="26"/>
  <c r="PX7" i="26"/>
  <c r="PY7" i="26"/>
  <c r="PZ7" i="26"/>
  <c r="QB7" i="26"/>
  <c r="QC7" i="26"/>
  <c r="QE7" i="26"/>
  <c r="QF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AO15" i="4"/>
  <c r="AP15" i="4"/>
  <c r="AQ15" i="4"/>
  <c r="AR15" i="4"/>
  <c r="AS15" i="4"/>
  <c r="AT15" i="4"/>
  <c r="AV15" i="4"/>
  <c r="AW15" i="4"/>
  <c r="AX15" i="4"/>
  <c r="BP15" i="4"/>
  <c r="BQ15" i="4"/>
  <c r="BR15" i="4"/>
  <c r="BS15" i="4"/>
  <c r="BT15" i="4"/>
  <c r="BU15" i="4"/>
  <c r="BW15" i="4"/>
  <c r="BX15" i="4"/>
  <c r="BY15" i="4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AO21" i="4"/>
  <c r="AP21" i="4"/>
  <c r="AQ21" i="4"/>
  <c r="AR21" i="4"/>
  <c r="AS21" i="4"/>
  <c r="AT21" i="4"/>
  <c r="AV21" i="4"/>
  <c r="AW21" i="4"/>
  <c r="AX21" i="4"/>
  <c r="BP21" i="4"/>
  <c r="BQ21" i="4"/>
  <c r="BR21" i="4"/>
  <c r="BV21" i="4" s="1"/>
  <c r="BS21" i="4"/>
  <c r="BT21" i="4"/>
  <c r="BU21" i="4"/>
  <c r="BW21" i="4"/>
  <c r="BX21" i="4"/>
  <c r="BY21" i="4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BZ21" i="4" l="1"/>
  <c r="BZ7" i="26"/>
  <c r="RG11" i="27"/>
  <c r="Q11" i="27"/>
  <c r="DC7" i="26"/>
  <c r="AW7" i="26"/>
  <c r="QD7" i="26"/>
  <c r="QA7" i="26"/>
  <c r="BV15" i="4"/>
  <c r="BZ15" i="4" s="1"/>
  <c r="AT7" i="26"/>
  <c r="BW7" i="26"/>
  <c r="CW21" i="4"/>
  <c r="DA21" i="4" s="1"/>
  <c r="SN21" i="4"/>
  <c r="SU21" i="4" s="1"/>
  <c r="CW15" i="4"/>
  <c r="DA15" i="4" s="1"/>
  <c r="O11" i="27"/>
  <c r="DD11" i="27"/>
  <c r="R11" i="27" s="1"/>
  <c r="RD11" i="27"/>
  <c r="I11" i="27"/>
  <c r="H11" i="27" s="1"/>
  <c r="A11" i="27" s="1" a="1"/>
  <c r="A11" i="27" s="1"/>
  <c r="K11" i="27"/>
  <c r="N7" i="26"/>
  <c r="DE7" i="26" s="1"/>
  <c r="RF7" i="26"/>
  <c r="RB7" i="26"/>
  <c r="RA7" i="26"/>
  <c r="RE7" i="26"/>
  <c r="CZ7" i="26"/>
  <c r="QZ7" i="26"/>
  <c r="P7" i="26"/>
  <c r="DF7" i="26" s="1"/>
  <c r="L7" i="26"/>
  <c r="M7" i="26" s="1"/>
  <c r="F7" i="26"/>
  <c r="J7" i="26"/>
  <c r="K7" i="26" s="1"/>
  <c r="G7" i="26"/>
  <c r="RC7" i="26"/>
  <c r="SN15" i="4"/>
  <c r="SU15" i="4" s="1"/>
  <c r="TN15" i="4"/>
  <c r="L15" i="4"/>
  <c r="M15" i="4" s="1"/>
  <c r="TU15" i="4"/>
  <c r="TQ15" i="4"/>
  <c r="P15" i="4"/>
  <c r="DC15" i="4" s="1"/>
  <c r="G15" i="4"/>
  <c r="R15" i="4"/>
  <c r="S15" i="4" s="1"/>
  <c r="T15" i="4"/>
  <c r="U15" i="4" s="1"/>
  <c r="J15" i="4"/>
  <c r="K15" i="4" s="1"/>
  <c r="I15" i="4"/>
  <c r="AU15" i="4"/>
  <c r="AY15" i="4" s="1"/>
  <c r="N15" i="4"/>
  <c r="F15" i="4"/>
  <c r="TQ21" i="4"/>
  <c r="TN21" i="4"/>
  <c r="L21" i="4"/>
  <c r="M21" i="4" s="1"/>
  <c r="TU21" i="4"/>
  <c r="P21" i="4"/>
  <c r="DC21" i="4" s="1"/>
  <c r="R21" i="4"/>
  <c r="S21" i="4" s="1"/>
  <c r="N21" i="4"/>
  <c r="O21" i="4" s="1"/>
  <c r="T21" i="4"/>
  <c r="U21" i="4" s="1"/>
  <c r="J21" i="4"/>
  <c r="K21" i="4" s="1"/>
  <c r="I21" i="4"/>
  <c r="AU21" i="4"/>
  <c r="AY21" i="4" s="1"/>
  <c r="G21" i="4"/>
  <c r="F21" i="4"/>
  <c r="RG7" i="26" l="1"/>
  <c r="TR21" i="4"/>
  <c r="TV21" i="4" s="1"/>
  <c r="DD7" i="26"/>
  <c r="R7" i="26" s="1"/>
  <c r="E11" i="27"/>
  <c r="T11" i="27"/>
  <c r="S11" i="27"/>
  <c r="RD7" i="26"/>
  <c r="O7" i="26"/>
  <c r="Q7" i="26"/>
  <c r="I7" i="26"/>
  <c r="H7" i="26" s="1"/>
  <c r="TR15" i="4"/>
  <c r="TV15" i="4" s="1"/>
  <c r="Q15" i="4"/>
  <c r="H15" i="4"/>
  <c r="DB15" i="4"/>
  <c r="V15" i="4" s="1"/>
  <c r="O15" i="4"/>
  <c r="Q21" i="4"/>
  <c r="DB21" i="4"/>
  <c r="V21" i="4" s="1"/>
  <c r="H21" i="4"/>
  <c r="A21" i="4" s="1" a="1"/>
  <c r="A21" i="4" s="1"/>
  <c r="E7" i="26" l="1"/>
  <c r="T7" i="26"/>
  <c r="S7" i="26"/>
  <c r="E15" i="4"/>
  <c r="W15" i="4"/>
  <c r="X15" i="4"/>
  <c r="W21" i="4"/>
  <c r="X21" i="4"/>
  <c r="E21" i="4"/>
  <c r="BY18" i="21" l="1"/>
  <c r="BX18" i="21"/>
  <c r="BV18" i="21"/>
  <c r="BU18" i="21"/>
  <c r="BT18" i="21"/>
  <c r="BS18" i="21"/>
  <c r="BY17" i="21"/>
  <c r="BX17" i="21"/>
  <c r="BV17" i="21"/>
  <c r="BU17" i="21"/>
  <c r="BT17" i="21"/>
  <c r="BS17" i="21"/>
  <c r="BY16" i="21"/>
  <c r="BX16" i="21"/>
  <c r="BV16" i="21"/>
  <c r="BU16" i="21"/>
  <c r="BT16" i="21"/>
  <c r="BS16" i="21"/>
  <c r="BY13" i="21"/>
  <c r="BX13" i="21"/>
  <c r="BV13" i="21"/>
  <c r="BU13" i="21"/>
  <c r="BT13" i="21"/>
  <c r="BS13" i="21"/>
  <c r="BY15" i="21"/>
  <c r="BX15" i="21"/>
  <c r="BV15" i="21"/>
  <c r="BU15" i="21"/>
  <c r="BT15" i="21"/>
  <c r="BS15" i="21"/>
  <c r="BY14" i="21"/>
  <c r="BX14" i="21"/>
  <c r="BV14" i="21"/>
  <c r="BU14" i="21"/>
  <c r="BT14" i="21"/>
  <c r="BS14" i="21"/>
  <c r="BY12" i="21"/>
  <c r="BX12" i="21"/>
  <c r="BV12" i="21"/>
  <c r="BU12" i="21"/>
  <c r="BT12" i="21"/>
  <c r="BS12" i="21"/>
  <c r="BY10" i="21"/>
  <c r="BX10" i="21"/>
  <c r="BV10" i="21"/>
  <c r="BU10" i="21"/>
  <c r="BT10" i="21"/>
  <c r="BS10" i="21"/>
  <c r="BY11" i="21"/>
  <c r="BX11" i="21"/>
  <c r="BV11" i="21"/>
  <c r="BU11" i="21"/>
  <c r="BT11" i="21"/>
  <c r="BS11" i="21"/>
  <c r="BY5" i="21"/>
  <c r="BX5" i="21"/>
  <c r="BV5" i="21"/>
  <c r="BU5" i="21"/>
  <c r="BT5" i="21"/>
  <c r="BS5" i="21"/>
  <c r="BY9" i="21"/>
  <c r="BX9" i="21"/>
  <c r="BV9" i="21"/>
  <c r="BU9" i="21"/>
  <c r="BT9" i="21"/>
  <c r="BS9" i="21"/>
  <c r="BY7" i="21"/>
  <c r="BX7" i="21"/>
  <c r="BV7" i="21"/>
  <c r="BU7" i="21"/>
  <c r="BT7" i="21"/>
  <c r="BS7" i="21"/>
  <c r="BY8" i="21"/>
  <c r="BX8" i="21"/>
  <c r="BV8" i="21"/>
  <c r="BU8" i="21"/>
  <c r="BT8" i="21"/>
  <c r="BS8" i="21"/>
  <c r="BY6" i="21"/>
  <c r="BX6" i="21"/>
  <c r="BV6" i="21"/>
  <c r="BU6" i="21"/>
  <c r="BT6" i="21"/>
  <c r="BS6" i="21"/>
  <c r="BY4" i="21"/>
  <c r="BX4" i="21"/>
  <c r="BV4" i="21"/>
  <c r="BU4" i="21"/>
  <c r="BT4" i="21"/>
  <c r="BS4" i="21"/>
  <c r="AV18" i="21"/>
  <c r="AU18" i="21"/>
  <c r="AS18" i="21"/>
  <c r="AR18" i="21"/>
  <c r="AQ18" i="21"/>
  <c r="AP18" i="21"/>
  <c r="AV17" i="21"/>
  <c r="AU17" i="21"/>
  <c r="AS17" i="21"/>
  <c r="AR17" i="21"/>
  <c r="AQ17" i="21"/>
  <c r="AP17" i="21"/>
  <c r="AV16" i="21"/>
  <c r="AU16" i="21"/>
  <c r="AS16" i="21"/>
  <c r="AR16" i="21"/>
  <c r="AQ16" i="21"/>
  <c r="AP16" i="21"/>
  <c r="AV13" i="21"/>
  <c r="AU13" i="21"/>
  <c r="AS13" i="21"/>
  <c r="AR13" i="21"/>
  <c r="AQ13" i="21"/>
  <c r="AP13" i="21"/>
  <c r="AV15" i="21"/>
  <c r="AU15" i="21"/>
  <c r="AS15" i="21"/>
  <c r="AR15" i="21"/>
  <c r="AQ15" i="21"/>
  <c r="AP15" i="21"/>
  <c r="AV14" i="21"/>
  <c r="AU14" i="21"/>
  <c r="AS14" i="21"/>
  <c r="AR14" i="21"/>
  <c r="AQ14" i="21"/>
  <c r="AW14" i="21" s="1"/>
  <c r="AP14" i="21"/>
  <c r="AV12" i="21"/>
  <c r="AU12" i="21"/>
  <c r="AS12" i="21"/>
  <c r="AR12" i="21"/>
  <c r="AQ12" i="21"/>
  <c r="AP12" i="21"/>
  <c r="AV10" i="21"/>
  <c r="AU10" i="21"/>
  <c r="AS10" i="21"/>
  <c r="AR10" i="21"/>
  <c r="AQ10" i="21"/>
  <c r="AP10" i="21"/>
  <c r="AV11" i="21"/>
  <c r="AU11" i="21"/>
  <c r="AS11" i="21"/>
  <c r="AR11" i="21"/>
  <c r="AQ11" i="21"/>
  <c r="AP11" i="21"/>
  <c r="AV5" i="21"/>
  <c r="AU5" i="21"/>
  <c r="AS5" i="21"/>
  <c r="AR5" i="21"/>
  <c r="AQ5" i="21"/>
  <c r="AW5" i="21" s="1"/>
  <c r="AP5" i="21"/>
  <c r="AV9" i="21"/>
  <c r="AU9" i="21"/>
  <c r="AS9" i="21"/>
  <c r="AR9" i="21"/>
  <c r="AQ9" i="21"/>
  <c r="AP9" i="21"/>
  <c r="AV7" i="21"/>
  <c r="AU7" i="21"/>
  <c r="AS7" i="21"/>
  <c r="AR7" i="21"/>
  <c r="AQ7" i="21"/>
  <c r="AP7" i="21"/>
  <c r="AV8" i="21"/>
  <c r="AU8" i="21"/>
  <c r="AS8" i="21"/>
  <c r="AR8" i="21"/>
  <c r="AQ8" i="21"/>
  <c r="AP8" i="21"/>
  <c r="AV6" i="21"/>
  <c r="AU6" i="21"/>
  <c r="AS6" i="21"/>
  <c r="AR6" i="21"/>
  <c r="AQ6" i="21"/>
  <c r="AW6" i="21" s="1"/>
  <c r="AP6" i="21"/>
  <c r="AV4" i="21"/>
  <c r="AU4" i="21"/>
  <c r="AS4" i="21"/>
  <c r="AR4" i="21"/>
  <c r="AQ4" i="21"/>
  <c r="AP4" i="21"/>
  <c r="BY27" i="19"/>
  <c r="BX27" i="19"/>
  <c r="BV27" i="19"/>
  <c r="BU27" i="19"/>
  <c r="BT27" i="19"/>
  <c r="BS27" i="19"/>
  <c r="BY16" i="19"/>
  <c r="BX16" i="19"/>
  <c r="BV16" i="19"/>
  <c r="BU16" i="19"/>
  <c r="BT16" i="19"/>
  <c r="BS16" i="19"/>
  <c r="BY26" i="19"/>
  <c r="BX26" i="19"/>
  <c r="BV26" i="19"/>
  <c r="BU26" i="19"/>
  <c r="BT26" i="19"/>
  <c r="BS26" i="19"/>
  <c r="BY25" i="19"/>
  <c r="BX25" i="19"/>
  <c r="BV25" i="19"/>
  <c r="BU25" i="19"/>
  <c r="BT25" i="19"/>
  <c r="BS25" i="19"/>
  <c r="BY24" i="19"/>
  <c r="BX24" i="19"/>
  <c r="BV24" i="19"/>
  <c r="BU24" i="19"/>
  <c r="BT24" i="19"/>
  <c r="BS24" i="19"/>
  <c r="BY23" i="19"/>
  <c r="BX23" i="19"/>
  <c r="BV23" i="19"/>
  <c r="BU23" i="19"/>
  <c r="BT23" i="19"/>
  <c r="BS23" i="19"/>
  <c r="BY21" i="19"/>
  <c r="BX21" i="19"/>
  <c r="BV21" i="19"/>
  <c r="BU21" i="19"/>
  <c r="BT21" i="19"/>
  <c r="BS21" i="19"/>
  <c r="BY20" i="19"/>
  <c r="BX20" i="19"/>
  <c r="BV20" i="19"/>
  <c r="BU20" i="19"/>
  <c r="BT20" i="19"/>
  <c r="BS20" i="19"/>
  <c r="BY22" i="19"/>
  <c r="BX22" i="19"/>
  <c r="BV22" i="19"/>
  <c r="BU22" i="19"/>
  <c r="BT22" i="19"/>
  <c r="BS22" i="19"/>
  <c r="BY19" i="19"/>
  <c r="BX19" i="19"/>
  <c r="BV19" i="19"/>
  <c r="BU19" i="19"/>
  <c r="BT19" i="19"/>
  <c r="BS19" i="19"/>
  <c r="BY13" i="19"/>
  <c r="BX13" i="19"/>
  <c r="BV13" i="19"/>
  <c r="BU13" i="19"/>
  <c r="BT13" i="19"/>
  <c r="BS13" i="19"/>
  <c r="BY18" i="19"/>
  <c r="BX18" i="19"/>
  <c r="BV18" i="19"/>
  <c r="BU18" i="19"/>
  <c r="BT18" i="19"/>
  <c r="BS18" i="19"/>
  <c r="BY9" i="19"/>
  <c r="BX9" i="19"/>
  <c r="BV9" i="19"/>
  <c r="BU9" i="19"/>
  <c r="BT9" i="19"/>
  <c r="BS9" i="19"/>
  <c r="BY10" i="19"/>
  <c r="BX10" i="19"/>
  <c r="BV10" i="19"/>
  <c r="BU10" i="19"/>
  <c r="BT10" i="19"/>
  <c r="BS10" i="19"/>
  <c r="BY14" i="19"/>
  <c r="BX14" i="19"/>
  <c r="BV14" i="19"/>
  <c r="BU14" i="19"/>
  <c r="BT14" i="19"/>
  <c r="BS14" i="19"/>
  <c r="BY8" i="19"/>
  <c r="BX8" i="19"/>
  <c r="BV8" i="19"/>
  <c r="BU8" i="19"/>
  <c r="BT8" i="19"/>
  <c r="BS8" i="19"/>
  <c r="BY15" i="19"/>
  <c r="BX15" i="19"/>
  <c r="BV15" i="19"/>
  <c r="BU15" i="19"/>
  <c r="BT15" i="19"/>
  <c r="BS15" i="19"/>
  <c r="BY11" i="19"/>
  <c r="BX11" i="19"/>
  <c r="BV11" i="19"/>
  <c r="BU11" i="19"/>
  <c r="BT11" i="19"/>
  <c r="BS11" i="19"/>
  <c r="BY12" i="19"/>
  <c r="BX12" i="19"/>
  <c r="BV12" i="19"/>
  <c r="BU12" i="19"/>
  <c r="BT12" i="19"/>
  <c r="BS12" i="19"/>
  <c r="BY17" i="19"/>
  <c r="BX17" i="19"/>
  <c r="BV17" i="19"/>
  <c r="BU17" i="19"/>
  <c r="BT17" i="19"/>
  <c r="BS17" i="19"/>
  <c r="BY7" i="19"/>
  <c r="BX7" i="19"/>
  <c r="BV7" i="19"/>
  <c r="BU7" i="19"/>
  <c r="BT7" i="19"/>
  <c r="BS7" i="19"/>
  <c r="BY5" i="19"/>
  <c r="BX5" i="19"/>
  <c r="BV5" i="19"/>
  <c r="BU5" i="19"/>
  <c r="BT5" i="19"/>
  <c r="BS5" i="19"/>
  <c r="BY6" i="19"/>
  <c r="BX6" i="19"/>
  <c r="BV6" i="19"/>
  <c r="BU6" i="19"/>
  <c r="BT6" i="19"/>
  <c r="BS6" i="19"/>
  <c r="BY4" i="19"/>
  <c r="BX4" i="19"/>
  <c r="BV4" i="19"/>
  <c r="BU4" i="19"/>
  <c r="BT4" i="19"/>
  <c r="BS4" i="19"/>
  <c r="AV27" i="19"/>
  <c r="AU27" i="19"/>
  <c r="AS27" i="19"/>
  <c r="AR27" i="19"/>
  <c r="AQ27" i="19"/>
  <c r="AP27" i="19"/>
  <c r="AV16" i="19"/>
  <c r="AU16" i="19"/>
  <c r="AS16" i="19"/>
  <c r="AR16" i="19"/>
  <c r="AQ16" i="19"/>
  <c r="AP16" i="19"/>
  <c r="AV26" i="19"/>
  <c r="AU26" i="19"/>
  <c r="AS26" i="19"/>
  <c r="AR26" i="19"/>
  <c r="AQ26" i="19"/>
  <c r="AP26" i="19"/>
  <c r="AV25" i="19"/>
  <c r="AU25" i="19"/>
  <c r="AS25" i="19"/>
  <c r="AR25" i="19"/>
  <c r="AQ25" i="19"/>
  <c r="AP25" i="19"/>
  <c r="AV24" i="19"/>
  <c r="AU24" i="19"/>
  <c r="AS24" i="19"/>
  <c r="AR24" i="19"/>
  <c r="AQ24" i="19"/>
  <c r="AP24" i="19"/>
  <c r="AV23" i="19"/>
  <c r="AU23" i="19"/>
  <c r="AS23" i="19"/>
  <c r="AR23" i="19"/>
  <c r="AQ23" i="19"/>
  <c r="AP23" i="19"/>
  <c r="AV21" i="19"/>
  <c r="AU21" i="19"/>
  <c r="AS21" i="19"/>
  <c r="AR21" i="19"/>
  <c r="AQ21" i="19"/>
  <c r="AP21" i="19"/>
  <c r="AV20" i="19"/>
  <c r="AU20" i="19"/>
  <c r="AS20" i="19"/>
  <c r="AR20" i="19"/>
  <c r="AQ20" i="19"/>
  <c r="AP20" i="19"/>
  <c r="AV22" i="19"/>
  <c r="AU22" i="19"/>
  <c r="AS22" i="19"/>
  <c r="AR22" i="19"/>
  <c r="AQ22" i="19"/>
  <c r="AP22" i="19"/>
  <c r="AV19" i="19"/>
  <c r="AU19" i="19"/>
  <c r="AS19" i="19"/>
  <c r="AR19" i="19"/>
  <c r="AQ19" i="19"/>
  <c r="AP19" i="19"/>
  <c r="AV13" i="19"/>
  <c r="AU13" i="19"/>
  <c r="AS13" i="19"/>
  <c r="AR13" i="19"/>
  <c r="AQ13" i="19"/>
  <c r="AP13" i="19"/>
  <c r="AV18" i="19"/>
  <c r="AU18" i="19"/>
  <c r="AS18" i="19"/>
  <c r="AR18" i="19"/>
  <c r="AQ18" i="19"/>
  <c r="AP18" i="19"/>
  <c r="AV9" i="19"/>
  <c r="AU9" i="19"/>
  <c r="AS9" i="19"/>
  <c r="AR9" i="19"/>
  <c r="AQ9" i="19"/>
  <c r="AP9" i="19"/>
  <c r="AV10" i="19"/>
  <c r="AU10" i="19"/>
  <c r="AS10" i="19"/>
  <c r="AR10" i="19"/>
  <c r="AQ10" i="19"/>
  <c r="AP10" i="19"/>
  <c r="AV14" i="19"/>
  <c r="AU14" i="19"/>
  <c r="AS14" i="19"/>
  <c r="AR14" i="19"/>
  <c r="AQ14" i="19"/>
  <c r="AP14" i="19"/>
  <c r="AV8" i="19"/>
  <c r="AU8" i="19"/>
  <c r="AS8" i="19"/>
  <c r="AR8" i="19"/>
  <c r="AQ8" i="19"/>
  <c r="AP8" i="19"/>
  <c r="AV15" i="19"/>
  <c r="AU15" i="19"/>
  <c r="AS15" i="19"/>
  <c r="AR15" i="19"/>
  <c r="AQ15" i="19"/>
  <c r="AP15" i="19"/>
  <c r="AV11" i="19"/>
  <c r="AU11" i="19"/>
  <c r="AS11" i="19"/>
  <c r="AR11" i="19"/>
  <c r="AQ11" i="19"/>
  <c r="AP11" i="19"/>
  <c r="AV12" i="19"/>
  <c r="AU12" i="19"/>
  <c r="AS12" i="19"/>
  <c r="AR12" i="19"/>
  <c r="AQ12" i="19"/>
  <c r="AP12" i="19"/>
  <c r="AV17" i="19"/>
  <c r="AU17" i="19"/>
  <c r="AS17" i="19"/>
  <c r="AR17" i="19"/>
  <c r="AQ17" i="19"/>
  <c r="AP17" i="19"/>
  <c r="AV7" i="19"/>
  <c r="AU7" i="19"/>
  <c r="AS7" i="19"/>
  <c r="AR7" i="19"/>
  <c r="AQ7" i="19"/>
  <c r="AP7" i="19"/>
  <c r="AV5" i="19"/>
  <c r="AU5" i="19"/>
  <c r="AS5" i="19"/>
  <c r="AR5" i="19"/>
  <c r="AQ5" i="19"/>
  <c r="AP5" i="19"/>
  <c r="AV6" i="19"/>
  <c r="AU6" i="19"/>
  <c r="AS6" i="19"/>
  <c r="AR6" i="19"/>
  <c r="AQ6" i="19"/>
  <c r="AP6" i="19"/>
  <c r="AV4" i="19"/>
  <c r="AU4" i="19"/>
  <c r="AS4" i="19"/>
  <c r="AR4" i="19"/>
  <c r="AQ4" i="19"/>
  <c r="AP4" i="19"/>
  <c r="BY12" i="27"/>
  <c r="BX12" i="27"/>
  <c r="BV12" i="27"/>
  <c r="BU12" i="27"/>
  <c r="BT12" i="27"/>
  <c r="BS12" i="27"/>
  <c r="BY13" i="27"/>
  <c r="BX13" i="27"/>
  <c r="BV13" i="27"/>
  <c r="BU13" i="27"/>
  <c r="BT13" i="27"/>
  <c r="BS13" i="27"/>
  <c r="BY8" i="27"/>
  <c r="BX8" i="27"/>
  <c r="BV8" i="27"/>
  <c r="BU8" i="27"/>
  <c r="BT8" i="27"/>
  <c r="BS8" i="27"/>
  <c r="BY10" i="27"/>
  <c r="BX10" i="27"/>
  <c r="BV10" i="27"/>
  <c r="BU10" i="27"/>
  <c r="BT10" i="27"/>
  <c r="BS10" i="27"/>
  <c r="BY9" i="27"/>
  <c r="BX9" i="27"/>
  <c r="BV9" i="27"/>
  <c r="BU9" i="27"/>
  <c r="BT9" i="27"/>
  <c r="BS9" i="27"/>
  <c r="BY5" i="27"/>
  <c r="BX5" i="27"/>
  <c r="BV5" i="27"/>
  <c r="BU5" i="27"/>
  <c r="BT5" i="27"/>
  <c r="BZ5" i="27" s="1"/>
  <c r="BS5" i="27"/>
  <c r="BY7" i="27"/>
  <c r="BX7" i="27"/>
  <c r="BV7" i="27"/>
  <c r="BU7" i="27"/>
  <c r="BT7" i="27"/>
  <c r="BS7" i="27"/>
  <c r="BY6" i="27"/>
  <c r="BX6" i="27"/>
  <c r="BV6" i="27"/>
  <c r="BU6" i="27"/>
  <c r="BT6" i="27"/>
  <c r="BS6" i="27"/>
  <c r="BY4" i="27"/>
  <c r="BX4" i="27"/>
  <c r="BV4" i="27"/>
  <c r="BU4" i="27"/>
  <c r="BT4" i="27"/>
  <c r="BS4" i="27"/>
  <c r="AV12" i="27"/>
  <c r="AU12" i="27"/>
  <c r="AS12" i="27"/>
  <c r="AR12" i="27"/>
  <c r="AQ12" i="27"/>
  <c r="AW12" i="27" s="1"/>
  <c r="AP12" i="27"/>
  <c r="AV13" i="27"/>
  <c r="AU13" i="27"/>
  <c r="AS13" i="27"/>
  <c r="AR13" i="27"/>
  <c r="AQ13" i="27"/>
  <c r="AP13" i="27"/>
  <c r="AV8" i="27"/>
  <c r="AU8" i="27"/>
  <c r="AS8" i="27"/>
  <c r="AR8" i="27"/>
  <c r="AQ8" i="27"/>
  <c r="AP8" i="27"/>
  <c r="AV10" i="27"/>
  <c r="AU10" i="27"/>
  <c r="AS10" i="27"/>
  <c r="AR10" i="27"/>
  <c r="AQ10" i="27"/>
  <c r="AP10" i="27"/>
  <c r="AV9" i="27"/>
  <c r="AU9" i="27"/>
  <c r="AS9" i="27"/>
  <c r="AR9" i="27"/>
  <c r="AQ9" i="27"/>
  <c r="AW9" i="27" s="1"/>
  <c r="AP9" i="27"/>
  <c r="AV5" i="27"/>
  <c r="AU5" i="27"/>
  <c r="AS5" i="27"/>
  <c r="AR5" i="27"/>
  <c r="AQ5" i="27"/>
  <c r="AW5" i="27" s="1"/>
  <c r="AP5" i="27"/>
  <c r="AV7" i="27"/>
  <c r="AU7" i="27"/>
  <c r="AS7" i="27"/>
  <c r="AR7" i="27"/>
  <c r="AQ7" i="27"/>
  <c r="AP7" i="27"/>
  <c r="AV6" i="27"/>
  <c r="AU6" i="27"/>
  <c r="AS6" i="27"/>
  <c r="AR6" i="27"/>
  <c r="AQ6" i="27"/>
  <c r="AP6" i="27"/>
  <c r="AV4" i="27"/>
  <c r="AU4" i="27"/>
  <c r="AS4" i="27"/>
  <c r="AR4" i="27"/>
  <c r="AQ4" i="27"/>
  <c r="AW4" i="27" s="1"/>
  <c r="AP4" i="27"/>
  <c r="BY11" i="26"/>
  <c r="BX11" i="26"/>
  <c r="BV11" i="26"/>
  <c r="BU11" i="26"/>
  <c r="BT11" i="26"/>
  <c r="BZ11" i="26" s="1"/>
  <c r="BS11" i="26"/>
  <c r="BY8" i="26"/>
  <c r="BX8" i="26"/>
  <c r="BV8" i="26"/>
  <c r="BU8" i="26"/>
  <c r="BT8" i="26"/>
  <c r="BS8" i="26"/>
  <c r="BY6" i="26"/>
  <c r="BX6" i="26"/>
  <c r="BV6" i="26"/>
  <c r="BU6" i="26"/>
  <c r="BT6" i="26"/>
  <c r="BS6" i="26"/>
  <c r="BY10" i="26"/>
  <c r="BX10" i="26"/>
  <c r="BV10" i="26"/>
  <c r="BU10" i="26"/>
  <c r="BT10" i="26"/>
  <c r="BS10" i="26"/>
  <c r="BY9" i="26"/>
  <c r="BX9" i="26"/>
  <c r="BV9" i="26"/>
  <c r="BU9" i="26"/>
  <c r="BT9" i="26"/>
  <c r="BZ9" i="26" s="1"/>
  <c r="BS9" i="26"/>
  <c r="BY4" i="26"/>
  <c r="BX4" i="26"/>
  <c r="BV4" i="26"/>
  <c r="BU4" i="26"/>
  <c r="BT4" i="26"/>
  <c r="BS4" i="26"/>
  <c r="BY5" i="26"/>
  <c r="BX5" i="26"/>
  <c r="BV5" i="26"/>
  <c r="BU5" i="26"/>
  <c r="BT5" i="26"/>
  <c r="BS5" i="26"/>
  <c r="AV11" i="26"/>
  <c r="AU11" i="26"/>
  <c r="AS11" i="26"/>
  <c r="AR11" i="26"/>
  <c r="AQ11" i="26"/>
  <c r="AP11" i="26"/>
  <c r="AV8" i="26"/>
  <c r="AU8" i="26"/>
  <c r="AS8" i="26"/>
  <c r="AR8" i="26"/>
  <c r="AQ8" i="26"/>
  <c r="AW8" i="26" s="1"/>
  <c r="AP8" i="26"/>
  <c r="AV6" i="26"/>
  <c r="AU6" i="26"/>
  <c r="AS6" i="26"/>
  <c r="AR6" i="26"/>
  <c r="AQ6" i="26"/>
  <c r="AP6" i="26"/>
  <c r="AV10" i="26"/>
  <c r="AU10" i="26"/>
  <c r="AS10" i="26"/>
  <c r="AR10" i="26"/>
  <c r="AQ10" i="26"/>
  <c r="AP10" i="26"/>
  <c r="AV9" i="26"/>
  <c r="AU9" i="26"/>
  <c r="AS9" i="26"/>
  <c r="AR9" i="26"/>
  <c r="AQ9" i="26"/>
  <c r="AW9" i="26" s="1"/>
  <c r="AP9" i="26"/>
  <c r="AV4" i="26"/>
  <c r="AU4" i="26"/>
  <c r="AS4" i="26"/>
  <c r="AR4" i="26"/>
  <c r="AQ4" i="26"/>
  <c r="AW4" i="26" s="1"/>
  <c r="AP4" i="26"/>
  <c r="AV5" i="26"/>
  <c r="AU5" i="26"/>
  <c r="AS5" i="26"/>
  <c r="AR5" i="26"/>
  <c r="AQ5" i="26"/>
  <c r="AP5" i="26"/>
  <c r="BQ15" i="24"/>
  <c r="BP15" i="24"/>
  <c r="BO15" i="24"/>
  <c r="BM15" i="24"/>
  <c r="BL15" i="24"/>
  <c r="BK15" i="24"/>
  <c r="BJ15" i="24"/>
  <c r="BN15" i="24" s="1"/>
  <c r="BI15" i="24"/>
  <c r="BH15" i="24"/>
  <c r="BQ14" i="24"/>
  <c r="BP14" i="24"/>
  <c r="BO14" i="24"/>
  <c r="BM14" i="24"/>
  <c r="BL14" i="24"/>
  <c r="BK14" i="24"/>
  <c r="BJ14" i="24"/>
  <c r="BN14" i="24" s="1"/>
  <c r="BI14" i="24"/>
  <c r="BH14" i="24"/>
  <c r="BQ13" i="24"/>
  <c r="BP13" i="24"/>
  <c r="BO13" i="24"/>
  <c r="BM13" i="24"/>
  <c r="BL13" i="24"/>
  <c r="BK13" i="24"/>
  <c r="BJ13" i="24"/>
  <c r="BI13" i="24"/>
  <c r="BH13" i="24"/>
  <c r="BQ12" i="24"/>
  <c r="BP12" i="24"/>
  <c r="BO12" i="24"/>
  <c r="BM12" i="24"/>
  <c r="BL12" i="24"/>
  <c r="BK12" i="24"/>
  <c r="BJ12" i="24"/>
  <c r="BI12" i="24"/>
  <c r="BH12" i="24"/>
  <c r="BQ11" i="24"/>
  <c r="BP11" i="24"/>
  <c r="BO11" i="24"/>
  <c r="BM11" i="24"/>
  <c r="BL11" i="24"/>
  <c r="BK11" i="24"/>
  <c r="BJ11" i="24"/>
  <c r="BI11" i="24"/>
  <c r="BH11" i="24"/>
  <c r="BQ9" i="24"/>
  <c r="BP9" i="24"/>
  <c r="BO9" i="24"/>
  <c r="BM9" i="24"/>
  <c r="BL9" i="24"/>
  <c r="BK9" i="24"/>
  <c r="BJ9" i="24"/>
  <c r="BN9" i="24" s="1"/>
  <c r="BI9" i="24"/>
  <c r="BH9" i="24"/>
  <c r="BQ10" i="24"/>
  <c r="BP10" i="24"/>
  <c r="BO10" i="24"/>
  <c r="BM10" i="24"/>
  <c r="BL10" i="24"/>
  <c r="BK10" i="24"/>
  <c r="BJ10" i="24"/>
  <c r="BN10" i="24" s="1"/>
  <c r="BI10" i="24"/>
  <c r="BH10" i="24"/>
  <c r="BQ8" i="24"/>
  <c r="BP8" i="24"/>
  <c r="BO8" i="24"/>
  <c r="BM8" i="24"/>
  <c r="BL8" i="24"/>
  <c r="BK8" i="24"/>
  <c r="BJ8" i="24"/>
  <c r="BN8" i="24" s="1"/>
  <c r="BI8" i="24"/>
  <c r="BH8" i="24"/>
  <c r="BQ6" i="24"/>
  <c r="BP6" i="24"/>
  <c r="BO6" i="24"/>
  <c r="BM6" i="24"/>
  <c r="BL6" i="24"/>
  <c r="BK6" i="24"/>
  <c r="BJ6" i="24"/>
  <c r="BN6" i="24" s="1"/>
  <c r="BI6" i="24"/>
  <c r="BH6" i="24"/>
  <c r="BQ7" i="24"/>
  <c r="BP7" i="24"/>
  <c r="BO7" i="24"/>
  <c r="BM7" i="24"/>
  <c r="BL7" i="24"/>
  <c r="BK7" i="24"/>
  <c r="BJ7" i="24"/>
  <c r="BI7" i="24"/>
  <c r="BH7" i="24"/>
  <c r="BQ5" i="24"/>
  <c r="BP5" i="24"/>
  <c r="BO5" i="24"/>
  <c r="BM5" i="24"/>
  <c r="BL5" i="24"/>
  <c r="BK5" i="24"/>
  <c r="BJ5" i="24"/>
  <c r="BI5" i="24"/>
  <c r="BH5" i="24"/>
  <c r="BQ4" i="24"/>
  <c r="BP4" i="24"/>
  <c r="BO4" i="24"/>
  <c r="BM4" i="24"/>
  <c r="BL4" i="24"/>
  <c r="BK4" i="24"/>
  <c r="BJ4" i="24"/>
  <c r="BN4" i="24" s="1"/>
  <c r="BI4" i="24"/>
  <c r="BH4" i="24"/>
  <c r="AP15" i="24"/>
  <c r="AO15" i="24"/>
  <c r="AN15" i="24"/>
  <c r="AL15" i="24"/>
  <c r="AK15" i="24"/>
  <c r="AJ15" i="24"/>
  <c r="AI15" i="24"/>
  <c r="AM15" i="24" s="1"/>
  <c r="AH15" i="24"/>
  <c r="AG15" i="24"/>
  <c r="AP14" i="24"/>
  <c r="AO14" i="24"/>
  <c r="AN14" i="24"/>
  <c r="AL14" i="24"/>
  <c r="AK14" i="24"/>
  <c r="AJ14" i="24"/>
  <c r="AI14" i="24"/>
  <c r="AM14" i="24" s="1"/>
  <c r="AQ14" i="24" s="1"/>
  <c r="AH14" i="24"/>
  <c r="AG14" i="24"/>
  <c r="AP13" i="24"/>
  <c r="AO13" i="24"/>
  <c r="AN13" i="24"/>
  <c r="AL13" i="24"/>
  <c r="AK13" i="24"/>
  <c r="AJ13" i="24"/>
  <c r="AI13" i="24"/>
  <c r="AM13" i="24" s="1"/>
  <c r="AH13" i="24"/>
  <c r="AG13" i="24"/>
  <c r="AP12" i="24"/>
  <c r="AO12" i="24"/>
  <c r="AN12" i="24"/>
  <c r="AL12" i="24"/>
  <c r="AK12" i="24"/>
  <c r="AJ12" i="24"/>
  <c r="AI12" i="24"/>
  <c r="AM12" i="24" s="1"/>
  <c r="AH12" i="24"/>
  <c r="AG12" i="24"/>
  <c r="AP11" i="24"/>
  <c r="AO11" i="24"/>
  <c r="AN11" i="24"/>
  <c r="AL11" i="24"/>
  <c r="AK11" i="24"/>
  <c r="AJ11" i="24"/>
  <c r="AI11" i="24"/>
  <c r="AH11" i="24"/>
  <c r="AG11" i="24"/>
  <c r="AP9" i="24"/>
  <c r="AO9" i="24"/>
  <c r="AN9" i="24"/>
  <c r="AL9" i="24"/>
  <c r="AK9" i="24"/>
  <c r="AJ9" i="24"/>
  <c r="AI9" i="24"/>
  <c r="AM9" i="24" s="1"/>
  <c r="AH9" i="24"/>
  <c r="AG9" i="24"/>
  <c r="AP10" i="24"/>
  <c r="AO10" i="24"/>
  <c r="AN10" i="24"/>
  <c r="AL10" i="24"/>
  <c r="AK10" i="24"/>
  <c r="AJ10" i="24"/>
  <c r="AI10" i="24"/>
  <c r="AM10" i="24" s="1"/>
  <c r="AH10" i="24"/>
  <c r="AG10" i="24"/>
  <c r="AP8" i="24"/>
  <c r="AO8" i="24"/>
  <c r="AN8" i="24"/>
  <c r="AL8" i="24"/>
  <c r="AK8" i="24"/>
  <c r="AJ8" i="24"/>
  <c r="AI8" i="24"/>
  <c r="AM8" i="24" s="1"/>
  <c r="AH8" i="24"/>
  <c r="AG8" i="24"/>
  <c r="AP6" i="24"/>
  <c r="AO6" i="24"/>
  <c r="AN6" i="24"/>
  <c r="AL6" i="24"/>
  <c r="AK6" i="24"/>
  <c r="AJ6" i="24"/>
  <c r="AI6" i="24"/>
  <c r="AH6" i="24"/>
  <c r="AG6" i="24"/>
  <c r="AP7" i="24"/>
  <c r="AO7" i="24"/>
  <c r="AN7" i="24"/>
  <c r="AL7" i="24"/>
  <c r="AK7" i="24"/>
  <c r="AJ7" i="24"/>
  <c r="AI7" i="24"/>
  <c r="AH7" i="24"/>
  <c r="AG7" i="24"/>
  <c r="AP5" i="24"/>
  <c r="AO5" i="24"/>
  <c r="AN5" i="24"/>
  <c r="AL5" i="24"/>
  <c r="AK5" i="24"/>
  <c r="AJ5" i="24"/>
  <c r="AI5" i="24"/>
  <c r="AH5" i="24"/>
  <c r="AG5" i="24"/>
  <c r="AP4" i="24"/>
  <c r="AO4" i="24"/>
  <c r="AN4" i="24"/>
  <c r="AL4" i="24"/>
  <c r="AK4" i="24"/>
  <c r="AJ4" i="24"/>
  <c r="AI4" i="24"/>
  <c r="AH4" i="24"/>
  <c r="AG4" i="24"/>
  <c r="BQ16" i="23"/>
  <c r="BP16" i="23"/>
  <c r="BO16" i="23"/>
  <c r="BM16" i="23"/>
  <c r="BL16" i="23"/>
  <c r="BK16" i="23"/>
  <c r="BJ16" i="23"/>
  <c r="BN16" i="23" s="1"/>
  <c r="BI16" i="23"/>
  <c r="BH16" i="23"/>
  <c r="BQ15" i="23"/>
  <c r="BP15" i="23"/>
  <c r="BO15" i="23"/>
  <c r="BM15" i="23"/>
  <c r="BL15" i="23"/>
  <c r="BK15" i="23"/>
  <c r="BJ15" i="23"/>
  <c r="BI15" i="23"/>
  <c r="BH15" i="23"/>
  <c r="BQ13" i="23"/>
  <c r="BP13" i="23"/>
  <c r="BO13" i="23"/>
  <c r="BM13" i="23"/>
  <c r="BL13" i="23"/>
  <c r="BK13" i="23"/>
  <c r="BJ13" i="23"/>
  <c r="BI13" i="23"/>
  <c r="BH13" i="23"/>
  <c r="BQ14" i="23"/>
  <c r="BP14" i="23"/>
  <c r="BO14" i="23"/>
  <c r="BM14" i="23"/>
  <c r="BL14" i="23"/>
  <c r="BK14" i="23"/>
  <c r="BJ14" i="23"/>
  <c r="BN14" i="23" s="1"/>
  <c r="BI14" i="23"/>
  <c r="BH14" i="23"/>
  <c r="BQ7" i="23"/>
  <c r="BP7" i="23"/>
  <c r="BO7" i="23"/>
  <c r="BM7" i="23"/>
  <c r="BL7" i="23"/>
  <c r="BK7" i="23"/>
  <c r="BJ7" i="23"/>
  <c r="BN7" i="23" s="1"/>
  <c r="BI7" i="23"/>
  <c r="BH7" i="23"/>
  <c r="BQ12" i="23"/>
  <c r="BP12" i="23"/>
  <c r="BO12" i="23"/>
  <c r="BM12" i="23"/>
  <c r="BL12" i="23"/>
  <c r="BK12" i="23"/>
  <c r="BJ12" i="23"/>
  <c r="BN12" i="23" s="1"/>
  <c r="BI12" i="23"/>
  <c r="BH12" i="23"/>
  <c r="BQ10" i="23"/>
  <c r="BP10" i="23"/>
  <c r="BO10" i="23"/>
  <c r="BM10" i="23"/>
  <c r="BL10" i="23"/>
  <c r="BK10" i="23"/>
  <c r="BJ10" i="23"/>
  <c r="BI10" i="23"/>
  <c r="BH10" i="23"/>
  <c r="BQ9" i="23"/>
  <c r="BP9" i="23"/>
  <c r="BO9" i="23"/>
  <c r="BM9" i="23"/>
  <c r="BL9" i="23"/>
  <c r="BK9" i="23"/>
  <c r="BJ9" i="23"/>
  <c r="BN9" i="23" s="1"/>
  <c r="BI9" i="23"/>
  <c r="BH9" i="23"/>
  <c r="BQ8" i="23"/>
  <c r="BP8" i="23"/>
  <c r="BO8" i="23"/>
  <c r="BM8" i="23"/>
  <c r="BL8" i="23"/>
  <c r="BK8" i="23"/>
  <c r="BJ8" i="23"/>
  <c r="BI8" i="23"/>
  <c r="BH8" i="23"/>
  <c r="BQ6" i="23"/>
  <c r="BP6" i="23"/>
  <c r="BO6" i="23"/>
  <c r="BM6" i="23"/>
  <c r="BL6" i="23"/>
  <c r="BK6" i="23"/>
  <c r="BJ6" i="23"/>
  <c r="BN6" i="23" s="1"/>
  <c r="BI6" i="23"/>
  <c r="BH6" i="23"/>
  <c r="BQ5" i="23"/>
  <c r="BP5" i="23"/>
  <c r="BO5" i="23"/>
  <c r="BM5" i="23"/>
  <c r="BL5" i="23"/>
  <c r="BK5" i="23"/>
  <c r="BJ5" i="23"/>
  <c r="BN5" i="23" s="1"/>
  <c r="BI5" i="23"/>
  <c r="BH5" i="23"/>
  <c r="BQ4" i="23"/>
  <c r="BP4" i="23"/>
  <c r="BO4" i="23"/>
  <c r="BM4" i="23"/>
  <c r="BL4" i="23"/>
  <c r="BK4" i="23"/>
  <c r="BJ4" i="23"/>
  <c r="BI4" i="23"/>
  <c r="BH4" i="23"/>
  <c r="AP16" i="23"/>
  <c r="AO16" i="23"/>
  <c r="AN16" i="23"/>
  <c r="AL16" i="23"/>
  <c r="AK16" i="23"/>
  <c r="AJ16" i="23"/>
  <c r="AI16" i="23"/>
  <c r="AM16" i="23" s="1"/>
  <c r="AQ16" i="23" s="1"/>
  <c r="AH16" i="23"/>
  <c r="AG16" i="23"/>
  <c r="AP15" i="23"/>
  <c r="AO15" i="23"/>
  <c r="AN15" i="23"/>
  <c r="AL15" i="23"/>
  <c r="AK15" i="23"/>
  <c r="AJ15" i="23"/>
  <c r="AI15" i="23"/>
  <c r="AM15" i="23" s="1"/>
  <c r="AH15" i="23"/>
  <c r="AG15" i="23"/>
  <c r="AP13" i="23"/>
  <c r="AO13" i="23"/>
  <c r="AN13" i="23"/>
  <c r="AL13" i="23"/>
  <c r="AK13" i="23"/>
  <c r="AJ13" i="23"/>
  <c r="AI13" i="23"/>
  <c r="AM13" i="23" s="1"/>
  <c r="AH13" i="23"/>
  <c r="AG13" i="23"/>
  <c r="AP14" i="23"/>
  <c r="AO14" i="23"/>
  <c r="AN14" i="23"/>
  <c r="AL14" i="23"/>
  <c r="AK14" i="23"/>
  <c r="AJ14" i="23"/>
  <c r="AI14" i="23"/>
  <c r="AM14" i="23" s="1"/>
  <c r="AH14" i="23"/>
  <c r="AG14" i="23"/>
  <c r="AP7" i="23"/>
  <c r="AO7" i="23"/>
  <c r="AN7" i="23"/>
  <c r="AL7" i="23"/>
  <c r="AK7" i="23"/>
  <c r="AJ7" i="23"/>
  <c r="AI7" i="23"/>
  <c r="AM7" i="23" s="1"/>
  <c r="AH7" i="23"/>
  <c r="AG7" i="23"/>
  <c r="AP12" i="23"/>
  <c r="AO12" i="23"/>
  <c r="AN12" i="23"/>
  <c r="AL12" i="23"/>
  <c r="AK12" i="23"/>
  <c r="AJ12" i="23"/>
  <c r="AI12" i="23"/>
  <c r="AM12" i="23" s="1"/>
  <c r="AH12" i="23"/>
  <c r="AG12" i="23"/>
  <c r="AP10" i="23"/>
  <c r="AO10" i="23"/>
  <c r="AN10" i="23"/>
  <c r="AL10" i="23"/>
  <c r="AK10" i="23"/>
  <c r="AJ10" i="23"/>
  <c r="AI10" i="23"/>
  <c r="AM10" i="23" s="1"/>
  <c r="AH10" i="23"/>
  <c r="AG10" i="23"/>
  <c r="AP9" i="23"/>
  <c r="AO9" i="23"/>
  <c r="AN9" i="23"/>
  <c r="AL9" i="23"/>
  <c r="AK9" i="23"/>
  <c r="AJ9" i="23"/>
  <c r="AI9" i="23"/>
  <c r="AH9" i="23"/>
  <c r="AG9" i="23"/>
  <c r="AP8" i="23"/>
  <c r="AO8" i="23"/>
  <c r="AN8" i="23"/>
  <c r="AL8" i="23"/>
  <c r="AK8" i="23"/>
  <c r="AJ8" i="23"/>
  <c r="AI8" i="23"/>
  <c r="AH8" i="23"/>
  <c r="AG8" i="23"/>
  <c r="AP6" i="23"/>
  <c r="AO6" i="23"/>
  <c r="AN6" i="23"/>
  <c r="AL6" i="23"/>
  <c r="AK6" i="23"/>
  <c r="AJ6" i="23"/>
  <c r="AI6" i="23"/>
  <c r="AM6" i="23" s="1"/>
  <c r="AH6" i="23"/>
  <c r="AG6" i="23"/>
  <c r="AP5" i="23"/>
  <c r="AO5" i="23"/>
  <c r="AN5" i="23"/>
  <c r="AL5" i="23"/>
  <c r="AK5" i="23"/>
  <c r="AJ5" i="23"/>
  <c r="AI5" i="23"/>
  <c r="AM5" i="23" s="1"/>
  <c r="AH5" i="23"/>
  <c r="AG5" i="23"/>
  <c r="AP4" i="23"/>
  <c r="AO4" i="23"/>
  <c r="AN4" i="23"/>
  <c r="AL4" i="23"/>
  <c r="AK4" i="23"/>
  <c r="AJ4" i="23"/>
  <c r="AI4" i="23"/>
  <c r="AM4" i="23" s="1"/>
  <c r="AH4" i="23"/>
  <c r="AG4" i="23"/>
  <c r="BY16" i="22"/>
  <c r="BX16" i="22"/>
  <c r="BW16" i="22"/>
  <c r="BU16" i="22"/>
  <c r="BT16" i="22"/>
  <c r="BS16" i="22"/>
  <c r="BR16" i="22"/>
  <c r="BQ16" i="22"/>
  <c r="BP16" i="22"/>
  <c r="BY17" i="22"/>
  <c r="BX17" i="22"/>
  <c r="BW17" i="22"/>
  <c r="BU17" i="22"/>
  <c r="BT17" i="22"/>
  <c r="BS17" i="22"/>
  <c r="BR17" i="22"/>
  <c r="BV17" i="22" s="1"/>
  <c r="BQ17" i="22"/>
  <c r="BP17" i="22"/>
  <c r="BY15" i="22"/>
  <c r="BX15" i="22"/>
  <c r="BW15" i="22"/>
  <c r="BU15" i="22"/>
  <c r="BT15" i="22"/>
  <c r="BS15" i="22"/>
  <c r="BR15" i="22"/>
  <c r="BQ15" i="22"/>
  <c r="BP15" i="22"/>
  <c r="BY10" i="22"/>
  <c r="BX10" i="22"/>
  <c r="BW10" i="22"/>
  <c r="BU10" i="22"/>
  <c r="BT10" i="22"/>
  <c r="BS10" i="22"/>
  <c r="BR10" i="22"/>
  <c r="BQ10" i="22"/>
  <c r="BP10" i="22"/>
  <c r="BY11" i="22"/>
  <c r="BX11" i="22"/>
  <c r="BW11" i="22"/>
  <c r="BU11" i="22"/>
  <c r="BT11" i="22"/>
  <c r="BS11" i="22"/>
  <c r="BR11" i="22"/>
  <c r="BQ11" i="22"/>
  <c r="BP11" i="22"/>
  <c r="BY14" i="22"/>
  <c r="BX14" i="22"/>
  <c r="BW14" i="22"/>
  <c r="BU14" i="22"/>
  <c r="BT14" i="22"/>
  <c r="BS14" i="22"/>
  <c r="BR14" i="22"/>
  <c r="BQ14" i="22"/>
  <c r="BP14" i="22"/>
  <c r="BY12" i="22"/>
  <c r="BX12" i="22"/>
  <c r="BW12" i="22"/>
  <c r="BU12" i="22"/>
  <c r="BT12" i="22"/>
  <c r="BS12" i="22"/>
  <c r="BR12" i="22"/>
  <c r="BQ12" i="22"/>
  <c r="BP12" i="22"/>
  <c r="BY9" i="22"/>
  <c r="BX9" i="22"/>
  <c r="BW9" i="22"/>
  <c r="BU9" i="22"/>
  <c r="BT9" i="22"/>
  <c r="BS9" i="22"/>
  <c r="BR9" i="22"/>
  <c r="BQ9" i="22"/>
  <c r="BP9" i="22"/>
  <c r="BY8" i="22"/>
  <c r="BX8" i="22"/>
  <c r="BW8" i="22"/>
  <c r="BU8" i="22"/>
  <c r="BT8" i="22"/>
  <c r="BS8" i="22"/>
  <c r="BR8" i="22"/>
  <c r="BQ8" i="22"/>
  <c r="BP8" i="22"/>
  <c r="BY7" i="22"/>
  <c r="BX7" i="22"/>
  <c r="BW7" i="22"/>
  <c r="BU7" i="22"/>
  <c r="BT7" i="22"/>
  <c r="BS7" i="22"/>
  <c r="BR7" i="22"/>
  <c r="BQ7" i="22"/>
  <c r="BP7" i="22"/>
  <c r="BY13" i="22"/>
  <c r="BX13" i="22"/>
  <c r="BW13" i="22"/>
  <c r="BU13" i="22"/>
  <c r="BT13" i="22"/>
  <c r="BS13" i="22"/>
  <c r="BR13" i="22"/>
  <c r="BV13" i="22" s="1"/>
  <c r="BQ13" i="22"/>
  <c r="BP13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16" i="22"/>
  <c r="AW16" i="22"/>
  <c r="AV16" i="22"/>
  <c r="AT16" i="22"/>
  <c r="AS16" i="22"/>
  <c r="AR16" i="22"/>
  <c r="AQ16" i="22"/>
  <c r="AP16" i="22"/>
  <c r="AO16" i="22"/>
  <c r="AX17" i="22"/>
  <c r="AW17" i="22"/>
  <c r="AV17" i="22"/>
  <c r="AT17" i="22"/>
  <c r="AS17" i="22"/>
  <c r="AR17" i="22"/>
  <c r="AQ17" i="22"/>
  <c r="AP17" i="22"/>
  <c r="AO17" i="22"/>
  <c r="AX15" i="22"/>
  <c r="AW15" i="22"/>
  <c r="AV15" i="22"/>
  <c r="AT15" i="22"/>
  <c r="AS15" i="22"/>
  <c r="AR15" i="22"/>
  <c r="AQ15" i="22"/>
  <c r="AU15" i="22" s="1"/>
  <c r="AP15" i="22"/>
  <c r="AO15" i="22"/>
  <c r="AX10" i="22"/>
  <c r="AW10" i="22"/>
  <c r="AV10" i="22"/>
  <c r="AT10" i="22"/>
  <c r="AS10" i="22"/>
  <c r="AR10" i="22"/>
  <c r="AQ10" i="22"/>
  <c r="AP10" i="22"/>
  <c r="AO10" i="22"/>
  <c r="AX11" i="22"/>
  <c r="AW11" i="22"/>
  <c r="AV11" i="22"/>
  <c r="AT11" i="22"/>
  <c r="AS11" i="22"/>
  <c r="AR11" i="22"/>
  <c r="AQ11" i="22"/>
  <c r="AP11" i="22"/>
  <c r="AO11" i="22"/>
  <c r="AX14" i="22"/>
  <c r="AW14" i="22"/>
  <c r="AV14" i="22"/>
  <c r="AT14" i="22"/>
  <c r="AS14" i="22"/>
  <c r="AR14" i="22"/>
  <c r="AQ14" i="22"/>
  <c r="AP14" i="22"/>
  <c r="AO14" i="22"/>
  <c r="AX12" i="22"/>
  <c r="AW12" i="22"/>
  <c r="AV12" i="22"/>
  <c r="AT12" i="22"/>
  <c r="AS12" i="22"/>
  <c r="AR12" i="22"/>
  <c r="AQ12" i="22"/>
  <c r="AP12" i="22"/>
  <c r="AO12" i="22"/>
  <c r="AX9" i="22"/>
  <c r="AW9" i="22"/>
  <c r="AV9" i="22"/>
  <c r="AT9" i="22"/>
  <c r="AS9" i="22"/>
  <c r="AR9" i="22"/>
  <c r="AQ9" i="22"/>
  <c r="AP9" i="22"/>
  <c r="AO9" i="22"/>
  <c r="AX8" i="22"/>
  <c r="AW8" i="22"/>
  <c r="AV8" i="22"/>
  <c r="AT8" i="22"/>
  <c r="AS8" i="22"/>
  <c r="AR8" i="22"/>
  <c r="AQ8" i="22"/>
  <c r="AP8" i="22"/>
  <c r="AO8" i="22"/>
  <c r="AX7" i="22"/>
  <c r="AW7" i="22"/>
  <c r="AV7" i="22"/>
  <c r="AT7" i="22"/>
  <c r="AS7" i="22"/>
  <c r="AR7" i="22"/>
  <c r="AQ7" i="22"/>
  <c r="AP7" i="22"/>
  <c r="AO7" i="22"/>
  <c r="AX13" i="22"/>
  <c r="AW13" i="22"/>
  <c r="AV13" i="22"/>
  <c r="AT13" i="22"/>
  <c r="AS13" i="22"/>
  <c r="AR13" i="22"/>
  <c r="AQ13" i="22"/>
  <c r="AU13" i="22" s="1"/>
  <c r="AP13" i="22"/>
  <c r="AO13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23" i="4"/>
  <c r="BX23" i="4"/>
  <c r="BW23" i="4"/>
  <c r="BU23" i="4"/>
  <c r="BT23" i="4"/>
  <c r="BS23" i="4"/>
  <c r="BR23" i="4"/>
  <c r="BQ23" i="4"/>
  <c r="BP23" i="4"/>
  <c r="BY22" i="4"/>
  <c r="BX22" i="4"/>
  <c r="BW22" i="4"/>
  <c r="BU22" i="4"/>
  <c r="BT22" i="4"/>
  <c r="BS22" i="4"/>
  <c r="BR22" i="4"/>
  <c r="BQ22" i="4"/>
  <c r="BP22" i="4"/>
  <c r="BY12" i="4"/>
  <c r="BX12" i="4"/>
  <c r="BW12" i="4"/>
  <c r="BU12" i="4"/>
  <c r="BT12" i="4"/>
  <c r="BS12" i="4"/>
  <c r="BR12" i="4"/>
  <c r="BQ12" i="4"/>
  <c r="BP12" i="4"/>
  <c r="BY19" i="4"/>
  <c r="BX19" i="4"/>
  <c r="BW19" i="4"/>
  <c r="BU19" i="4"/>
  <c r="BT19" i="4"/>
  <c r="BS19" i="4"/>
  <c r="BR19" i="4"/>
  <c r="BQ19" i="4"/>
  <c r="BP19" i="4"/>
  <c r="BY14" i="4"/>
  <c r="BX14" i="4"/>
  <c r="BW14" i="4"/>
  <c r="BU14" i="4"/>
  <c r="BT14" i="4"/>
  <c r="BS14" i="4"/>
  <c r="BR14" i="4"/>
  <c r="BQ14" i="4"/>
  <c r="BP14" i="4"/>
  <c r="BY18" i="4"/>
  <c r="BX18" i="4"/>
  <c r="BW18" i="4"/>
  <c r="BU18" i="4"/>
  <c r="BT18" i="4"/>
  <c r="BS18" i="4"/>
  <c r="BR18" i="4"/>
  <c r="BQ18" i="4"/>
  <c r="BP18" i="4"/>
  <c r="BY16" i="4"/>
  <c r="BX16" i="4"/>
  <c r="BW16" i="4"/>
  <c r="BU16" i="4"/>
  <c r="BT16" i="4"/>
  <c r="BS16" i="4"/>
  <c r="BR16" i="4"/>
  <c r="BV16" i="4" s="1"/>
  <c r="BQ16" i="4"/>
  <c r="BP16" i="4"/>
  <c r="BY17" i="4"/>
  <c r="BX17" i="4"/>
  <c r="BW17" i="4"/>
  <c r="BU17" i="4"/>
  <c r="BT17" i="4"/>
  <c r="BS17" i="4"/>
  <c r="BR17" i="4"/>
  <c r="BQ17" i="4"/>
  <c r="BP17" i="4"/>
  <c r="BY20" i="4"/>
  <c r="BX20" i="4"/>
  <c r="BW20" i="4"/>
  <c r="BU20" i="4"/>
  <c r="BT20" i="4"/>
  <c r="BS20" i="4"/>
  <c r="BR20" i="4"/>
  <c r="BQ20" i="4"/>
  <c r="BP20" i="4"/>
  <c r="BY9" i="4"/>
  <c r="BX9" i="4"/>
  <c r="BW9" i="4"/>
  <c r="BU9" i="4"/>
  <c r="BT9" i="4"/>
  <c r="BS9" i="4"/>
  <c r="BR9" i="4"/>
  <c r="BQ9" i="4"/>
  <c r="BP9" i="4"/>
  <c r="BY13" i="4"/>
  <c r="BX13" i="4"/>
  <c r="BW13" i="4"/>
  <c r="BU13" i="4"/>
  <c r="BT13" i="4"/>
  <c r="BS13" i="4"/>
  <c r="BR13" i="4"/>
  <c r="BQ13" i="4"/>
  <c r="BP13" i="4"/>
  <c r="BY11" i="4"/>
  <c r="BX11" i="4"/>
  <c r="BW11" i="4"/>
  <c r="BU11" i="4"/>
  <c r="BT11" i="4"/>
  <c r="BS11" i="4"/>
  <c r="BR11" i="4"/>
  <c r="BQ11" i="4"/>
  <c r="BP11" i="4"/>
  <c r="BY10" i="4"/>
  <c r="BX10" i="4"/>
  <c r="BW10" i="4"/>
  <c r="BU10" i="4"/>
  <c r="BT10" i="4"/>
  <c r="BS10" i="4"/>
  <c r="BR10" i="4"/>
  <c r="BQ10" i="4"/>
  <c r="BP10" i="4"/>
  <c r="BY8" i="4"/>
  <c r="BX8" i="4"/>
  <c r="BW8" i="4"/>
  <c r="BU8" i="4"/>
  <c r="BT8" i="4"/>
  <c r="BS8" i="4"/>
  <c r="BR8" i="4"/>
  <c r="BQ8" i="4"/>
  <c r="BP8" i="4"/>
  <c r="BY7" i="4"/>
  <c r="BX7" i="4"/>
  <c r="BW7" i="4"/>
  <c r="BU7" i="4"/>
  <c r="BT7" i="4"/>
  <c r="BS7" i="4"/>
  <c r="BR7" i="4"/>
  <c r="BQ7" i="4"/>
  <c r="BP7" i="4"/>
  <c r="BY4" i="4"/>
  <c r="BX4" i="4"/>
  <c r="BW4" i="4"/>
  <c r="BU4" i="4"/>
  <c r="BT4" i="4"/>
  <c r="BS4" i="4"/>
  <c r="BR4" i="4"/>
  <c r="BQ4" i="4"/>
  <c r="BP4" i="4"/>
  <c r="BY6" i="4"/>
  <c r="BX6" i="4"/>
  <c r="BW6" i="4"/>
  <c r="BU6" i="4"/>
  <c r="BT6" i="4"/>
  <c r="BS6" i="4"/>
  <c r="BR6" i="4"/>
  <c r="BQ6" i="4"/>
  <c r="BP6" i="4"/>
  <c r="BY5" i="4"/>
  <c r="BX5" i="4"/>
  <c r="BW5" i="4"/>
  <c r="BU5" i="4"/>
  <c r="BT5" i="4"/>
  <c r="BS5" i="4"/>
  <c r="BR5" i="4"/>
  <c r="BQ5" i="4"/>
  <c r="BP5" i="4"/>
  <c r="AX23" i="4"/>
  <c r="AW23" i="4"/>
  <c r="AV23" i="4"/>
  <c r="AT23" i="4"/>
  <c r="AS23" i="4"/>
  <c r="AR23" i="4"/>
  <c r="AQ23" i="4"/>
  <c r="AU23" i="4" s="1"/>
  <c r="AP23" i="4"/>
  <c r="AO23" i="4"/>
  <c r="AX22" i="4"/>
  <c r="AW22" i="4"/>
  <c r="AV22" i="4"/>
  <c r="AT22" i="4"/>
  <c r="AS22" i="4"/>
  <c r="AR22" i="4"/>
  <c r="AQ22" i="4"/>
  <c r="AP22" i="4"/>
  <c r="AO22" i="4"/>
  <c r="AX12" i="4"/>
  <c r="AW12" i="4"/>
  <c r="AV12" i="4"/>
  <c r="AT12" i="4"/>
  <c r="AS12" i="4"/>
  <c r="AR12" i="4"/>
  <c r="AQ12" i="4"/>
  <c r="AU12" i="4" s="1"/>
  <c r="AP12" i="4"/>
  <c r="AO12" i="4"/>
  <c r="AX19" i="4"/>
  <c r="AW19" i="4"/>
  <c r="AV19" i="4"/>
  <c r="AT19" i="4"/>
  <c r="AS19" i="4"/>
  <c r="AR19" i="4"/>
  <c r="AQ19" i="4"/>
  <c r="AP19" i="4"/>
  <c r="AO19" i="4"/>
  <c r="AX14" i="4"/>
  <c r="AW14" i="4"/>
  <c r="AV14" i="4"/>
  <c r="AT14" i="4"/>
  <c r="AS14" i="4"/>
  <c r="AR14" i="4"/>
  <c r="AQ14" i="4"/>
  <c r="AP14" i="4"/>
  <c r="AO14" i="4"/>
  <c r="AX18" i="4"/>
  <c r="AW18" i="4"/>
  <c r="AV18" i="4"/>
  <c r="AT18" i="4"/>
  <c r="AS18" i="4"/>
  <c r="AR18" i="4"/>
  <c r="AQ18" i="4"/>
  <c r="AP18" i="4"/>
  <c r="AO18" i="4"/>
  <c r="AX16" i="4"/>
  <c r="AW16" i="4"/>
  <c r="AV16" i="4"/>
  <c r="AT16" i="4"/>
  <c r="AS16" i="4"/>
  <c r="AR16" i="4"/>
  <c r="AQ16" i="4"/>
  <c r="AP16" i="4"/>
  <c r="AO16" i="4"/>
  <c r="AX17" i="4"/>
  <c r="AW17" i="4"/>
  <c r="AV17" i="4"/>
  <c r="AT17" i="4"/>
  <c r="AS17" i="4"/>
  <c r="AR17" i="4"/>
  <c r="AQ17" i="4"/>
  <c r="AP17" i="4"/>
  <c r="AO17" i="4"/>
  <c r="AX20" i="4"/>
  <c r="AW20" i="4"/>
  <c r="AV20" i="4"/>
  <c r="AT20" i="4"/>
  <c r="AS20" i="4"/>
  <c r="AR20" i="4"/>
  <c r="AQ20" i="4"/>
  <c r="AP20" i="4"/>
  <c r="AO20" i="4"/>
  <c r="AX9" i="4"/>
  <c r="AW9" i="4"/>
  <c r="AV9" i="4"/>
  <c r="AT9" i="4"/>
  <c r="AS9" i="4"/>
  <c r="AR9" i="4"/>
  <c r="AQ9" i="4"/>
  <c r="AP9" i="4"/>
  <c r="AO9" i="4"/>
  <c r="AX13" i="4"/>
  <c r="AW13" i="4"/>
  <c r="AV13" i="4"/>
  <c r="AT13" i="4"/>
  <c r="AS13" i="4"/>
  <c r="AR13" i="4"/>
  <c r="AQ13" i="4"/>
  <c r="AP13" i="4"/>
  <c r="AO13" i="4"/>
  <c r="AX11" i="4"/>
  <c r="AW11" i="4"/>
  <c r="AV11" i="4"/>
  <c r="AT11" i="4"/>
  <c r="AS11" i="4"/>
  <c r="AR11" i="4"/>
  <c r="AQ11" i="4"/>
  <c r="AP11" i="4"/>
  <c r="AO11" i="4"/>
  <c r="AX10" i="4"/>
  <c r="AW10" i="4"/>
  <c r="AV10" i="4"/>
  <c r="AT10" i="4"/>
  <c r="AS10" i="4"/>
  <c r="AR10" i="4"/>
  <c r="AQ10" i="4"/>
  <c r="AP10" i="4"/>
  <c r="AO10" i="4"/>
  <c r="AX8" i="4"/>
  <c r="AW8" i="4"/>
  <c r="AV8" i="4"/>
  <c r="AT8" i="4"/>
  <c r="AS8" i="4"/>
  <c r="AR8" i="4"/>
  <c r="AQ8" i="4"/>
  <c r="AP8" i="4"/>
  <c r="AO8" i="4"/>
  <c r="AX7" i="4"/>
  <c r="AW7" i="4"/>
  <c r="AV7" i="4"/>
  <c r="AT7" i="4"/>
  <c r="AS7" i="4"/>
  <c r="AR7" i="4"/>
  <c r="AQ7" i="4"/>
  <c r="AP7" i="4"/>
  <c r="AO7" i="4"/>
  <c r="AX4" i="4"/>
  <c r="AW4" i="4"/>
  <c r="AV4" i="4"/>
  <c r="AT4" i="4"/>
  <c r="AS4" i="4"/>
  <c r="AR4" i="4"/>
  <c r="AQ4" i="4"/>
  <c r="AP4" i="4"/>
  <c r="AO4" i="4"/>
  <c r="AX6" i="4"/>
  <c r="AW6" i="4"/>
  <c r="AV6" i="4"/>
  <c r="AT6" i="4"/>
  <c r="AS6" i="4"/>
  <c r="AR6" i="4"/>
  <c r="AQ6" i="4"/>
  <c r="AP6" i="4"/>
  <c r="AO6" i="4"/>
  <c r="AX5" i="4"/>
  <c r="AW5" i="4"/>
  <c r="AV5" i="4"/>
  <c r="AT5" i="4"/>
  <c r="AS5" i="4"/>
  <c r="AR5" i="4"/>
  <c r="AQ5" i="4"/>
  <c r="AP5" i="4"/>
  <c r="AO5" i="4"/>
  <c r="CI10" i="24"/>
  <c r="CJ10" i="24"/>
  <c r="CK10" i="24"/>
  <c r="CO10" i="24" s="1"/>
  <c r="CL10" i="24"/>
  <c r="CM10" i="24"/>
  <c r="CN10" i="24"/>
  <c r="CP10" i="24"/>
  <c r="CQ10" i="24"/>
  <c r="CR10" i="24"/>
  <c r="RZ10" i="24"/>
  <c r="SA10" i="24"/>
  <c r="SB10" i="24"/>
  <c r="SC10" i="24"/>
  <c r="SD10" i="24"/>
  <c r="SE10" i="24"/>
  <c r="SG10" i="24"/>
  <c r="SH10" i="24"/>
  <c r="SI10" i="24"/>
  <c r="SJ10" i="24"/>
  <c r="SK10" i="24"/>
  <c r="SL10" i="24"/>
  <c r="SN10" i="24"/>
  <c r="SO10" i="24"/>
  <c r="SP10" i="24"/>
  <c r="TD10" i="24" s="1"/>
  <c r="SQ10" i="24"/>
  <c r="TE10" i="24" s="1"/>
  <c r="SR10" i="24"/>
  <c r="SS10" i="24"/>
  <c r="ST10" i="24"/>
  <c r="SU10" i="24"/>
  <c r="TG10" i="24" s="1"/>
  <c r="SV10" i="24"/>
  <c r="TH10" i="24" s="1"/>
  <c r="SW10" i="24"/>
  <c r="SX10" i="24"/>
  <c r="SY10" i="24"/>
  <c r="SZ10" i="24"/>
  <c r="TK10" i="24" s="1"/>
  <c r="TA10" i="24"/>
  <c r="TL10" i="24" s="1"/>
  <c r="TB10" i="24"/>
  <c r="CI7" i="23"/>
  <c r="CJ7" i="23"/>
  <c r="CK7" i="23"/>
  <c r="CO7" i="23" s="1"/>
  <c r="CL7" i="23"/>
  <c r="CM7" i="23"/>
  <c r="CN7" i="23"/>
  <c r="CP7" i="23"/>
  <c r="CQ7" i="23"/>
  <c r="CR7" i="23"/>
  <c r="RZ7" i="23"/>
  <c r="SA7" i="23"/>
  <c r="SB7" i="23"/>
  <c r="SC7" i="23"/>
  <c r="SD7" i="23"/>
  <c r="SE7" i="23"/>
  <c r="SG7" i="23"/>
  <c r="SH7" i="23"/>
  <c r="SI7" i="23"/>
  <c r="SJ7" i="23"/>
  <c r="SK7" i="23"/>
  <c r="SL7" i="23"/>
  <c r="SN7" i="23"/>
  <c r="SO7" i="23"/>
  <c r="SP7" i="23"/>
  <c r="TD7" i="23" s="1"/>
  <c r="SQ7" i="23"/>
  <c r="TE7" i="23" s="1"/>
  <c r="SR7" i="23"/>
  <c r="SS7" i="23"/>
  <c r="ST7" i="23"/>
  <c r="SU7" i="23"/>
  <c r="TG7" i="23" s="1"/>
  <c r="SV7" i="23"/>
  <c r="TH7" i="23" s="1"/>
  <c r="SW7" i="23"/>
  <c r="SX7" i="23"/>
  <c r="SY7" i="23"/>
  <c r="SZ7" i="23"/>
  <c r="TK7" i="23" s="1"/>
  <c r="TA7" i="23"/>
  <c r="TL7" i="23" s="1"/>
  <c r="TB7" i="23"/>
  <c r="CV15" i="21"/>
  <c r="CW15" i="21"/>
  <c r="CX15" i="21"/>
  <c r="CY15" i="21"/>
  <c r="DA15" i="21"/>
  <c r="DB15" i="21"/>
  <c r="PW15" i="21"/>
  <c r="PX15" i="21"/>
  <c r="PY15" i="21"/>
  <c r="PZ15" i="21"/>
  <c r="QB15" i="21"/>
  <c r="QC15" i="21"/>
  <c r="QE15" i="21"/>
  <c r="QF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CV13" i="21"/>
  <c r="CW13" i="21"/>
  <c r="CX13" i="21"/>
  <c r="CY13" i="21"/>
  <c r="DA13" i="21"/>
  <c r="DB13" i="21"/>
  <c r="PW13" i="21"/>
  <c r="PX13" i="21"/>
  <c r="PY13" i="21"/>
  <c r="PZ13" i="21"/>
  <c r="QB13" i="21"/>
  <c r="QC13" i="21"/>
  <c r="QE13" i="21"/>
  <c r="QF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CV13" i="19"/>
  <c r="CW13" i="19"/>
  <c r="CX13" i="19"/>
  <c r="CY13" i="19"/>
  <c r="DA13" i="19"/>
  <c r="DB13" i="19"/>
  <c r="PW13" i="19"/>
  <c r="PX13" i="19"/>
  <c r="PY13" i="19"/>
  <c r="PZ13" i="19"/>
  <c r="QB13" i="19"/>
  <c r="QC13" i="19"/>
  <c r="QE13" i="19"/>
  <c r="QF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AW10" i="19" l="1"/>
  <c r="AW19" i="19"/>
  <c r="AW16" i="19"/>
  <c r="BZ5" i="19"/>
  <c r="BZ11" i="19"/>
  <c r="BZ10" i="19"/>
  <c r="BZ19" i="19"/>
  <c r="BZ23" i="19"/>
  <c r="AW13" i="27"/>
  <c r="BZ7" i="27"/>
  <c r="AW11" i="26"/>
  <c r="BZ10" i="26"/>
  <c r="AW5" i="19"/>
  <c r="AW11" i="19"/>
  <c r="BZ8" i="27"/>
  <c r="BZ16" i="19"/>
  <c r="AW7" i="27"/>
  <c r="AW8" i="27"/>
  <c r="BZ6" i="27"/>
  <c r="BZ10" i="27"/>
  <c r="AU10" i="22"/>
  <c r="AY10" i="22" s="1"/>
  <c r="AW8" i="21"/>
  <c r="AW11" i="21"/>
  <c r="AW15" i="21"/>
  <c r="AW18" i="21"/>
  <c r="BZ7" i="21"/>
  <c r="BZ10" i="21"/>
  <c r="BZ13" i="21"/>
  <c r="AW17" i="21"/>
  <c r="BZ8" i="21"/>
  <c r="BZ11" i="21"/>
  <c r="BZ15" i="21"/>
  <c r="BZ18" i="21"/>
  <c r="DC13" i="21"/>
  <c r="DC15" i="21"/>
  <c r="QD13" i="21"/>
  <c r="QD15" i="21"/>
  <c r="AW4" i="21"/>
  <c r="AW9" i="21"/>
  <c r="AW12" i="21"/>
  <c r="AW16" i="21"/>
  <c r="BZ6" i="21"/>
  <c r="BZ5" i="21"/>
  <c r="BZ14" i="21"/>
  <c r="BZ17" i="21"/>
  <c r="AW7" i="21"/>
  <c r="AW10" i="21"/>
  <c r="AW13" i="21"/>
  <c r="BZ4" i="21"/>
  <c r="BZ9" i="21"/>
  <c r="BZ12" i="21"/>
  <c r="BZ16" i="21"/>
  <c r="AW12" i="19"/>
  <c r="AW14" i="19"/>
  <c r="AW13" i="19"/>
  <c r="AW21" i="19"/>
  <c r="BZ6" i="19"/>
  <c r="BZ12" i="19"/>
  <c r="BZ14" i="19"/>
  <c r="BZ13" i="19"/>
  <c r="BZ21" i="19"/>
  <c r="BZ26" i="19"/>
  <c r="AT23" i="19"/>
  <c r="AW23" i="19"/>
  <c r="DC13" i="19"/>
  <c r="AT6" i="19"/>
  <c r="AW6" i="19"/>
  <c r="AT26" i="19"/>
  <c r="AW26" i="19"/>
  <c r="AT4" i="19"/>
  <c r="AW4" i="19"/>
  <c r="AW17" i="19"/>
  <c r="AW8" i="19"/>
  <c r="AT18" i="19"/>
  <c r="AW18" i="19"/>
  <c r="AW20" i="19"/>
  <c r="AT25" i="19"/>
  <c r="AW25" i="19"/>
  <c r="BZ4" i="19"/>
  <c r="BZ17" i="19"/>
  <c r="BZ8" i="19"/>
  <c r="BZ18" i="19"/>
  <c r="BZ20" i="19"/>
  <c r="BZ25" i="19"/>
  <c r="QD13" i="19"/>
  <c r="AW7" i="19"/>
  <c r="AW15" i="19"/>
  <c r="AW9" i="19"/>
  <c r="AW22" i="19"/>
  <c r="AW24" i="19"/>
  <c r="AW27" i="19"/>
  <c r="BZ7" i="19"/>
  <c r="BZ15" i="19"/>
  <c r="BZ9" i="19"/>
  <c r="BZ22" i="19"/>
  <c r="BZ24" i="19"/>
  <c r="BZ27" i="19"/>
  <c r="AW6" i="27"/>
  <c r="AW10" i="27"/>
  <c r="BZ4" i="27"/>
  <c r="BZ9" i="27"/>
  <c r="BZ12" i="27"/>
  <c r="BZ13" i="27"/>
  <c r="AW5" i="26"/>
  <c r="AW6" i="26"/>
  <c r="BZ4" i="26"/>
  <c r="BZ8" i="26"/>
  <c r="AW10" i="26"/>
  <c r="BZ5" i="26"/>
  <c r="BZ6" i="26"/>
  <c r="AM6" i="24"/>
  <c r="AQ6" i="24" s="1"/>
  <c r="BR6" i="24"/>
  <c r="BR15" i="24"/>
  <c r="BR8" i="24"/>
  <c r="AT15" i="19"/>
  <c r="AT22" i="19"/>
  <c r="AQ8" i="24"/>
  <c r="AQ10" i="24"/>
  <c r="AQ13" i="24"/>
  <c r="AQ10" i="23"/>
  <c r="BZ17" i="22"/>
  <c r="AY13" i="22"/>
  <c r="AY15" i="22"/>
  <c r="AU7" i="22"/>
  <c r="AY7" i="22" s="1"/>
  <c r="BV9" i="22"/>
  <c r="BZ9" i="22" s="1"/>
  <c r="AU5" i="4"/>
  <c r="AY5" i="4" s="1"/>
  <c r="AU9" i="4"/>
  <c r="AY9" i="4" s="1"/>
  <c r="BV13" i="4"/>
  <c r="BZ13" i="4" s="1"/>
  <c r="AT10" i="19"/>
  <c r="AQ15" i="24"/>
  <c r="BR4" i="24"/>
  <c r="AQ9" i="24"/>
  <c r="AM7" i="24"/>
  <c r="AQ7" i="24" s="1"/>
  <c r="BR16" i="23"/>
  <c r="BR9" i="23"/>
  <c r="AQ6" i="23"/>
  <c r="AQ13" i="23"/>
  <c r="AQ15" i="23"/>
  <c r="BV16" i="22"/>
  <c r="BZ16" i="22" s="1"/>
  <c r="BV4" i="22"/>
  <c r="BZ4" i="22" s="1"/>
  <c r="BV5" i="4"/>
  <c r="BZ5" i="4" s="1"/>
  <c r="BV9" i="4"/>
  <c r="BZ9" i="4" s="1"/>
  <c r="BV22" i="4"/>
  <c r="BZ22" i="4" s="1"/>
  <c r="AU22" i="4"/>
  <c r="AY22" i="4" s="1"/>
  <c r="BV11" i="4"/>
  <c r="BZ11" i="4" s="1"/>
  <c r="AU19" i="4"/>
  <c r="AY19" i="4" s="1"/>
  <c r="BV23" i="4"/>
  <c r="BZ23" i="4" s="1"/>
  <c r="BV14" i="4"/>
  <c r="BZ14" i="4" s="1"/>
  <c r="BV6" i="4"/>
  <c r="BZ6" i="4" s="1"/>
  <c r="BZ16" i="4"/>
  <c r="AU13" i="4"/>
  <c r="AY13" i="4" s="1"/>
  <c r="BV20" i="4"/>
  <c r="BZ20" i="4" s="1"/>
  <c r="BV19" i="4"/>
  <c r="BZ19" i="4" s="1"/>
  <c r="AT17" i="19"/>
  <c r="AT13" i="19"/>
  <c r="AT8" i="19"/>
  <c r="AT5" i="19"/>
  <c r="AT20" i="19"/>
  <c r="AT12" i="19"/>
  <c r="AT27" i="19"/>
  <c r="AT7" i="19"/>
  <c r="AT9" i="19"/>
  <c r="AT24" i="19"/>
  <c r="AT14" i="19"/>
  <c r="AT21" i="19"/>
  <c r="AT11" i="19"/>
  <c r="AT19" i="19"/>
  <c r="AT16" i="19"/>
  <c r="AQ12" i="24"/>
  <c r="BR14" i="24"/>
  <c r="BN12" i="24"/>
  <c r="BR12" i="24" s="1"/>
  <c r="BN7" i="24"/>
  <c r="BR7" i="24" s="1"/>
  <c r="BR10" i="24"/>
  <c r="BN11" i="24"/>
  <c r="BR11" i="24" s="1"/>
  <c r="AM11" i="24"/>
  <c r="AQ11" i="24" s="1"/>
  <c r="BN5" i="24"/>
  <c r="BR5" i="24" s="1"/>
  <c r="AM5" i="24"/>
  <c r="AQ5" i="24" s="1"/>
  <c r="BR9" i="24"/>
  <c r="BN13" i="24"/>
  <c r="BR13" i="24" s="1"/>
  <c r="AM4" i="24"/>
  <c r="AQ4" i="24" s="1"/>
  <c r="AM8" i="23"/>
  <c r="AQ8" i="23" s="1"/>
  <c r="BN4" i="23"/>
  <c r="BR4" i="23" s="1"/>
  <c r="AQ7" i="23"/>
  <c r="AQ4" i="23"/>
  <c r="BR6" i="23"/>
  <c r="BR14" i="23"/>
  <c r="BN8" i="23"/>
  <c r="BR8" i="23" s="1"/>
  <c r="BN13" i="23"/>
  <c r="BR13" i="23" s="1"/>
  <c r="AM9" i="23"/>
  <c r="AQ9" i="23" s="1"/>
  <c r="BN10" i="23"/>
  <c r="BR10" i="23" s="1"/>
  <c r="BR12" i="23"/>
  <c r="AQ14" i="23"/>
  <c r="BR5" i="23"/>
  <c r="BR7" i="23"/>
  <c r="BN15" i="23"/>
  <c r="BR15" i="23" s="1"/>
  <c r="AQ5" i="23"/>
  <c r="AQ12" i="23"/>
  <c r="AU17" i="22"/>
  <c r="AY17" i="22" s="1"/>
  <c r="BV5" i="22"/>
  <c r="BZ5" i="22" s="1"/>
  <c r="BV11" i="22"/>
  <c r="BZ11" i="22" s="1"/>
  <c r="AU4" i="22"/>
  <c r="AY4" i="22" s="1"/>
  <c r="AU16" i="22"/>
  <c r="AY16" i="22" s="1"/>
  <c r="AU11" i="22"/>
  <c r="AY11" i="22" s="1"/>
  <c r="BZ13" i="22"/>
  <c r="AU6" i="22"/>
  <c r="AY6" i="22" s="1"/>
  <c r="BV7" i="22"/>
  <c r="BZ7" i="22" s="1"/>
  <c r="BV8" i="22"/>
  <c r="BZ8" i="22" s="1"/>
  <c r="BV12" i="22"/>
  <c r="BZ12" i="22" s="1"/>
  <c r="AU5" i="22"/>
  <c r="AY5" i="22" s="1"/>
  <c r="AU9" i="22"/>
  <c r="AY9" i="22" s="1"/>
  <c r="BV15" i="22"/>
  <c r="BZ15" i="22" s="1"/>
  <c r="AU12" i="22"/>
  <c r="AY12" i="22" s="1"/>
  <c r="BV6" i="22"/>
  <c r="BZ6" i="22" s="1"/>
  <c r="AU8" i="22"/>
  <c r="AY8" i="22" s="1"/>
  <c r="AU14" i="22"/>
  <c r="AY14" i="22" s="1"/>
  <c r="BV10" i="22"/>
  <c r="BZ10" i="22" s="1"/>
  <c r="BV14" i="22"/>
  <c r="BZ14" i="22" s="1"/>
  <c r="BV18" i="4"/>
  <c r="BZ18" i="4" s="1"/>
  <c r="AY23" i="4"/>
  <c r="AU6" i="4"/>
  <c r="AY6" i="4" s="1"/>
  <c r="AU20" i="4"/>
  <c r="AY20" i="4" s="1"/>
  <c r="AU18" i="4"/>
  <c r="AY18" i="4" s="1"/>
  <c r="BV12" i="4"/>
  <c r="BZ12" i="4" s="1"/>
  <c r="AU10" i="4"/>
  <c r="AY10" i="4" s="1"/>
  <c r="AU14" i="4"/>
  <c r="AY14" i="4" s="1"/>
  <c r="BV4" i="4"/>
  <c r="BZ4" i="4" s="1"/>
  <c r="AU7" i="4"/>
  <c r="AY7" i="4" s="1"/>
  <c r="AU16" i="4"/>
  <c r="AY16" i="4" s="1"/>
  <c r="AY12" i="4"/>
  <c r="AU11" i="4"/>
  <c r="AY11" i="4" s="1"/>
  <c r="BV7" i="4"/>
  <c r="BZ7" i="4" s="1"/>
  <c r="AU4" i="4"/>
  <c r="AY4" i="4" s="1"/>
  <c r="BV8" i="4"/>
  <c r="BZ8" i="4" s="1"/>
  <c r="BV17" i="4"/>
  <c r="BZ17" i="4" s="1"/>
  <c r="AU17" i="4"/>
  <c r="AY17" i="4" s="1"/>
  <c r="BV10" i="4"/>
  <c r="BZ10" i="4" s="1"/>
  <c r="AU8" i="4"/>
  <c r="AY8" i="4" s="1"/>
  <c r="BW4" i="21"/>
  <c r="BW6" i="21"/>
  <c r="BW8" i="21"/>
  <c r="BW7" i="21"/>
  <c r="BW9" i="21"/>
  <c r="BW5" i="21"/>
  <c r="BW11" i="21"/>
  <c r="BW10" i="21"/>
  <c r="BW12" i="21"/>
  <c r="BW14" i="21"/>
  <c r="BW15" i="21"/>
  <c r="BW13" i="21"/>
  <c r="BW16" i="21"/>
  <c r="BW17" i="21"/>
  <c r="BW18" i="21"/>
  <c r="AT4" i="21"/>
  <c r="AT6" i="21"/>
  <c r="AT8" i="21"/>
  <c r="AT7" i="21"/>
  <c r="AT9" i="21"/>
  <c r="AT5" i="21"/>
  <c r="AT11" i="21"/>
  <c r="AT10" i="21"/>
  <c r="AT12" i="21"/>
  <c r="AT14" i="21"/>
  <c r="AT15" i="21"/>
  <c r="AT13" i="21"/>
  <c r="AT16" i="21"/>
  <c r="AT17" i="21"/>
  <c r="AT18" i="21"/>
  <c r="BW4" i="19"/>
  <c r="BW6" i="19"/>
  <c r="BW5" i="19"/>
  <c r="BW7" i="19"/>
  <c r="BW17" i="19"/>
  <c r="BW12" i="19"/>
  <c r="BW11" i="19"/>
  <c r="BW15" i="19"/>
  <c r="BW8" i="19"/>
  <c r="BW14" i="19"/>
  <c r="BW10" i="19"/>
  <c r="BW9" i="19"/>
  <c r="BW18" i="19"/>
  <c r="BW13" i="19"/>
  <c r="BW19" i="19"/>
  <c r="BW22" i="19"/>
  <c r="BW20" i="19"/>
  <c r="BW21" i="19"/>
  <c r="BW23" i="19"/>
  <c r="BW24" i="19"/>
  <c r="BW25" i="19"/>
  <c r="BW26" i="19"/>
  <c r="BW16" i="19"/>
  <c r="BW27" i="19"/>
  <c r="BW4" i="27"/>
  <c r="BW6" i="27"/>
  <c r="BW7" i="27"/>
  <c r="BW5" i="27"/>
  <c r="BW9" i="27"/>
  <c r="BW10" i="27"/>
  <c r="BW8" i="27"/>
  <c r="BW13" i="27"/>
  <c r="BW12" i="27"/>
  <c r="AT4" i="27"/>
  <c r="AT6" i="27"/>
  <c r="AT7" i="27"/>
  <c r="AT5" i="27"/>
  <c r="AT9" i="27"/>
  <c r="AT10" i="27"/>
  <c r="AT8" i="27"/>
  <c r="AT13" i="27"/>
  <c r="AT12" i="27"/>
  <c r="BW5" i="26"/>
  <c r="BW4" i="26"/>
  <c r="BW9" i="26"/>
  <c r="BW10" i="26"/>
  <c r="BW6" i="26"/>
  <c r="BW8" i="26"/>
  <c r="BW11" i="26"/>
  <c r="AT5" i="26"/>
  <c r="AT4" i="26"/>
  <c r="AT9" i="26"/>
  <c r="AT10" i="26"/>
  <c r="AT6" i="26"/>
  <c r="AT8" i="26"/>
  <c r="AT11" i="26"/>
  <c r="CS10" i="24"/>
  <c r="TI7" i="23"/>
  <c r="SF10" i="24"/>
  <c r="SM10" i="24" s="1"/>
  <c r="TF10" i="24"/>
  <c r="CS7" i="23"/>
  <c r="L10" i="24"/>
  <c r="M10" i="24" s="1"/>
  <c r="TM10" i="24"/>
  <c r="TI10" i="24"/>
  <c r="J10" i="24"/>
  <c r="K10" i="24" s="1"/>
  <c r="I10" i="24"/>
  <c r="G10" i="24"/>
  <c r="F10" i="24"/>
  <c r="SF7" i="23"/>
  <c r="SM7" i="23" s="1"/>
  <c r="TM7" i="23"/>
  <c r="G7" i="23"/>
  <c r="L7" i="23"/>
  <c r="CU7" i="23" s="1"/>
  <c r="F7" i="23"/>
  <c r="J7" i="23"/>
  <c r="I7" i="23"/>
  <c r="TF7" i="23"/>
  <c r="G13" i="21"/>
  <c r="F13" i="21"/>
  <c r="G15" i="21"/>
  <c r="F15" i="21"/>
  <c r="RE13" i="21"/>
  <c r="G13" i="19"/>
  <c r="F13" i="19"/>
  <c r="RC13" i="21"/>
  <c r="RE15" i="21"/>
  <c r="RC15" i="21"/>
  <c r="P15" i="21"/>
  <c r="DF15" i="21" s="1"/>
  <c r="P13" i="21"/>
  <c r="DF13" i="21" s="1"/>
  <c r="QA15" i="21"/>
  <c r="N15" i="21"/>
  <c r="O15" i="21" s="1"/>
  <c r="RA15" i="21"/>
  <c r="RF15" i="21"/>
  <c r="RB15" i="21"/>
  <c r="L15" i="21"/>
  <c r="DD15" i="21" s="1"/>
  <c r="QZ15" i="21"/>
  <c r="J15" i="21"/>
  <c r="K15" i="21" s="1"/>
  <c r="CZ15" i="21"/>
  <c r="QA13" i="21"/>
  <c r="RA13" i="21"/>
  <c r="RF13" i="21"/>
  <c r="RB13" i="21"/>
  <c r="N13" i="21"/>
  <c r="O13" i="21" s="1"/>
  <c r="L13" i="21"/>
  <c r="M13" i="21" s="1"/>
  <c r="QZ13" i="21"/>
  <c r="J13" i="21"/>
  <c r="K13" i="21" s="1"/>
  <c r="CZ13" i="21"/>
  <c r="QZ13" i="19"/>
  <c r="QA13" i="19"/>
  <c r="RF13" i="19"/>
  <c r="N13" i="19"/>
  <c r="O13" i="19" s="1"/>
  <c r="RE13" i="19"/>
  <c r="CZ13" i="19"/>
  <c r="RB13" i="19"/>
  <c r="RA13" i="19"/>
  <c r="L13" i="19"/>
  <c r="M13" i="19" s="1"/>
  <c r="J13" i="19"/>
  <c r="K13" i="19" s="1"/>
  <c r="P13" i="19"/>
  <c r="RC13" i="19"/>
  <c r="CV10" i="27"/>
  <c r="CW10" i="27"/>
  <c r="CX10" i="27"/>
  <c r="CY10" i="27"/>
  <c r="DA10" i="27"/>
  <c r="DB10" i="27"/>
  <c r="PW10" i="27"/>
  <c r="PX10" i="27"/>
  <c r="PY10" i="27"/>
  <c r="PZ10" i="27"/>
  <c r="QB10" i="27"/>
  <c r="QC10" i="27"/>
  <c r="QE10" i="27"/>
  <c r="QF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RG13" i="21" l="1"/>
  <c r="RG15" i="21"/>
  <c r="RG13" i="19"/>
  <c r="DC10" i="27"/>
  <c r="QD10" i="27"/>
  <c r="G10" i="27"/>
  <c r="TJ7" i="23"/>
  <c r="TN7" i="23" s="1"/>
  <c r="M7" i="23"/>
  <c r="CT10" i="24"/>
  <c r="CU10" i="24"/>
  <c r="TJ10" i="24"/>
  <c r="TN10" i="24" s="1"/>
  <c r="CT7" i="23"/>
  <c r="N7" i="23" s="1"/>
  <c r="H10" i="24"/>
  <c r="H7" i="23"/>
  <c r="K7" i="23"/>
  <c r="Q13" i="21"/>
  <c r="F10" i="27"/>
  <c r="DE13" i="19"/>
  <c r="QA10" i="27"/>
  <c r="QZ10" i="27"/>
  <c r="P10" i="27"/>
  <c r="DF10" i="27" s="1"/>
  <c r="RD13" i="21"/>
  <c r="Q15" i="21"/>
  <c r="DE15" i="21"/>
  <c r="R15" i="21" s="1"/>
  <c r="DE13" i="21"/>
  <c r="RD15" i="21"/>
  <c r="M15" i="21"/>
  <c r="I15" i="21"/>
  <c r="DD13" i="21"/>
  <c r="I13" i="21"/>
  <c r="RD13" i="19"/>
  <c r="I13" i="19"/>
  <c r="DD13" i="19"/>
  <c r="Q13" i="19"/>
  <c r="DF13" i="19"/>
  <c r="N10" i="27"/>
  <c r="O10" i="27" s="1"/>
  <c r="RB10" i="27"/>
  <c r="RA10" i="27"/>
  <c r="RE10" i="27"/>
  <c r="CZ10" i="27"/>
  <c r="L10" i="27"/>
  <c r="DD10" i="27" s="1"/>
  <c r="RF10" i="27"/>
  <c r="J10" i="27"/>
  <c r="K10" i="27" s="1"/>
  <c r="RC10" i="27"/>
  <c r="RG10" i="27" l="1"/>
  <c r="N10" i="24"/>
  <c r="P10" i="24" s="1"/>
  <c r="O7" i="23"/>
  <c r="P7" i="23"/>
  <c r="E7" i="23"/>
  <c r="Q10" i="27"/>
  <c r="I10" i="27"/>
  <c r="R13" i="19"/>
  <c r="E13" i="19" s="1"/>
  <c r="DE10" i="27"/>
  <c r="R10" i="27" s="1"/>
  <c r="S10" i="27" s="1"/>
  <c r="R13" i="21"/>
  <c r="E13" i="21" s="1"/>
  <c r="T15" i="21"/>
  <c r="S15" i="21"/>
  <c r="E15" i="21"/>
  <c r="M10" i="27"/>
  <c r="RD10" i="27"/>
  <c r="E10" i="24" l="1"/>
  <c r="O10" i="24"/>
  <c r="H13" i="21"/>
  <c r="H15" i="21"/>
  <c r="A15" i="21" s="1" a="1"/>
  <c r="A15" i="21" s="1"/>
  <c r="H13" i="19"/>
  <c r="S13" i="21"/>
  <c r="T13" i="19"/>
  <c r="S13" i="19"/>
  <c r="T13" i="21"/>
  <c r="E10" i="27"/>
  <c r="T10" i="27"/>
  <c r="H10" i="27" l="1"/>
  <c r="A10" i="27" s="1" a="1"/>
  <c r="A10" i="27" s="1"/>
  <c r="CI13" i="24"/>
  <c r="CJ13" i="24"/>
  <c r="CK13" i="24"/>
  <c r="CL13" i="24"/>
  <c r="CM13" i="24"/>
  <c r="CN13" i="24"/>
  <c r="CP13" i="24"/>
  <c r="CQ13" i="24"/>
  <c r="CR13" i="24"/>
  <c r="RZ13" i="24"/>
  <c r="SA13" i="24"/>
  <c r="SB13" i="24"/>
  <c r="SC13" i="24"/>
  <c r="SD13" i="24"/>
  <c r="SE13" i="24"/>
  <c r="SG13" i="24"/>
  <c r="SH13" i="24"/>
  <c r="SI13" i="24"/>
  <c r="SJ13" i="24"/>
  <c r="SK13" i="24"/>
  <c r="SL13" i="24"/>
  <c r="SN13" i="24"/>
  <c r="SO13" i="24"/>
  <c r="SP13" i="24"/>
  <c r="TD13" i="24" s="1"/>
  <c r="SQ13" i="24"/>
  <c r="TE13" i="24" s="1"/>
  <c r="SR13" i="24"/>
  <c r="SS13" i="24"/>
  <c r="ST13" i="24"/>
  <c r="SU13" i="24"/>
  <c r="SV13" i="24"/>
  <c r="SW13" i="24"/>
  <c r="SX13" i="24"/>
  <c r="SY13" i="24"/>
  <c r="SZ13" i="24"/>
  <c r="TK13" i="24" s="1"/>
  <c r="TA13" i="24"/>
  <c r="TL13" i="24" s="1"/>
  <c r="TB13" i="24"/>
  <c r="TG13" i="24"/>
  <c r="TH13" i="24"/>
  <c r="CI13" i="23"/>
  <c r="CJ13" i="23"/>
  <c r="CK13" i="23"/>
  <c r="CL13" i="23"/>
  <c r="CM13" i="23"/>
  <c r="CN13" i="23"/>
  <c r="CP13" i="23"/>
  <c r="CQ13" i="23"/>
  <c r="CR13" i="23"/>
  <c r="RZ13" i="23"/>
  <c r="SA13" i="23"/>
  <c r="SB13" i="23"/>
  <c r="SC13" i="23"/>
  <c r="SD13" i="23"/>
  <c r="SE13" i="23"/>
  <c r="SG13" i="23"/>
  <c r="SH13" i="23"/>
  <c r="SI13" i="23"/>
  <c r="SJ13" i="23"/>
  <c r="SK13" i="23"/>
  <c r="SL13" i="23"/>
  <c r="SN13" i="23"/>
  <c r="SO13" i="23"/>
  <c r="SP13" i="23"/>
  <c r="TD13" i="23" s="1"/>
  <c r="SQ13" i="23"/>
  <c r="TE13" i="23" s="1"/>
  <c r="SR13" i="23"/>
  <c r="SS13" i="23"/>
  <c r="ST13" i="23"/>
  <c r="SU13" i="23"/>
  <c r="TG13" i="23" s="1"/>
  <c r="SV13" i="23"/>
  <c r="TH13" i="23" s="1"/>
  <c r="SW13" i="23"/>
  <c r="SX13" i="23"/>
  <c r="SY13" i="23"/>
  <c r="SZ13" i="23"/>
  <c r="TK13" i="23" s="1"/>
  <c r="TA13" i="23"/>
  <c r="TL13" i="23" s="1"/>
  <c r="TB13" i="23"/>
  <c r="CI10" i="23"/>
  <c r="CJ10" i="23"/>
  <c r="CK10" i="23"/>
  <c r="CL10" i="23"/>
  <c r="CM10" i="23"/>
  <c r="CN10" i="23"/>
  <c r="CP10" i="23"/>
  <c r="CQ10" i="23"/>
  <c r="CR10" i="23"/>
  <c r="RZ10" i="23"/>
  <c r="SA10" i="23"/>
  <c r="SB10" i="23"/>
  <c r="SC10" i="23"/>
  <c r="SD10" i="23"/>
  <c r="SE10" i="23"/>
  <c r="SG10" i="23"/>
  <c r="SH10" i="23"/>
  <c r="SI10" i="23"/>
  <c r="SJ10" i="23"/>
  <c r="SK10" i="23"/>
  <c r="SL10" i="23"/>
  <c r="SN10" i="23"/>
  <c r="SO10" i="23"/>
  <c r="SP10" i="23"/>
  <c r="TD10" i="23" s="1"/>
  <c r="SQ10" i="23"/>
  <c r="TE10" i="23" s="1"/>
  <c r="SR10" i="23"/>
  <c r="SS10" i="23"/>
  <c r="ST10" i="23"/>
  <c r="SU10" i="23"/>
  <c r="TG10" i="23" s="1"/>
  <c r="SV10" i="23"/>
  <c r="TH10" i="23" s="1"/>
  <c r="SW10" i="23"/>
  <c r="SX10" i="23"/>
  <c r="SY10" i="23"/>
  <c r="SZ10" i="23"/>
  <c r="TK10" i="23" s="1"/>
  <c r="TA10" i="23"/>
  <c r="TL10" i="23" s="1"/>
  <c r="TB10" i="23"/>
  <c r="CI4" i="23"/>
  <c r="CJ4" i="23"/>
  <c r="CK4" i="23"/>
  <c r="CL4" i="23"/>
  <c r="CM4" i="23"/>
  <c r="CN4" i="23"/>
  <c r="CP4" i="23"/>
  <c r="CQ4" i="23"/>
  <c r="CR4" i="23"/>
  <c r="RZ4" i="23"/>
  <c r="SA4" i="23"/>
  <c r="SB4" i="23"/>
  <c r="SC4" i="23"/>
  <c r="SD4" i="23"/>
  <c r="SE4" i="23"/>
  <c r="SG4" i="23"/>
  <c r="SH4" i="23"/>
  <c r="SI4" i="23"/>
  <c r="SJ4" i="23"/>
  <c r="SK4" i="23"/>
  <c r="SL4" i="23"/>
  <c r="SN4" i="23"/>
  <c r="SO4" i="23"/>
  <c r="SP4" i="23"/>
  <c r="TD4" i="23" s="1"/>
  <c r="SQ4" i="23"/>
  <c r="TE4" i="23" s="1"/>
  <c r="SR4" i="23"/>
  <c r="SS4" i="23"/>
  <c r="ST4" i="23"/>
  <c r="SU4" i="23"/>
  <c r="TG4" i="23" s="1"/>
  <c r="SV4" i="23"/>
  <c r="TH4" i="23" s="1"/>
  <c r="SW4" i="23"/>
  <c r="SX4" i="23"/>
  <c r="SY4" i="23"/>
  <c r="SZ4" i="23"/>
  <c r="TK4" i="23" s="1"/>
  <c r="TA4" i="23"/>
  <c r="TL4" i="23" s="1"/>
  <c r="TB4" i="23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I9" i="24"/>
  <c r="CJ9" i="24"/>
  <c r="CK9" i="24"/>
  <c r="CO9" i="24" s="1"/>
  <c r="CL9" i="24"/>
  <c r="CM9" i="24"/>
  <c r="CN9" i="24"/>
  <c r="CP9" i="24"/>
  <c r="CQ9" i="24"/>
  <c r="CR9" i="24"/>
  <c r="RZ9" i="24"/>
  <c r="SA9" i="24"/>
  <c r="SB9" i="24"/>
  <c r="SC9" i="24"/>
  <c r="SD9" i="24"/>
  <c r="SE9" i="24"/>
  <c r="SG9" i="24"/>
  <c r="SH9" i="24"/>
  <c r="SI9" i="24"/>
  <c r="SJ9" i="24"/>
  <c r="SK9" i="24"/>
  <c r="SL9" i="24"/>
  <c r="SN9" i="24"/>
  <c r="SO9" i="24"/>
  <c r="SP9" i="24"/>
  <c r="TD9" i="24" s="1"/>
  <c r="SQ9" i="24"/>
  <c r="TE9" i="24" s="1"/>
  <c r="SR9" i="24"/>
  <c r="SS9" i="24"/>
  <c r="ST9" i="24"/>
  <c r="SU9" i="24"/>
  <c r="TG9" i="24" s="1"/>
  <c r="SV9" i="24"/>
  <c r="TH9" i="24" s="1"/>
  <c r="SW9" i="24"/>
  <c r="SX9" i="24"/>
  <c r="SY9" i="24"/>
  <c r="SZ9" i="24"/>
  <c r="TK9" i="24" s="1"/>
  <c r="TA9" i="24"/>
  <c r="TL9" i="24" s="1"/>
  <c r="TB9" i="24"/>
  <c r="CI6" i="23"/>
  <c r="CJ6" i="23"/>
  <c r="CK6" i="23"/>
  <c r="CO6" i="23" s="1"/>
  <c r="CL6" i="23"/>
  <c r="CM6" i="23"/>
  <c r="CN6" i="23"/>
  <c r="CP6" i="23"/>
  <c r="CQ6" i="23"/>
  <c r="CR6" i="23"/>
  <c r="RZ6" i="23"/>
  <c r="SA6" i="23"/>
  <c r="SB6" i="23"/>
  <c r="SC6" i="23"/>
  <c r="SD6" i="23"/>
  <c r="SE6" i="23"/>
  <c r="SG6" i="23"/>
  <c r="SH6" i="23"/>
  <c r="SI6" i="23"/>
  <c r="SJ6" i="23"/>
  <c r="SK6" i="23"/>
  <c r="SL6" i="23"/>
  <c r="SN6" i="23"/>
  <c r="SO6" i="23"/>
  <c r="SP6" i="23"/>
  <c r="TD6" i="23" s="1"/>
  <c r="SQ6" i="23"/>
  <c r="TE6" i="23" s="1"/>
  <c r="SR6" i="23"/>
  <c r="SS6" i="23"/>
  <c r="ST6" i="23"/>
  <c r="SU6" i="23"/>
  <c r="TG6" i="23" s="1"/>
  <c r="SV6" i="23"/>
  <c r="TH6" i="23" s="1"/>
  <c r="SW6" i="23"/>
  <c r="SX6" i="23"/>
  <c r="SY6" i="23"/>
  <c r="SZ6" i="23"/>
  <c r="TK6" i="23" s="1"/>
  <c r="TA6" i="23"/>
  <c r="TL6" i="23" s="1"/>
  <c r="TB6" i="23"/>
  <c r="CI15" i="24"/>
  <c r="CJ15" i="24"/>
  <c r="CK15" i="24"/>
  <c r="CO15" i="24" s="1"/>
  <c r="CL15" i="24"/>
  <c r="CM15" i="24"/>
  <c r="CN15" i="24"/>
  <c r="CP15" i="24"/>
  <c r="CQ15" i="24"/>
  <c r="CR15" i="24"/>
  <c r="RZ15" i="24"/>
  <c r="SA15" i="24"/>
  <c r="SB15" i="24"/>
  <c r="SC15" i="24"/>
  <c r="SD15" i="24"/>
  <c r="SE15" i="24"/>
  <c r="SG15" i="24"/>
  <c r="SH15" i="24"/>
  <c r="SI15" i="24"/>
  <c r="SJ15" i="24"/>
  <c r="SK15" i="24"/>
  <c r="SL15" i="24"/>
  <c r="SN15" i="24"/>
  <c r="SO15" i="24"/>
  <c r="SP15" i="24"/>
  <c r="TD15" i="24" s="1"/>
  <c r="SQ15" i="24"/>
  <c r="TE15" i="24" s="1"/>
  <c r="SR15" i="24"/>
  <c r="SS15" i="24"/>
  <c r="ST15" i="24"/>
  <c r="SU15" i="24"/>
  <c r="TG15" i="24" s="1"/>
  <c r="SV15" i="24"/>
  <c r="TH15" i="24" s="1"/>
  <c r="SW15" i="24"/>
  <c r="SX15" i="24"/>
  <c r="SY15" i="24"/>
  <c r="SZ15" i="24"/>
  <c r="TK15" i="24" s="1"/>
  <c r="TA15" i="24"/>
  <c r="TL15" i="24" s="1"/>
  <c r="TB15" i="24"/>
  <c r="CI12" i="23"/>
  <c r="CJ12" i="23"/>
  <c r="CK12" i="23"/>
  <c r="CO12" i="23" s="1"/>
  <c r="CL12" i="23"/>
  <c r="CM12" i="23"/>
  <c r="CN12" i="23"/>
  <c r="CP12" i="23"/>
  <c r="CQ12" i="23"/>
  <c r="CR12" i="23"/>
  <c r="RZ12" i="23"/>
  <c r="SA12" i="23"/>
  <c r="SB12" i="23"/>
  <c r="SC12" i="23"/>
  <c r="SD12" i="23"/>
  <c r="SE12" i="23"/>
  <c r="SG12" i="23"/>
  <c r="SH12" i="23"/>
  <c r="SI12" i="23"/>
  <c r="SJ12" i="23"/>
  <c r="SK12" i="23"/>
  <c r="SL12" i="23"/>
  <c r="SN12" i="23"/>
  <c r="SO12" i="23"/>
  <c r="SP12" i="23"/>
  <c r="TD12" i="23" s="1"/>
  <c r="SQ12" i="23"/>
  <c r="TE12" i="23" s="1"/>
  <c r="SR12" i="23"/>
  <c r="SS12" i="23"/>
  <c r="ST12" i="23"/>
  <c r="SU12" i="23"/>
  <c r="TG12" i="23" s="1"/>
  <c r="SV12" i="23"/>
  <c r="TH12" i="23" s="1"/>
  <c r="SW12" i="23"/>
  <c r="SX12" i="23"/>
  <c r="SY12" i="23"/>
  <c r="SZ12" i="23"/>
  <c r="TK12" i="23" s="1"/>
  <c r="TA12" i="23"/>
  <c r="TL12" i="23" s="1"/>
  <c r="TB12" i="23"/>
  <c r="CI14" i="24"/>
  <c r="CJ14" i="24"/>
  <c r="CK14" i="24"/>
  <c r="CO14" i="24" s="1"/>
  <c r="CL14" i="24"/>
  <c r="CM14" i="24"/>
  <c r="CN14" i="24"/>
  <c r="CP14" i="24"/>
  <c r="CQ14" i="24"/>
  <c r="CR14" i="24"/>
  <c r="RZ14" i="24"/>
  <c r="SA14" i="24"/>
  <c r="SB14" i="24"/>
  <c r="SC14" i="24"/>
  <c r="SD14" i="24"/>
  <c r="SE14" i="24"/>
  <c r="SG14" i="24"/>
  <c r="SH14" i="24"/>
  <c r="SI14" i="24"/>
  <c r="SJ14" i="24"/>
  <c r="SK14" i="24"/>
  <c r="SL14" i="24"/>
  <c r="SN14" i="24"/>
  <c r="SO14" i="24"/>
  <c r="SP14" i="24"/>
  <c r="TD14" i="24" s="1"/>
  <c r="SQ14" i="24"/>
  <c r="TE14" i="24" s="1"/>
  <c r="SR14" i="24"/>
  <c r="SS14" i="24"/>
  <c r="ST14" i="24"/>
  <c r="SU14" i="24"/>
  <c r="TG14" i="24" s="1"/>
  <c r="SV14" i="24"/>
  <c r="TH14" i="24" s="1"/>
  <c r="SW14" i="24"/>
  <c r="SX14" i="24"/>
  <c r="SY14" i="24"/>
  <c r="SZ14" i="24"/>
  <c r="TK14" i="24" s="1"/>
  <c r="TA14" i="24"/>
  <c r="TL14" i="24" s="1"/>
  <c r="TB14" i="24"/>
  <c r="F10" i="23" l="1"/>
  <c r="F9" i="24"/>
  <c r="G9" i="24"/>
  <c r="F14" i="24"/>
  <c r="G13" i="24"/>
  <c r="F15" i="24"/>
  <c r="G14" i="24"/>
  <c r="F13" i="24"/>
  <c r="G15" i="24"/>
  <c r="F12" i="23"/>
  <c r="F13" i="23"/>
  <c r="G12" i="23"/>
  <c r="G4" i="23"/>
  <c r="F6" i="23"/>
  <c r="F4" i="23"/>
  <c r="G10" i="23"/>
  <c r="G13" i="23"/>
  <c r="G6" i="23"/>
  <c r="G19" i="4"/>
  <c r="F19" i="4"/>
  <c r="CO13" i="24"/>
  <c r="CS13" i="24" s="1"/>
  <c r="TM13" i="23"/>
  <c r="SF13" i="24"/>
  <c r="SM13" i="24" s="1"/>
  <c r="TF13" i="24"/>
  <c r="L13" i="24"/>
  <c r="CU13" i="24" s="1"/>
  <c r="TM13" i="24"/>
  <c r="TI13" i="24"/>
  <c r="J13" i="24"/>
  <c r="K13" i="24" s="1"/>
  <c r="I13" i="24"/>
  <c r="CO10" i="23"/>
  <c r="CS10" i="23" s="1"/>
  <c r="CO4" i="23"/>
  <c r="CS4" i="23" s="1"/>
  <c r="CO13" i="23"/>
  <c r="CS13" i="23" s="1"/>
  <c r="SF13" i="23"/>
  <c r="SM13" i="23" s="1"/>
  <c r="TI13" i="23"/>
  <c r="J13" i="23"/>
  <c r="K13" i="23" s="1"/>
  <c r="L13" i="23"/>
  <c r="CU13" i="23" s="1"/>
  <c r="I13" i="23"/>
  <c r="TF13" i="23"/>
  <c r="SF10" i="23"/>
  <c r="SM10" i="23" s="1"/>
  <c r="TI10" i="23"/>
  <c r="TF10" i="23"/>
  <c r="TM10" i="23"/>
  <c r="L10" i="23"/>
  <c r="CU10" i="23" s="1"/>
  <c r="J10" i="23"/>
  <c r="I10" i="23"/>
  <c r="J4" i="23"/>
  <c r="K4" i="23" s="1"/>
  <c r="SF4" i="23"/>
  <c r="SM4" i="23" s="1"/>
  <c r="TF4" i="23"/>
  <c r="TM4" i="23"/>
  <c r="L4" i="23"/>
  <c r="TI4" i="23"/>
  <c r="I4" i="23"/>
  <c r="CW19" i="4"/>
  <c r="DA19" i="4" s="1"/>
  <c r="TN19" i="4"/>
  <c r="SN19" i="4"/>
  <c r="SU19" i="4" s="1"/>
  <c r="L19" i="4"/>
  <c r="M19" i="4" s="1"/>
  <c r="J19" i="4"/>
  <c r="K19" i="4" s="1"/>
  <c r="TU19" i="4"/>
  <c r="TQ19" i="4"/>
  <c r="T19" i="4"/>
  <c r="U19" i="4" s="1"/>
  <c r="R19" i="4"/>
  <c r="S19" i="4" s="1"/>
  <c r="I19" i="4"/>
  <c r="P19" i="4"/>
  <c r="N19" i="4"/>
  <c r="SF6" i="23"/>
  <c r="SM6" i="23" s="1"/>
  <c r="CS9" i="24"/>
  <c r="CS6" i="23"/>
  <c r="CS15" i="24"/>
  <c r="TF9" i="24"/>
  <c r="CS12" i="23"/>
  <c r="SF12" i="23"/>
  <c r="SM12" i="23" s="1"/>
  <c r="TM6" i="23"/>
  <c r="SF9" i="24"/>
  <c r="SM9" i="24" s="1"/>
  <c r="L9" i="24"/>
  <c r="J9" i="24"/>
  <c r="K9" i="24" s="1"/>
  <c r="TM9" i="24"/>
  <c r="TI9" i="24"/>
  <c r="I9" i="24"/>
  <c r="J6" i="23"/>
  <c r="K6" i="23" s="1"/>
  <c r="TI6" i="23"/>
  <c r="TF6" i="23"/>
  <c r="L6" i="23"/>
  <c r="M6" i="23" s="1"/>
  <c r="I6" i="23"/>
  <c r="SF15" i="24"/>
  <c r="SM15" i="24" s="1"/>
  <c r="TF15" i="24"/>
  <c r="TF12" i="23"/>
  <c r="L15" i="24"/>
  <c r="CU15" i="24" s="1"/>
  <c r="TM15" i="24"/>
  <c r="J15" i="24"/>
  <c r="K15" i="24" s="1"/>
  <c r="TI15" i="24"/>
  <c r="I15" i="24"/>
  <c r="TF14" i="24"/>
  <c r="TI12" i="23"/>
  <c r="L12" i="23"/>
  <c r="M12" i="23" s="1"/>
  <c r="TM12" i="23"/>
  <c r="J12" i="23"/>
  <c r="K12" i="23" s="1"/>
  <c r="I12" i="23"/>
  <c r="SF14" i="24"/>
  <c r="SM14" i="24" s="1"/>
  <c r="CS14" i="24"/>
  <c r="L14" i="24"/>
  <c r="CU14" i="24" s="1"/>
  <c r="TM14" i="24"/>
  <c r="TI14" i="24"/>
  <c r="J14" i="24"/>
  <c r="K14" i="24" s="1"/>
  <c r="I14" i="24"/>
  <c r="H14" i="24" l="1"/>
  <c r="H13" i="24"/>
  <c r="A13" i="24" s="1" a="1"/>
  <c r="A13" i="24" s="1"/>
  <c r="H13" i="23"/>
  <c r="A13" i="23" s="1" a="1"/>
  <c r="A13" i="23" s="1"/>
  <c r="TJ13" i="23"/>
  <c r="TN13" i="23" s="1"/>
  <c r="M13" i="24"/>
  <c r="CT13" i="24"/>
  <c r="N13" i="24" s="1"/>
  <c r="E13" i="24" s="1"/>
  <c r="TJ13" i="24"/>
  <c r="TN13" i="24" s="1"/>
  <c r="CT13" i="23"/>
  <c r="N13" i="23" s="1"/>
  <c r="TJ10" i="23"/>
  <c r="TN10" i="23" s="1"/>
  <c r="M13" i="23"/>
  <c r="TJ4" i="23"/>
  <c r="TN4" i="23" s="1"/>
  <c r="M10" i="23"/>
  <c r="CT10" i="23"/>
  <c r="N10" i="23" s="1"/>
  <c r="E10" i="23" s="1"/>
  <c r="K10" i="23"/>
  <c r="CT4" i="23"/>
  <c r="M4" i="23"/>
  <c r="CU4" i="23"/>
  <c r="TR19" i="4"/>
  <c r="TV19" i="4" s="1"/>
  <c r="O19" i="4"/>
  <c r="DB19" i="4"/>
  <c r="DC19" i="4"/>
  <c r="Q19" i="4"/>
  <c r="TJ9" i="24"/>
  <c r="TN9" i="24" s="1"/>
  <c r="CT9" i="24"/>
  <c r="TJ12" i="23"/>
  <c r="TN12" i="23" s="1"/>
  <c r="CU6" i="23"/>
  <c r="M9" i="24"/>
  <c r="CU9" i="24"/>
  <c r="CT6" i="23"/>
  <c r="TJ6" i="23"/>
  <c r="TN6" i="23" s="1"/>
  <c r="TJ14" i="24"/>
  <c r="TN14" i="24" s="1"/>
  <c r="TJ15" i="24"/>
  <c r="TN15" i="24" s="1"/>
  <c r="H6" i="23"/>
  <c r="CU12" i="23"/>
  <c r="CT15" i="24"/>
  <c r="N15" i="24" s="1"/>
  <c r="E15" i="24" s="1"/>
  <c r="M15" i="24"/>
  <c r="CT14" i="24"/>
  <c r="N14" i="24" s="1"/>
  <c r="E14" i="24" s="1"/>
  <c r="M14" i="24"/>
  <c r="H12" i="23"/>
  <c r="A12" i="23" s="1" a="1"/>
  <c r="A12" i="23" s="1"/>
  <c r="CT12" i="23"/>
  <c r="H9" i="24" l="1"/>
  <c r="H15" i="24"/>
  <c r="A15" i="24" s="1" a="1"/>
  <c r="A15" i="24" s="1"/>
  <c r="H4" i="23"/>
  <c r="H10" i="23"/>
  <c r="A10" i="23" s="1" a="1"/>
  <c r="A10" i="23" s="1"/>
  <c r="H19" i="4"/>
  <c r="A19" i="4" s="1" a="1"/>
  <c r="A19" i="4" s="1"/>
  <c r="N9" i="24"/>
  <c r="E9" i="24" s="1"/>
  <c r="P13" i="24"/>
  <c r="O13" i="24"/>
  <c r="O13" i="23"/>
  <c r="P13" i="23"/>
  <c r="E13" i="23"/>
  <c r="N4" i="23"/>
  <c r="P4" i="23" s="1"/>
  <c r="P10" i="23"/>
  <c r="O10" i="23"/>
  <c r="V19" i="4"/>
  <c r="E19" i="4" s="1"/>
  <c r="N6" i="23"/>
  <c r="E6" i="23" s="1"/>
  <c r="N12" i="23"/>
  <c r="P12" i="23" s="1"/>
  <c r="O15" i="24"/>
  <c r="P15" i="24"/>
  <c r="P14" i="24"/>
  <c r="O14" i="24"/>
  <c r="P9" i="24" l="1"/>
  <c r="O9" i="24"/>
  <c r="E4" i="23"/>
  <c r="O4" i="23"/>
  <c r="O6" i="23"/>
  <c r="P6" i="23"/>
  <c r="W19" i="4"/>
  <c r="X19" i="4"/>
  <c r="O12" i="23"/>
  <c r="E12" i="23"/>
  <c r="CI9" i="23"/>
  <c r="CJ9" i="23"/>
  <c r="CK9" i="23"/>
  <c r="CL9" i="23"/>
  <c r="CM9" i="23"/>
  <c r="CN9" i="23"/>
  <c r="CP9" i="23"/>
  <c r="CQ9" i="23"/>
  <c r="CR9" i="23"/>
  <c r="RZ9" i="23"/>
  <c r="SA9" i="23"/>
  <c r="SB9" i="23"/>
  <c r="SC9" i="23"/>
  <c r="SD9" i="23"/>
  <c r="SE9" i="23"/>
  <c r="SG9" i="23"/>
  <c r="SH9" i="23"/>
  <c r="SI9" i="23"/>
  <c r="SJ9" i="23"/>
  <c r="SK9" i="23"/>
  <c r="SL9" i="23"/>
  <c r="SN9" i="23"/>
  <c r="SO9" i="23"/>
  <c r="SP9" i="23"/>
  <c r="TD9" i="23" s="1"/>
  <c r="SQ9" i="23"/>
  <c r="TE9" i="23" s="1"/>
  <c r="SR9" i="23"/>
  <c r="SS9" i="23"/>
  <c r="ST9" i="23"/>
  <c r="SU9" i="23"/>
  <c r="TG9" i="23" s="1"/>
  <c r="SV9" i="23"/>
  <c r="TH9" i="23" s="1"/>
  <c r="SW9" i="23"/>
  <c r="SX9" i="23"/>
  <c r="SY9" i="23"/>
  <c r="SZ9" i="23"/>
  <c r="TK9" i="23" s="1"/>
  <c r="TA9" i="23"/>
  <c r="TL9" i="23" s="1"/>
  <c r="TB9" i="23"/>
  <c r="CI6" i="24"/>
  <c r="CJ6" i="24"/>
  <c r="CK6" i="24"/>
  <c r="CL6" i="24"/>
  <c r="CM6" i="24"/>
  <c r="CN6" i="24"/>
  <c r="CP6" i="24"/>
  <c r="CQ6" i="24"/>
  <c r="CR6" i="24"/>
  <c r="RZ6" i="24"/>
  <c r="SA6" i="24"/>
  <c r="SB6" i="24"/>
  <c r="SC6" i="24"/>
  <c r="SD6" i="24"/>
  <c r="SE6" i="24"/>
  <c r="SG6" i="24"/>
  <c r="SH6" i="24"/>
  <c r="SI6" i="24"/>
  <c r="SJ6" i="24"/>
  <c r="SK6" i="24"/>
  <c r="SL6" i="24"/>
  <c r="SN6" i="24"/>
  <c r="SO6" i="24"/>
  <c r="SP6" i="24"/>
  <c r="TD6" i="24" s="1"/>
  <c r="SQ6" i="24"/>
  <c r="TE6" i="24" s="1"/>
  <c r="SR6" i="24"/>
  <c r="SS6" i="24"/>
  <c r="ST6" i="24"/>
  <c r="SU6" i="24"/>
  <c r="TG6" i="24" s="1"/>
  <c r="SV6" i="24"/>
  <c r="TH6" i="24" s="1"/>
  <c r="SW6" i="24"/>
  <c r="SX6" i="24"/>
  <c r="SY6" i="24"/>
  <c r="SZ6" i="24"/>
  <c r="TK6" i="24" s="1"/>
  <c r="TA6" i="24"/>
  <c r="TL6" i="24" s="1"/>
  <c r="TB6" i="24"/>
  <c r="CI11" i="24"/>
  <c r="CJ11" i="24"/>
  <c r="CK11" i="24"/>
  <c r="CL11" i="24"/>
  <c r="CM11" i="24"/>
  <c r="CN11" i="24"/>
  <c r="CP11" i="24"/>
  <c r="CQ11" i="24"/>
  <c r="CR11" i="24"/>
  <c r="RZ11" i="24"/>
  <c r="SA11" i="24"/>
  <c r="SB11" i="24"/>
  <c r="SC11" i="24"/>
  <c r="SD11" i="24"/>
  <c r="SE11" i="24"/>
  <c r="SG11" i="24"/>
  <c r="SH11" i="24"/>
  <c r="SI11" i="24"/>
  <c r="SJ11" i="24"/>
  <c r="SK11" i="24"/>
  <c r="SL11" i="24"/>
  <c r="SN11" i="24"/>
  <c r="SO11" i="24"/>
  <c r="SP11" i="24"/>
  <c r="TD11" i="24" s="1"/>
  <c r="SQ11" i="24"/>
  <c r="TE11" i="24" s="1"/>
  <c r="SR11" i="24"/>
  <c r="SS11" i="24"/>
  <c r="ST11" i="24"/>
  <c r="SU11" i="24"/>
  <c r="TG11" i="24" s="1"/>
  <c r="SV11" i="24"/>
  <c r="TH11" i="24" s="1"/>
  <c r="SW11" i="24"/>
  <c r="SX11" i="24"/>
  <c r="SY11" i="24"/>
  <c r="SZ11" i="24"/>
  <c r="TK11" i="24" s="1"/>
  <c r="TA11" i="24"/>
  <c r="TL11" i="24" s="1"/>
  <c r="TB11" i="24"/>
  <c r="F6" i="24" l="1"/>
  <c r="G11" i="24"/>
  <c r="F11" i="24"/>
  <c r="G6" i="24"/>
  <c r="G9" i="23"/>
  <c r="F9" i="23"/>
  <c r="SF6" i="24"/>
  <c r="SM6" i="24" s="1"/>
  <c r="CO9" i="23"/>
  <c r="CS9" i="23" s="1"/>
  <c r="SF9" i="23"/>
  <c r="SM9" i="23" s="1"/>
  <c r="CO6" i="24"/>
  <c r="CS6" i="24" s="1"/>
  <c r="CO11" i="24"/>
  <c r="CS11" i="24" s="1"/>
  <c r="TF9" i="23"/>
  <c r="TI9" i="23"/>
  <c r="TM9" i="23"/>
  <c r="L9" i="23"/>
  <c r="CU9" i="23" s="1"/>
  <c r="J9" i="23"/>
  <c r="K9" i="23" s="1"/>
  <c r="I9" i="23"/>
  <c r="TM11" i="24"/>
  <c r="TF6" i="24"/>
  <c r="J6" i="24"/>
  <c r="K6" i="24" s="1"/>
  <c r="L6" i="24"/>
  <c r="M6" i="24" s="1"/>
  <c r="TM6" i="24"/>
  <c r="TI6" i="24"/>
  <c r="I6" i="24"/>
  <c r="SF11" i="24"/>
  <c r="SM11" i="24" s="1"/>
  <c r="TF11" i="24"/>
  <c r="TI11" i="24"/>
  <c r="L11" i="24"/>
  <c r="CU11" i="24" s="1"/>
  <c r="J11" i="24"/>
  <c r="I11" i="24"/>
  <c r="TJ11" i="24" l="1"/>
  <c r="TN11" i="24" s="1"/>
  <c r="TJ9" i="23"/>
  <c r="TN9" i="23" s="1"/>
  <c r="CT9" i="23"/>
  <c r="N9" i="23" s="1"/>
  <c r="M9" i="23"/>
  <c r="TJ6" i="24"/>
  <c r="TN6" i="24" s="1"/>
  <c r="CT11" i="24"/>
  <c r="N11" i="24" s="1"/>
  <c r="O11" i="24" s="1"/>
  <c r="M11" i="24"/>
  <c r="CT6" i="24"/>
  <c r="CU6" i="24"/>
  <c r="K11" i="24"/>
  <c r="CV17" i="21"/>
  <c r="CW17" i="21"/>
  <c r="CX17" i="21"/>
  <c r="CY17" i="21"/>
  <c r="DA17" i="21"/>
  <c r="DB17" i="21"/>
  <c r="PW17" i="21"/>
  <c r="PX17" i="21"/>
  <c r="PY17" i="21"/>
  <c r="PZ17" i="21"/>
  <c r="QB17" i="21"/>
  <c r="QC17" i="21"/>
  <c r="QE17" i="21"/>
  <c r="QF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CV14" i="21"/>
  <c r="CW14" i="21"/>
  <c r="CX14" i="21"/>
  <c r="CY14" i="21"/>
  <c r="DA14" i="21"/>
  <c r="DB14" i="21"/>
  <c r="PW14" i="21"/>
  <c r="PX14" i="21"/>
  <c r="PY14" i="21"/>
  <c r="PZ14" i="21"/>
  <c r="QB14" i="21"/>
  <c r="QC14" i="21"/>
  <c r="QE14" i="21"/>
  <c r="QF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CV24" i="19"/>
  <c r="CW24" i="19"/>
  <c r="CX24" i="19"/>
  <c r="CY24" i="19"/>
  <c r="DA24" i="19"/>
  <c r="DB24" i="19"/>
  <c r="PW24" i="19"/>
  <c r="PX24" i="19"/>
  <c r="PY24" i="19"/>
  <c r="PZ24" i="19"/>
  <c r="QB24" i="19"/>
  <c r="QC24" i="19"/>
  <c r="QE24" i="19"/>
  <c r="QF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CV21" i="19"/>
  <c r="CW21" i="19"/>
  <c r="CX21" i="19"/>
  <c r="CY21" i="19"/>
  <c r="DA21" i="19"/>
  <c r="DB21" i="19"/>
  <c r="PW21" i="19"/>
  <c r="PX21" i="19"/>
  <c r="PY21" i="19"/>
  <c r="PZ21" i="19"/>
  <c r="QB21" i="19"/>
  <c r="QC21" i="19"/>
  <c r="QE21" i="19"/>
  <c r="QF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CV22" i="19"/>
  <c r="CW22" i="19"/>
  <c r="CX22" i="19"/>
  <c r="CY22" i="19"/>
  <c r="DA22" i="19"/>
  <c r="DB22" i="19"/>
  <c r="PW22" i="19"/>
  <c r="PX22" i="19"/>
  <c r="PY22" i="19"/>
  <c r="PZ22" i="19"/>
  <c r="QB22" i="19"/>
  <c r="QC22" i="19"/>
  <c r="QE22" i="19"/>
  <c r="QF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CV19" i="19"/>
  <c r="CW19" i="19"/>
  <c r="CX19" i="19"/>
  <c r="CY19" i="19"/>
  <c r="DA19" i="19"/>
  <c r="DB19" i="19"/>
  <c r="PW19" i="19"/>
  <c r="PX19" i="19"/>
  <c r="PY19" i="19"/>
  <c r="PZ19" i="19"/>
  <c r="QB19" i="19"/>
  <c r="QC19" i="19"/>
  <c r="QE19" i="19"/>
  <c r="QF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CV26" i="19"/>
  <c r="CW26" i="19"/>
  <c r="CX26" i="19"/>
  <c r="CY26" i="19"/>
  <c r="DA26" i="19"/>
  <c r="DB26" i="19"/>
  <c r="PW26" i="19"/>
  <c r="PX26" i="19"/>
  <c r="PY26" i="19"/>
  <c r="PZ26" i="19"/>
  <c r="QB26" i="19"/>
  <c r="QC26" i="19"/>
  <c r="QE26" i="19"/>
  <c r="QF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CV12" i="27"/>
  <c r="CW12" i="27"/>
  <c r="CX12" i="27"/>
  <c r="CY12" i="27"/>
  <c r="DA12" i="27"/>
  <c r="DB12" i="27"/>
  <c r="PW12" i="27"/>
  <c r="PX12" i="27"/>
  <c r="PY12" i="27"/>
  <c r="PZ12" i="27"/>
  <c r="QB12" i="27"/>
  <c r="QC12" i="27"/>
  <c r="QE12" i="27"/>
  <c r="QF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CV8" i="27"/>
  <c r="CW8" i="27"/>
  <c r="CX8" i="27"/>
  <c r="CY8" i="27"/>
  <c r="DA8" i="27"/>
  <c r="DB8" i="27"/>
  <c r="PW8" i="27"/>
  <c r="PX8" i="27"/>
  <c r="PY8" i="27"/>
  <c r="PZ8" i="27"/>
  <c r="QB8" i="27"/>
  <c r="QC8" i="27"/>
  <c r="QE8" i="27"/>
  <c r="QF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CV11" i="26"/>
  <c r="CW11" i="26"/>
  <c r="CX11" i="26"/>
  <c r="CY11" i="26"/>
  <c r="DA11" i="26"/>
  <c r="DB11" i="26"/>
  <c r="PW11" i="26"/>
  <c r="PX11" i="26"/>
  <c r="PY11" i="26"/>
  <c r="PZ11" i="26"/>
  <c r="QB11" i="26"/>
  <c r="QC11" i="26"/>
  <c r="QE11" i="26"/>
  <c r="QF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CV4" i="26"/>
  <c r="CW4" i="26"/>
  <c r="CX4" i="26"/>
  <c r="CY4" i="26"/>
  <c r="DA4" i="26"/>
  <c r="DB4" i="26"/>
  <c r="PW4" i="26"/>
  <c r="PX4" i="26"/>
  <c r="PY4" i="26"/>
  <c r="PZ4" i="26"/>
  <c r="QB4" i="26"/>
  <c r="QC4" i="26"/>
  <c r="QE4" i="26"/>
  <c r="QF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S16" i="22" s="1"/>
  <c r="TI16" i="22"/>
  <c r="TT16" i="22" s="1"/>
  <c r="TJ16" i="22"/>
  <c r="DC14" i="21" l="1"/>
  <c r="DC17" i="21"/>
  <c r="QD14" i="21"/>
  <c r="QD17" i="21"/>
  <c r="DC22" i="19"/>
  <c r="DC19" i="19"/>
  <c r="DC24" i="19"/>
  <c r="QD19" i="19"/>
  <c r="QD22" i="19"/>
  <c r="QD21" i="19"/>
  <c r="QD24" i="19"/>
  <c r="DC26" i="19"/>
  <c r="DC21" i="19"/>
  <c r="QD26" i="19"/>
  <c r="DC8" i="27"/>
  <c r="DC12" i="27"/>
  <c r="QD8" i="27"/>
  <c r="QD12" i="27"/>
  <c r="DC4" i="26"/>
  <c r="DC11" i="26"/>
  <c r="QD4" i="26"/>
  <c r="QD11" i="26"/>
  <c r="G14" i="21"/>
  <c r="G17" i="21"/>
  <c r="F14" i="21"/>
  <c r="F17" i="21"/>
  <c r="G26" i="19"/>
  <c r="G19" i="19"/>
  <c r="G22" i="19"/>
  <c r="G21" i="19"/>
  <c r="G24" i="19"/>
  <c r="F19" i="19"/>
  <c r="F22" i="19"/>
  <c r="F21" i="19"/>
  <c r="F24" i="19"/>
  <c r="F26" i="19"/>
  <c r="G8" i="27"/>
  <c r="F8" i="27"/>
  <c r="F12" i="27"/>
  <c r="G12" i="27"/>
  <c r="G4" i="26"/>
  <c r="G11" i="26"/>
  <c r="F11" i="26"/>
  <c r="F4" i="26"/>
  <c r="G16" i="22"/>
  <c r="F16" i="22"/>
  <c r="H11" i="24"/>
  <c r="H6" i="24"/>
  <c r="H9" i="23"/>
  <c r="A9" i="23" s="1" a="1"/>
  <c r="A9" i="23" s="1"/>
  <c r="RE12" i="27"/>
  <c r="N6" i="24"/>
  <c r="E6" i="24" s="1"/>
  <c r="RE24" i="19"/>
  <c r="O9" i="23"/>
  <c r="P9" i="23"/>
  <c r="E9" i="23"/>
  <c r="QZ4" i="26"/>
  <c r="RE4" i="26"/>
  <c r="SN16" i="22"/>
  <c r="SU16" i="22" s="1"/>
  <c r="CW16" i="22"/>
  <c r="DA16" i="22" s="1"/>
  <c r="QA14" i="21"/>
  <c r="P17" i="21"/>
  <c r="Q17" i="21" s="1"/>
  <c r="QZ17" i="21"/>
  <c r="RE21" i="19"/>
  <c r="QZ21" i="19"/>
  <c r="CZ24" i="19"/>
  <c r="CZ22" i="19"/>
  <c r="QA12" i="27"/>
  <c r="RB12" i="27"/>
  <c r="RA12" i="27"/>
  <c r="RG12" i="27" s="1"/>
  <c r="QA8" i="27"/>
  <c r="P8" i="27"/>
  <c r="DF8" i="27" s="1"/>
  <c r="P11" i="26"/>
  <c r="Q11" i="26" s="1"/>
  <c r="T16" i="22"/>
  <c r="U16" i="22" s="1"/>
  <c r="E11" i="24"/>
  <c r="P11" i="24"/>
  <c r="QA17" i="21"/>
  <c r="RB17" i="21"/>
  <c r="RA17" i="21"/>
  <c r="QZ14" i="21"/>
  <c r="N14" i="21"/>
  <c r="DE14" i="21" s="1"/>
  <c r="RE17" i="21"/>
  <c r="CZ17" i="21"/>
  <c r="N17" i="21"/>
  <c r="DE17" i="21" s="1"/>
  <c r="L17" i="21"/>
  <c r="M17" i="21" s="1"/>
  <c r="RF17" i="21"/>
  <c r="J17" i="21"/>
  <c r="K17" i="21" s="1"/>
  <c r="RC17" i="21"/>
  <c r="RB14" i="21"/>
  <c r="RA14" i="21"/>
  <c r="P14" i="21"/>
  <c r="DF14" i="21" s="1"/>
  <c r="CZ14" i="21"/>
  <c r="L14" i="21"/>
  <c r="M14" i="21" s="1"/>
  <c r="RE14" i="21"/>
  <c r="RF14" i="21"/>
  <c r="J14" i="21"/>
  <c r="K14" i="21" s="1"/>
  <c r="RC14" i="21"/>
  <c r="QA24" i="19"/>
  <c r="N24" i="19"/>
  <c r="DE24" i="19" s="1"/>
  <c r="QZ24" i="19"/>
  <c r="RF24" i="19"/>
  <c r="RB24" i="19"/>
  <c r="L24" i="19"/>
  <c r="M24" i="19" s="1"/>
  <c r="RA24" i="19"/>
  <c r="J24" i="19"/>
  <c r="K24" i="19" s="1"/>
  <c r="P24" i="19"/>
  <c r="RC24" i="19"/>
  <c r="QA19" i="19"/>
  <c r="QA21" i="19"/>
  <c r="RB21" i="19"/>
  <c r="RA21" i="19"/>
  <c r="CZ21" i="19"/>
  <c r="L21" i="19"/>
  <c r="DD21" i="19" s="1"/>
  <c r="P21" i="19"/>
  <c r="Q21" i="19" s="1"/>
  <c r="N21" i="19"/>
  <c r="DE21" i="19" s="1"/>
  <c r="RF21" i="19"/>
  <c r="J21" i="19"/>
  <c r="K21" i="19" s="1"/>
  <c r="RC21" i="19"/>
  <c r="RF22" i="19"/>
  <c r="QZ19" i="19"/>
  <c r="QZ22" i="19"/>
  <c r="QA22" i="19"/>
  <c r="N22" i="19"/>
  <c r="DE22" i="19" s="1"/>
  <c r="RE22" i="19"/>
  <c r="RB22" i="19"/>
  <c r="RA22" i="19"/>
  <c r="L22" i="19"/>
  <c r="M22" i="19" s="1"/>
  <c r="J22" i="19"/>
  <c r="K22" i="19" s="1"/>
  <c r="P22" i="19"/>
  <c r="RC22" i="19"/>
  <c r="QZ26" i="19"/>
  <c r="RB19" i="19"/>
  <c r="RA19" i="19"/>
  <c r="RG19" i="19" s="1"/>
  <c r="P19" i="19"/>
  <c r="Q19" i="19" s="1"/>
  <c r="N19" i="19"/>
  <c r="O19" i="19" s="1"/>
  <c r="RE19" i="19"/>
  <c r="CZ19" i="19"/>
  <c r="L19" i="19"/>
  <c r="M19" i="19" s="1"/>
  <c r="RF19" i="19"/>
  <c r="J19" i="19"/>
  <c r="K19" i="19" s="1"/>
  <c r="RC19" i="19"/>
  <c r="QA26" i="19"/>
  <c r="RB26" i="19"/>
  <c r="RA26" i="19"/>
  <c r="P26" i="19"/>
  <c r="DF26" i="19" s="1"/>
  <c r="N26" i="19"/>
  <c r="O26" i="19" s="1"/>
  <c r="RE26" i="19"/>
  <c r="CZ26" i="19"/>
  <c r="L26" i="19"/>
  <c r="M26" i="19" s="1"/>
  <c r="RF26" i="19"/>
  <c r="J26" i="19"/>
  <c r="K26" i="19" s="1"/>
  <c r="RC26" i="19"/>
  <c r="QZ12" i="27"/>
  <c r="CZ12" i="27"/>
  <c r="N12" i="27"/>
  <c r="DE12" i="27" s="1"/>
  <c r="L12" i="27"/>
  <c r="M12" i="27" s="1"/>
  <c r="RF12" i="27"/>
  <c r="J12" i="27"/>
  <c r="K12" i="27" s="1"/>
  <c r="P12" i="27"/>
  <c r="RC12" i="27"/>
  <c r="RE8" i="27"/>
  <c r="QZ8" i="27"/>
  <c r="RA8" i="27"/>
  <c r="RB8" i="27"/>
  <c r="CZ8" i="27"/>
  <c r="N8" i="27"/>
  <c r="DE8" i="27" s="1"/>
  <c r="L8" i="27"/>
  <c r="DD8" i="27" s="1"/>
  <c r="RF8" i="27"/>
  <c r="J8" i="27"/>
  <c r="K8" i="27" s="1"/>
  <c r="RC8" i="27"/>
  <c r="RE11" i="26"/>
  <c r="QZ11" i="26"/>
  <c r="QA11" i="26"/>
  <c r="CZ11" i="26"/>
  <c r="L11" i="26"/>
  <c r="M11" i="26" s="1"/>
  <c r="RB11" i="26"/>
  <c r="N11" i="26"/>
  <c r="DE11" i="26" s="1"/>
  <c r="RF11" i="26"/>
  <c r="J11" i="26"/>
  <c r="RC11" i="26"/>
  <c r="RA11" i="26"/>
  <c r="QA4" i="26"/>
  <c r="RB4" i="26"/>
  <c r="RA4" i="26"/>
  <c r="CZ4" i="26"/>
  <c r="L4" i="26"/>
  <c r="M4" i="26" s="1"/>
  <c r="N4" i="26"/>
  <c r="DE4" i="26" s="1"/>
  <c r="RF4" i="26"/>
  <c r="J4" i="26"/>
  <c r="K4" i="26" s="1"/>
  <c r="P4" i="26"/>
  <c r="RC4" i="26"/>
  <c r="TN16" i="22"/>
  <c r="N16" i="22"/>
  <c r="O16" i="22" s="1"/>
  <c r="TU16" i="22"/>
  <c r="TQ16" i="22"/>
  <c r="L16" i="22"/>
  <c r="M16" i="22" s="1"/>
  <c r="R16" i="22"/>
  <c r="S16" i="22" s="1"/>
  <c r="J16" i="22"/>
  <c r="K16" i="22" s="1"/>
  <c r="P16" i="22"/>
  <c r="I16" i="22"/>
  <c r="RG26" i="19" l="1"/>
  <c r="RG11" i="26"/>
  <c r="RG17" i="21"/>
  <c r="RG14" i="21"/>
  <c r="RG24" i="19"/>
  <c r="RG21" i="19"/>
  <c r="RG22" i="19"/>
  <c r="RG8" i="27"/>
  <c r="RG4" i="26"/>
  <c r="RD12" i="27"/>
  <c r="P6" i="24"/>
  <c r="O6" i="24"/>
  <c r="RD17" i="21"/>
  <c r="RD24" i="19"/>
  <c r="RD8" i="27"/>
  <c r="O24" i="19"/>
  <c r="RD21" i="19"/>
  <c r="DD4" i="26"/>
  <c r="DF11" i="26"/>
  <c r="DD14" i="21"/>
  <c r="R14" i="21" s="1"/>
  <c r="T14" i="21" s="1"/>
  <c r="DF17" i="21"/>
  <c r="RD14" i="21"/>
  <c r="O14" i="21"/>
  <c r="DF19" i="19"/>
  <c r="DD24" i="19"/>
  <c r="M21" i="19"/>
  <c r="RD22" i="19"/>
  <c r="O22" i="19"/>
  <c r="RD19" i="19"/>
  <c r="I12" i="27"/>
  <c r="M8" i="27"/>
  <c r="DD12" i="27"/>
  <c r="O8" i="27"/>
  <c r="I8" i="27"/>
  <c r="Q8" i="27"/>
  <c r="O12" i="27"/>
  <c r="I11" i="26"/>
  <c r="I4" i="26"/>
  <c r="Q14" i="21"/>
  <c r="I17" i="21"/>
  <c r="O17" i="21"/>
  <c r="DD17" i="21"/>
  <c r="I14" i="21"/>
  <c r="I24" i="19"/>
  <c r="DF24" i="19"/>
  <c r="Q24" i="19"/>
  <c r="RD26" i="19"/>
  <c r="I21" i="19"/>
  <c r="O21" i="19"/>
  <c r="DF21" i="19"/>
  <c r="R21" i="19" s="1"/>
  <c r="DD22" i="19"/>
  <c r="I26" i="19"/>
  <c r="Q26" i="19"/>
  <c r="I19" i="19"/>
  <c r="I22" i="19"/>
  <c r="DF22" i="19"/>
  <c r="Q22" i="19"/>
  <c r="DE26" i="19"/>
  <c r="DE19" i="19"/>
  <c r="DD19" i="19"/>
  <c r="DD26" i="19"/>
  <c r="Q12" i="27"/>
  <c r="DF12" i="27"/>
  <c r="R8" i="27"/>
  <c r="O11" i="26"/>
  <c r="DD11" i="26"/>
  <c r="RD11" i="26"/>
  <c r="K11" i="26"/>
  <c r="RD4" i="26"/>
  <c r="O4" i="26"/>
  <c r="DF4" i="26"/>
  <c r="Q4" i="26"/>
  <c r="DB16" i="22"/>
  <c r="TR16" i="22"/>
  <c r="TV16" i="22" s="1"/>
  <c r="DC16" i="22"/>
  <c r="Q16" i="22"/>
  <c r="H17" i="21" l="1"/>
  <c r="A17" i="21" s="1" a="1"/>
  <c r="A17" i="21" s="1"/>
  <c r="H26" i="19"/>
  <c r="A26" i="19" s="1" a="1"/>
  <c r="A26" i="19" s="1"/>
  <c r="H4" i="26"/>
  <c r="H16" i="22"/>
  <c r="A16" i="22" s="1" a="1"/>
  <c r="A16" i="22" s="1"/>
  <c r="R4" i="26"/>
  <c r="T4" i="26" s="1"/>
  <c r="R24" i="19"/>
  <c r="E24" i="19" s="1"/>
  <c r="R11" i="26"/>
  <c r="S11" i="26" s="1"/>
  <c r="R17" i="21"/>
  <c r="T17" i="21" s="1"/>
  <c r="R12" i="27"/>
  <c r="S12" i="27" s="1"/>
  <c r="E14" i="21"/>
  <c r="S14" i="21"/>
  <c r="R22" i="19"/>
  <c r="T22" i="19" s="1"/>
  <c r="E21" i="19"/>
  <c r="S21" i="19"/>
  <c r="T21" i="19"/>
  <c r="R26" i="19"/>
  <c r="S26" i="19" s="1"/>
  <c r="R19" i="19"/>
  <c r="T19" i="19" s="1"/>
  <c r="T8" i="27"/>
  <c r="S8" i="27"/>
  <c r="E8" i="27"/>
  <c r="V16" i="22"/>
  <c r="W16" i="22" s="1"/>
  <c r="H14" i="21" l="1"/>
  <c r="A14" i="21" s="1" a="1"/>
  <c r="A14" i="21" s="1"/>
  <c r="H21" i="19"/>
  <c r="A21" i="19" s="1" a="1"/>
  <c r="A21" i="19" s="1"/>
  <c r="H22" i="19"/>
  <c r="A22" i="19" s="1" a="1"/>
  <c r="A22" i="19" s="1"/>
  <c r="H19" i="19"/>
  <c r="A19" i="19" s="1" a="1"/>
  <c r="A19" i="19" s="1"/>
  <c r="H24" i="19"/>
  <c r="A24" i="19" s="1" a="1"/>
  <c r="A24" i="19" s="1"/>
  <c r="H8" i="27"/>
  <c r="H12" i="27"/>
  <c r="A12" i="27" s="1" a="1"/>
  <c r="A12" i="27" s="1"/>
  <c r="H11" i="26"/>
  <c r="A11" i="26" s="1" a="1"/>
  <c r="A11" i="26" s="1"/>
  <c r="E4" i="26"/>
  <c r="S4" i="26"/>
  <c r="S17" i="21"/>
  <c r="E17" i="21"/>
  <c r="S24" i="19"/>
  <c r="T24" i="19"/>
  <c r="T11" i="26"/>
  <c r="E11" i="26"/>
  <c r="S22" i="19"/>
  <c r="T12" i="27"/>
  <c r="E12" i="27"/>
  <c r="E22" i="19"/>
  <c r="E19" i="19"/>
  <c r="S19" i="19"/>
  <c r="E26" i="19"/>
  <c r="T26" i="19"/>
  <c r="E16" i="22"/>
  <c r="X16" i="22"/>
  <c r="CQ10" i="22" l="1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G14" i="22" l="1"/>
  <c r="G10" i="22"/>
  <c r="F14" i="22"/>
  <c r="F10" i="22"/>
  <c r="CW14" i="22"/>
  <c r="DA14" i="22" s="1"/>
  <c r="CW10" i="22"/>
  <c r="DA10" i="22" s="1"/>
  <c r="SN14" i="22"/>
  <c r="SU14" i="22" s="1"/>
  <c r="TN10" i="22"/>
  <c r="T14" i="22"/>
  <c r="U14" i="22" s="1"/>
  <c r="T10" i="22"/>
  <c r="U10" i="22" s="1"/>
  <c r="SN10" i="22"/>
  <c r="SU10" i="22" s="1"/>
  <c r="TU10" i="22"/>
  <c r="R10" i="22"/>
  <c r="S10" i="22" s="1"/>
  <c r="TQ10" i="22"/>
  <c r="L10" i="22"/>
  <c r="M10" i="22" s="1"/>
  <c r="J10" i="22"/>
  <c r="K10" i="22" s="1"/>
  <c r="I10" i="22"/>
  <c r="P10" i="22"/>
  <c r="N10" i="22"/>
  <c r="TQ14" i="22"/>
  <c r="TN14" i="22"/>
  <c r="L14" i="22"/>
  <c r="M14" i="22" s="1"/>
  <c r="J14" i="22"/>
  <c r="K14" i="22" s="1"/>
  <c r="TU14" i="22"/>
  <c r="P14" i="22"/>
  <c r="Q14" i="22" s="1"/>
  <c r="R14" i="22"/>
  <c r="S14" i="22" s="1"/>
  <c r="I14" i="22"/>
  <c r="N14" i="22"/>
  <c r="H10" i="22" l="1"/>
  <c r="TR10" i="22"/>
  <c r="TV10" i="22" s="1"/>
  <c r="TR14" i="22"/>
  <c r="TV14" i="22" s="1"/>
  <c r="DC10" i="22"/>
  <c r="Q10" i="22"/>
  <c r="O10" i="22"/>
  <c r="DB10" i="22"/>
  <c r="DC14" i="22"/>
  <c r="O14" i="22"/>
  <c r="DB14" i="22"/>
  <c r="H14" i="22" l="1"/>
  <c r="V10" i="22"/>
  <c r="W10" i="22" s="1"/>
  <c r="V14" i="22"/>
  <c r="X14" i="22" s="1"/>
  <c r="E10" i="22" l="1"/>
  <c r="X10" i="22"/>
  <c r="E14" i="22"/>
  <c r="W14" i="22"/>
  <c r="CQ9" i="4" l="1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QX9" i="27"/>
  <c r="QW9" i="27"/>
  <c r="QV9" i="27"/>
  <c r="QU9" i="27"/>
  <c r="QT9" i="27"/>
  <c r="QS9" i="27"/>
  <c r="QR9" i="27"/>
  <c r="QQ9" i="27"/>
  <c r="QP9" i="27"/>
  <c r="QO9" i="27"/>
  <c r="QN9" i="27"/>
  <c r="QM9" i="27"/>
  <c r="QL9" i="27"/>
  <c r="QK9" i="27"/>
  <c r="QJ9" i="27"/>
  <c r="QI9" i="27"/>
  <c r="QH9" i="27"/>
  <c r="QG9" i="27"/>
  <c r="QF9" i="27"/>
  <c r="QE9" i="27"/>
  <c r="QC9" i="27"/>
  <c r="QB9" i="27"/>
  <c r="PZ9" i="27"/>
  <c r="PY9" i="27"/>
  <c r="PX9" i="27"/>
  <c r="PW9" i="27"/>
  <c r="DB9" i="27"/>
  <c r="DA9" i="27"/>
  <c r="CY9" i="27"/>
  <c r="CX9" i="27"/>
  <c r="CW9" i="27"/>
  <c r="CV9" i="27"/>
  <c r="QX13" i="27"/>
  <c r="QW13" i="27"/>
  <c r="QV13" i="27"/>
  <c r="QU13" i="27"/>
  <c r="QT13" i="27"/>
  <c r="QS13" i="27"/>
  <c r="QR13" i="27"/>
  <c r="QQ13" i="27"/>
  <c r="QP13" i="27"/>
  <c r="QO13" i="27"/>
  <c r="QN13" i="27"/>
  <c r="QM13" i="27"/>
  <c r="QL13" i="27"/>
  <c r="QK13" i="27"/>
  <c r="QJ13" i="27"/>
  <c r="QI13" i="27"/>
  <c r="QH13" i="27"/>
  <c r="QG13" i="27"/>
  <c r="QF13" i="27"/>
  <c r="QE13" i="27"/>
  <c r="QC13" i="27"/>
  <c r="QB13" i="27"/>
  <c r="PZ13" i="27"/>
  <c r="PY13" i="27"/>
  <c r="PX13" i="27"/>
  <c r="PW13" i="27"/>
  <c r="DB13" i="27"/>
  <c r="DA13" i="27"/>
  <c r="CY13" i="27"/>
  <c r="CX13" i="27"/>
  <c r="CW13" i="27"/>
  <c r="CV13" i="27"/>
  <c r="QX4" i="27"/>
  <c r="QW4" i="27"/>
  <c r="QV4" i="27"/>
  <c r="QU4" i="27"/>
  <c r="QT4" i="27"/>
  <c r="QS4" i="27"/>
  <c r="QR4" i="27"/>
  <c r="QQ4" i="27"/>
  <c r="QP4" i="27"/>
  <c r="QO4" i="27"/>
  <c r="QN4" i="27"/>
  <c r="QM4" i="27"/>
  <c r="QL4" i="27"/>
  <c r="QK4" i="27"/>
  <c r="QJ4" i="27"/>
  <c r="QI4" i="27"/>
  <c r="QH4" i="27"/>
  <c r="QG4" i="27"/>
  <c r="QF4" i="27"/>
  <c r="QE4" i="27"/>
  <c r="QC4" i="27"/>
  <c r="QB4" i="27"/>
  <c r="PZ4" i="27"/>
  <c r="PY4" i="27"/>
  <c r="PX4" i="27"/>
  <c r="PW4" i="27"/>
  <c r="DB4" i="27"/>
  <c r="DA4" i="27"/>
  <c r="CY4" i="27"/>
  <c r="CW4" i="27"/>
  <c r="CV4" i="27"/>
  <c r="QX7" i="27"/>
  <c r="QW7" i="27"/>
  <c r="QV7" i="27"/>
  <c r="QU7" i="27"/>
  <c r="QT7" i="27"/>
  <c r="QS7" i="27"/>
  <c r="QR7" i="27"/>
  <c r="QQ7" i="27"/>
  <c r="QP7" i="27"/>
  <c r="QO7" i="27"/>
  <c r="QN7" i="27"/>
  <c r="QM7" i="27"/>
  <c r="QL7" i="27"/>
  <c r="QK7" i="27"/>
  <c r="QJ7" i="27"/>
  <c r="QI7" i="27"/>
  <c r="QH7" i="27"/>
  <c r="QG7" i="27"/>
  <c r="QF7" i="27"/>
  <c r="QE7" i="27"/>
  <c r="QC7" i="27"/>
  <c r="QB7" i="27"/>
  <c r="PZ7" i="27"/>
  <c r="PY7" i="27"/>
  <c r="PX7" i="27"/>
  <c r="PW7" i="27"/>
  <c r="DB7" i="27"/>
  <c r="DA7" i="27"/>
  <c r="CY7" i="27"/>
  <c r="CX7" i="27"/>
  <c r="CW7" i="27"/>
  <c r="CV7" i="27"/>
  <c r="QX6" i="27"/>
  <c r="QW6" i="27"/>
  <c r="QV6" i="27"/>
  <c r="QU6" i="27"/>
  <c r="QT6" i="27"/>
  <c r="QS6" i="27"/>
  <c r="QR6" i="27"/>
  <c r="QQ6" i="27"/>
  <c r="QP6" i="27"/>
  <c r="QO6" i="27"/>
  <c r="QN6" i="27"/>
  <c r="QM6" i="27"/>
  <c r="QL6" i="27"/>
  <c r="QK6" i="27"/>
  <c r="QJ6" i="27"/>
  <c r="QI6" i="27"/>
  <c r="QH6" i="27"/>
  <c r="QG6" i="27"/>
  <c r="QF6" i="27"/>
  <c r="QE6" i="27"/>
  <c r="QC6" i="27"/>
  <c r="QB6" i="27"/>
  <c r="PZ6" i="27"/>
  <c r="PY6" i="27"/>
  <c r="PX6" i="27"/>
  <c r="PW6" i="27"/>
  <c r="DB6" i="27"/>
  <c r="DA6" i="27"/>
  <c r="CY6" i="27"/>
  <c r="CX6" i="27"/>
  <c r="CW6" i="27"/>
  <c r="CV6" i="27"/>
  <c r="QX5" i="27"/>
  <c r="QW5" i="27"/>
  <c r="QV5" i="27"/>
  <c r="QU5" i="27"/>
  <c r="QT5" i="27"/>
  <c r="QS5" i="27"/>
  <c r="QR5" i="27"/>
  <c r="QQ5" i="27"/>
  <c r="QP5" i="27"/>
  <c r="QO5" i="27"/>
  <c r="QN5" i="27"/>
  <c r="QM5" i="27"/>
  <c r="QL5" i="27"/>
  <c r="QK5" i="27"/>
  <c r="QJ5" i="27"/>
  <c r="QI5" i="27"/>
  <c r="QH5" i="27"/>
  <c r="QG5" i="27"/>
  <c r="QF5" i="27"/>
  <c r="QE5" i="27"/>
  <c r="QC5" i="27"/>
  <c r="QB5" i="27"/>
  <c r="PZ5" i="27"/>
  <c r="PY5" i="27"/>
  <c r="PX5" i="27"/>
  <c r="PW5" i="27"/>
  <c r="DB5" i="27"/>
  <c r="DA5" i="27"/>
  <c r="CY5" i="27"/>
  <c r="CX5" i="27"/>
  <c r="CW5" i="27"/>
  <c r="CV5" i="27"/>
  <c r="QX6" i="26"/>
  <c r="QW6" i="26"/>
  <c r="QV6" i="26"/>
  <c r="QU6" i="26"/>
  <c r="QT6" i="26"/>
  <c r="QS6" i="26"/>
  <c r="QR6" i="26"/>
  <c r="QQ6" i="26"/>
  <c r="QP6" i="26"/>
  <c r="QO6" i="26"/>
  <c r="QN6" i="26"/>
  <c r="QM6" i="26"/>
  <c r="QL6" i="26"/>
  <c r="QK6" i="26"/>
  <c r="QJ6" i="26"/>
  <c r="QI6" i="26"/>
  <c r="QH6" i="26"/>
  <c r="QG6" i="26"/>
  <c r="QF6" i="26"/>
  <c r="QE6" i="26"/>
  <c r="QC6" i="26"/>
  <c r="QB6" i="26"/>
  <c r="PZ6" i="26"/>
  <c r="PY6" i="26"/>
  <c r="PX6" i="26"/>
  <c r="PW6" i="26"/>
  <c r="DB6" i="26"/>
  <c r="DA6" i="26"/>
  <c r="CY6" i="26"/>
  <c r="CX6" i="26"/>
  <c r="CW6" i="26"/>
  <c r="CV6" i="26"/>
  <c r="QX9" i="26"/>
  <c r="QW9" i="26"/>
  <c r="QV9" i="26"/>
  <c r="QU9" i="26"/>
  <c r="QT9" i="26"/>
  <c r="QS9" i="26"/>
  <c r="QR9" i="26"/>
  <c r="QQ9" i="26"/>
  <c r="QP9" i="26"/>
  <c r="QO9" i="26"/>
  <c r="QN9" i="26"/>
  <c r="QM9" i="26"/>
  <c r="QL9" i="26"/>
  <c r="QK9" i="26"/>
  <c r="QJ9" i="26"/>
  <c r="QI9" i="26"/>
  <c r="QH9" i="26"/>
  <c r="QG9" i="26"/>
  <c r="QF9" i="26"/>
  <c r="QE9" i="26"/>
  <c r="QC9" i="26"/>
  <c r="QB9" i="26"/>
  <c r="PZ9" i="26"/>
  <c r="PY9" i="26"/>
  <c r="PX9" i="26"/>
  <c r="PW9" i="26"/>
  <c r="DB9" i="26"/>
  <c r="DA9" i="26"/>
  <c r="CY9" i="26"/>
  <c r="CX9" i="26"/>
  <c r="CW9" i="26"/>
  <c r="CV9" i="26"/>
  <c r="QX10" i="26"/>
  <c r="QW10" i="26"/>
  <c r="QV10" i="26"/>
  <c r="QU10" i="26"/>
  <c r="QT10" i="26"/>
  <c r="QS10" i="26"/>
  <c r="QR10" i="26"/>
  <c r="QQ10" i="26"/>
  <c r="QP10" i="26"/>
  <c r="QO10" i="26"/>
  <c r="QN10" i="26"/>
  <c r="QM10" i="26"/>
  <c r="QL10" i="26"/>
  <c r="QK10" i="26"/>
  <c r="QJ10" i="26"/>
  <c r="QI10" i="26"/>
  <c r="QH10" i="26"/>
  <c r="QG10" i="26"/>
  <c r="QF10" i="26"/>
  <c r="QE10" i="26"/>
  <c r="QC10" i="26"/>
  <c r="QB10" i="26"/>
  <c r="PZ10" i="26"/>
  <c r="PY10" i="26"/>
  <c r="PX10" i="26"/>
  <c r="PW10" i="26"/>
  <c r="DB10" i="26"/>
  <c r="DA10" i="26"/>
  <c r="CY10" i="26"/>
  <c r="CX10" i="26"/>
  <c r="CW10" i="26"/>
  <c r="CV10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F8" i="26"/>
  <c r="QE8" i="26"/>
  <c r="QC8" i="26"/>
  <c r="QB8" i="26"/>
  <c r="PZ8" i="26"/>
  <c r="PY8" i="26"/>
  <c r="PX8" i="26"/>
  <c r="PW8" i="26"/>
  <c r="DB8" i="26"/>
  <c r="DA8" i="26"/>
  <c r="CY8" i="26"/>
  <c r="CX8" i="26"/>
  <c r="CW8" i="26"/>
  <c r="CV8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F5" i="26"/>
  <c r="QE5" i="26"/>
  <c r="QC5" i="26"/>
  <c r="QB5" i="26"/>
  <c r="PZ5" i="26"/>
  <c r="PY5" i="26"/>
  <c r="PX5" i="26"/>
  <c r="PW5" i="26"/>
  <c r="DB5" i="26"/>
  <c r="DA5" i="26"/>
  <c r="CY5" i="26"/>
  <c r="CX5" i="26"/>
  <c r="CW5" i="26"/>
  <c r="CV5" i="26"/>
  <c r="CI16" i="23"/>
  <c r="CJ16" i="23"/>
  <c r="CK16" i="23"/>
  <c r="CL16" i="23"/>
  <c r="CM16" i="23"/>
  <c r="CN16" i="23"/>
  <c r="CP16" i="23"/>
  <c r="CQ16" i="23"/>
  <c r="CR16" i="23"/>
  <c r="RZ16" i="23"/>
  <c r="SA16" i="23"/>
  <c r="SB16" i="23"/>
  <c r="SC16" i="23"/>
  <c r="SD16" i="23"/>
  <c r="SE16" i="23"/>
  <c r="SG16" i="23"/>
  <c r="SH16" i="23"/>
  <c r="SI16" i="23"/>
  <c r="SJ16" i="23"/>
  <c r="SK16" i="23"/>
  <c r="SL16" i="23"/>
  <c r="SN16" i="23"/>
  <c r="SO16" i="23"/>
  <c r="SP16" i="23"/>
  <c r="TD16" i="23" s="1"/>
  <c r="SQ16" i="23"/>
  <c r="TE16" i="23" s="1"/>
  <c r="SR16" i="23"/>
  <c r="SS16" i="23"/>
  <c r="ST16" i="23"/>
  <c r="SU16" i="23"/>
  <c r="TG16" i="23" s="1"/>
  <c r="SV16" i="23"/>
  <c r="TH16" i="23" s="1"/>
  <c r="SW16" i="23"/>
  <c r="SX16" i="23"/>
  <c r="SY16" i="23"/>
  <c r="SZ16" i="23"/>
  <c r="TK16" i="23" s="1"/>
  <c r="TA16" i="23"/>
  <c r="TL16" i="23" s="1"/>
  <c r="TB16" i="23"/>
  <c r="QE4" i="19"/>
  <c r="QD9" i="27" l="1"/>
  <c r="QD13" i="27"/>
  <c r="QD4" i="27"/>
  <c r="QD5" i="27"/>
  <c r="QD6" i="27"/>
  <c r="QD7" i="27"/>
  <c r="DC13" i="27"/>
  <c r="DC9" i="27"/>
  <c r="DC5" i="27"/>
  <c r="DC6" i="27"/>
  <c r="DC7" i="27"/>
  <c r="DC4" i="27"/>
  <c r="QD5" i="26"/>
  <c r="DC5" i="26"/>
  <c r="DC8" i="26"/>
  <c r="DC10" i="26"/>
  <c r="DC9" i="26"/>
  <c r="DC6" i="26"/>
  <c r="QD8" i="26"/>
  <c r="QD10" i="26"/>
  <c r="QD9" i="26"/>
  <c r="QD6" i="26"/>
  <c r="F5" i="27"/>
  <c r="F6" i="27"/>
  <c r="F7" i="27"/>
  <c r="F4" i="27"/>
  <c r="F13" i="27"/>
  <c r="F9" i="27"/>
  <c r="G4" i="27"/>
  <c r="G13" i="27"/>
  <c r="G9" i="27"/>
  <c r="G5" i="27"/>
  <c r="G7" i="27"/>
  <c r="G6" i="27"/>
  <c r="G5" i="26"/>
  <c r="G8" i="26"/>
  <c r="G10" i="26"/>
  <c r="F5" i="26"/>
  <c r="F8" i="26"/>
  <c r="F10" i="26"/>
  <c r="F9" i="26"/>
  <c r="F6" i="26"/>
  <c r="G9" i="26"/>
  <c r="G6" i="26"/>
  <c r="CO16" i="23"/>
  <c r="CS16" i="23" s="1"/>
  <c r="G16" i="23"/>
  <c r="F16" i="23"/>
  <c r="G9" i="4"/>
  <c r="F9" i="4"/>
  <c r="P8" i="26"/>
  <c r="Q8" i="26" s="1"/>
  <c r="CW9" i="4"/>
  <c r="DA9" i="4" s="1"/>
  <c r="J9" i="4"/>
  <c r="K9" i="4" s="1"/>
  <c r="T9" i="4"/>
  <c r="U9" i="4" s="1"/>
  <c r="RC9" i="27"/>
  <c r="RE9" i="27"/>
  <c r="QA7" i="27"/>
  <c r="CZ9" i="27"/>
  <c r="QA10" i="26"/>
  <c r="TU9" i="4"/>
  <c r="SN9" i="4"/>
  <c r="SU9" i="4" s="1"/>
  <c r="TQ9" i="4"/>
  <c r="TN9" i="4"/>
  <c r="N9" i="4"/>
  <c r="P9" i="4"/>
  <c r="DC9" i="4" s="1"/>
  <c r="L9" i="4"/>
  <c r="M9" i="4" s="1"/>
  <c r="R9" i="4"/>
  <c r="S9" i="4" s="1"/>
  <c r="I9" i="4"/>
  <c r="QZ5" i="26"/>
  <c r="QZ6" i="26"/>
  <c r="P9" i="27"/>
  <c r="Q9" i="27" s="1"/>
  <c r="P4" i="27"/>
  <c r="Q4" i="27" s="1"/>
  <c r="QA9" i="27"/>
  <c r="RB9" i="27"/>
  <c r="QZ6" i="27"/>
  <c r="RE6" i="27"/>
  <c r="RB6" i="26"/>
  <c r="N10" i="26"/>
  <c r="O10" i="26" s="1"/>
  <c r="QA5" i="26"/>
  <c r="QZ9" i="26"/>
  <c r="QA6" i="26"/>
  <c r="CZ9" i="26"/>
  <c r="QA9" i="26"/>
  <c r="L16" i="23"/>
  <c r="M16" i="23" s="1"/>
  <c r="RB13" i="27"/>
  <c r="QZ9" i="27"/>
  <c r="RA6" i="27"/>
  <c r="RB6" i="27"/>
  <c r="N7" i="27"/>
  <c r="O7" i="27" s="1"/>
  <c r="P13" i="27"/>
  <c r="DF13" i="27" s="1"/>
  <c r="P5" i="27"/>
  <c r="Q5" i="27" s="1"/>
  <c r="QZ7" i="27"/>
  <c r="RE7" i="27"/>
  <c r="P7" i="27"/>
  <c r="Q7" i="27" s="1"/>
  <c r="RF9" i="27"/>
  <c r="RB7" i="27"/>
  <c r="RA4" i="27"/>
  <c r="RB4" i="27"/>
  <c r="N5" i="27"/>
  <c r="DE5" i="27" s="1"/>
  <c r="L4" i="27"/>
  <c r="M4" i="27" s="1"/>
  <c r="CZ13" i="27"/>
  <c r="N9" i="27"/>
  <c r="DE9" i="27" s="1"/>
  <c r="J5" i="27"/>
  <c r="K5" i="27" s="1"/>
  <c r="P6" i="27"/>
  <c r="Q6" i="27" s="1"/>
  <c r="RA9" i="27"/>
  <c r="QA13" i="27"/>
  <c r="RA5" i="27"/>
  <c r="RB5" i="27"/>
  <c r="J4" i="27"/>
  <c r="K4" i="27" s="1"/>
  <c r="QA4" i="27"/>
  <c r="N13" i="27"/>
  <c r="O13" i="27" s="1"/>
  <c r="QZ13" i="27"/>
  <c r="RE13" i="27"/>
  <c r="J7" i="27"/>
  <c r="K7" i="27" s="1"/>
  <c r="N4" i="27"/>
  <c r="DE4" i="27" s="1"/>
  <c r="QZ4" i="27"/>
  <c r="RE4" i="27"/>
  <c r="RC5" i="27"/>
  <c r="RE5" i="27"/>
  <c r="J6" i="27"/>
  <c r="K6" i="27" s="1"/>
  <c r="N6" i="27"/>
  <c r="O6" i="27" s="1"/>
  <c r="QA6" i="27"/>
  <c r="RB5" i="26"/>
  <c r="N6" i="26"/>
  <c r="DE6" i="26" s="1"/>
  <c r="RB10" i="26"/>
  <c r="P5" i="26"/>
  <c r="Q5" i="26" s="1"/>
  <c r="RB9" i="26"/>
  <c r="RA8" i="26"/>
  <c r="N8" i="26"/>
  <c r="DE8" i="26" s="1"/>
  <c r="RC8" i="26"/>
  <c r="N9" i="26"/>
  <c r="DE9" i="26" s="1"/>
  <c r="RA5" i="26"/>
  <c r="RB8" i="26"/>
  <c r="P9" i="26"/>
  <c r="Q9" i="26" s="1"/>
  <c r="RA9" i="26"/>
  <c r="RF9" i="26"/>
  <c r="RC9" i="26"/>
  <c r="RE9" i="26"/>
  <c r="P6" i="26"/>
  <c r="Q6" i="26" s="1"/>
  <c r="RA6" i="26"/>
  <c r="RF6" i="26"/>
  <c r="P10" i="26"/>
  <c r="Q10" i="26" s="1"/>
  <c r="QZ10" i="26"/>
  <c r="RE10" i="26"/>
  <c r="L6" i="26"/>
  <c r="M6" i="26" s="1"/>
  <c r="RC6" i="26"/>
  <c r="RE6" i="26"/>
  <c r="N5" i="26"/>
  <c r="O5" i="26" s="1"/>
  <c r="RC5" i="26"/>
  <c r="QA8" i="26"/>
  <c r="QZ8" i="26"/>
  <c r="CZ10" i="26"/>
  <c r="RA13" i="27"/>
  <c r="CZ5" i="27"/>
  <c r="RA7" i="27"/>
  <c r="RC6" i="27"/>
  <c r="L7" i="27"/>
  <c r="RC7" i="27"/>
  <c r="RC4" i="27"/>
  <c r="RC13" i="27"/>
  <c r="CZ6" i="27"/>
  <c r="L6" i="27"/>
  <c r="RF6" i="27"/>
  <c r="CZ7" i="27"/>
  <c r="CZ4" i="27"/>
  <c r="L13" i="27"/>
  <c r="J13" i="27"/>
  <c r="L5" i="27"/>
  <c r="RF5" i="27"/>
  <c r="QZ5" i="27"/>
  <c r="QA5" i="27"/>
  <c r="RF7" i="27"/>
  <c r="RF4" i="27"/>
  <c r="RF13" i="27"/>
  <c r="L9" i="27"/>
  <c r="J9" i="27"/>
  <c r="RA10" i="26"/>
  <c r="L5" i="26"/>
  <c r="J5" i="26"/>
  <c r="L8" i="26"/>
  <c r="J8" i="26"/>
  <c r="J10" i="26"/>
  <c r="CZ6" i="26"/>
  <c r="CZ5" i="26"/>
  <c r="J9" i="26"/>
  <c r="RF5" i="26"/>
  <c r="RE5" i="26"/>
  <c r="CZ8" i="26"/>
  <c r="L10" i="26"/>
  <c r="J6" i="26"/>
  <c r="RC10" i="26"/>
  <c r="RF8" i="26"/>
  <c r="RE8" i="26"/>
  <c r="RF10" i="26"/>
  <c r="L9" i="26"/>
  <c r="SF16" i="23"/>
  <c r="SM16" i="23" s="1"/>
  <c r="TM16" i="23"/>
  <c r="TI16" i="23"/>
  <c r="TF16" i="23"/>
  <c r="J16" i="23"/>
  <c r="I16" i="23"/>
  <c r="RG13" i="27" l="1"/>
  <c r="RG7" i="27"/>
  <c r="RG5" i="27"/>
  <c r="RG6" i="27"/>
  <c r="RG4" i="27"/>
  <c r="RG9" i="27"/>
  <c r="RG6" i="26"/>
  <c r="RG8" i="26"/>
  <c r="RG10" i="26"/>
  <c r="RG9" i="26"/>
  <c r="RG5" i="26"/>
  <c r="I10" i="26"/>
  <c r="DF8" i="26"/>
  <c r="DF4" i="27"/>
  <c r="CU16" i="23"/>
  <c r="DB9" i="4"/>
  <c r="V9" i="4" s="1"/>
  <c r="TR9" i="4"/>
  <c r="TV9" i="4" s="1"/>
  <c r="O5" i="27"/>
  <c r="O8" i="26"/>
  <c r="O9" i="4"/>
  <c r="Q9" i="4"/>
  <c r="RD6" i="27"/>
  <c r="DF9" i="27"/>
  <c r="RD5" i="26"/>
  <c r="RD6" i="26"/>
  <c r="O9" i="26"/>
  <c r="DE10" i="26"/>
  <c r="RD4" i="27"/>
  <c r="Q13" i="27"/>
  <c r="DF6" i="26"/>
  <c r="DF5" i="26"/>
  <c r="RD8" i="26"/>
  <c r="O6" i="26"/>
  <c r="CT16" i="23"/>
  <c r="RD9" i="27"/>
  <c r="DE7" i="27"/>
  <c r="DF6" i="27"/>
  <c r="DF7" i="27"/>
  <c r="RD5" i="27"/>
  <c r="I6" i="27"/>
  <c r="O4" i="27"/>
  <c r="DF5" i="27"/>
  <c r="O9" i="27"/>
  <c r="DE6" i="27"/>
  <c r="I13" i="27"/>
  <c r="I7" i="27"/>
  <c r="DE13" i="27"/>
  <c r="I5" i="27"/>
  <c r="DD4" i="27"/>
  <c r="RD9" i="26"/>
  <c r="DE5" i="26"/>
  <c r="DF10" i="26"/>
  <c r="I5" i="26"/>
  <c r="DF9" i="26"/>
  <c r="DD6" i="26"/>
  <c r="I8" i="26"/>
  <c r="DD7" i="27"/>
  <c r="M7" i="27"/>
  <c r="DD6" i="27"/>
  <c r="M6" i="27"/>
  <c r="RD7" i="27"/>
  <c r="I4" i="27"/>
  <c r="DD5" i="27"/>
  <c r="M5" i="27"/>
  <c r="K13" i="27"/>
  <c r="RD13" i="27"/>
  <c r="DD13" i="27"/>
  <c r="M13" i="27"/>
  <c r="K9" i="27"/>
  <c r="DD9" i="27"/>
  <c r="M9" i="27"/>
  <c r="I9" i="27"/>
  <c r="M9" i="26"/>
  <c r="DD9" i="26"/>
  <c r="M10" i="26"/>
  <c r="DD10" i="26"/>
  <c r="M8" i="26"/>
  <c r="DD8" i="26"/>
  <c r="K10" i="26"/>
  <c r="RD10" i="26"/>
  <c r="K9" i="26"/>
  <c r="K6" i="26"/>
  <c r="DD5" i="26"/>
  <c r="M5" i="26"/>
  <c r="K8" i="26"/>
  <c r="I6" i="26"/>
  <c r="I9" i="26"/>
  <c r="K5" i="26"/>
  <c r="TJ16" i="23"/>
  <c r="TN16" i="23" s="1"/>
  <c r="K16" i="23"/>
  <c r="H4" i="27" l="1"/>
  <c r="H7" i="27"/>
  <c r="H13" i="27"/>
  <c r="A13" i="27" s="1" a="1"/>
  <c r="A13" i="27" s="1"/>
  <c r="H9" i="26"/>
  <c r="H8" i="26"/>
  <c r="H16" i="23"/>
  <c r="A16" i="23" s="1" a="1"/>
  <c r="A16" i="23" s="1"/>
  <c r="H9" i="4"/>
  <c r="R8" i="26"/>
  <c r="S8" i="26" s="1"/>
  <c r="R4" i="27"/>
  <c r="T4" i="27" s="1"/>
  <c r="E9" i="4"/>
  <c r="R9" i="27"/>
  <c r="E9" i="27" s="1"/>
  <c r="W9" i="4"/>
  <c r="X9" i="4"/>
  <c r="R6" i="26"/>
  <c r="S6" i="26" s="1"/>
  <c r="R13" i="27"/>
  <c r="E13" i="27" s="1"/>
  <c r="R5" i="27"/>
  <c r="R7" i="27"/>
  <c r="R6" i="27"/>
  <c r="R5" i="26"/>
  <c r="R10" i="26"/>
  <c r="R9" i="26"/>
  <c r="N16" i="23"/>
  <c r="H9" i="27" l="1"/>
  <c r="H5" i="27"/>
  <c r="H6" i="27"/>
  <c r="H6" i="26"/>
  <c r="H5" i="26"/>
  <c r="H10" i="26"/>
  <c r="S4" i="27"/>
  <c r="E4" i="27"/>
  <c r="T8" i="26"/>
  <c r="E8" i="26"/>
  <c r="S9" i="27"/>
  <c r="T9" i="27"/>
  <c r="E6" i="26"/>
  <c r="E6" i="27"/>
  <c r="S6" i="27"/>
  <c r="T6" i="27"/>
  <c r="E7" i="27"/>
  <c r="T7" i="27"/>
  <c r="S7" i="27"/>
  <c r="E5" i="27"/>
  <c r="S5" i="27"/>
  <c r="T5" i="27"/>
  <c r="S13" i="27"/>
  <c r="T13" i="27"/>
  <c r="T6" i="26"/>
  <c r="S9" i="26"/>
  <c r="T9" i="26"/>
  <c r="S5" i="26"/>
  <c r="T5" i="26"/>
  <c r="E10" i="26"/>
  <c r="S10" i="26"/>
  <c r="T10" i="26"/>
  <c r="E5" i="26"/>
  <c r="E16" i="23"/>
  <c r="O16" i="23"/>
  <c r="P16" i="23"/>
  <c r="E9" i="26"/>
  <c r="CV11" i="19"/>
  <c r="CW11" i="19"/>
  <c r="CX11" i="19"/>
  <c r="CY11" i="19"/>
  <c r="DA11" i="19"/>
  <c r="DB11" i="19"/>
  <c r="PW11" i="19"/>
  <c r="PX11" i="19"/>
  <c r="PY11" i="19"/>
  <c r="PZ11" i="19"/>
  <c r="QB11" i="19"/>
  <c r="QC11" i="19"/>
  <c r="QE11" i="19"/>
  <c r="QF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A8" i="27" l="1" a="1"/>
  <c r="A8" i="27" s="1"/>
  <c r="DC11" i="19"/>
  <c r="QD11" i="19"/>
  <c r="A7" i="26" a="1"/>
  <c r="A7" i="26" s="1"/>
  <c r="A7" i="27" a="1"/>
  <c r="A7" i="27" s="1"/>
  <c r="A9" i="26" a="1"/>
  <c r="A9" i="26" s="1"/>
  <c r="G11" i="19"/>
  <c r="F11" i="19"/>
  <c r="A4" i="27" a="1"/>
  <c r="A4" i="27" s="1"/>
  <c r="A6" i="27" a="1"/>
  <c r="A6" i="27" s="1"/>
  <c r="A5" i="27" a="1"/>
  <c r="A5" i="27" s="1"/>
  <c r="A9" i="27" a="1"/>
  <c r="A9" i="27" s="1"/>
  <c r="A5" i="26" a="1"/>
  <c r="A5" i="26" s="1"/>
  <c r="A4" i="26" a="1"/>
  <c r="A4" i="26" s="1"/>
  <c r="A8" i="26" a="1"/>
  <c r="A8" i="26" s="1"/>
  <c r="A10" i="26" a="1"/>
  <c r="A10" i="26" s="1"/>
  <c r="A6" i="26" a="1"/>
  <c r="A6" i="26" s="1"/>
  <c r="QA11" i="19"/>
  <c r="QZ11" i="19"/>
  <c r="P11" i="19"/>
  <c r="N11" i="19"/>
  <c r="DE11" i="19" s="1"/>
  <c r="RE11" i="19"/>
  <c r="CZ11" i="19"/>
  <c r="RB11" i="19"/>
  <c r="RF11" i="19"/>
  <c r="RA11" i="19"/>
  <c r="L11" i="19"/>
  <c r="J11" i="19"/>
  <c r="RC11" i="19"/>
  <c r="RG11" i="19" l="1"/>
  <c r="M11" i="19"/>
  <c r="DD11" i="19"/>
  <c r="Q11" i="19"/>
  <c r="DF11" i="19"/>
  <c r="D35" i="11"/>
  <c r="C35" i="11"/>
  <c r="D36" i="11"/>
  <c r="C36" i="11"/>
  <c r="D37" i="11"/>
  <c r="C37" i="11"/>
  <c r="D38" i="11"/>
  <c r="C38" i="11"/>
  <c r="D39" i="11"/>
  <c r="C39" i="11"/>
  <c r="D40" i="11"/>
  <c r="C40" i="11"/>
  <c r="D41" i="11"/>
  <c r="C41" i="11"/>
  <c r="D34" i="11"/>
  <c r="C34" i="11"/>
  <c r="D27" i="11"/>
  <c r="C28" i="11"/>
  <c r="D29" i="11"/>
  <c r="C29" i="11"/>
  <c r="D30" i="11"/>
  <c r="C30" i="11"/>
  <c r="D31" i="11"/>
  <c r="C31" i="11"/>
  <c r="D32" i="11"/>
  <c r="C32" i="11"/>
  <c r="D33" i="11"/>
  <c r="C33" i="11"/>
  <c r="D26" i="11"/>
  <c r="C26" i="11"/>
  <c r="C27" i="11"/>
  <c r="D28" i="11"/>
  <c r="O11" i="19"/>
  <c r="I11" i="19"/>
  <c r="RD11" i="19"/>
  <c r="K11" i="19"/>
  <c r="R11" i="19" l="1"/>
  <c r="H11" i="19" l="1"/>
  <c r="S11" i="19"/>
  <c r="T11" i="19"/>
  <c r="E11" i="19"/>
  <c r="CV20" i="19" l="1"/>
  <c r="CW20" i="19"/>
  <c r="CX20" i="19"/>
  <c r="CY20" i="19"/>
  <c r="DA20" i="19"/>
  <c r="DB20" i="19"/>
  <c r="PW20" i="19"/>
  <c r="PX20" i="19"/>
  <c r="PY20" i="19"/>
  <c r="PZ20" i="19"/>
  <c r="QB20" i="19"/>
  <c r="QC20" i="19"/>
  <c r="QE20" i="19"/>
  <c r="QF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CV17" i="19"/>
  <c r="CW17" i="19"/>
  <c r="CX17" i="19"/>
  <c r="CY17" i="19"/>
  <c r="DA17" i="19"/>
  <c r="DB17" i="19"/>
  <c r="PW17" i="19"/>
  <c r="PX17" i="19"/>
  <c r="PY17" i="19"/>
  <c r="PZ17" i="19"/>
  <c r="QB17" i="19"/>
  <c r="QC17" i="19"/>
  <c r="QE17" i="19"/>
  <c r="QF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CV18" i="19"/>
  <c r="CW18" i="19"/>
  <c r="CX18" i="19"/>
  <c r="CY18" i="19"/>
  <c r="DA18" i="19"/>
  <c r="DB18" i="19"/>
  <c r="PW18" i="19"/>
  <c r="PX18" i="19"/>
  <c r="PY18" i="19"/>
  <c r="PZ18" i="19"/>
  <c r="QB18" i="19"/>
  <c r="QC18" i="19"/>
  <c r="QE18" i="19"/>
  <c r="QF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CV9" i="19"/>
  <c r="CW9" i="19"/>
  <c r="CX9" i="19"/>
  <c r="CY9" i="19"/>
  <c r="DA9" i="19"/>
  <c r="DB9" i="19"/>
  <c r="PW9" i="19"/>
  <c r="PX9" i="19"/>
  <c r="PY9" i="19"/>
  <c r="PZ9" i="19"/>
  <c r="QB9" i="19"/>
  <c r="QC9" i="19"/>
  <c r="QE9" i="19"/>
  <c r="QF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D9" i="19" l="1"/>
  <c r="QD17" i="19"/>
  <c r="QD18" i="19"/>
  <c r="QD20" i="19"/>
  <c r="DC9" i="19"/>
  <c r="DC18" i="19"/>
  <c r="DC17" i="19"/>
  <c r="DC20" i="19"/>
  <c r="G9" i="19"/>
  <c r="G18" i="19"/>
  <c r="G17" i="19"/>
  <c r="G20" i="19"/>
  <c r="F9" i="19"/>
  <c r="F18" i="19"/>
  <c r="F17" i="19"/>
  <c r="F20" i="19"/>
  <c r="CZ17" i="19"/>
  <c r="RE20" i="19"/>
  <c r="QZ20" i="19"/>
  <c r="P20" i="19"/>
  <c r="QA20" i="19"/>
  <c r="CZ20" i="19"/>
  <c r="N20" i="19"/>
  <c r="DE20" i="19" s="1"/>
  <c r="RB20" i="19"/>
  <c r="RA20" i="19"/>
  <c r="RF20" i="19"/>
  <c r="L20" i="19"/>
  <c r="J20" i="19"/>
  <c r="RC20" i="19"/>
  <c r="QZ17" i="19"/>
  <c r="RE18" i="19"/>
  <c r="QA17" i="19"/>
  <c r="RB17" i="19"/>
  <c r="RA17" i="19"/>
  <c r="P17" i="19"/>
  <c r="DF17" i="19" s="1"/>
  <c r="RF17" i="19"/>
  <c r="N17" i="19"/>
  <c r="DE17" i="19" s="1"/>
  <c r="RE17" i="19"/>
  <c r="L17" i="19"/>
  <c r="DD17" i="19" s="1"/>
  <c r="J17" i="19"/>
  <c r="RC17" i="19"/>
  <c r="QZ18" i="19"/>
  <c r="QA18" i="19"/>
  <c r="P18" i="19"/>
  <c r="DF18" i="19" s="1"/>
  <c r="N18" i="19"/>
  <c r="DE18" i="19" s="1"/>
  <c r="CZ18" i="19"/>
  <c r="RA18" i="19"/>
  <c r="RB18" i="19"/>
  <c r="RF18" i="19"/>
  <c r="L18" i="19"/>
  <c r="DD18" i="19" s="1"/>
  <c r="J18" i="19"/>
  <c r="K18" i="19" s="1"/>
  <c r="RC18" i="19"/>
  <c r="RE9" i="19"/>
  <c r="QA9" i="19"/>
  <c r="RA9" i="19"/>
  <c r="N9" i="19"/>
  <c r="DE9" i="19" s="1"/>
  <c r="CZ9" i="19"/>
  <c r="QZ9" i="19"/>
  <c r="P9" i="19"/>
  <c r="DF9" i="19" s="1"/>
  <c r="RB9" i="19"/>
  <c r="RF9" i="19"/>
  <c r="L9" i="19"/>
  <c r="DD9" i="19" s="1"/>
  <c r="J9" i="19"/>
  <c r="RC9" i="19"/>
  <c r="RG20" i="19" l="1"/>
  <c r="RG18" i="19"/>
  <c r="RG17" i="19"/>
  <c r="RG9" i="19"/>
  <c r="Q20" i="19"/>
  <c r="DF20" i="19"/>
  <c r="M20" i="19"/>
  <c r="DD20" i="19"/>
  <c r="O17" i="19"/>
  <c r="O20" i="19"/>
  <c r="O9" i="19"/>
  <c r="R9" i="19"/>
  <c r="O18" i="19"/>
  <c r="R18" i="19"/>
  <c r="RD17" i="19"/>
  <c r="I17" i="19"/>
  <c r="I20" i="19"/>
  <c r="Q18" i="19"/>
  <c r="RD9" i="19"/>
  <c r="RD20" i="19"/>
  <c r="K20" i="19"/>
  <c r="Q17" i="19"/>
  <c r="M17" i="19"/>
  <c r="R17" i="19"/>
  <c r="K17" i="19"/>
  <c r="Q9" i="19"/>
  <c r="I18" i="19"/>
  <c r="RD18" i="19"/>
  <c r="M18" i="19"/>
  <c r="I9" i="19"/>
  <c r="M9" i="19"/>
  <c r="K9" i="19"/>
  <c r="H9" i="19" l="1"/>
  <c r="H20" i="19"/>
  <c r="A20" i="19" s="1" a="1"/>
  <c r="A20" i="19" s="1"/>
  <c r="H18" i="19"/>
  <c r="S9" i="19"/>
  <c r="T9" i="19"/>
  <c r="T17" i="19"/>
  <c r="S17" i="19"/>
  <c r="T18" i="19"/>
  <c r="S18" i="19"/>
  <c r="R20" i="19"/>
  <c r="E17" i="19"/>
  <c r="E18" i="19"/>
  <c r="E9" i="19"/>
  <c r="H17" i="19" l="1"/>
  <c r="S20" i="19"/>
  <c r="T20" i="19"/>
  <c r="E20" i="19"/>
  <c r="CI12" i="24"/>
  <c r="CJ12" i="24"/>
  <c r="CK12" i="24"/>
  <c r="CL12" i="24"/>
  <c r="CM12" i="24"/>
  <c r="CN12" i="24"/>
  <c r="CP12" i="24"/>
  <c r="CQ12" i="24"/>
  <c r="CR12" i="24"/>
  <c r="RZ12" i="24"/>
  <c r="SA12" i="24"/>
  <c r="SB12" i="24"/>
  <c r="SC12" i="24"/>
  <c r="SD12" i="24"/>
  <c r="SE12" i="24"/>
  <c r="SG12" i="24"/>
  <c r="SH12" i="24"/>
  <c r="SI12" i="24"/>
  <c r="SJ12" i="24"/>
  <c r="SK12" i="24"/>
  <c r="SL12" i="24"/>
  <c r="SN12" i="24"/>
  <c r="SO12" i="24"/>
  <c r="SP12" i="24"/>
  <c r="TD12" i="24" s="1"/>
  <c r="SQ12" i="24"/>
  <c r="TE12" i="24" s="1"/>
  <c r="SR12" i="24"/>
  <c r="SS12" i="24"/>
  <c r="ST12" i="24"/>
  <c r="SU12" i="24"/>
  <c r="TG12" i="24" s="1"/>
  <c r="SV12" i="24"/>
  <c r="TH12" i="24" s="1"/>
  <c r="SW12" i="24"/>
  <c r="SX12" i="24"/>
  <c r="SY12" i="24"/>
  <c r="SZ12" i="24"/>
  <c r="TK12" i="24" s="1"/>
  <c r="TA12" i="24"/>
  <c r="TL12" i="24" s="1"/>
  <c r="TB12" i="24"/>
  <c r="CI15" i="23"/>
  <c r="CJ15" i="23"/>
  <c r="CK15" i="23"/>
  <c r="CL15" i="23"/>
  <c r="CM15" i="23"/>
  <c r="CN15" i="23"/>
  <c r="CP15" i="23"/>
  <c r="CQ15" i="23"/>
  <c r="CR15" i="23"/>
  <c r="RZ15" i="23"/>
  <c r="SA15" i="23"/>
  <c r="SB15" i="23"/>
  <c r="SC15" i="23"/>
  <c r="SD15" i="23"/>
  <c r="SE15" i="23"/>
  <c r="SG15" i="23"/>
  <c r="SH15" i="23"/>
  <c r="SI15" i="23"/>
  <c r="SJ15" i="23"/>
  <c r="SK15" i="23"/>
  <c r="SL15" i="23"/>
  <c r="SN15" i="23"/>
  <c r="SO15" i="23"/>
  <c r="SP15" i="23"/>
  <c r="TD15" i="23" s="1"/>
  <c r="SQ15" i="23"/>
  <c r="TE15" i="23" s="1"/>
  <c r="SR15" i="23"/>
  <c r="SS15" i="23"/>
  <c r="ST15" i="23"/>
  <c r="SU15" i="23"/>
  <c r="TG15" i="23" s="1"/>
  <c r="SV15" i="23"/>
  <c r="TH15" i="23" s="1"/>
  <c r="SW15" i="23"/>
  <c r="SX15" i="23"/>
  <c r="SY15" i="23"/>
  <c r="SZ15" i="23"/>
  <c r="TK15" i="23" s="1"/>
  <c r="TA15" i="23"/>
  <c r="TL15" i="23" s="1"/>
  <c r="TB15" i="23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8" i="22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G12" i="24" l="1"/>
  <c r="G15" i="22"/>
  <c r="G14" i="4"/>
  <c r="G15" i="23"/>
  <c r="F12" i="24"/>
  <c r="F15" i="23"/>
  <c r="G8" i="22"/>
  <c r="G11" i="22"/>
  <c r="F15" i="22"/>
  <c r="F11" i="22"/>
  <c r="F8" i="22"/>
  <c r="F14" i="4"/>
  <c r="G22" i="4"/>
  <c r="F22" i="4"/>
  <c r="T14" i="4"/>
  <c r="U14" i="4" s="1"/>
  <c r="T8" i="22"/>
  <c r="U8" i="22" s="1"/>
  <c r="T15" i="22"/>
  <c r="U15" i="22" s="1"/>
  <c r="T11" i="22"/>
  <c r="U11" i="22" s="1"/>
  <c r="T22" i="4"/>
  <c r="U22" i="4" s="1"/>
  <c r="L12" i="24"/>
  <c r="L15" i="23"/>
  <c r="CO15" i="23"/>
  <c r="CS15" i="23" s="1"/>
  <c r="CW11" i="22"/>
  <c r="DA11" i="22" s="1"/>
  <c r="SN22" i="4"/>
  <c r="SU22" i="4" s="1"/>
  <c r="SF12" i="24"/>
  <c r="SM12" i="24" s="1"/>
  <c r="SF15" i="23"/>
  <c r="SM15" i="23" s="1"/>
  <c r="CW8" i="22"/>
  <c r="DA8" i="22" s="1"/>
  <c r="CO12" i="24"/>
  <c r="CS12" i="24" s="1"/>
  <c r="TI12" i="24"/>
  <c r="TF12" i="24"/>
  <c r="TM12" i="24"/>
  <c r="J12" i="24"/>
  <c r="I12" i="24"/>
  <c r="TM15" i="23"/>
  <c r="TI15" i="23"/>
  <c r="TF15" i="23"/>
  <c r="J15" i="23"/>
  <c r="I15" i="23"/>
  <c r="J11" i="22"/>
  <c r="K11" i="22" s="1"/>
  <c r="SN11" i="22"/>
  <c r="SU11" i="22" s="1"/>
  <c r="R11" i="22"/>
  <c r="S11" i="22" s="1"/>
  <c r="TU11" i="22"/>
  <c r="TQ11" i="22"/>
  <c r="TN11" i="22"/>
  <c r="L11" i="22"/>
  <c r="M11" i="22" s="1"/>
  <c r="I11" i="22"/>
  <c r="P11" i="22"/>
  <c r="DC11" i="22" s="1"/>
  <c r="N11" i="22"/>
  <c r="CW15" i="22"/>
  <c r="DA15" i="22" s="1"/>
  <c r="J8" i="22"/>
  <c r="K8" i="22" s="1"/>
  <c r="TQ8" i="22"/>
  <c r="TN8" i="22"/>
  <c r="SN8" i="22"/>
  <c r="SU8" i="22" s="1"/>
  <c r="R8" i="22"/>
  <c r="S8" i="22" s="1"/>
  <c r="TU8" i="22"/>
  <c r="L8" i="22"/>
  <c r="M8" i="22" s="1"/>
  <c r="I8" i="22"/>
  <c r="P8" i="22"/>
  <c r="DC8" i="22" s="1"/>
  <c r="N8" i="22"/>
  <c r="TN15" i="22"/>
  <c r="J15" i="22"/>
  <c r="K15" i="22" s="1"/>
  <c r="SN15" i="22"/>
  <c r="SU15" i="22" s="1"/>
  <c r="TQ15" i="22"/>
  <c r="TU15" i="22"/>
  <c r="R15" i="22"/>
  <c r="S15" i="22" s="1"/>
  <c r="L15" i="22"/>
  <c r="M15" i="22" s="1"/>
  <c r="I15" i="22"/>
  <c r="P15" i="22"/>
  <c r="DC15" i="22" s="1"/>
  <c r="N15" i="22"/>
  <c r="CW22" i="4"/>
  <c r="DA22" i="4" s="1"/>
  <c r="TQ22" i="4"/>
  <c r="J22" i="4"/>
  <c r="K22" i="4" s="1"/>
  <c r="TN22" i="4"/>
  <c r="CW14" i="4"/>
  <c r="DA14" i="4" s="1"/>
  <c r="R22" i="4"/>
  <c r="S22" i="4" s="1"/>
  <c r="TU22" i="4"/>
  <c r="L22" i="4"/>
  <c r="M22" i="4" s="1"/>
  <c r="I22" i="4"/>
  <c r="P22" i="4"/>
  <c r="DC22" i="4" s="1"/>
  <c r="N22" i="4"/>
  <c r="SN14" i="4"/>
  <c r="SU14" i="4" s="1"/>
  <c r="TN14" i="4"/>
  <c r="L14" i="4"/>
  <c r="M14" i="4" s="1"/>
  <c r="TU14" i="4"/>
  <c r="TQ14" i="4"/>
  <c r="P14" i="4"/>
  <c r="DC14" i="4" s="1"/>
  <c r="N14" i="4"/>
  <c r="R14" i="4"/>
  <c r="S14" i="4" s="1"/>
  <c r="J14" i="4"/>
  <c r="K14" i="4" s="1"/>
  <c r="I14" i="4"/>
  <c r="H15" i="23" l="1"/>
  <c r="A15" i="23" s="1" a="1"/>
  <c r="A15" i="23" s="1"/>
  <c r="H11" i="22"/>
  <c r="H15" i="22"/>
  <c r="A15" i="22" s="1" a="1"/>
  <c r="A15" i="22" s="1"/>
  <c r="DB8" i="22"/>
  <c r="CT12" i="24"/>
  <c r="M12" i="24"/>
  <c r="CU12" i="24"/>
  <c r="M15" i="23"/>
  <c r="CT15" i="23"/>
  <c r="CU15" i="23"/>
  <c r="DB15" i="22"/>
  <c r="DB11" i="22"/>
  <c r="DB14" i="4"/>
  <c r="V14" i="4" s="1"/>
  <c r="DB22" i="4"/>
  <c r="TR11" i="22"/>
  <c r="TV11" i="22" s="1"/>
  <c r="TR8" i="22"/>
  <c r="TV8" i="22" s="1"/>
  <c r="TJ12" i="24"/>
  <c r="TN12" i="24" s="1"/>
  <c r="K12" i="24"/>
  <c r="TJ15" i="23"/>
  <c r="TN15" i="23" s="1"/>
  <c r="K15" i="23"/>
  <c r="O11" i="22"/>
  <c r="Q11" i="22"/>
  <c r="TR15" i="22"/>
  <c r="TV15" i="22" s="1"/>
  <c r="Q8" i="22"/>
  <c r="H8" i="22"/>
  <c r="O8" i="22"/>
  <c r="O15" i="22"/>
  <c r="Q15" i="22"/>
  <c r="TR22" i="4"/>
  <c r="TV22" i="4" s="1"/>
  <c r="O22" i="4"/>
  <c r="Q22" i="4"/>
  <c r="TR14" i="4"/>
  <c r="TV14" i="4" s="1"/>
  <c r="O14" i="4"/>
  <c r="Q14" i="4"/>
  <c r="H12" i="24" l="1"/>
  <c r="H14" i="4"/>
  <c r="H22" i="4"/>
  <c r="A22" i="4" s="1" a="1"/>
  <c r="A22" i="4" s="1"/>
  <c r="N12" i="24"/>
  <c r="N15" i="23"/>
  <c r="V11" i="22"/>
  <c r="W11" i="22" s="1"/>
  <c r="V8" i="22"/>
  <c r="W8" i="22" s="1"/>
  <c r="V15" i="22"/>
  <c r="W15" i="22" s="1"/>
  <c r="E14" i="4"/>
  <c r="V22" i="4"/>
  <c r="X14" i="4"/>
  <c r="W14" i="4"/>
  <c r="E12" i="24" l="1"/>
  <c r="P12" i="24"/>
  <c r="O15" i="23"/>
  <c r="P15" i="23"/>
  <c r="E15" i="23"/>
  <c r="O12" i="24"/>
  <c r="X11" i="22"/>
  <c r="E11" i="22"/>
  <c r="E8" i="22"/>
  <c r="X8" i="22"/>
  <c r="X15" i="22"/>
  <c r="E15" i="22"/>
  <c r="W22" i="4"/>
  <c r="X22" i="4"/>
  <c r="E22" i="4"/>
  <c r="CQ8" i="4" l="1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O8" i="4" s="1"/>
  <c r="TD8" i="4"/>
  <c r="TP8" i="4" s="1"/>
  <c r="TE8" i="4"/>
  <c r="TF8" i="4"/>
  <c r="TG8" i="4"/>
  <c r="TH8" i="4"/>
  <c r="TS8" i="4" s="1"/>
  <c r="TI8" i="4"/>
  <c r="TT8" i="4" s="1"/>
  <c r="TJ8" i="4"/>
  <c r="CI5" i="24"/>
  <c r="CJ5" i="24"/>
  <c r="CK5" i="24"/>
  <c r="CL5" i="24"/>
  <c r="CM5" i="24"/>
  <c r="CN5" i="24"/>
  <c r="CP5" i="24"/>
  <c r="CQ5" i="24"/>
  <c r="CR5" i="24"/>
  <c r="RZ5" i="24"/>
  <c r="SA5" i="24"/>
  <c r="SB5" i="24"/>
  <c r="SC5" i="24"/>
  <c r="SD5" i="24"/>
  <c r="SE5" i="24"/>
  <c r="SG5" i="24"/>
  <c r="SH5" i="24"/>
  <c r="SI5" i="24"/>
  <c r="SJ5" i="24"/>
  <c r="SK5" i="24"/>
  <c r="SL5" i="24"/>
  <c r="SN5" i="24"/>
  <c r="SO5" i="24"/>
  <c r="SP5" i="24"/>
  <c r="TD5" i="24" s="1"/>
  <c r="SQ5" i="24"/>
  <c r="TE5" i="24" s="1"/>
  <c r="SR5" i="24"/>
  <c r="SS5" i="24"/>
  <c r="ST5" i="24"/>
  <c r="SU5" i="24"/>
  <c r="TG5" i="24" s="1"/>
  <c r="SV5" i="24"/>
  <c r="TH5" i="24" s="1"/>
  <c r="SW5" i="24"/>
  <c r="SX5" i="24"/>
  <c r="SY5" i="24"/>
  <c r="SZ5" i="24"/>
  <c r="TK5" i="24" s="1"/>
  <c r="TA5" i="24"/>
  <c r="TL5" i="24" s="1"/>
  <c r="TB5" i="24"/>
  <c r="G5" i="24" l="1"/>
  <c r="F5" i="24"/>
  <c r="G8" i="4"/>
  <c r="F8" i="4"/>
  <c r="T8" i="4"/>
  <c r="U8" i="4" s="1"/>
  <c r="L5" i="24"/>
  <c r="CO5" i="24"/>
  <c r="CS5" i="24" s="1"/>
  <c r="CW8" i="4"/>
  <c r="DA8" i="4" s="1"/>
  <c r="SN8" i="4"/>
  <c r="SU8" i="4" s="1"/>
  <c r="J8" i="4"/>
  <c r="K8" i="4" s="1"/>
  <c r="TN8" i="4"/>
  <c r="R8" i="4"/>
  <c r="S8" i="4" s="1"/>
  <c r="TQ8" i="4"/>
  <c r="TU8" i="4"/>
  <c r="L8" i="4"/>
  <c r="M8" i="4" s="1"/>
  <c r="I8" i="4"/>
  <c r="P8" i="4"/>
  <c r="DC8" i="4" s="1"/>
  <c r="N8" i="4"/>
  <c r="SF5" i="24"/>
  <c r="SM5" i="24" s="1"/>
  <c r="TF5" i="24"/>
  <c r="TM5" i="24"/>
  <c r="TI5" i="24"/>
  <c r="J5" i="24"/>
  <c r="I5" i="24"/>
  <c r="CV10" i="21"/>
  <c r="CW10" i="21"/>
  <c r="CX10" i="21"/>
  <c r="CY10" i="21"/>
  <c r="DA10" i="21"/>
  <c r="DB10" i="21"/>
  <c r="PW10" i="21"/>
  <c r="PX10" i="21"/>
  <c r="PY10" i="21"/>
  <c r="PZ10" i="21"/>
  <c r="QB10" i="21"/>
  <c r="QC10" i="21"/>
  <c r="QE10" i="21"/>
  <c r="QF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CV12" i="19"/>
  <c r="CW12" i="19"/>
  <c r="CX12" i="19"/>
  <c r="CY12" i="19"/>
  <c r="DA12" i="19"/>
  <c r="DB12" i="19"/>
  <c r="PW12" i="19"/>
  <c r="PX12" i="19"/>
  <c r="PY12" i="19"/>
  <c r="PZ12" i="19"/>
  <c r="QB12" i="19"/>
  <c r="QC12" i="19"/>
  <c r="QE12" i="19"/>
  <c r="QF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D10" i="21" l="1"/>
  <c r="QD12" i="19"/>
  <c r="DC10" i="21"/>
  <c r="DC12" i="19"/>
  <c r="F10" i="21"/>
  <c r="G10" i="21"/>
  <c r="F12" i="19"/>
  <c r="G12" i="19"/>
  <c r="DB8" i="4"/>
  <c r="CU5" i="24"/>
  <c r="CT5" i="24"/>
  <c r="M5" i="24"/>
  <c r="TR8" i="4"/>
  <c r="TV8" i="4" s="1"/>
  <c r="O8" i="4"/>
  <c r="Q8" i="4"/>
  <c r="TJ5" i="24"/>
  <c r="TN5" i="24" s="1"/>
  <c r="QA10" i="21"/>
  <c r="H5" i="24"/>
  <c r="K5" i="24"/>
  <c r="QA12" i="19"/>
  <c r="QZ10" i="21"/>
  <c r="RE10" i="21"/>
  <c r="N10" i="21"/>
  <c r="DE10" i="21" s="1"/>
  <c r="CZ10" i="21"/>
  <c r="P10" i="21"/>
  <c r="DF10" i="21" s="1"/>
  <c r="RB10" i="21"/>
  <c r="RA10" i="21"/>
  <c r="RF10" i="21"/>
  <c r="L10" i="21"/>
  <c r="J10" i="21"/>
  <c r="RC10" i="21"/>
  <c r="QZ12" i="19"/>
  <c r="RE12" i="19"/>
  <c r="P12" i="19"/>
  <c r="CZ12" i="19"/>
  <c r="RB12" i="19"/>
  <c r="RA12" i="19"/>
  <c r="RF12" i="19"/>
  <c r="N12" i="19"/>
  <c r="DE12" i="19" s="1"/>
  <c r="L12" i="19"/>
  <c r="J12" i="19"/>
  <c r="K12" i="19" s="1"/>
  <c r="RC12" i="19"/>
  <c r="RG10" i="21" l="1"/>
  <c r="RG12" i="19"/>
  <c r="H8" i="4"/>
  <c r="M10" i="21"/>
  <c r="DD10" i="21"/>
  <c r="Q12" i="19"/>
  <c r="DF12" i="19"/>
  <c r="M12" i="19"/>
  <c r="DD12" i="19"/>
  <c r="O10" i="21"/>
  <c r="K10" i="21"/>
  <c r="O12" i="19"/>
  <c r="RD12" i="19"/>
  <c r="V8" i="4"/>
  <c r="E8" i="4" s="1"/>
  <c r="N5" i="24"/>
  <c r="RD10" i="21"/>
  <c r="I10" i="21"/>
  <c r="Q10" i="21"/>
  <c r="I12" i="19"/>
  <c r="H10" i="21" l="1"/>
  <c r="E5" i="24"/>
  <c r="P5" i="24"/>
  <c r="W8" i="4"/>
  <c r="X8" i="4"/>
  <c r="R10" i="21"/>
  <c r="O5" i="24"/>
  <c r="R12" i="19"/>
  <c r="H12" i="19" l="1"/>
  <c r="S10" i="21"/>
  <c r="T10" i="21"/>
  <c r="T12" i="19"/>
  <c r="S12" i="19"/>
  <c r="E10" i="21"/>
  <c r="E12" i="19"/>
  <c r="CI14" i="23" l="1"/>
  <c r="CJ14" i="23"/>
  <c r="CK14" i="23"/>
  <c r="CL14" i="23"/>
  <c r="CM14" i="23"/>
  <c r="CN14" i="23"/>
  <c r="CP14" i="23"/>
  <c r="CQ14" i="23"/>
  <c r="CR14" i="23"/>
  <c r="RZ14" i="23"/>
  <c r="SA14" i="23"/>
  <c r="SB14" i="23"/>
  <c r="SC14" i="23"/>
  <c r="SD14" i="23"/>
  <c r="SE14" i="23"/>
  <c r="SG14" i="23"/>
  <c r="SH14" i="23"/>
  <c r="SI14" i="23"/>
  <c r="SJ14" i="23"/>
  <c r="SK14" i="23"/>
  <c r="SL14" i="23"/>
  <c r="SN14" i="23"/>
  <c r="SO14" i="23"/>
  <c r="SP14" i="23"/>
  <c r="TD14" i="23" s="1"/>
  <c r="SQ14" i="23"/>
  <c r="TE14" i="23" s="1"/>
  <c r="SR14" i="23"/>
  <c r="SS14" i="23"/>
  <c r="ST14" i="23"/>
  <c r="SU14" i="23"/>
  <c r="TG14" i="23" s="1"/>
  <c r="SV14" i="23"/>
  <c r="TH14" i="23" s="1"/>
  <c r="SW14" i="23"/>
  <c r="SX14" i="23"/>
  <c r="SY14" i="23"/>
  <c r="SZ14" i="23"/>
  <c r="TK14" i="23" s="1"/>
  <c r="TA14" i="23"/>
  <c r="TL14" i="23" s="1"/>
  <c r="TB14" i="23"/>
  <c r="CI5" i="23"/>
  <c r="CJ5" i="23"/>
  <c r="CK5" i="23"/>
  <c r="CL5" i="23"/>
  <c r="CM5" i="23"/>
  <c r="CN5" i="23"/>
  <c r="CP5" i="23"/>
  <c r="CQ5" i="23"/>
  <c r="CR5" i="23"/>
  <c r="RZ5" i="23"/>
  <c r="SA5" i="23"/>
  <c r="SB5" i="23"/>
  <c r="SC5" i="23"/>
  <c r="SD5" i="23"/>
  <c r="SE5" i="23"/>
  <c r="SG5" i="23"/>
  <c r="SH5" i="23"/>
  <c r="SI5" i="23"/>
  <c r="SJ5" i="23"/>
  <c r="SK5" i="23"/>
  <c r="SL5" i="23"/>
  <c r="SN5" i="23"/>
  <c r="SO5" i="23"/>
  <c r="SP5" i="23"/>
  <c r="TD5" i="23" s="1"/>
  <c r="SQ5" i="23"/>
  <c r="TE5" i="23" s="1"/>
  <c r="SR5" i="23"/>
  <c r="SS5" i="23"/>
  <c r="ST5" i="23"/>
  <c r="SU5" i="23"/>
  <c r="TG5" i="23" s="1"/>
  <c r="SV5" i="23"/>
  <c r="TH5" i="23" s="1"/>
  <c r="SW5" i="23"/>
  <c r="SX5" i="23"/>
  <c r="SY5" i="23"/>
  <c r="SZ5" i="23"/>
  <c r="TK5" i="23" s="1"/>
  <c r="TA5" i="23"/>
  <c r="TL5" i="23" s="1"/>
  <c r="TB5" i="23"/>
  <c r="CI8" i="24"/>
  <c r="CJ8" i="24"/>
  <c r="CK8" i="24"/>
  <c r="CL8" i="24"/>
  <c r="CM8" i="24"/>
  <c r="CN8" i="24"/>
  <c r="CP8" i="24"/>
  <c r="CQ8" i="24"/>
  <c r="CR8" i="24"/>
  <c r="RZ8" i="24"/>
  <c r="SA8" i="24"/>
  <c r="SB8" i="24"/>
  <c r="SC8" i="24"/>
  <c r="SD8" i="24"/>
  <c r="SE8" i="24"/>
  <c r="SG8" i="24"/>
  <c r="SH8" i="24"/>
  <c r="SI8" i="24"/>
  <c r="SJ8" i="24"/>
  <c r="SK8" i="24"/>
  <c r="SL8" i="24"/>
  <c r="SN8" i="24"/>
  <c r="SO8" i="24"/>
  <c r="SP8" i="24"/>
  <c r="TD8" i="24" s="1"/>
  <c r="SQ8" i="24"/>
  <c r="TE8" i="24" s="1"/>
  <c r="SR8" i="24"/>
  <c r="SS8" i="24"/>
  <c r="ST8" i="24"/>
  <c r="SU8" i="24"/>
  <c r="TG8" i="24" s="1"/>
  <c r="SV8" i="24"/>
  <c r="TH8" i="24" s="1"/>
  <c r="SW8" i="24"/>
  <c r="SX8" i="24"/>
  <c r="SY8" i="24"/>
  <c r="SZ8" i="24"/>
  <c r="TK8" i="24" s="1"/>
  <c r="TA8" i="24"/>
  <c r="TL8" i="24" s="1"/>
  <c r="TB8" i="24"/>
  <c r="TB7" i="24"/>
  <c r="TA7" i="24"/>
  <c r="TL7" i="24" s="1"/>
  <c r="SZ7" i="24"/>
  <c r="TK7" i="24" s="1"/>
  <c r="SY7" i="24"/>
  <c r="SX7" i="24"/>
  <c r="SW7" i="24"/>
  <c r="SV7" i="24"/>
  <c r="TH7" i="24" s="1"/>
  <c r="SU7" i="24"/>
  <c r="TG7" i="24" s="1"/>
  <c r="ST7" i="24"/>
  <c r="SS7" i="24"/>
  <c r="SR7" i="24"/>
  <c r="SQ7" i="24"/>
  <c r="TE7" i="24" s="1"/>
  <c r="SP7" i="24"/>
  <c r="TD7" i="24" s="1"/>
  <c r="SO7" i="24"/>
  <c r="SN7" i="24"/>
  <c r="SL7" i="24"/>
  <c r="SK7" i="24"/>
  <c r="SJ7" i="24"/>
  <c r="SI7" i="24"/>
  <c r="SH7" i="24"/>
  <c r="SG7" i="24"/>
  <c r="SE7" i="24"/>
  <c r="SD7" i="24"/>
  <c r="SC7" i="24"/>
  <c r="SB7" i="24"/>
  <c r="SA7" i="24"/>
  <c r="RZ7" i="24"/>
  <c r="CR7" i="24"/>
  <c r="CQ7" i="24"/>
  <c r="CP7" i="24"/>
  <c r="CN7" i="24"/>
  <c r="CM7" i="24"/>
  <c r="CL7" i="24"/>
  <c r="CK7" i="24"/>
  <c r="CJ7" i="24"/>
  <c r="CI7" i="24"/>
  <c r="TB4" i="24"/>
  <c r="TA4" i="24"/>
  <c r="TL4" i="24" s="1"/>
  <c r="SZ4" i="24"/>
  <c r="TK4" i="24" s="1"/>
  <c r="SY4" i="24"/>
  <c r="SX4" i="24"/>
  <c r="SW4" i="24"/>
  <c r="SV4" i="24"/>
  <c r="TH4" i="24" s="1"/>
  <c r="SU4" i="24"/>
  <c r="TG4" i="24" s="1"/>
  <c r="ST4" i="24"/>
  <c r="SS4" i="24"/>
  <c r="SR4" i="24"/>
  <c r="SQ4" i="24"/>
  <c r="TE4" i="24" s="1"/>
  <c r="SP4" i="24"/>
  <c r="TD4" i="24" s="1"/>
  <c r="SO4" i="24"/>
  <c r="SN4" i="24"/>
  <c r="SL4" i="24"/>
  <c r="SK4" i="24"/>
  <c r="SJ4" i="24"/>
  <c r="SI4" i="24"/>
  <c r="SH4" i="24"/>
  <c r="SG4" i="24"/>
  <c r="SE4" i="24"/>
  <c r="SD4" i="24"/>
  <c r="SC4" i="24"/>
  <c r="SB4" i="24"/>
  <c r="SA4" i="24"/>
  <c r="RZ4" i="24"/>
  <c r="CR4" i="24"/>
  <c r="CQ4" i="24"/>
  <c r="CP4" i="24"/>
  <c r="CN4" i="24"/>
  <c r="CM4" i="24"/>
  <c r="CL4" i="24"/>
  <c r="CK4" i="24"/>
  <c r="CJ4" i="24"/>
  <c r="CI4" i="24"/>
  <c r="CI8" i="23"/>
  <c r="CJ8" i="23"/>
  <c r="CK8" i="23"/>
  <c r="CL8" i="23"/>
  <c r="CM8" i="23"/>
  <c r="CN8" i="23"/>
  <c r="CP8" i="23"/>
  <c r="CQ8" i="23"/>
  <c r="CR8" i="23"/>
  <c r="RZ8" i="23"/>
  <c r="SA8" i="23"/>
  <c r="SB8" i="23"/>
  <c r="SC8" i="23"/>
  <c r="SD8" i="23"/>
  <c r="SE8" i="23"/>
  <c r="SG8" i="23"/>
  <c r="SH8" i="23"/>
  <c r="SI8" i="23"/>
  <c r="SJ8" i="23"/>
  <c r="SK8" i="23"/>
  <c r="SL8" i="23"/>
  <c r="SN8" i="23"/>
  <c r="SO8" i="23"/>
  <c r="SP8" i="23"/>
  <c r="TD8" i="23" s="1"/>
  <c r="SQ8" i="23"/>
  <c r="TE8" i="23" s="1"/>
  <c r="SR8" i="23"/>
  <c r="SS8" i="23"/>
  <c r="ST8" i="23"/>
  <c r="SU8" i="23"/>
  <c r="SV8" i="23"/>
  <c r="TH8" i="23" s="1"/>
  <c r="SW8" i="23"/>
  <c r="SX8" i="23"/>
  <c r="SY8" i="23"/>
  <c r="SZ8" i="23"/>
  <c r="TK8" i="23" s="1"/>
  <c r="TA8" i="23"/>
  <c r="TL8" i="23" s="1"/>
  <c r="TB8" i="23"/>
  <c r="TJ17" i="22"/>
  <c r="TI17" i="22"/>
  <c r="TT17" i="22" s="1"/>
  <c r="TH17" i="22"/>
  <c r="TS17" i="22" s="1"/>
  <c r="TG17" i="22"/>
  <c r="TF17" i="22"/>
  <c r="TE17" i="22"/>
  <c r="TD17" i="22"/>
  <c r="TP17" i="22" s="1"/>
  <c r="TC17" i="22"/>
  <c r="TO17" i="22" s="1"/>
  <c r="TB17" i="22"/>
  <c r="TA17" i="22"/>
  <c r="SZ17" i="22"/>
  <c r="SY17" i="22"/>
  <c r="TM17" i="22" s="1"/>
  <c r="SX17" i="22"/>
  <c r="TL17" i="22" s="1"/>
  <c r="SW17" i="22"/>
  <c r="SV17" i="22"/>
  <c r="ST17" i="22"/>
  <c r="SS17" i="22"/>
  <c r="SR17" i="22"/>
  <c r="SQ17" i="22"/>
  <c r="SP17" i="22"/>
  <c r="SO17" i="22"/>
  <c r="SM17" i="22"/>
  <c r="SL17" i="22"/>
  <c r="SK17" i="22"/>
  <c r="SJ17" i="22"/>
  <c r="SI17" i="22"/>
  <c r="SH17" i="22"/>
  <c r="CZ17" i="22"/>
  <c r="CY17" i="22"/>
  <c r="CX17" i="22"/>
  <c r="CV17" i="22"/>
  <c r="CU17" i="22"/>
  <c r="CT17" i="22"/>
  <c r="CS17" i="22"/>
  <c r="CR17" i="22"/>
  <c r="CQ17" i="22"/>
  <c r="TJ9" i="22"/>
  <c r="TI9" i="22"/>
  <c r="TH9" i="22"/>
  <c r="TS9" i="22" s="1"/>
  <c r="TG9" i="22"/>
  <c r="TF9" i="22"/>
  <c r="TE9" i="22"/>
  <c r="TD9" i="22"/>
  <c r="TP9" i="22" s="1"/>
  <c r="TC9" i="22"/>
  <c r="TO9" i="22" s="1"/>
  <c r="TB9" i="22"/>
  <c r="TA9" i="22"/>
  <c r="SZ9" i="22"/>
  <c r="SY9" i="22"/>
  <c r="TM9" i="22" s="1"/>
  <c r="SX9" i="22"/>
  <c r="TL9" i="22" s="1"/>
  <c r="SW9" i="22"/>
  <c r="SV9" i="22"/>
  <c r="ST9" i="22"/>
  <c r="SS9" i="22"/>
  <c r="SR9" i="22"/>
  <c r="SQ9" i="22"/>
  <c r="SP9" i="22"/>
  <c r="SO9" i="22"/>
  <c r="SM9" i="22"/>
  <c r="SL9" i="22"/>
  <c r="SK9" i="22"/>
  <c r="SJ9" i="22"/>
  <c r="SI9" i="22"/>
  <c r="SH9" i="22"/>
  <c r="CZ9" i="22"/>
  <c r="CY9" i="22"/>
  <c r="CX9" i="22"/>
  <c r="CV9" i="22"/>
  <c r="CU9" i="22"/>
  <c r="CT9" i="22"/>
  <c r="CS9" i="22"/>
  <c r="CR9" i="22"/>
  <c r="CQ9" i="22"/>
  <c r="TJ12" i="22"/>
  <c r="TI12" i="22"/>
  <c r="TT12" i="22" s="1"/>
  <c r="TH12" i="22"/>
  <c r="TS12" i="22" s="1"/>
  <c r="TG12" i="22"/>
  <c r="TF12" i="22"/>
  <c r="TE12" i="22"/>
  <c r="TD12" i="22"/>
  <c r="TP12" i="22" s="1"/>
  <c r="TC12" i="22"/>
  <c r="TO12" i="22" s="1"/>
  <c r="TB12" i="22"/>
  <c r="TA12" i="22"/>
  <c r="SZ12" i="22"/>
  <c r="SY12" i="22"/>
  <c r="TM12" i="22" s="1"/>
  <c r="SX12" i="22"/>
  <c r="TL12" i="22" s="1"/>
  <c r="SW12" i="22"/>
  <c r="SV12" i="22"/>
  <c r="ST12" i="22"/>
  <c r="SS12" i="22"/>
  <c r="SR12" i="22"/>
  <c r="SQ12" i="22"/>
  <c r="SP12" i="22"/>
  <c r="SO12" i="22"/>
  <c r="SM12" i="22"/>
  <c r="SL12" i="22"/>
  <c r="SK12" i="22"/>
  <c r="SJ12" i="22"/>
  <c r="SI12" i="22"/>
  <c r="SH12" i="22"/>
  <c r="CZ12" i="22"/>
  <c r="CY12" i="22"/>
  <c r="CX12" i="22"/>
  <c r="CV12" i="22"/>
  <c r="CU12" i="22"/>
  <c r="CT12" i="22"/>
  <c r="CS12" i="22"/>
  <c r="CR12" i="22"/>
  <c r="CQ12" i="22"/>
  <c r="TJ7" i="22"/>
  <c r="TI7" i="22"/>
  <c r="TT7" i="22" s="1"/>
  <c r="TH7" i="22"/>
  <c r="TS7" i="22" s="1"/>
  <c r="TG7" i="22"/>
  <c r="TF7" i="22"/>
  <c r="TE7" i="22"/>
  <c r="TD7" i="22"/>
  <c r="TP7" i="22" s="1"/>
  <c r="TC7" i="22"/>
  <c r="TO7" i="22" s="1"/>
  <c r="TB7" i="22"/>
  <c r="TA7" i="22"/>
  <c r="SZ7" i="22"/>
  <c r="SY7" i="22"/>
  <c r="TM7" i="22" s="1"/>
  <c r="SX7" i="22"/>
  <c r="TL7" i="22" s="1"/>
  <c r="SW7" i="22"/>
  <c r="SV7" i="22"/>
  <c r="ST7" i="22"/>
  <c r="SS7" i="22"/>
  <c r="SR7" i="22"/>
  <c r="SQ7" i="22"/>
  <c r="SP7" i="22"/>
  <c r="SO7" i="22"/>
  <c r="SM7" i="22"/>
  <c r="SL7" i="22"/>
  <c r="SK7" i="22"/>
  <c r="SJ7" i="22"/>
  <c r="SI7" i="22"/>
  <c r="SH7" i="22"/>
  <c r="CZ7" i="22"/>
  <c r="CY7" i="22"/>
  <c r="CX7" i="22"/>
  <c r="CV7" i="22"/>
  <c r="CU7" i="22"/>
  <c r="CT7" i="22"/>
  <c r="CS7" i="22"/>
  <c r="CR7" i="22"/>
  <c r="CQ7" i="22"/>
  <c r="TJ13" i="22"/>
  <c r="TI13" i="22"/>
  <c r="TT13" i="22" s="1"/>
  <c r="TH13" i="22"/>
  <c r="TS13" i="22" s="1"/>
  <c r="TG13" i="22"/>
  <c r="TF13" i="22"/>
  <c r="TE13" i="22"/>
  <c r="TD13" i="22"/>
  <c r="TP13" i="22" s="1"/>
  <c r="TC13" i="22"/>
  <c r="TO13" i="22" s="1"/>
  <c r="TB13" i="22"/>
  <c r="TA13" i="22"/>
  <c r="SZ13" i="22"/>
  <c r="SY13" i="22"/>
  <c r="TM13" i="22" s="1"/>
  <c r="SX13" i="22"/>
  <c r="TL13" i="22" s="1"/>
  <c r="SW13" i="22"/>
  <c r="SV13" i="22"/>
  <c r="ST13" i="22"/>
  <c r="SS13" i="22"/>
  <c r="SR13" i="22"/>
  <c r="SQ13" i="22"/>
  <c r="SP13" i="22"/>
  <c r="SO13" i="22"/>
  <c r="SM13" i="22"/>
  <c r="SL13" i="22"/>
  <c r="SK13" i="22"/>
  <c r="SJ13" i="22"/>
  <c r="SI13" i="22"/>
  <c r="SH13" i="22"/>
  <c r="CZ13" i="22"/>
  <c r="CY13" i="22"/>
  <c r="CX13" i="22"/>
  <c r="CV13" i="22"/>
  <c r="CU13" i="22"/>
  <c r="CT13" i="22"/>
  <c r="CS13" i="22"/>
  <c r="CR13" i="22"/>
  <c r="CQ13" i="22"/>
  <c r="TJ5" i="22"/>
  <c r="TI5" i="22"/>
  <c r="TT5" i="22" s="1"/>
  <c r="TH5" i="22"/>
  <c r="TS5" i="22" s="1"/>
  <c r="TG5" i="22"/>
  <c r="TF5" i="22"/>
  <c r="TE5" i="22"/>
  <c r="TD5" i="22"/>
  <c r="TP5" i="22" s="1"/>
  <c r="TC5" i="22"/>
  <c r="TO5" i="22" s="1"/>
  <c r="TB5" i="22"/>
  <c r="TA5" i="22"/>
  <c r="SZ5" i="22"/>
  <c r="SY5" i="22"/>
  <c r="TM5" i="22" s="1"/>
  <c r="SX5" i="22"/>
  <c r="TL5" i="22" s="1"/>
  <c r="SW5" i="22"/>
  <c r="SV5" i="22"/>
  <c r="ST5" i="22"/>
  <c r="SS5" i="22"/>
  <c r="SR5" i="22"/>
  <c r="SQ5" i="22"/>
  <c r="SP5" i="22"/>
  <c r="SO5" i="22"/>
  <c r="SM5" i="22"/>
  <c r="SL5" i="22"/>
  <c r="SK5" i="22"/>
  <c r="SJ5" i="22"/>
  <c r="SI5" i="22"/>
  <c r="SH5" i="22"/>
  <c r="CZ5" i="22"/>
  <c r="CY5" i="22"/>
  <c r="CX5" i="22"/>
  <c r="CV5" i="22"/>
  <c r="CU5" i="22"/>
  <c r="CT5" i="22"/>
  <c r="CS5" i="22"/>
  <c r="CR5" i="22"/>
  <c r="CQ5" i="22"/>
  <c r="TJ6" i="22"/>
  <c r="TI6" i="22"/>
  <c r="TT6" i="22" s="1"/>
  <c r="TH6" i="22"/>
  <c r="TS6" i="22" s="1"/>
  <c r="TG6" i="22"/>
  <c r="TF6" i="22"/>
  <c r="TE6" i="22"/>
  <c r="TD6" i="22"/>
  <c r="TP6" i="22" s="1"/>
  <c r="TC6" i="22"/>
  <c r="TO6" i="22" s="1"/>
  <c r="TB6" i="22"/>
  <c r="TA6" i="22"/>
  <c r="SZ6" i="22"/>
  <c r="SY6" i="22"/>
  <c r="TM6" i="22" s="1"/>
  <c r="SX6" i="22"/>
  <c r="TL6" i="22" s="1"/>
  <c r="SW6" i="22"/>
  <c r="SV6" i="22"/>
  <c r="ST6" i="22"/>
  <c r="SS6" i="22"/>
  <c r="SR6" i="22"/>
  <c r="SQ6" i="22"/>
  <c r="SP6" i="22"/>
  <c r="SO6" i="22"/>
  <c r="SM6" i="22"/>
  <c r="SL6" i="22"/>
  <c r="SK6" i="22"/>
  <c r="SJ6" i="22"/>
  <c r="SI6" i="22"/>
  <c r="SH6" i="22"/>
  <c r="CZ6" i="22"/>
  <c r="CY6" i="22"/>
  <c r="CX6" i="22"/>
  <c r="CV6" i="22"/>
  <c r="CU6" i="22"/>
  <c r="CT6" i="22"/>
  <c r="CS6" i="22"/>
  <c r="CR6" i="22"/>
  <c r="CQ6" i="22"/>
  <c r="TJ4" i="22"/>
  <c r="TI4" i="22"/>
  <c r="TT4" i="22" s="1"/>
  <c r="TH4" i="22"/>
  <c r="TS4" i="22" s="1"/>
  <c r="TG4" i="22"/>
  <c r="TF4" i="22"/>
  <c r="TE4" i="22"/>
  <c r="TD4" i="22"/>
  <c r="TP4" i="22" s="1"/>
  <c r="TC4" i="22"/>
  <c r="TO4" i="22" s="1"/>
  <c r="TB4" i="22"/>
  <c r="TA4" i="22"/>
  <c r="SZ4" i="22"/>
  <c r="SY4" i="22"/>
  <c r="TM4" i="22" s="1"/>
  <c r="SX4" i="22"/>
  <c r="TL4" i="22" s="1"/>
  <c r="SW4" i="22"/>
  <c r="SV4" i="22"/>
  <c r="ST4" i="22"/>
  <c r="SS4" i="22"/>
  <c r="SR4" i="22"/>
  <c r="SQ4" i="22"/>
  <c r="SP4" i="22"/>
  <c r="SO4" i="22"/>
  <c r="SM4" i="22"/>
  <c r="SL4" i="22"/>
  <c r="SK4" i="22"/>
  <c r="SJ4" i="22"/>
  <c r="SI4" i="22"/>
  <c r="SH4" i="22"/>
  <c r="CZ4" i="22"/>
  <c r="CY4" i="22"/>
  <c r="CX4" i="22"/>
  <c r="CV4" i="22"/>
  <c r="CU4" i="22"/>
  <c r="CT4" i="22"/>
  <c r="CS4" i="22"/>
  <c r="CR4" i="22"/>
  <c r="CQ4" i="22"/>
  <c r="F4" i="22" s="1"/>
  <c r="CV25" i="19"/>
  <c r="CW25" i="19"/>
  <c r="CX25" i="19"/>
  <c r="CY25" i="19"/>
  <c r="DA25" i="19"/>
  <c r="DB25" i="19"/>
  <c r="PW25" i="19"/>
  <c r="PX25" i="19"/>
  <c r="PY25" i="19"/>
  <c r="PZ25" i="19"/>
  <c r="QB25" i="19"/>
  <c r="QC25" i="19"/>
  <c r="QE25" i="19"/>
  <c r="QF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D25" i="19" l="1"/>
  <c r="DC25" i="19"/>
  <c r="F7" i="22"/>
  <c r="F4" i="24"/>
  <c r="F9" i="22"/>
  <c r="G14" i="23"/>
  <c r="F5" i="22"/>
  <c r="G25" i="19"/>
  <c r="F25" i="19"/>
  <c r="F7" i="24"/>
  <c r="G7" i="24"/>
  <c r="G8" i="24"/>
  <c r="G4" i="24"/>
  <c r="F8" i="24"/>
  <c r="G8" i="23"/>
  <c r="G5" i="23"/>
  <c r="F8" i="23"/>
  <c r="F5" i="23"/>
  <c r="F14" i="23"/>
  <c r="F6" i="22"/>
  <c r="F13" i="22"/>
  <c r="G4" i="22"/>
  <c r="G5" i="22"/>
  <c r="G7" i="22"/>
  <c r="G9" i="22"/>
  <c r="F12" i="22"/>
  <c r="F17" i="22"/>
  <c r="G13" i="22"/>
  <c r="G12" i="22"/>
  <c r="G17" i="22"/>
  <c r="G6" i="22"/>
  <c r="T6" i="22"/>
  <c r="U6" i="22" s="1"/>
  <c r="T13" i="22"/>
  <c r="U13" i="22" s="1"/>
  <c r="T12" i="22"/>
  <c r="U12" i="22" s="1"/>
  <c r="T17" i="22"/>
  <c r="U17" i="22" s="1"/>
  <c r="T5" i="22"/>
  <c r="U5" i="22" s="1"/>
  <c r="T7" i="22"/>
  <c r="U7" i="22" s="1"/>
  <c r="T9" i="22"/>
  <c r="U9" i="22" s="1"/>
  <c r="T4" i="22"/>
  <c r="U4" i="22" s="1"/>
  <c r="L8" i="23"/>
  <c r="CU8" i="23" s="1"/>
  <c r="L7" i="24"/>
  <c r="L4" i="24"/>
  <c r="L8" i="24"/>
  <c r="L14" i="23"/>
  <c r="CO5" i="23"/>
  <c r="CS5" i="23" s="1"/>
  <c r="L5" i="23"/>
  <c r="CO7" i="24"/>
  <c r="CS7" i="24" s="1"/>
  <c r="CO4" i="24"/>
  <c r="CS4" i="24" s="1"/>
  <c r="CO8" i="24"/>
  <c r="CS8" i="24" s="1"/>
  <c r="CO8" i="23"/>
  <c r="CS8" i="23" s="1"/>
  <c r="CO14" i="23"/>
  <c r="CS14" i="23" s="1"/>
  <c r="CW13" i="22"/>
  <c r="DA13" i="22" s="1"/>
  <c r="SF8" i="24"/>
  <c r="SM8" i="24" s="1"/>
  <c r="CW17" i="22"/>
  <c r="DA17" i="22" s="1"/>
  <c r="TU17" i="22"/>
  <c r="SF14" i="23"/>
  <c r="SM14" i="23" s="1"/>
  <c r="P5" i="22"/>
  <c r="DC5" i="22" s="1"/>
  <c r="TM14" i="23"/>
  <c r="TI14" i="23"/>
  <c r="TF14" i="23"/>
  <c r="J14" i="23"/>
  <c r="K14" i="23" s="1"/>
  <c r="I14" i="23"/>
  <c r="SF5" i="23"/>
  <c r="SM5" i="23" s="1"/>
  <c r="TM5" i="23"/>
  <c r="TI5" i="23"/>
  <c r="TF5" i="23"/>
  <c r="J5" i="23"/>
  <c r="I5" i="23"/>
  <c r="TM8" i="24"/>
  <c r="TF8" i="24"/>
  <c r="J8" i="24"/>
  <c r="I8" i="24"/>
  <c r="TI8" i="24"/>
  <c r="SN4" i="22"/>
  <c r="SU4" i="22" s="1"/>
  <c r="SN9" i="22"/>
  <c r="SU9" i="22" s="1"/>
  <c r="P17" i="22"/>
  <c r="I7" i="24"/>
  <c r="I4" i="24"/>
  <c r="J4" i="24"/>
  <c r="TI7" i="24"/>
  <c r="J7" i="24"/>
  <c r="K7" i="24" s="1"/>
  <c r="P7" i="22"/>
  <c r="SN12" i="22"/>
  <c r="SU12" i="22" s="1"/>
  <c r="SN7" i="22"/>
  <c r="SU7" i="22" s="1"/>
  <c r="CW5" i="22"/>
  <c r="DA5" i="22" s="1"/>
  <c r="SN5" i="22"/>
  <c r="SU5" i="22" s="1"/>
  <c r="P12" i="22"/>
  <c r="DC12" i="22" s="1"/>
  <c r="TF4" i="24"/>
  <c r="TI4" i="24"/>
  <c r="TM4" i="24"/>
  <c r="TF7" i="24"/>
  <c r="SF7" i="24"/>
  <c r="SM7" i="24" s="1"/>
  <c r="TM7" i="24"/>
  <c r="SF4" i="24"/>
  <c r="SM4" i="24" s="1"/>
  <c r="J8" i="23"/>
  <c r="K8" i="23" s="1"/>
  <c r="SF8" i="23"/>
  <c r="SM8" i="23" s="1"/>
  <c r="TF8" i="23"/>
  <c r="TI8" i="23"/>
  <c r="TM8" i="23"/>
  <c r="I8" i="23"/>
  <c r="TG8" i="23"/>
  <c r="J4" i="22"/>
  <c r="K4" i="22" s="1"/>
  <c r="TU12" i="22"/>
  <c r="CW4" i="22"/>
  <c r="DA4" i="22" s="1"/>
  <c r="L13" i="22"/>
  <c r="M13" i="22" s="1"/>
  <c r="TQ5" i="22"/>
  <c r="TN13" i="22"/>
  <c r="TU4" i="22"/>
  <c r="TN12" i="22"/>
  <c r="L7" i="22"/>
  <c r="M7" i="22" s="1"/>
  <c r="R5" i="22"/>
  <c r="S5" i="22" s="1"/>
  <c r="L12" i="22"/>
  <c r="M12" i="22" s="1"/>
  <c r="I6" i="22"/>
  <c r="TU5" i="22"/>
  <c r="TQ13" i="22"/>
  <c r="TN7" i="22"/>
  <c r="N12" i="22"/>
  <c r="TQ7" i="22"/>
  <c r="P6" i="22"/>
  <c r="TN6" i="22"/>
  <c r="TQ6" i="22"/>
  <c r="N7" i="22"/>
  <c r="P9" i="22"/>
  <c r="DC9" i="22" s="1"/>
  <c r="L4" i="22"/>
  <c r="M4" i="22" s="1"/>
  <c r="J5" i="22"/>
  <c r="K5" i="22" s="1"/>
  <c r="TU7" i="22"/>
  <c r="TQ12" i="22"/>
  <c r="TN9" i="22"/>
  <c r="N4" i="22"/>
  <c r="TQ4" i="22"/>
  <c r="CW6" i="22"/>
  <c r="DA6" i="22" s="1"/>
  <c r="N5" i="22"/>
  <c r="J13" i="22"/>
  <c r="K13" i="22" s="1"/>
  <c r="TQ9" i="22"/>
  <c r="P4" i="22"/>
  <c r="DC4" i="22" s="1"/>
  <c r="I4" i="22"/>
  <c r="SN13" i="22"/>
  <c r="SU13" i="22" s="1"/>
  <c r="TU13" i="22"/>
  <c r="CW7" i="22"/>
  <c r="DA7" i="22" s="1"/>
  <c r="CW9" i="22"/>
  <c r="DA9" i="22" s="1"/>
  <c r="TN17" i="22"/>
  <c r="TN5" i="22"/>
  <c r="SN17" i="22"/>
  <c r="SU17" i="22" s="1"/>
  <c r="TQ17" i="22"/>
  <c r="I7" i="22"/>
  <c r="R12" i="22"/>
  <c r="S12" i="22" s="1"/>
  <c r="R13" i="22"/>
  <c r="S13" i="22" s="1"/>
  <c r="R4" i="22"/>
  <c r="S4" i="22" s="1"/>
  <c r="TN4" i="22"/>
  <c r="L6" i="22"/>
  <c r="I5" i="22"/>
  <c r="R6" i="22"/>
  <c r="S6" i="22" s="1"/>
  <c r="SN6" i="22"/>
  <c r="SU6" i="22" s="1"/>
  <c r="P13" i="22"/>
  <c r="DC13" i="22" s="1"/>
  <c r="I12" i="22"/>
  <c r="I9" i="22"/>
  <c r="J6" i="22"/>
  <c r="N6" i="22"/>
  <c r="CW12" i="22"/>
  <c r="DA12" i="22" s="1"/>
  <c r="I17" i="22"/>
  <c r="N17" i="22"/>
  <c r="J12" i="22"/>
  <c r="TU6" i="22"/>
  <c r="N13" i="22"/>
  <c r="J9" i="22"/>
  <c r="TU9" i="22"/>
  <c r="TT9" i="22"/>
  <c r="J7" i="22"/>
  <c r="R7" i="22"/>
  <c r="S7" i="22" s="1"/>
  <c r="L5" i="22"/>
  <c r="I13" i="22"/>
  <c r="N9" i="22"/>
  <c r="L9" i="22"/>
  <c r="L17" i="22"/>
  <c r="R9" i="22"/>
  <c r="S9" i="22" s="1"/>
  <c r="J17" i="22"/>
  <c r="R17" i="22"/>
  <c r="S17" i="22" s="1"/>
  <c r="QA25" i="19"/>
  <c r="CZ25" i="19"/>
  <c r="P25" i="19"/>
  <c r="DF25" i="19" s="1"/>
  <c r="RB25" i="19"/>
  <c r="RF25" i="19"/>
  <c r="RE25" i="19"/>
  <c r="N25" i="19"/>
  <c r="DE25" i="19" s="1"/>
  <c r="L25" i="19"/>
  <c r="DD25" i="19" s="1"/>
  <c r="RA25" i="19"/>
  <c r="QZ25" i="19"/>
  <c r="J25" i="19"/>
  <c r="K25" i="19" s="1"/>
  <c r="RC25" i="19"/>
  <c r="RG25" i="19" l="1"/>
  <c r="H8" i="23"/>
  <c r="DB6" i="22"/>
  <c r="H9" i="22"/>
  <c r="H13" i="22"/>
  <c r="H6" i="22"/>
  <c r="H5" i="22"/>
  <c r="DB4" i="22"/>
  <c r="DB5" i="22"/>
  <c r="V5" i="22" s="1"/>
  <c r="X5" i="22" s="1"/>
  <c r="DB9" i="22"/>
  <c r="V9" i="22" s="1"/>
  <c r="X9" i="22" s="1"/>
  <c r="M8" i="23"/>
  <c r="DB7" i="22"/>
  <c r="DB12" i="22"/>
  <c r="V12" i="22" s="1"/>
  <c r="X12" i="22" s="1"/>
  <c r="DB17" i="22"/>
  <c r="CU8" i="24"/>
  <c r="CT8" i="24"/>
  <c r="M8" i="24"/>
  <c r="CU4" i="24"/>
  <c r="M4" i="24"/>
  <c r="CT4" i="24"/>
  <c r="CT7" i="24"/>
  <c r="M7" i="24"/>
  <c r="CU7" i="24"/>
  <c r="CU5" i="23"/>
  <c r="M5" i="23"/>
  <c r="CT5" i="23"/>
  <c r="M14" i="23"/>
  <c r="CT14" i="23"/>
  <c r="CU14" i="23"/>
  <c r="CT8" i="23"/>
  <c r="DB13" i="22"/>
  <c r="Q17" i="22"/>
  <c r="DC17" i="22"/>
  <c r="Q6" i="22"/>
  <c r="DC6" i="22"/>
  <c r="Q7" i="22"/>
  <c r="DC7" i="22"/>
  <c r="O25" i="19"/>
  <c r="TR7" i="22"/>
  <c r="TV7" i="22" s="1"/>
  <c r="TR13" i="22"/>
  <c r="TV13" i="22" s="1"/>
  <c r="Q5" i="22"/>
  <c r="TR4" i="22"/>
  <c r="TV4" i="22" s="1"/>
  <c r="Q9" i="22"/>
  <c r="Q12" i="22"/>
  <c r="O7" i="22"/>
  <c r="O9" i="22"/>
  <c r="O13" i="22"/>
  <c r="O4" i="22"/>
  <c r="O12" i="22"/>
  <c r="O6" i="22"/>
  <c r="O17" i="22"/>
  <c r="Q4" i="22"/>
  <c r="O5" i="22"/>
  <c r="TR12" i="22"/>
  <c r="TV12" i="22" s="1"/>
  <c r="TR5" i="22"/>
  <c r="TV5" i="22" s="1"/>
  <c r="H7" i="22"/>
  <c r="TR17" i="22"/>
  <c r="TV17" i="22" s="1"/>
  <c r="TR9" i="22"/>
  <c r="TV9" i="22" s="1"/>
  <c r="TJ8" i="24"/>
  <c r="TN8" i="24" s="1"/>
  <c r="K8" i="24"/>
  <c r="TJ14" i="23"/>
  <c r="TN14" i="23" s="1"/>
  <c r="H5" i="23"/>
  <c r="TJ5" i="23"/>
  <c r="TN5" i="23" s="1"/>
  <c r="K5" i="23"/>
  <c r="H8" i="24"/>
  <c r="H4" i="24"/>
  <c r="TJ7" i="24"/>
  <c r="TN7" i="24" s="1"/>
  <c r="K4" i="24"/>
  <c r="TJ4" i="24"/>
  <c r="TN4" i="24" s="1"/>
  <c r="TJ8" i="23"/>
  <c r="TN8" i="23" s="1"/>
  <c r="H4" i="22"/>
  <c r="TR6" i="22"/>
  <c r="TV6" i="22" s="1"/>
  <c r="K7" i="22"/>
  <c r="M17" i="22"/>
  <c r="M5" i="22"/>
  <c r="K6" i="22"/>
  <c r="K17" i="22"/>
  <c r="K12" i="22"/>
  <c r="M6" i="22"/>
  <c r="M9" i="22"/>
  <c r="Q13" i="22"/>
  <c r="K9" i="22"/>
  <c r="Q25" i="19"/>
  <c r="M25" i="19"/>
  <c r="RD25" i="19"/>
  <c r="I25" i="19"/>
  <c r="H25" i="19" l="1"/>
  <c r="A25" i="19" s="1" a="1"/>
  <c r="A25" i="19" s="1"/>
  <c r="H7" i="24"/>
  <c r="H14" i="23"/>
  <c r="A14" i="23" s="1" a="1"/>
  <c r="A14" i="23" s="1"/>
  <c r="H12" i="22"/>
  <c r="H17" i="22"/>
  <c r="A17" i="22" s="1" a="1"/>
  <c r="A17" i="22" s="1"/>
  <c r="V17" i="22"/>
  <c r="X17" i="22" s="1"/>
  <c r="N14" i="23"/>
  <c r="V7" i="22"/>
  <c r="X7" i="22" s="1"/>
  <c r="V13" i="22"/>
  <c r="X13" i="22" s="1"/>
  <c r="R25" i="19"/>
  <c r="N8" i="24"/>
  <c r="P8" i="24" s="1"/>
  <c r="N5" i="23"/>
  <c r="N4" i="24"/>
  <c r="N8" i="23"/>
  <c r="N7" i="24"/>
  <c r="P7" i="24" s="1"/>
  <c r="V6" i="22"/>
  <c r="X6" i="22" s="1"/>
  <c r="V4" i="22"/>
  <c r="X4" i="22" s="1"/>
  <c r="E5" i="22"/>
  <c r="E12" i="22"/>
  <c r="E9" i="22"/>
  <c r="W12" i="22"/>
  <c r="W9" i="22"/>
  <c r="W5" i="22"/>
  <c r="E17" i="22" l="1"/>
  <c r="W17" i="22"/>
  <c r="S25" i="19"/>
  <c r="T25" i="19"/>
  <c r="E4" i="24"/>
  <c r="P4" i="24"/>
  <c r="E8" i="23"/>
  <c r="O8" i="23"/>
  <c r="P8" i="23"/>
  <c r="E5" i="23"/>
  <c r="O5" i="23"/>
  <c r="P5" i="23"/>
  <c r="P14" i="23"/>
  <c r="O14" i="23"/>
  <c r="E8" i="24"/>
  <c r="E14" i="23"/>
  <c r="E7" i="24"/>
  <c r="W7" i="22"/>
  <c r="E7" i="22"/>
  <c r="W6" i="22"/>
  <c r="E4" i="22"/>
  <c r="E25" i="19"/>
  <c r="O8" i="24"/>
  <c r="E13" i="22"/>
  <c r="W13" i="22"/>
  <c r="O4" i="24"/>
  <c r="O7" i="24"/>
  <c r="W4" i="22"/>
  <c r="E6" i="22"/>
  <c r="CV23" i="19"/>
  <c r="CW23" i="19"/>
  <c r="CX23" i="19"/>
  <c r="CY23" i="19"/>
  <c r="DA23" i="19"/>
  <c r="DB23" i="19"/>
  <c r="PW23" i="19"/>
  <c r="PX23" i="19"/>
  <c r="PY23" i="19"/>
  <c r="PZ23" i="19"/>
  <c r="QB23" i="19"/>
  <c r="QC23" i="19"/>
  <c r="QE23" i="19"/>
  <c r="QF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A7" i="23" l="1" a="1"/>
  <c r="A7" i="23" s="1"/>
  <c r="QD23" i="19"/>
  <c r="DC23" i="19"/>
  <c r="A10" i="24" a="1"/>
  <c r="A10" i="24" s="1"/>
  <c r="A11" i="22" a="1"/>
  <c r="A11" i="22" s="1"/>
  <c r="G23" i="19"/>
  <c r="A10" i="22" a="1"/>
  <c r="A10" i="22" s="1"/>
  <c r="A12" i="22" a="1"/>
  <c r="A12" i="22" s="1"/>
  <c r="A12" i="24" a="1"/>
  <c r="A12" i="24" s="1"/>
  <c r="A7" i="24" a="1"/>
  <c r="A7" i="24" s="1"/>
  <c r="A6" i="23" a="1"/>
  <c r="A6" i="23" s="1"/>
  <c r="A8" i="23" a="1"/>
  <c r="A8" i="23" s="1"/>
  <c r="F23" i="19"/>
  <c r="A5" i="24" a="1"/>
  <c r="A5" i="24" s="1"/>
  <c r="A8" i="24" a="1"/>
  <c r="A8" i="24" s="1"/>
  <c r="A6" i="24" a="1"/>
  <c r="A6" i="24" s="1"/>
  <c r="A9" i="24" a="1"/>
  <c r="A9" i="24" s="1"/>
  <c r="A14" i="24" a="1"/>
  <c r="A14" i="24" s="1"/>
  <c r="A4" i="24" a="1"/>
  <c r="A4" i="24" s="1"/>
  <c r="A11" i="24" a="1"/>
  <c r="A11" i="24" s="1"/>
  <c r="A4" i="23" a="1"/>
  <c r="A4" i="23" s="1"/>
  <c r="A5" i="23" a="1"/>
  <c r="A5" i="23" s="1"/>
  <c r="A13" i="22" a="1"/>
  <c r="A13" i="22" s="1"/>
  <c r="A4" i="22" a="1"/>
  <c r="A4" i="22" s="1"/>
  <c r="A6" i="22" a="1"/>
  <c r="A6" i="22" s="1"/>
  <c r="A7" i="22" a="1"/>
  <c r="A7" i="22" s="1"/>
  <c r="A8" i="22" a="1"/>
  <c r="A8" i="22" s="1"/>
  <c r="A9" i="22" a="1"/>
  <c r="A9" i="22" s="1"/>
  <c r="A5" i="22" a="1"/>
  <c r="A5" i="22" s="1"/>
  <c r="A14" i="22" a="1"/>
  <c r="A14" i="22" s="1"/>
  <c r="QA23" i="19"/>
  <c r="N23" i="19"/>
  <c r="DE23" i="19" s="1"/>
  <c r="RE23" i="19"/>
  <c r="CZ23" i="19"/>
  <c r="L23" i="19"/>
  <c r="DD23" i="19" s="1"/>
  <c r="RF23" i="19"/>
  <c r="RB23" i="19"/>
  <c r="RA23" i="19"/>
  <c r="QZ23" i="19"/>
  <c r="P23" i="19"/>
  <c r="DF23" i="19" s="1"/>
  <c r="J23" i="19"/>
  <c r="K23" i="19" s="1"/>
  <c r="RC23" i="19"/>
  <c r="RG23" i="19" l="1"/>
  <c r="O23" i="19"/>
  <c r="C22" i="11"/>
  <c r="D18" i="11"/>
  <c r="C21" i="11"/>
  <c r="C20" i="11"/>
  <c r="D19" i="11"/>
  <c r="C18" i="11"/>
  <c r="D20" i="11"/>
  <c r="C19" i="11"/>
  <c r="D21" i="11"/>
  <c r="D23" i="11"/>
  <c r="C25" i="11"/>
  <c r="C23" i="11"/>
  <c r="C24" i="11"/>
  <c r="D22" i="11"/>
  <c r="D25" i="11"/>
  <c r="D24" i="11"/>
  <c r="D17" i="11"/>
  <c r="C17" i="11"/>
  <c r="D10" i="11"/>
  <c r="C10" i="11"/>
  <c r="D11" i="11"/>
  <c r="C11" i="11"/>
  <c r="D12" i="11"/>
  <c r="C12" i="11"/>
  <c r="D13" i="11"/>
  <c r="C13" i="11"/>
  <c r="D14" i="11"/>
  <c r="C14" i="11"/>
  <c r="D15" i="11"/>
  <c r="C15" i="11"/>
  <c r="D16" i="11"/>
  <c r="C16" i="11"/>
  <c r="M23" i="19"/>
  <c r="Q23" i="19"/>
  <c r="I23" i="19"/>
  <c r="RD23" i="19"/>
  <c r="H23" i="19" l="1"/>
  <c r="A23" i="19" s="1" a="1"/>
  <c r="A23" i="19" s="1"/>
  <c r="R23" i="19"/>
  <c r="T23" i="19" l="1"/>
  <c r="S23" i="19"/>
  <c r="E23" i="19"/>
  <c r="CQ13" i="4"/>
  <c r="CR13" i="4"/>
  <c r="CS13" i="4"/>
  <c r="CT13" i="4"/>
  <c r="CU13" i="4"/>
  <c r="CV13" i="4"/>
  <c r="CX13" i="4"/>
  <c r="CY13" i="4"/>
  <c r="CZ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G13" i="4" l="1"/>
  <c r="F13" i="4"/>
  <c r="T13" i="4"/>
  <c r="U13" i="4" s="1"/>
  <c r="R13" i="4"/>
  <c r="S13" i="4" s="1"/>
  <c r="SN13" i="4"/>
  <c r="SU13" i="4" s="1"/>
  <c r="CW13" i="4"/>
  <c r="DA13" i="4" s="1"/>
  <c r="TQ13" i="4"/>
  <c r="TU13" i="4"/>
  <c r="P13" i="4"/>
  <c r="DC13" i="4" s="1"/>
  <c r="L13" i="4"/>
  <c r="J13" i="4"/>
  <c r="I13" i="4"/>
  <c r="TN13" i="4"/>
  <c r="N13" i="4"/>
  <c r="DB13" i="4" l="1"/>
  <c r="V13" i="4" s="1"/>
  <c r="X13" i="4" s="1"/>
  <c r="O13" i="4"/>
  <c r="M13" i="4"/>
  <c r="TR13" i="4"/>
  <c r="TV13" i="4" s="1"/>
  <c r="Q13" i="4"/>
  <c r="K13" i="4"/>
  <c r="H13" i="4" l="1"/>
  <c r="W13" i="4"/>
  <c r="E13" i="4"/>
  <c r="QX9" i="21" l="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F9" i="21"/>
  <c r="QE9" i="21"/>
  <c r="QC9" i="21"/>
  <c r="QB9" i="21"/>
  <c r="PZ9" i="21"/>
  <c r="PY9" i="21"/>
  <c r="PX9" i="21"/>
  <c r="PW9" i="21"/>
  <c r="DB9" i="21"/>
  <c r="DA9" i="21"/>
  <c r="CY9" i="21"/>
  <c r="CX9" i="21"/>
  <c r="CW9" i="21"/>
  <c r="CV9" i="21"/>
  <c r="QX5" i="21"/>
  <c r="QW5" i="21"/>
  <c r="QV5" i="21"/>
  <c r="QU5" i="21"/>
  <c r="QT5" i="21"/>
  <c r="QS5" i="21"/>
  <c r="QR5" i="21"/>
  <c r="QQ5" i="21"/>
  <c r="QP5" i="21"/>
  <c r="QO5" i="21"/>
  <c r="QN5" i="21"/>
  <c r="QM5" i="21"/>
  <c r="QL5" i="21"/>
  <c r="QK5" i="21"/>
  <c r="QJ5" i="21"/>
  <c r="QI5" i="21"/>
  <c r="QH5" i="21"/>
  <c r="QG5" i="21"/>
  <c r="QF5" i="21"/>
  <c r="QE5" i="21"/>
  <c r="QC5" i="21"/>
  <c r="QB5" i="21"/>
  <c r="PZ5" i="21"/>
  <c r="PY5" i="21"/>
  <c r="PX5" i="21"/>
  <c r="PW5" i="21"/>
  <c r="DB5" i="21"/>
  <c r="DA5" i="21"/>
  <c r="CY5" i="21"/>
  <c r="CX5" i="21"/>
  <c r="CW5" i="21"/>
  <c r="CV5" i="21"/>
  <c r="QX18" i="21"/>
  <c r="QW18" i="21"/>
  <c r="QV18" i="21"/>
  <c r="QU18" i="21"/>
  <c r="QT18" i="21"/>
  <c r="QS18" i="21"/>
  <c r="QR18" i="21"/>
  <c r="QQ18" i="21"/>
  <c r="QP18" i="21"/>
  <c r="QO18" i="21"/>
  <c r="QN18" i="21"/>
  <c r="QM18" i="21"/>
  <c r="QL18" i="21"/>
  <c r="QK18" i="21"/>
  <c r="QJ18" i="21"/>
  <c r="QI18" i="21"/>
  <c r="QH18" i="21"/>
  <c r="QG18" i="21"/>
  <c r="QF18" i="21"/>
  <c r="QE18" i="21"/>
  <c r="QC18" i="21"/>
  <c r="QB18" i="21"/>
  <c r="PZ18" i="21"/>
  <c r="PY18" i="21"/>
  <c r="PX18" i="21"/>
  <c r="PW18" i="21"/>
  <c r="DB18" i="21"/>
  <c r="DA18" i="21"/>
  <c r="CY18" i="21"/>
  <c r="CX18" i="21"/>
  <c r="CW18" i="21"/>
  <c r="CV18" i="21"/>
  <c r="QX16" i="21"/>
  <c r="QW16" i="21"/>
  <c r="QV16" i="21"/>
  <c r="QU16" i="21"/>
  <c r="QT16" i="21"/>
  <c r="QS16" i="21"/>
  <c r="QR16" i="21"/>
  <c r="QQ16" i="21"/>
  <c r="QP16" i="21"/>
  <c r="QO16" i="21"/>
  <c r="QN16" i="21"/>
  <c r="QM16" i="21"/>
  <c r="QL16" i="21"/>
  <c r="QK16" i="21"/>
  <c r="QJ16" i="21"/>
  <c r="QI16" i="21"/>
  <c r="QH16" i="21"/>
  <c r="QG16" i="21"/>
  <c r="QF16" i="21"/>
  <c r="QE16" i="21"/>
  <c r="QC16" i="21"/>
  <c r="QB16" i="21"/>
  <c r="PZ16" i="21"/>
  <c r="PY16" i="21"/>
  <c r="PX16" i="21"/>
  <c r="PW16" i="21"/>
  <c r="DB16" i="21"/>
  <c r="DA16" i="21"/>
  <c r="CY16" i="21"/>
  <c r="CX16" i="21"/>
  <c r="CW16" i="21"/>
  <c r="CV16" i="21"/>
  <c r="QX12" i="21"/>
  <c r="QW12" i="21"/>
  <c r="QV12" i="21"/>
  <c r="QU12" i="21"/>
  <c r="QT12" i="21"/>
  <c r="QS12" i="21"/>
  <c r="QR12" i="21"/>
  <c r="QQ12" i="21"/>
  <c r="QP12" i="21"/>
  <c r="QO12" i="21"/>
  <c r="QN12" i="21"/>
  <c r="QM12" i="21"/>
  <c r="QL12" i="21"/>
  <c r="QK12" i="21"/>
  <c r="QJ12" i="21"/>
  <c r="QI12" i="21"/>
  <c r="QH12" i="21"/>
  <c r="QG12" i="21"/>
  <c r="QF12" i="21"/>
  <c r="QE12" i="21"/>
  <c r="QC12" i="21"/>
  <c r="QB12" i="21"/>
  <c r="PZ12" i="21"/>
  <c r="PY12" i="21"/>
  <c r="PX12" i="21"/>
  <c r="PW12" i="21"/>
  <c r="DB12" i="21"/>
  <c r="DA12" i="21"/>
  <c r="CY12" i="21"/>
  <c r="CX12" i="21"/>
  <c r="CW12" i="21"/>
  <c r="CV12" i="21"/>
  <c r="QX11" i="21"/>
  <c r="QW11" i="21"/>
  <c r="QV11" i="21"/>
  <c r="QU11" i="21"/>
  <c r="QT11" i="21"/>
  <c r="QS11" i="21"/>
  <c r="QR11" i="21"/>
  <c r="QQ11" i="21"/>
  <c r="QP11" i="21"/>
  <c r="QO11" i="21"/>
  <c r="QN11" i="21"/>
  <c r="QM11" i="21"/>
  <c r="QL11" i="21"/>
  <c r="QK11" i="21"/>
  <c r="QJ11" i="21"/>
  <c r="QI11" i="21"/>
  <c r="QH11" i="21"/>
  <c r="QG11" i="21"/>
  <c r="QF11" i="21"/>
  <c r="QE11" i="21"/>
  <c r="QC11" i="21"/>
  <c r="QB11" i="21"/>
  <c r="PZ11" i="21"/>
  <c r="PY11" i="21"/>
  <c r="PX11" i="21"/>
  <c r="PW11" i="21"/>
  <c r="DB11" i="21"/>
  <c r="DA11" i="21"/>
  <c r="CY11" i="21"/>
  <c r="CX11" i="21"/>
  <c r="CW11" i="21"/>
  <c r="CV11" i="21"/>
  <c r="QX7" i="21"/>
  <c r="QW7" i="21"/>
  <c r="QV7" i="21"/>
  <c r="QU7" i="21"/>
  <c r="QT7" i="21"/>
  <c r="QS7" i="21"/>
  <c r="QR7" i="21"/>
  <c r="QQ7" i="21"/>
  <c r="QP7" i="21"/>
  <c r="QO7" i="21"/>
  <c r="QN7" i="21"/>
  <c r="QM7" i="21"/>
  <c r="QL7" i="21"/>
  <c r="QK7" i="21"/>
  <c r="QJ7" i="21"/>
  <c r="QI7" i="21"/>
  <c r="QH7" i="21"/>
  <c r="QG7" i="21"/>
  <c r="QF7" i="21"/>
  <c r="QE7" i="21"/>
  <c r="QC7" i="21"/>
  <c r="QB7" i="21"/>
  <c r="PZ7" i="21"/>
  <c r="PY7" i="21"/>
  <c r="PX7" i="21"/>
  <c r="PW7" i="21"/>
  <c r="DB7" i="21"/>
  <c r="DA7" i="21"/>
  <c r="CY7" i="21"/>
  <c r="CX7" i="21"/>
  <c r="CW7" i="21"/>
  <c r="CV7" i="21"/>
  <c r="QX4" i="21"/>
  <c r="QW4" i="21"/>
  <c r="QV4" i="21"/>
  <c r="QU4" i="21"/>
  <c r="QT4" i="21"/>
  <c r="QS4" i="21"/>
  <c r="QR4" i="21"/>
  <c r="QQ4" i="21"/>
  <c r="QP4" i="21"/>
  <c r="QO4" i="21"/>
  <c r="QN4" i="21"/>
  <c r="QM4" i="21"/>
  <c r="QL4" i="21"/>
  <c r="QK4" i="21"/>
  <c r="QJ4" i="21"/>
  <c r="QI4" i="21"/>
  <c r="QH4" i="21"/>
  <c r="QG4" i="21"/>
  <c r="QF4" i="21"/>
  <c r="QE4" i="21"/>
  <c r="QC4" i="21"/>
  <c r="QB4" i="21"/>
  <c r="PZ4" i="21"/>
  <c r="PY4" i="21"/>
  <c r="PX4" i="21"/>
  <c r="PW4" i="21"/>
  <c r="DB4" i="21"/>
  <c r="DA4" i="21"/>
  <c r="CY4" i="21"/>
  <c r="CX4" i="21"/>
  <c r="CW4" i="21"/>
  <c r="CV4" i="21"/>
  <c r="QX6" i="21"/>
  <c r="QW6" i="21"/>
  <c r="QV6" i="21"/>
  <c r="QU6" i="21"/>
  <c r="QT6" i="21"/>
  <c r="QS6" i="21"/>
  <c r="QR6" i="21"/>
  <c r="QQ6" i="21"/>
  <c r="QP6" i="21"/>
  <c r="QO6" i="21"/>
  <c r="QN6" i="21"/>
  <c r="QM6" i="21"/>
  <c r="QL6" i="21"/>
  <c r="QK6" i="21"/>
  <c r="QJ6" i="21"/>
  <c r="QI6" i="21"/>
  <c r="QH6" i="21"/>
  <c r="QG6" i="21"/>
  <c r="QF6" i="21"/>
  <c r="QE6" i="21"/>
  <c r="QC6" i="21"/>
  <c r="QB6" i="21"/>
  <c r="PZ6" i="21"/>
  <c r="PY6" i="21"/>
  <c r="PX6" i="21"/>
  <c r="PW6" i="21"/>
  <c r="DB6" i="21"/>
  <c r="DA6" i="21"/>
  <c r="CY6" i="21"/>
  <c r="CX6" i="21"/>
  <c r="CW6" i="21"/>
  <c r="DC6" i="21" s="1"/>
  <c r="CV6" i="21"/>
  <c r="QX8" i="21"/>
  <c r="QW8" i="21"/>
  <c r="QV8" i="21"/>
  <c r="QU8" i="21"/>
  <c r="QT8" i="21"/>
  <c r="QS8" i="21"/>
  <c r="QR8" i="21"/>
  <c r="QQ8" i="21"/>
  <c r="QP8" i="21"/>
  <c r="QO8" i="21"/>
  <c r="QN8" i="21"/>
  <c r="QM8" i="21"/>
  <c r="QL8" i="21"/>
  <c r="QK8" i="21"/>
  <c r="QJ8" i="21"/>
  <c r="QI8" i="21"/>
  <c r="QH8" i="21"/>
  <c r="QG8" i="21"/>
  <c r="QF8" i="21"/>
  <c r="QE8" i="21"/>
  <c r="QC8" i="21"/>
  <c r="QB8" i="21"/>
  <c r="PZ8" i="21"/>
  <c r="PY8" i="21"/>
  <c r="PX8" i="21"/>
  <c r="PW8" i="21"/>
  <c r="DB8" i="21"/>
  <c r="DA8" i="21"/>
  <c r="CY8" i="21"/>
  <c r="CX8" i="21"/>
  <c r="CW8" i="21"/>
  <c r="CV8" i="21"/>
  <c r="PZ10" i="19"/>
  <c r="PZ8" i="19"/>
  <c r="PZ16" i="19"/>
  <c r="PZ27" i="19"/>
  <c r="PZ7" i="19"/>
  <c r="PZ15" i="19"/>
  <c r="PZ5" i="19"/>
  <c r="PZ14" i="19"/>
  <c r="PZ4" i="19"/>
  <c r="PZ6" i="19"/>
  <c r="CY10" i="19"/>
  <c r="CY8" i="19"/>
  <c r="CY16" i="19"/>
  <c r="CY27" i="19"/>
  <c r="CY7" i="19"/>
  <c r="CY15" i="19"/>
  <c r="CY5" i="19"/>
  <c r="CY14" i="19"/>
  <c r="CY4" i="19"/>
  <c r="CY6" i="19"/>
  <c r="PY4" i="19"/>
  <c r="PY14" i="19"/>
  <c r="PY5" i="19"/>
  <c r="PY15" i="19"/>
  <c r="PY7" i="19"/>
  <c r="PY27" i="19"/>
  <c r="PY16" i="19"/>
  <c r="PY8" i="19"/>
  <c r="PY10" i="19"/>
  <c r="PY6" i="19"/>
  <c r="CX6" i="19"/>
  <c r="CX4" i="19"/>
  <c r="CX14" i="19"/>
  <c r="CX5" i="19"/>
  <c r="CX15" i="19"/>
  <c r="CX7" i="19"/>
  <c r="CX27" i="19"/>
  <c r="CX16" i="19"/>
  <c r="CX8" i="19"/>
  <c r="CX10" i="19"/>
  <c r="CV15" i="19"/>
  <c r="CW15" i="19"/>
  <c r="DA15" i="19"/>
  <c r="DB15" i="19"/>
  <c r="PW15" i="19"/>
  <c r="PX15" i="19"/>
  <c r="QB15" i="19"/>
  <c r="QC15" i="19"/>
  <c r="QE15" i="19"/>
  <c r="QF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CV7" i="19"/>
  <c r="CW7" i="19"/>
  <c r="DA7" i="19"/>
  <c r="DB7" i="19"/>
  <c r="PW7" i="19"/>
  <c r="PX7" i="19"/>
  <c r="QB7" i="19"/>
  <c r="QC7" i="19"/>
  <c r="QE7" i="19"/>
  <c r="QF7" i="19"/>
  <c r="QG7" i="19"/>
  <c r="QH7" i="19"/>
  <c r="QI7" i="19"/>
  <c r="QJ7" i="19"/>
  <c r="QK7" i="19"/>
  <c r="QL7" i="19"/>
  <c r="QM7" i="19"/>
  <c r="QN7" i="19"/>
  <c r="QO7" i="19"/>
  <c r="QP7" i="19"/>
  <c r="QQ7" i="19"/>
  <c r="QR7" i="19"/>
  <c r="QS7" i="19"/>
  <c r="QT7" i="19"/>
  <c r="QU7" i="19"/>
  <c r="QV7" i="19"/>
  <c r="QW7" i="19"/>
  <c r="QX7" i="19"/>
  <c r="CV27" i="19"/>
  <c r="CW27" i="19"/>
  <c r="DA27" i="19"/>
  <c r="DB27" i="19"/>
  <c r="PW27" i="19"/>
  <c r="PX27" i="19"/>
  <c r="QB27" i="19"/>
  <c r="QC27" i="19"/>
  <c r="QE27" i="19"/>
  <c r="QF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CV16" i="19"/>
  <c r="CW16" i="19"/>
  <c r="DA16" i="19"/>
  <c r="DB16" i="19"/>
  <c r="PW16" i="19"/>
  <c r="PX16" i="19"/>
  <c r="QB16" i="19"/>
  <c r="QC16" i="19"/>
  <c r="QE16" i="19"/>
  <c r="QF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CV8" i="19"/>
  <c r="CW8" i="19"/>
  <c r="DA8" i="19"/>
  <c r="DB8" i="19"/>
  <c r="PW8" i="19"/>
  <c r="PX8" i="19"/>
  <c r="QB8" i="19"/>
  <c r="QC8" i="19"/>
  <c r="QE8" i="19"/>
  <c r="QF8" i="19"/>
  <c r="QG8" i="19"/>
  <c r="QH8" i="19"/>
  <c r="QI8" i="19"/>
  <c r="QJ8" i="19"/>
  <c r="QK8" i="19"/>
  <c r="QL8" i="19"/>
  <c r="QM8" i="19"/>
  <c r="QN8" i="19"/>
  <c r="QO8" i="19"/>
  <c r="QP8" i="19"/>
  <c r="QQ8" i="19"/>
  <c r="QR8" i="19"/>
  <c r="QS8" i="19"/>
  <c r="QT8" i="19"/>
  <c r="QU8" i="19"/>
  <c r="QV8" i="19"/>
  <c r="QW8" i="19"/>
  <c r="QX8" i="19"/>
  <c r="CV10" i="19"/>
  <c r="CW10" i="19"/>
  <c r="DA10" i="19"/>
  <c r="DB10" i="19"/>
  <c r="PW10" i="19"/>
  <c r="PX10" i="19"/>
  <c r="QB10" i="19"/>
  <c r="QC10" i="19"/>
  <c r="QE10" i="19"/>
  <c r="QF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F5" i="19"/>
  <c r="QE5" i="19"/>
  <c r="QC5" i="19"/>
  <c r="QB5" i="19"/>
  <c r="PX5" i="19"/>
  <c r="PW5" i="19"/>
  <c r="DB5" i="19"/>
  <c r="DA5" i="19"/>
  <c r="CW5" i="19"/>
  <c r="CV5" i="19"/>
  <c r="QX14" i="19"/>
  <c r="QW14" i="19"/>
  <c r="QV14" i="19"/>
  <c r="QU14" i="19"/>
  <c r="QT14" i="19"/>
  <c r="QS14" i="19"/>
  <c r="QR14" i="19"/>
  <c r="QQ14" i="19"/>
  <c r="QP14" i="19"/>
  <c r="QO14" i="19"/>
  <c r="QN14" i="19"/>
  <c r="QM14" i="19"/>
  <c r="QL14" i="19"/>
  <c r="QK14" i="19"/>
  <c r="QJ14" i="19"/>
  <c r="QI14" i="19"/>
  <c r="QH14" i="19"/>
  <c r="QG14" i="19"/>
  <c r="QF14" i="19"/>
  <c r="QE14" i="19"/>
  <c r="QC14" i="19"/>
  <c r="QB14" i="19"/>
  <c r="PX14" i="19"/>
  <c r="PW14" i="19"/>
  <c r="DB14" i="19"/>
  <c r="DA14" i="19"/>
  <c r="CW14" i="19"/>
  <c r="CV1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G4" i="19"/>
  <c r="QF4" i="19"/>
  <c r="QC4" i="19"/>
  <c r="QB4" i="19"/>
  <c r="PX4" i="19"/>
  <c r="PW4" i="19"/>
  <c r="DB4" i="19"/>
  <c r="DA4" i="19"/>
  <c r="CW4" i="19"/>
  <c r="CV4" i="19"/>
  <c r="QX6" i="19"/>
  <c r="QW6" i="19"/>
  <c r="QV6" i="19"/>
  <c r="QU6" i="19"/>
  <c r="QT6" i="19"/>
  <c r="QS6" i="19"/>
  <c r="QR6" i="19"/>
  <c r="QQ6" i="19"/>
  <c r="QP6" i="19"/>
  <c r="QO6" i="19"/>
  <c r="QN6" i="19"/>
  <c r="QM6" i="19"/>
  <c r="QL6" i="19"/>
  <c r="QK6" i="19"/>
  <c r="QJ6" i="19"/>
  <c r="QI6" i="19"/>
  <c r="QH6" i="19"/>
  <c r="QG6" i="19"/>
  <c r="QF6" i="19"/>
  <c r="QE6" i="19"/>
  <c r="QC6" i="19"/>
  <c r="QB6" i="19"/>
  <c r="PX6" i="19"/>
  <c r="PW6" i="19"/>
  <c r="DB6" i="19"/>
  <c r="DA6" i="19"/>
  <c r="CW6" i="19"/>
  <c r="CV6" i="19"/>
  <c r="DC8" i="21" l="1"/>
  <c r="DC7" i="21"/>
  <c r="DC11" i="21"/>
  <c r="DC12" i="21"/>
  <c r="DC16" i="21"/>
  <c r="DC18" i="21"/>
  <c r="DC4" i="21"/>
  <c r="DC5" i="21"/>
  <c r="DC9" i="21"/>
  <c r="QD14" i="19"/>
  <c r="DC14" i="19"/>
  <c r="QD8" i="21"/>
  <c r="QD6" i="21"/>
  <c r="QD4" i="21"/>
  <c r="QD7" i="21"/>
  <c r="QD11" i="21"/>
  <c r="QD12" i="21"/>
  <c r="QD16" i="21"/>
  <c r="QD18" i="21"/>
  <c r="QD5" i="21"/>
  <c r="QD9" i="21"/>
  <c r="DC6" i="19"/>
  <c r="QD4" i="19"/>
  <c r="QD10" i="19"/>
  <c r="DC8" i="19"/>
  <c r="QD16" i="19"/>
  <c r="QD7" i="19"/>
  <c r="QD5" i="19"/>
  <c r="DC10" i="19"/>
  <c r="QD8" i="19"/>
  <c r="DC16" i="19"/>
  <c r="QD27" i="19"/>
  <c r="DC7" i="19"/>
  <c r="QD15" i="19"/>
  <c r="DC5" i="19"/>
  <c r="DC4" i="19"/>
  <c r="DC27" i="19"/>
  <c r="DC15" i="19"/>
  <c r="QD6" i="19"/>
  <c r="F8" i="21"/>
  <c r="F4" i="21"/>
  <c r="F7" i="21"/>
  <c r="F11" i="21"/>
  <c r="F12" i="21"/>
  <c r="F16" i="21"/>
  <c r="F18" i="21"/>
  <c r="F5" i="21"/>
  <c r="F9" i="21"/>
  <c r="G4" i="21"/>
  <c r="G7" i="21"/>
  <c r="G11" i="21"/>
  <c r="G12" i="21"/>
  <c r="G16" i="21"/>
  <c r="G18" i="21"/>
  <c r="G5" i="21"/>
  <c r="G9" i="21"/>
  <c r="F6" i="21"/>
  <c r="G6" i="21"/>
  <c r="G8" i="21"/>
  <c r="G6" i="19"/>
  <c r="F4" i="19"/>
  <c r="G5" i="19"/>
  <c r="G4" i="19"/>
  <c r="G27" i="19"/>
  <c r="G15" i="19"/>
  <c r="G8" i="19"/>
  <c r="F14" i="19"/>
  <c r="F6" i="19"/>
  <c r="G14" i="19"/>
  <c r="G10" i="19"/>
  <c r="G16" i="19"/>
  <c r="G7" i="19"/>
  <c r="F10" i="19"/>
  <c r="F16" i="19"/>
  <c r="F7" i="19"/>
  <c r="F5" i="19"/>
  <c r="F8" i="19"/>
  <c r="F27" i="19"/>
  <c r="F15" i="19"/>
  <c r="QA27" i="19"/>
  <c r="CZ5" i="19"/>
  <c r="CZ15" i="19"/>
  <c r="QA15" i="19"/>
  <c r="QA7" i="19"/>
  <c r="QA8" i="19"/>
  <c r="CZ16" i="19"/>
  <c r="CZ4" i="19"/>
  <c r="QA4" i="19"/>
  <c r="QA14" i="19"/>
  <c r="N10" i="19"/>
  <c r="DE10" i="19" s="1"/>
  <c r="CZ10" i="19"/>
  <c r="QA6" i="19"/>
  <c r="QZ18" i="21"/>
  <c r="P5" i="21"/>
  <c r="DF5" i="21" s="1"/>
  <c r="QZ9" i="21"/>
  <c r="RE9" i="21"/>
  <c r="QA16" i="19"/>
  <c r="CZ5" i="21"/>
  <c r="RE18" i="21"/>
  <c r="RF9" i="21"/>
  <c r="QA6" i="21"/>
  <c r="QA5" i="21"/>
  <c r="L9" i="21"/>
  <c r="DD9" i="21" s="1"/>
  <c r="RB7" i="21"/>
  <c r="QZ6" i="21"/>
  <c r="RE6" i="21"/>
  <c r="P4" i="21"/>
  <c r="DF4" i="21" s="1"/>
  <c r="QA4" i="21"/>
  <c r="RC16" i="21"/>
  <c r="P18" i="21"/>
  <c r="DF18" i="21" s="1"/>
  <c r="L5" i="21"/>
  <c r="DD5" i="21" s="1"/>
  <c r="P16" i="21"/>
  <c r="DF16" i="21" s="1"/>
  <c r="P9" i="21"/>
  <c r="DF9" i="21" s="1"/>
  <c r="RB9" i="21"/>
  <c r="N8" i="21"/>
  <c r="DE8" i="21" s="1"/>
  <c r="QZ4" i="21"/>
  <c r="RC7" i="21"/>
  <c r="QA10" i="19"/>
  <c r="CZ8" i="19"/>
  <c r="CZ14" i="19"/>
  <c r="QA5" i="19"/>
  <c r="QZ11" i="21"/>
  <c r="P12" i="21"/>
  <c r="DF12" i="21" s="1"/>
  <c r="CZ12" i="21"/>
  <c r="P8" i="21"/>
  <c r="DF8" i="21" s="1"/>
  <c r="N18" i="21"/>
  <c r="DE18" i="21" s="1"/>
  <c r="QZ8" i="21"/>
  <c r="CZ6" i="21"/>
  <c r="RC5" i="21"/>
  <c r="CZ9" i="21"/>
  <c r="RE16" i="21"/>
  <c r="RA18" i="21"/>
  <c r="RB18" i="21"/>
  <c r="CZ4" i="21"/>
  <c r="RA16" i="21"/>
  <c r="RB16" i="21"/>
  <c r="RF16" i="21"/>
  <c r="QA18" i="21"/>
  <c r="QA9" i="21"/>
  <c r="RB11" i="21"/>
  <c r="RF5" i="21"/>
  <c r="RB6" i="21"/>
  <c r="N7" i="21"/>
  <c r="DE7" i="21" s="1"/>
  <c r="P7" i="21"/>
  <c r="DF7" i="21" s="1"/>
  <c r="QA7" i="21"/>
  <c r="N11" i="21"/>
  <c r="DE11" i="21" s="1"/>
  <c r="N5" i="21"/>
  <c r="DE5" i="21" s="1"/>
  <c r="QZ5" i="21"/>
  <c r="RE5" i="21"/>
  <c r="RE7" i="21"/>
  <c r="L11" i="21"/>
  <c r="DD11" i="21" s="1"/>
  <c r="QA11" i="21"/>
  <c r="RF11" i="21"/>
  <c r="L12" i="21"/>
  <c r="DD12" i="21" s="1"/>
  <c r="RC12" i="21"/>
  <c r="RE12" i="21"/>
  <c r="CZ16" i="21"/>
  <c r="N9" i="21"/>
  <c r="DE9" i="21" s="1"/>
  <c r="RF8" i="21"/>
  <c r="N6" i="21"/>
  <c r="DE6" i="21" s="1"/>
  <c r="RE11" i="21"/>
  <c r="N12" i="21"/>
  <c r="DE12" i="21" s="1"/>
  <c r="RB12" i="21"/>
  <c r="RF18" i="21"/>
  <c r="RB5" i="21"/>
  <c r="RC9" i="21"/>
  <c r="RE8" i="21"/>
  <c r="RA4" i="21"/>
  <c r="RB4" i="21"/>
  <c r="CZ11" i="21"/>
  <c r="RF12" i="21"/>
  <c r="QA8" i="21"/>
  <c r="RB8" i="21"/>
  <c r="RC6" i="19"/>
  <c r="RC5" i="19"/>
  <c r="CZ27" i="19"/>
  <c r="CZ7" i="19"/>
  <c r="RC15" i="19"/>
  <c r="RC10" i="19"/>
  <c r="RC4" i="19"/>
  <c r="RC8" i="19"/>
  <c r="RC16" i="19"/>
  <c r="RC14" i="19"/>
  <c r="RC27" i="19"/>
  <c r="RC7" i="19"/>
  <c r="CZ6" i="19"/>
  <c r="L6" i="21"/>
  <c r="DD6" i="21" s="1"/>
  <c r="RA12" i="21"/>
  <c r="RC6" i="21"/>
  <c r="RA11" i="21"/>
  <c r="RA8" i="21"/>
  <c r="RC4" i="21"/>
  <c r="QZ7" i="21"/>
  <c r="J11" i="21"/>
  <c r="RC8" i="21"/>
  <c r="RC11" i="21"/>
  <c r="J12" i="21"/>
  <c r="RA9" i="21"/>
  <c r="L8" i="21"/>
  <c r="DD8" i="21" s="1"/>
  <c r="J6" i="21"/>
  <c r="J16" i="21"/>
  <c r="J18" i="21"/>
  <c r="L16" i="21"/>
  <c r="DD16" i="21" s="1"/>
  <c r="RF6" i="21"/>
  <c r="RA7" i="21"/>
  <c r="J8" i="21"/>
  <c r="P6" i="21"/>
  <c r="DF6" i="21" s="1"/>
  <c r="CZ8" i="21"/>
  <c r="N4" i="21"/>
  <c r="DE4" i="21" s="1"/>
  <c r="L4" i="21"/>
  <c r="DD4" i="21" s="1"/>
  <c r="J4" i="21"/>
  <c r="CZ7" i="21"/>
  <c r="P11" i="21"/>
  <c r="DF11" i="21" s="1"/>
  <c r="RF4" i="21"/>
  <c r="RE4" i="21"/>
  <c r="RA6" i="21"/>
  <c r="RF7" i="21"/>
  <c r="L7" i="21"/>
  <c r="DD7" i="21" s="1"/>
  <c r="J7" i="21"/>
  <c r="RC18" i="21"/>
  <c r="RA5" i="21"/>
  <c r="RG5" i="21" s="1"/>
  <c r="QA12" i="21"/>
  <c r="QZ12" i="21"/>
  <c r="CZ18" i="21"/>
  <c r="QA16" i="21"/>
  <c r="QZ16" i="21"/>
  <c r="L18" i="21"/>
  <c r="DD18" i="21" s="1"/>
  <c r="J5" i="21"/>
  <c r="N16" i="21"/>
  <c r="DE16" i="21" s="1"/>
  <c r="J9" i="21"/>
  <c r="J6" i="19"/>
  <c r="N8" i="19"/>
  <c r="DE8" i="19" s="1"/>
  <c r="N6" i="19"/>
  <c r="DE6" i="19" s="1"/>
  <c r="N16" i="19"/>
  <c r="DE16" i="19" s="1"/>
  <c r="N14" i="19"/>
  <c r="DE14" i="19" s="1"/>
  <c r="N15" i="19"/>
  <c r="DE15" i="19" s="1"/>
  <c r="N5" i="19"/>
  <c r="DE5" i="19" s="1"/>
  <c r="N27" i="19"/>
  <c r="DE27" i="19" s="1"/>
  <c r="N7" i="19"/>
  <c r="DE7" i="19" s="1"/>
  <c r="RE16" i="19"/>
  <c r="RB16" i="19"/>
  <c r="J8" i="19"/>
  <c r="K8" i="19" s="1"/>
  <c r="QZ16" i="19"/>
  <c r="P7" i="19"/>
  <c r="DF7" i="19" s="1"/>
  <c r="RE10" i="19"/>
  <c r="QZ10" i="19"/>
  <c r="RA7" i="19"/>
  <c r="RE8" i="19"/>
  <c r="P16" i="19"/>
  <c r="DF16" i="19" s="1"/>
  <c r="RB27" i="19"/>
  <c r="RB7" i="19"/>
  <c r="RA16" i="19"/>
  <c r="RF10" i="19"/>
  <c r="RB10" i="19"/>
  <c r="P10" i="19"/>
  <c r="DF10" i="19" s="1"/>
  <c r="P15" i="19"/>
  <c r="DF15" i="19" s="1"/>
  <c r="RF8" i="19"/>
  <c r="RB8" i="19"/>
  <c r="RA8" i="19"/>
  <c r="RF16" i="19"/>
  <c r="J16" i="19"/>
  <c r="RA27" i="19"/>
  <c r="RA10" i="19"/>
  <c r="RE27" i="19"/>
  <c r="QZ27" i="19"/>
  <c r="L10" i="19"/>
  <c r="DD10" i="19" s="1"/>
  <c r="P8" i="19"/>
  <c r="DF8" i="19" s="1"/>
  <c r="RF27" i="19"/>
  <c r="RE7" i="19"/>
  <c r="QZ7" i="19"/>
  <c r="QZ8" i="19"/>
  <c r="RF7" i="19"/>
  <c r="RB15" i="19"/>
  <c r="RA15" i="19"/>
  <c r="RE15" i="19"/>
  <c r="QZ15" i="19"/>
  <c r="L15" i="19"/>
  <c r="DD15" i="19" s="1"/>
  <c r="P27" i="19"/>
  <c r="DF27" i="19" s="1"/>
  <c r="J10" i="19"/>
  <c r="L7" i="19"/>
  <c r="DD7" i="19" s="1"/>
  <c r="J15" i="19"/>
  <c r="L27" i="19"/>
  <c r="DD27" i="19" s="1"/>
  <c r="RF15" i="19"/>
  <c r="L16" i="19"/>
  <c r="DD16" i="19" s="1"/>
  <c r="J7" i="19"/>
  <c r="L8" i="19"/>
  <c r="DD8" i="19" s="1"/>
  <c r="J27" i="19"/>
  <c r="RF5" i="19"/>
  <c r="RE5" i="19"/>
  <c r="P14" i="19"/>
  <c r="DF14" i="19" s="1"/>
  <c r="QZ4" i="19"/>
  <c r="RE6" i="19"/>
  <c r="L6" i="19"/>
  <c r="DD6" i="19" s="1"/>
  <c r="QZ14" i="19"/>
  <c r="RF4" i="19"/>
  <c r="P6" i="19"/>
  <c r="DF6" i="19" s="1"/>
  <c r="RA14" i="19"/>
  <c r="RF6" i="19"/>
  <c r="RF14" i="19"/>
  <c r="L5" i="19"/>
  <c r="DD5" i="19" s="1"/>
  <c r="RA4" i="19"/>
  <c r="RB4" i="19"/>
  <c r="RE14" i="19"/>
  <c r="P5" i="19"/>
  <c r="DF5" i="19" s="1"/>
  <c r="QZ6" i="19"/>
  <c r="J5" i="19"/>
  <c r="QZ5" i="19"/>
  <c r="RA6" i="19"/>
  <c r="RB6" i="19"/>
  <c r="J14" i="19"/>
  <c r="RA5" i="19"/>
  <c r="RB5" i="19"/>
  <c r="RB14" i="19"/>
  <c r="RE4" i="19"/>
  <c r="L14" i="19"/>
  <c r="DD14" i="19" s="1"/>
  <c r="RG6" i="21" l="1"/>
  <c r="RG5" i="19"/>
  <c r="RG8" i="21"/>
  <c r="RG8" i="19"/>
  <c r="RG4" i="21"/>
  <c r="RG16" i="21"/>
  <c r="RG9" i="21"/>
  <c r="RG11" i="21"/>
  <c r="RG7" i="21"/>
  <c r="RG12" i="21"/>
  <c r="RG18" i="21"/>
  <c r="RG10" i="19"/>
  <c r="RG7" i="19"/>
  <c r="RG6" i="19"/>
  <c r="RG15" i="19"/>
  <c r="RG14" i="19"/>
  <c r="RG27" i="19"/>
  <c r="RG4" i="19"/>
  <c r="RG16" i="19"/>
  <c r="O16" i="21"/>
  <c r="O4" i="21"/>
  <c r="O6" i="21"/>
  <c r="O5" i="21"/>
  <c r="O11" i="21"/>
  <c r="K12" i="21"/>
  <c r="O9" i="21"/>
  <c r="O8" i="21"/>
  <c r="O7" i="21"/>
  <c r="O12" i="21"/>
  <c r="O18" i="21"/>
  <c r="O27" i="19"/>
  <c r="O5" i="19"/>
  <c r="O15" i="19"/>
  <c r="R15" i="19"/>
  <c r="O6" i="19"/>
  <c r="O8" i="19"/>
  <c r="O14" i="19"/>
  <c r="O16" i="19"/>
  <c r="O7" i="19"/>
  <c r="O10" i="19"/>
  <c r="RD9" i="21"/>
  <c r="Q12" i="21"/>
  <c r="Q9" i="21"/>
  <c r="Q4" i="21"/>
  <c r="M9" i="21"/>
  <c r="Q5" i="21"/>
  <c r="R11" i="21"/>
  <c r="M6" i="21"/>
  <c r="R16" i="21"/>
  <c r="Q7" i="21"/>
  <c r="Q8" i="21"/>
  <c r="R12" i="21"/>
  <c r="Q18" i="21"/>
  <c r="Q14" i="19"/>
  <c r="M6" i="19"/>
  <c r="R10" i="19"/>
  <c r="M5" i="19"/>
  <c r="Q16" i="19"/>
  <c r="Q8" i="19"/>
  <c r="Q7" i="19"/>
  <c r="Q5" i="19"/>
  <c r="M5" i="21"/>
  <c r="M12" i="21"/>
  <c r="I9" i="21"/>
  <c r="RD12" i="21"/>
  <c r="RD16" i="21"/>
  <c r="I5" i="21"/>
  <c r="I8" i="19"/>
  <c r="I16" i="19"/>
  <c r="I15" i="19"/>
  <c r="RD18" i="21"/>
  <c r="RD8" i="19"/>
  <c r="RD5" i="19"/>
  <c r="RD4" i="21"/>
  <c r="RD8" i="21"/>
  <c r="Q16" i="21"/>
  <c r="K6" i="21"/>
  <c r="K11" i="21"/>
  <c r="K18" i="21"/>
  <c r="K16" i="21"/>
  <c r="I7" i="19"/>
  <c r="K5" i="19"/>
  <c r="K14" i="19"/>
  <c r="K16" i="19"/>
  <c r="I10" i="19"/>
  <c r="RD11" i="21"/>
  <c r="M16" i="21"/>
  <c r="RD15" i="19"/>
  <c r="I14" i="19"/>
  <c r="I27" i="19"/>
  <c r="I5" i="19"/>
  <c r="M11" i="21"/>
  <c r="I11" i="21"/>
  <c r="I4" i="21"/>
  <c r="I12" i="21"/>
  <c r="I16" i="21"/>
  <c r="RD4" i="19"/>
  <c r="RD27" i="19"/>
  <c r="RD14" i="19"/>
  <c r="I6" i="19"/>
  <c r="RD7" i="19"/>
  <c r="RD6" i="19"/>
  <c r="RD10" i="19"/>
  <c r="RD16" i="19"/>
  <c r="I8" i="21"/>
  <c r="I7" i="21"/>
  <c r="M8" i="21"/>
  <c r="M4" i="21"/>
  <c r="I6" i="21"/>
  <c r="K4" i="21"/>
  <c r="RD6" i="21"/>
  <c r="I18" i="21"/>
  <c r="RD5" i="21"/>
  <c r="K7" i="21"/>
  <c r="Q11" i="21"/>
  <c r="RD7" i="21"/>
  <c r="K9" i="21"/>
  <c r="M7" i="21"/>
  <c r="Q6" i="21"/>
  <c r="M18" i="21"/>
  <c r="K5" i="21"/>
  <c r="K8" i="21"/>
  <c r="Q15" i="19"/>
  <c r="M10" i="19"/>
  <c r="Q10" i="19"/>
  <c r="M7" i="19"/>
  <c r="M8" i="19"/>
  <c r="M15" i="19"/>
  <c r="M16" i="19"/>
  <c r="K15" i="19"/>
  <c r="Q27" i="19"/>
  <c r="M27" i="19"/>
  <c r="K27" i="19"/>
  <c r="K10" i="19"/>
  <c r="K7" i="19"/>
  <c r="Q6" i="19"/>
  <c r="M14" i="19"/>
  <c r="K6" i="19"/>
  <c r="H18" i="21" l="1"/>
  <c r="A18" i="21" s="1" a="1"/>
  <c r="A18" i="21" s="1"/>
  <c r="H9" i="21"/>
  <c r="H6" i="21"/>
  <c r="H4" i="21"/>
  <c r="H5" i="19"/>
  <c r="H27" i="19"/>
  <c r="A27" i="19" s="1" a="1"/>
  <c r="A27" i="19" s="1"/>
  <c r="H15" i="19"/>
  <c r="H7" i="19"/>
  <c r="H14" i="19"/>
  <c r="H8" i="19"/>
  <c r="H6" i="19"/>
  <c r="T11" i="21"/>
  <c r="S11" i="21"/>
  <c r="T12" i="21"/>
  <c r="S12" i="21"/>
  <c r="T16" i="21"/>
  <c r="S16" i="21"/>
  <c r="S15" i="19"/>
  <c r="T15" i="19"/>
  <c r="T10" i="19"/>
  <c r="S10" i="19"/>
  <c r="E12" i="21"/>
  <c r="E16" i="21"/>
  <c r="E11" i="21"/>
  <c r="R6" i="21"/>
  <c r="R5" i="21"/>
  <c r="R8" i="21"/>
  <c r="R18" i="21"/>
  <c r="R6" i="19"/>
  <c r="R9" i="21"/>
  <c r="R7" i="21"/>
  <c r="R4" i="21"/>
  <c r="E10" i="19"/>
  <c r="E15" i="19"/>
  <c r="R7" i="19"/>
  <c r="R16" i="19"/>
  <c r="R8" i="19"/>
  <c r="R27" i="19"/>
  <c r="R14" i="19"/>
  <c r="R5" i="19"/>
  <c r="H7" i="21" l="1"/>
  <c r="H12" i="21"/>
  <c r="H8" i="21"/>
  <c r="H5" i="21"/>
  <c r="H11" i="21"/>
  <c r="H16" i="21"/>
  <c r="A16" i="21" s="1" a="1"/>
  <c r="A16" i="21" s="1"/>
  <c r="H16" i="19"/>
  <c r="H10" i="19"/>
  <c r="S8" i="21"/>
  <c r="T8" i="21"/>
  <c r="S6" i="21"/>
  <c r="T6" i="21"/>
  <c r="E4" i="21"/>
  <c r="T4" i="21"/>
  <c r="S4" i="21"/>
  <c r="S7" i="21"/>
  <c r="T7" i="21"/>
  <c r="S5" i="21"/>
  <c r="T5" i="21"/>
  <c r="S9" i="21"/>
  <c r="T9" i="21"/>
  <c r="E18" i="21"/>
  <c r="S18" i="21"/>
  <c r="T18" i="21"/>
  <c r="S8" i="19"/>
  <c r="T8" i="19"/>
  <c r="S14" i="19"/>
  <c r="T14" i="19"/>
  <c r="E27" i="19"/>
  <c r="S27" i="19"/>
  <c r="T27" i="19"/>
  <c r="E16" i="19"/>
  <c r="S16" i="19"/>
  <c r="T16" i="19"/>
  <c r="S7" i="19"/>
  <c r="T7" i="19"/>
  <c r="S6" i="19"/>
  <c r="T6" i="19"/>
  <c r="E5" i="19"/>
  <c r="S5" i="19"/>
  <c r="T5" i="19"/>
  <c r="E8" i="21"/>
  <c r="E5" i="21"/>
  <c r="E6" i="21"/>
  <c r="E9" i="21"/>
  <c r="E7" i="21"/>
  <c r="E6" i="19"/>
  <c r="E7" i="19"/>
  <c r="E14" i="19"/>
  <c r="E8" i="19"/>
  <c r="A13" i="21" l="1" a="1"/>
  <c r="A13" i="21" s="1"/>
  <c r="A12" i="21" a="1"/>
  <c r="A12" i="21" s="1"/>
  <c r="A5" i="21" a="1"/>
  <c r="A5" i="21" s="1"/>
  <c r="A4" i="21" a="1"/>
  <c r="A4" i="21" s="1"/>
  <c r="A6" i="21" a="1"/>
  <c r="A6" i="21" s="1"/>
  <c r="A9" i="21" a="1"/>
  <c r="A9" i="21" s="1"/>
  <c r="A7" i="21" a="1"/>
  <c r="A7" i="21" s="1"/>
  <c r="A10" i="21" a="1"/>
  <c r="A10" i="21" s="1"/>
  <c r="A8" i="21" a="1"/>
  <c r="A8" i="21" s="1"/>
  <c r="A11" i="21" a="1"/>
  <c r="A11" i="21" s="1"/>
  <c r="ST11" i="4"/>
  <c r="SS11" i="4"/>
  <c r="SR11" i="4"/>
  <c r="SQ11" i="4"/>
  <c r="SP11" i="4"/>
  <c r="SO11" i="4"/>
  <c r="SM11" i="4"/>
  <c r="SL11" i="4"/>
  <c r="SK11" i="4"/>
  <c r="SJ11" i="4"/>
  <c r="SI11" i="4"/>
  <c r="SH11" i="4"/>
  <c r="ST17" i="4"/>
  <c r="SS17" i="4"/>
  <c r="SR17" i="4"/>
  <c r="SQ17" i="4"/>
  <c r="SP17" i="4"/>
  <c r="SO17" i="4"/>
  <c r="SM17" i="4"/>
  <c r="SL17" i="4"/>
  <c r="SK17" i="4"/>
  <c r="SJ17" i="4"/>
  <c r="SI17" i="4"/>
  <c r="SH17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ST18" i="4"/>
  <c r="SS18" i="4"/>
  <c r="SR18" i="4"/>
  <c r="SQ18" i="4"/>
  <c r="SP18" i="4"/>
  <c r="SO18" i="4"/>
  <c r="SM18" i="4"/>
  <c r="SL18" i="4"/>
  <c r="SK18" i="4"/>
  <c r="SJ18" i="4"/>
  <c r="SI18" i="4"/>
  <c r="SH18" i="4"/>
  <c r="ST20" i="4"/>
  <c r="SS20" i="4"/>
  <c r="SR20" i="4"/>
  <c r="SQ20" i="4"/>
  <c r="SP20" i="4"/>
  <c r="SO20" i="4"/>
  <c r="SM20" i="4"/>
  <c r="SL20" i="4"/>
  <c r="SK20" i="4"/>
  <c r="SJ20" i="4"/>
  <c r="SI20" i="4"/>
  <c r="SH20" i="4"/>
  <c r="ST23" i="4"/>
  <c r="SS23" i="4"/>
  <c r="SR23" i="4"/>
  <c r="SQ23" i="4"/>
  <c r="SP23" i="4"/>
  <c r="SO23" i="4"/>
  <c r="SM23" i="4"/>
  <c r="SL23" i="4"/>
  <c r="SK23" i="4"/>
  <c r="SJ23" i="4"/>
  <c r="SI23" i="4"/>
  <c r="SH23" i="4"/>
  <c r="ST10" i="4"/>
  <c r="SS10" i="4"/>
  <c r="SR10" i="4"/>
  <c r="SQ10" i="4"/>
  <c r="SP10" i="4"/>
  <c r="SO10" i="4"/>
  <c r="SM10" i="4"/>
  <c r="SL10" i="4"/>
  <c r="SK10" i="4"/>
  <c r="SJ10" i="4"/>
  <c r="SI10" i="4"/>
  <c r="SH10" i="4"/>
  <c r="ST12" i="4"/>
  <c r="SS12" i="4"/>
  <c r="SR12" i="4"/>
  <c r="SQ12" i="4"/>
  <c r="SP12" i="4"/>
  <c r="SO12" i="4"/>
  <c r="SM12" i="4"/>
  <c r="SL12" i="4"/>
  <c r="SK12" i="4"/>
  <c r="SJ12" i="4"/>
  <c r="SI12" i="4"/>
  <c r="SH12" i="4"/>
  <c r="ST7" i="4"/>
  <c r="SS7" i="4"/>
  <c r="SR7" i="4"/>
  <c r="SQ7" i="4"/>
  <c r="SP7" i="4"/>
  <c r="SO7" i="4"/>
  <c r="SM7" i="4"/>
  <c r="SL7" i="4"/>
  <c r="SK7" i="4"/>
  <c r="SJ7" i="4"/>
  <c r="SI7" i="4"/>
  <c r="SH7" i="4"/>
  <c r="ST6" i="4"/>
  <c r="SS6" i="4"/>
  <c r="SR6" i="4"/>
  <c r="SQ6" i="4"/>
  <c r="SP6" i="4"/>
  <c r="SO6" i="4"/>
  <c r="SM6" i="4"/>
  <c r="SL6" i="4"/>
  <c r="SK6" i="4"/>
  <c r="SJ6" i="4"/>
  <c r="SI6" i="4"/>
  <c r="SH6" i="4"/>
  <c r="ST4" i="4"/>
  <c r="SS4" i="4"/>
  <c r="SR4" i="4"/>
  <c r="SQ4" i="4"/>
  <c r="SP4" i="4"/>
  <c r="SO4" i="4"/>
  <c r="SM4" i="4"/>
  <c r="SL4" i="4"/>
  <c r="SK4" i="4"/>
  <c r="SJ4" i="4"/>
  <c r="SI4" i="4"/>
  <c r="SH4" i="4"/>
  <c r="ST5" i="4"/>
  <c r="SS5" i="4"/>
  <c r="SR5" i="4"/>
  <c r="SQ5" i="4"/>
  <c r="SP5" i="4"/>
  <c r="SO5" i="4"/>
  <c r="SM5" i="4"/>
  <c r="SL5" i="4"/>
  <c r="SK5" i="4"/>
  <c r="SJ5" i="4"/>
  <c r="SI5" i="4"/>
  <c r="SH5" i="4"/>
  <c r="CY5" i="4"/>
  <c r="CY6" i="4"/>
  <c r="CY7" i="4"/>
  <c r="CY12" i="4"/>
  <c r="CY10" i="4"/>
  <c r="CY23" i="4"/>
  <c r="CY20" i="4"/>
  <c r="CY18" i="4"/>
  <c r="CY16" i="4"/>
  <c r="CY17" i="4"/>
  <c r="CY11" i="4"/>
  <c r="CY4" i="4"/>
  <c r="CX4" i="4"/>
  <c r="CU4" i="4"/>
  <c r="CU6" i="4"/>
  <c r="CU7" i="4"/>
  <c r="CU12" i="4"/>
  <c r="CU10" i="4"/>
  <c r="CU23" i="4"/>
  <c r="CU20" i="4"/>
  <c r="CU18" i="4"/>
  <c r="CU16" i="4"/>
  <c r="CU17" i="4"/>
  <c r="CU11" i="4"/>
  <c r="CU5" i="4"/>
  <c r="CT5" i="4"/>
  <c r="CR4" i="4"/>
  <c r="CR6" i="4"/>
  <c r="CR7" i="4"/>
  <c r="CR12" i="4"/>
  <c r="CR10" i="4"/>
  <c r="CR23" i="4"/>
  <c r="CR20" i="4"/>
  <c r="CR18" i="4"/>
  <c r="CR16" i="4"/>
  <c r="CR17" i="4"/>
  <c r="CR11" i="4"/>
  <c r="CR5" i="4"/>
  <c r="CQ5" i="4"/>
  <c r="CQ4" i="4"/>
  <c r="CQ6" i="4"/>
  <c r="CQ7" i="4"/>
  <c r="CQ12" i="4"/>
  <c r="CQ10" i="4"/>
  <c r="CQ23" i="4"/>
  <c r="CQ20" i="4"/>
  <c r="CQ18" i="4"/>
  <c r="CQ16" i="4"/>
  <c r="CQ17" i="4"/>
  <c r="CQ11" i="4"/>
  <c r="C50" i="11" l="1"/>
  <c r="C54" i="11"/>
  <c r="D53" i="11"/>
  <c r="C56" i="11"/>
  <c r="D52" i="11"/>
  <c r="D50" i="11"/>
  <c r="C53" i="11"/>
  <c r="D51" i="11"/>
  <c r="C52" i="11"/>
  <c r="D55" i="11"/>
  <c r="C51" i="11"/>
  <c r="C55" i="11"/>
  <c r="C57" i="11"/>
  <c r="D56" i="11"/>
  <c r="D54" i="11"/>
  <c r="D57" i="11"/>
  <c r="SN17" i="4"/>
  <c r="SU17" i="4" s="1"/>
  <c r="SN23" i="4"/>
  <c r="SU23" i="4" s="1"/>
  <c r="SN5" i="4"/>
  <c r="SU5" i="4" s="1"/>
  <c r="SN4" i="4"/>
  <c r="SU4" i="4" s="1"/>
  <c r="SN6" i="4"/>
  <c r="SU6" i="4" s="1"/>
  <c r="SN12" i="4"/>
  <c r="SU12" i="4" s="1"/>
  <c r="SN10" i="4"/>
  <c r="SU10" i="4" s="1"/>
  <c r="SN20" i="4"/>
  <c r="SU20" i="4" s="1"/>
  <c r="SN18" i="4"/>
  <c r="SU18" i="4" s="1"/>
  <c r="SN16" i="4"/>
  <c r="SU16" i="4" s="1"/>
  <c r="SN7" i="4"/>
  <c r="SU7" i="4" s="1"/>
  <c r="SN11" i="4"/>
  <c r="SU11" i="4" s="1"/>
  <c r="CS11" i="4" l="1"/>
  <c r="CT11" i="4"/>
  <c r="CV11" i="4"/>
  <c r="CX11" i="4"/>
  <c r="CZ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G11" i="4" l="1"/>
  <c r="F11" i="4"/>
  <c r="T11" i="4"/>
  <c r="U11" i="4" s="1"/>
  <c r="R11" i="4"/>
  <c r="S11" i="4" s="1"/>
  <c r="N11" i="4"/>
  <c r="DB11" i="4" s="1"/>
  <c r="L11" i="4"/>
  <c r="J11" i="4"/>
  <c r="TU11" i="4"/>
  <c r="I11" i="4"/>
  <c r="TQ11" i="4"/>
  <c r="TN11" i="4"/>
  <c r="CW11" i="4"/>
  <c r="DA11" i="4" s="1"/>
  <c r="P11" i="4"/>
  <c r="DC11" i="4" s="1"/>
  <c r="CS16" i="4"/>
  <c r="CT16" i="4"/>
  <c r="CV16" i="4"/>
  <c r="CX16" i="4"/>
  <c r="CZ16" i="4"/>
  <c r="P16" i="4" s="1"/>
  <c r="DC16" i="4" s="1"/>
  <c r="SV16" i="4"/>
  <c r="SW16" i="4"/>
  <c r="SX16" i="4"/>
  <c r="TL16" i="4" s="1"/>
  <c r="SY16" i="4"/>
  <c r="TM16" i="4" s="1"/>
  <c r="SZ16" i="4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CS12" i="4"/>
  <c r="CT12" i="4"/>
  <c r="CV12" i="4"/>
  <c r="CX12" i="4"/>
  <c r="CZ12" i="4"/>
  <c r="P12" i="4" s="1"/>
  <c r="DC12" i="4" s="1"/>
  <c r="SV12" i="4"/>
  <c r="SW12" i="4"/>
  <c r="SX12" i="4"/>
  <c r="TL12" i="4" s="1"/>
  <c r="SY12" i="4"/>
  <c r="TM12" i="4" s="1"/>
  <c r="SZ12" i="4"/>
  <c r="TA12" i="4"/>
  <c r="TB12" i="4"/>
  <c r="TC12" i="4"/>
  <c r="TO12" i="4" s="1"/>
  <c r="TD12" i="4"/>
  <c r="TP12" i="4" s="1"/>
  <c r="TE12" i="4"/>
  <c r="TF12" i="4"/>
  <c r="TG12" i="4"/>
  <c r="TH12" i="4"/>
  <c r="TS12" i="4" s="1"/>
  <c r="TI12" i="4"/>
  <c r="TT12" i="4" s="1"/>
  <c r="TJ12" i="4"/>
  <c r="CS17" i="4"/>
  <c r="CT17" i="4"/>
  <c r="CV17" i="4"/>
  <c r="CX17" i="4"/>
  <c r="CZ17" i="4"/>
  <c r="P17" i="4" s="1"/>
  <c r="DC17" i="4" s="1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G12" i="4" l="1"/>
  <c r="F12" i="4"/>
  <c r="G17" i="4"/>
  <c r="F17" i="4"/>
  <c r="G16" i="4"/>
  <c r="F16" i="4"/>
  <c r="T12" i="4"/>
  <c r="U12" i="4" s="1"/>
  <c r="T17" i="4"/>
  <c r="U17" i="4" s="1"/>
  <c r="T16" i="4"/>
  <c r="U16" i="4" s="1"/>
  <c r="O11" i="4"/>
  <c r="V11" i="4"/>
  <c r="X11" i="4" s="1"/>
  <c r="R16" i="4"/>
  <c r="S16" i="4" s="1"/>
  <c r="R17" i="4"/>
  <c r="S17" i="4" s="1"/>
  <c r="R12" i="4"/>
  <c r="S12" i="4" s="1"/>
  <c r="N17" i="4"/>
  <c r="DB17" i="4" s="1"/>
  <c r="N12" i="4"/>
  <c r="DB12" i="4" s="1"/>
  <c r="N16" i="4"/>
  <c r="DB16" i="4" s="1"/>
  <c r="K11" i="4"/>
  <c r="L12" i="4"/>
  <c r="J16" i="4"/>
  <c r="K16" i="4" s="1"/>
  <c r="I12" i="4"/>
  <c r="J12" i="4"/>
  <c r="I16" i="4"/>
  <c r="L17" i="4"/>
  <c r="L16" i="4"/>
  <c r="J17" i="4"/>
  <c r="TR11" i="4"/>
  <c r="TV11" i="4" s="1"/>
  <c r="I17" i="4"/>
  <c r="TU12" i="4"/>
  <c r="TN12" i="4"/>
  <c r="H11" i="4"/>
  <c r="A11" i="4" s="1" a="1"/>
  <c r="A11" i="4" s="1"/>
  <c r="Q17" i="4"/>
  <c r="Q16" i="4"/>
  <c r="TQ17" i="4"/>
  <c r="TQ16" i="4"/>
  <c r="Q12" i="4"/>
  <c r="M11" i="4"/>
  <c r="TU17" i="4"/>
  <c r="TU16" i="4"/>
  <c r="TQ12" i="4"/>
  <c r="TN17" i="4"/>
  <c r="TN16" i="4"/>
  <c r="Q11" i="4"/>
  <c r="CW12" i="4"/>
  <c r="DA12" i="4" s="1"/>
  <c r="CW17" i="4"/>
  <c r="DA17" i="4" s="1"/>
  <c r="CW16" i="4"/>
  <c r="DA16" i="4" s="1"/>
  <c r="H17" i="4" l="1"/>
  <c r="A17" i="4" s="1" a="1"/>
  <c r="A17" i="4" s="1"/>
  <c r="H16" i="4"/>
  <c r="A16" i="4" s="1" a="1"/>
  <c r="A16" i="4" s="1"/>
  <c r="O16" i="4"/>
  <c r="V16" i="4"/>
  <c r="X16" i="4" s="1"/>
  <c r="O12" i="4"/>
  <c r="V12" i="4"/>
  <c r="O17" i="4"/>
  <c r="V17" i="4"/>
  <c r="W11" i="4"/>
  <c r="TR16" i="4"/>
  <c r="TV16" i="4" s="1"/>
  <c r="K12" i="4"/>
  <c r="K17" i="4"/>
  <c r="TR17" i="4"/>
  <c r="TV17" i="4" s="1"/>
  <c r="TR12" i="4"/>
  <c r="TV12" i="4" s="1"/>
  <c r="M17" i="4"/>
  <c r="M16" i="4"/>
  <c r="M12" i="4"/>
  <c r="H12" i="4" l="1"/>
  <c r="A12" i="4" s="1" a="1"/>
  <c r="A12" i="4" s="1"/>
  <c r="X17" i="4"/>
  <c r="W17" i="4"/>
  <c r="X12" i="4"/>
  <c r="W12" i="4"/>
  <c r="W16" i="4"/>
  <c r="E17" i="4" l="1"/>
  <c r="E11" i="4"/>
  <c r="E16" i="4"/>
  <c r="E12" i="4" l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SZ20" i="4"/>
  <c r="TA20" i="4"/>
  <c r="TB20" i="4"/>
  <c r="TC20" i="4"/>
  <c r="TO20" i="4" s="1"/>
  <c r="TD20" i="4"/>
  <c r="TP20" i="4" s="1"/>
  <c r="TE20" i="4"/>
  <c r="TF20" i="4"/>
  <c r="TG20" i="4"/>
  <c r="TH20" i="4"/>
  <c r="TS20" i="4" s="1"/>
  <c r="TI20" i="4"/>
  <c r="TT20" i="4" s="1"/>
  <c r="TJ20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CS6" i="4"/>
  <c r="CT6" i="4"/>
  <c r="CV6" i="4"/>
  <c r="CX6" i="4"/>
  <c r="CZ6" i="4"/>
  <c r="P6" i="4" s="1"/>
  <c r="DC6" i="4" s="1"/>
  <c r="CS7" i="4"/>
  <c r="CT7" i="4"/>
  <c r="CV7" i="4"/>
  <c r="CX7" i="4"/>
  <c r="CZ7" i="4"/>
  <c r="P7" i="4" s="1"/>
  <c r="DC7" i="4" s="1"/>
  <c r="CS10" i="4"/>
  <c r="CT10" i="4"/>
  <c r="CV10" i="4"/>
  <c r="CX10" i="4"/>
  <c r="CZ10" i="4"/>
  <c r="P10" i="4" s="1"/>
  <c r="DC10" i="4" s="1"/>
  <c r="CS4" i="4"/>
  <c r="CT4" i="4"/>
  <c r="T4" i="4" s="1"/>
  <c r="CV4" i="4"/>
  <c r="CZ4" i="4"/>
  <c r="P4" i="4" s="1"/>
  <c r="DC4" i="4" s="1"/>
  <c r="CS23" i="4"/>
  <c r="CT23" i="4"/>
  <c r="CV23" i="4"/>
  <c r="CX23" i="4"/>
  <c r="CZ23" i="4"/>
  <c r="P23" i="4" s="1"/>
  <c r="DC23" i="4" s="1"/>
  <c r="CS18" i="4"/>
  <c r="CT18" i="4"/>
  <c r="CV18" i="4"/>
  <c r="CX18" i="4"/>
  <c r="CZ18" i="4"/>
  <c r="P18" i="4" s="1"/>
  <c r="DC18" i="4" s="1"/>
  <c r="CS20" i="4"/>
  <c r="CT20" i="4"/>
  <c r="CV20" i="4"/>
  <c r="CX20" i="4"/>
  <c r="CZ20" i="4"/>
  <c r="P20" i="4" s="1"/>
  <c r="DC20" i="4" s="1"/>
  <c r="CV5" i="4"/>
  <c r="CS5" i="4"/>
  <c r="G4" i="4" l="1"/>
  <c r="F4" i="4"/>
  <c r="G18" i="4"/>
  <c r="F18" i="4"/>
  <c r="G20" i="4"/>
  <c r="F20" i="4"/>
  <c r="G7" i="4"/>
  <c r="F7" i="4"/>
  <c r="G23" i="4"/>
  <c r="F23" i="4"/>
  <c r="G10" i="4"/>
  <c r="F10" i="4"/>
  <c r="G6" i="4"/>
  <c r="F6" i="4"/>
  <c r="T23" i="4"/>
  <c r="U23" i="4" s="1"/>
  <c r="T7" i="4"/>
  <c r="U7" i="4" s="1"/>
  <c r="T18" i="4"/>
  <c r="U18" i="4" s="1"/>
  <c r="T10" i="4"/>
  <c r="U10" i="4" s="1"/>
  <c r="T20" i="4"/>
  <c r="U20" i="4" s="1"/>
  <c r="T6" i="4"/>
  <c r="U6" i="4" s="1"/>
  <c r="L5" i="4"/>
  <c r="R6" i="4"/>
  <c r="S6" i="4" s="1"/>
  <c r="R10" i="4"/>
  <c r="S10" i="4" s="1"/>
  <c r="R18" i="4"/>
  <c r="S18" i="4" s="1"/>
  <c r="R20" i="4"/>
  <c r="S20" i="4" s="1"/>
  <c r="R7" i="4"/>
  <c r="S7" i="4" s="1"/>
  <c r="R23" i="4"/>
  <c r="S23" i="4" s="1"/>
  <c r="N10" i="4"/>
  <c r="DB10" i="4" s="1"/>
  <c r="N18" i="4"/>
  <c r="DB18" i="4" s="1"/>
  <c r="N6" i="4"/>
  <c r="DB6" i="4" s="1"/>
  <c r="N20" i="4"/>
  <c r="DB20" i="4" s="1"/>
  <c r="N5" i="4"/>
  <c r="DB5" i="4" s="1"/>
  <c r="N23" i="4"/>
  <c r="DB23" i="4" s="1"/>
  <c r="N7" i="4"/>
  <c r="DB7" i="4" s="1"/>
  <c r="L4" i="4"/>
  <c r="M4" i="4" s="1"/>
  <c r="N4" i="4"/>
  <c r="DB4" i="4" s="1"/>
  <c r="J20" i="4"/>
  <c r="K20" i="4" s="1"/>
  <c r="L20" i="4"/>
  <c r="J5" i="4"/>
  <c r="L23" i="4"/>
  <c r="J23" i="4"/>
  <c r="K23" i="4" s="1"/>
  <c r="L7" i="4"/>
  <c r="J7" i="4"/>
  <c r="L6" i="4"/>
  <c r="J6" i="4"/>
  <c r="K6" i="4" s="1"/>
  <c r="J18" i="4"/>
  <c r="K18" i="4" s="1"/>
  <c r="L18" i="4"/>
  <c r="J10" i="4"/>
  <c r="K10" i="4" s="1"/>
  <c r="L10" i="4"/>
  <c r="J4" i="4"/>
  <c r="K4" i="4" s="1"/>
  <c r="I23" i="4"/>
  <c r="I7" i="4"/>
  <c r="I6" i="4"/>
  <c r="I18" i="4"/>
  <c r="I10" i="4"/>
  <c r="I20" i="4"/>
  <c r="TQ10" i="4"/>
  <c r="TU4" i="4"/>
  <c r="TU20" i="4"/>
  <c r="TQ18" i="4"/>
  <c r="TQ6" i="4"/>
  <c r="Q20" i="4"/>
  <c r="TU10" i="4"/>
  <c r="TQ7" i="4"/>
  <c r="TQ23" i="4"/>
  <c r="TU6" i="4"/>
  <c r="Q23" i="4"/>
  <c r="TQ5" i="4"/>
  <c r="Q4" i="4"/>
  <c r="TU18" i="4"/>
  <c r="Q6" i="4"/>
  <c r="TQ20" i="4"/>
  <c r="TU7" i="4"/>
  <c r="Q7" i="4"/>
  <c r="Q18" i="4"/>
  <c r="Q10" i="4"/>
  <c r="TU5" i="4"/>
  <c r="TU23" i="4"/>
  <c r="TQ4" i="4"/>
  <c r="CW23" i="4"/>
  <c r="DA23" i="4" s="1"/>
  <c r="CW7" i="4"/>
  <c r="DA7" i="4" s="1"/>
  <c r="CW6" i="4"/>
  <c r="DA6" i="4" s="1"/>
  <c r="CW5" i="4"/>
  <c r="CW4" i="4"/>
  <c r="DA4" i="4" s="1"/>
  <c r="CW18" i="4"/>
  <c r="DA18" i="4" s="1"/>
  <c r="CW10" i="4"/>
  <c r="DA10" i="4" s="1"/>
  <c r="CW20" i="4"/>
  <c r="DA20" i="4" s="1"/>
  <c r="SV5" i="4"/>
  <c r="SW5" i="4"/>
  <c r="SX5" i="4"/>
  <c r="TL5" i="4" s="1"/>
  <c r="SY5" i="4"/>
  <c r="TM5" i="4" s="1"/>
  <c r="SZ5" i="4"/>
  <c r="SW6" i="4"/>
  <c r="SX6" i="4"/>
  <c r="TL6" i="4" s="1"/>
  <c r="SY6" i="4"/>
  <c r="TM6" i="4" s="1"/>
  <c r="SW7" i="4"/>
  <c r="SX7" i="4"/>
  <c r="TL7" i="4" s="1"/>
  <c r="SY7" i="4"/>
  <c r="TM7" i="4" s="1"/>
  <c r="SW10" i="4"/>
  <c r="SX10" i="4"/>
  <c r="TL10" i="4" s="1"/>
  <c r="SY10" i="4"/>
  <c r="TM10" i="4" s="1"/>
  <c r="SW4" i="4"/>
  <c r="SX4" i="4"/>
  <c r="TL4" i="4" s="1"/>
  <c r="SY4" i="4"/>
  <c r="TM4" i="4" s="1"/>
  <c r="SW23" i="4"/>
  <c r="SX23" i="4"/>
  <c r="TL23" i="4" s="1"/>
  <c r="SY23" i="4"/>
  <c r="TM23" i="4" s="1"/>
  <c r="SW18" i="4"/>
  <c r="SX18" i="4"/>
  <c r="TL18" i="4" s="1"/>
  <c r="SY18" i="4"/>
  <c r="TM18" i="4" s="1"/>
  <c r="SW20" i="4"/>
  <c r="SX20" i="4"/>
  <c r="TL20" i="4" s="1"/>
  <c r="SY20" i="4"/>
  <c r="TM20" i="4" s="1"/>
  <c r="SV6" i="4"/>
  <c r="SV7" i="4"/>
  <c r="SV10" i="4"/>
  <c r="SV4" i="4"/>
  <c r="SV23" i="4"/>
  <c r="SV18" i="4"/>
  <c r="SV20" i="4"/>
  <c r="H18" i="4" l="1"/>
  <c r="A18" i="4" s="1" a="1"/>
  <c r="A18" i="4" s="1"/>
  <c r="O4" i="4"/>
  <c r="O20" i="4"/>
  <c r="V20" i="4"/>
  <c r="O6" i="4"/>
  <c r="V6" i="4"/>
  <c r="O18" i="4"/>
  <c r="V18" i="4"/>
  <c r="X18" i="4" s="1"/>
  <c r="O7" i="4"/>
  <c r="V7" i="4"/>
  <c r="X7" i="4" s="1"/>
  <c r="O10" i="4"/>
  <c r="V10" i="4"/>
  <c r="X10" i="4" s="1"/>
  <c r="O23" i="4"/>
  <c r="V23" i="4"/>
  <c r="O5" i="4"/>
  <c r="K7" i="4"/>
  <c r="H7" i="4"/>
  <c r="H6" i="4"/>
  <c r="H23" i="4"/>
  <c r="A23" i="4" s="1" a="1"/>
  <c r="A23" i="4" s="1"/>
  <c r="TN7" i="4"/>
  <c r="TR7" i="4" s="1"/>
  <c r="TV7" i="4" s="1"/>
  <c r="M20" i="4"/>
  <c r="M5" i="4"/>
  <c r="M7" i="4"/>
  <c r="TN10" i="4"/>
  <c r="TR10" i="4" s="1"/>
  <c r="TV10" i="4" s="1"/>
  <c r="M10" i="4"/>
  <c r="TN4" i="4"/>
  <c r="TR4" i="4" s="1"/>
  <c r="TV4" i="4" s="1"/>
  <c r="TN20" i="4"/>
  <c r="TR20" i="4" s="1"/>
  <c r="TV20" i="4" s="1"/>
  <c r="TN6" i="4"/>
  <c r="TR6" i="4" s="1"/>
  <c r="TV6" i="4" s="1"/>
  <c r="M18" i="4"/>
  <c r="M6" i="4"/>
  <c r="M23" i="4"/>
  <c r="TN18" i="4"/>
  <c r="TR18" i="4" s="1"/>
  <c r="TV18" i="4" s="1"/>
  <c r="TN5" i="4"/>
  <c r="TR5" i="4" s="1"/>
  <c r="TV5" i="4" s="1"/>
  <c r="TN23" i="4"/>
  <c r="TR23" i="4" s="1"/>
  <c r="TV23" i="4" s="1"/>
  <c r="K5" i="4"/>
  <c r="CZ5" i="4"/>
  <c r="G5" i="4" s="1"/>
  <c r="CX5" i="4"/>
  <c r="T5" i="4" l="1"/>
  <c r="U5" i="4" s="1"/>
  <c r="F5" i="4"/>
  <c r="H10" i="4"/>
  <c r="H20" i="4"/>
  <c r="A20" i="4" s="1" a="1"/>
  <c r="A20" i="4" s="1"/>
  <c r="X20" i="4"/>
  <c r="W20" i="4"/>
  <c r="X6" i="4"/>
  <c r="W6" i="4"/>
  <c r="X23" i="4"/>
  <c r="W23" i="4"/>
  <c r="W10" i="4"/>
  <c r="W18" i="4"/>
  <c r="W7" i="4"/>
  <c r="R5" i="4"/>
  <c r="S5" i="4" s="1"/>
  <c r="I5" i="4"/>
  <c r="P5" i="4"/>
  <c r="DA5" i="4"/>
  <c r="DC5" i="4" l="1"/>
  <c r="V5" i="4" s="1"/>
  <c r="H5" i="4"/>
  <c r="Q5" i="4"/>
  <c r="X5" i="4" l="1"/>
  <c r="W5" i="4"/>
  <c r="E20" i="4"/>
  <c r="E23" i="4" l="1"/>
  <c r="E5" i="4" l="1"/>
  <c r="E18" i="4" l="1"/>
  <c r="E10" i="4" l="1"/>
  <c r="E7" i="4" l="1"/>
  <c r="E6" i="4" l="1"/>
  <c r="U4" i="4" l="1"/>
  <c r="R4" i="4"/>
  <c r="S4" i="4" s="1"/>
  <c r="I4" i="4"/>
  <c r="H4" i="4" l="1"/>
  <c r="V4" i="4"/>
  <c r="X4" i="4" s="1"/>
  <c r="W4" i="4" l="1"/>
  <c r="E4" i="4"/>
  <c r="A13" i="4" s="1" a="1"/>
  <c r="A13" i="4" s="1"/>
  <c r="A15" i="4" l="1" a="1"/>
  <c r="A15" i="4" s="1"/>
  <c r="A8" i="4" a="1"/>
  <c r="A8" i="4" s="1"/>
  <c r="A14" i="4" a="1"/>
  <c r="A14" i="4" s="1"/>
  <c r="A5" i="4" a="1"/>
  <c r="A5" i="4" s="1"/>
  <c r="A9" i="4" a="1"/>
  <c r="A9" i="4" s="1"/>
  <c r="A7" i="4" a="1"/>
  <c r="A7" i="4" s="1"/>
  <c r="A4" i="4" a="1"/>
  <c r="A4" i="4" s="1"/>
  <c r="A6" i="4" a="1"/>
  <c r="A6" i="4" s="1"/>
  <c r="A10" i="4" a="1"/>
  <c r="A10" i="4" s="1"/>
  <c r="D9" i="11" l="1"/>
  <c r="C9" i="11"/>
  <c r="C5" i="11"/>
  <c r="C6" i="11"/>
  <c r="D7" i="11"/>
  <c r="C8" i="11"/>
  <c r="D2" i="11"/>
  <c r="D3" i="11"/>
  <c r="C3" i="11"/>
  <c r="D5" i="11"/>
  <c r="D8" i="11"/>
  <c r="C4" i="11"/>
  <c r="C2" i="11"/>
  <c r="D6" i="11"/>
  <c r="C7" i="11"/>
  <c r="D4" i="11"/>
  <c r="N4" i="19"/>
  <c r="P4" i="19"/>
  <c r="J4" i="19"/>
  <c r="K4" i="19" l="1"/>
  <c r="DF4" i="19"/>
  <c r="Q4" i="19"/>
  <c r="DE4" i="19"/>
  <c r="O4" i="19"/>
  <c r="I4" i="19"/>
  <c r="L4" i="19"/>
  <c r="DD4" i="19" l="1"/>
  <c r="R4" i="19" s="1"/>
  <c r="M4" i="19"/>
  <c r="H4" i="19" l="1"/>
  <c r="E4" i="19"/>
  <c r="T4" i="19"/>
  <c r="S4" i="19"/>
  <c r="A13" i="19" l="1" a="1"/>
  <c r="A13" i="19" s="1"/>
  <c r="A16" i="19" a="1"/>
  <c r="A16" i="19" s="1"/>
  <c r="A4" i="19" a="1"/>
  <c r="A4" i="19" s="1"/>
  <c r="A11" i="19" a="1"/>
  <c r="A11" i="19" s="1"/>
  <c r="A18" i="19" a="1"/>
  <c r="A18" i="19" s="1"/>
  <c r="A9" i="19" a="1"/>
  <c r="A9" i="19" s="1"/>
  <c r="A17" i="19" a="1"/>
  <c r="A17" i="19" s="1"/>
  <c r="A12" i="19" a="1"/>
  <c r="A12" i="19" s="1"/>
  <c r="A15" i="19" a="1"/>
  <c r="A15" i="19" s="1"/>
  <c r="A6" i="19" a="1"/>
  <c r="A6" i="19" s="1"/>
  <c r="A7" i="19" a="1"/>
  <c r="A7" i="19" s="1"/>
  <c r="A5" i="19" a="1"/>
  <c r="A5" i="19" s="1"/>
  <c r="A8" i="19" a="1"/>
  <c r="A8" i="19" s="1"/>
  <c r="A14" i="19" a="1"/>
  <c r="A14" i="19" s="1"/>
  <c r="A10" i="19" a="1"/>
  <c r="A10" i="19" s="1"/>
  <c r="C42" i="11" l="1"/>
  <c r="C46" i="11"/>
  <c r="C44" i="11"/>
  <c r="C49" i="11"/>
  <c r="C47" i="11"/>
  <c r="D45" i="11"/>
  <c r="D49" i="11"/>
  <c r="C48" i="11"/>
  <c r="D42" i="11"/>
  <c r="C45" i="11"/>
  <c r="D43" i="11"/>
  <c r="D48" i="11"/>
  <c r="D44" i="11"/>
  <c r="D46" i="11"/>
  <c r="D47" i="11"/>
  <c r="C4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<sst xmlns="http://schemas.openxmlformats.org/spreadsheetml/2006/main" count="5206" uniqueCount="261">
  <si>
    <t>Province</t>
  </si>
  <si>
    <t>Rank</t>
  </si>
  <si>
    <t>Total Points</t>
  </si>
  <si>
    <t>ON</t>
  </si>
  <si>
    <t>SOEHN, Keegan</t>
  </si>
  <si>
    <t>AB</t>
  </si>
  <si>
    <t>BC</t>
  </si>
  <si>
    <t>SHUH, Nathan</t>
  </si>
  <si>
    <t>QC</t>
  </si>
  <si>
    <t>ARMSTRONG, Mark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</si>
  <si>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</si>
  <si>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</si>
  <si>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</si>
  <si>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</si>
  <si>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</si>
  <si>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</si>
  <si>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</si>
  <si>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</si>
  <si>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</si>
  <si>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</si>
  <si>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</si>
  <si>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</si>
  <si>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</si>
  <si>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</si>
  <si>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</si>
  <si>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MÉTHOT, Sophiane</t>
  </si>
  <si>
    <t>MILETTE, Sarah</t>
  </si>
  <si>
    <t>SMITH, Samantha</t>
  </si>
  <si>
    <t>TAM, Rachel</t>
  </si>
  <si>
    <t>Athlete</t>
  </si>
  <si>
    <t>Penalty</t>
  </si>
  <si>
    <t>Bonus</t>
  </si>
  <si>
    <t>LEFAIVRE, Justin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</si>
  <si>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</si>
  <si>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</si>
  <si>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</si>
  <si>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</si>
  <si>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</si>
  <si>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</si>
  <si>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</si>
  <si>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</si>
  <si>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</si>
  <si>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</si>
  <si>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</si>
  <si>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</si>
  <si>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</si>
  <si>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</si>
  <si>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</si>
  <si>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</si>
  <si>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</si>
  <si>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</si>
  <si>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</si>
  <si>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</si>
  <si>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</si>
  <si>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</si>
  <si>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</si>
  <si>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</si>
  <si>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</si>
  <si>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</si>
  <si>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</si>
  <si>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</si>
  <si>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</si>
  <si>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</si>
  <si>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</si>
  <si>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Best International Diff</t>
  </si>
  <si>
    <t>National Team DD and Score</t>
  </si>
  <si>
    <t>Excellence Score</t>
  </si>
  <si>
    <t>Excellence DD</t>
  </si>
  <si>
    <t>Potential Injury Score</t>
  </si>
  <si>
    <t>THEODORE, Craig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</si>
  <si>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</si>
  <si>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</si>
  <si>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</si>
  <si>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</si>
  <si>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</si>
  <si>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</si>
  <si>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</si>
  <si>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</si>
  <si>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</si>
  <si>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</si>
  <si>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</si>
  <si>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 2 DD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</si>
  <si>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</si>
  <si>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</si>
  <si>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</si>
  <si>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</si>
  <si>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</si>
  <si>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</si>
  <si>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</si>
  <si>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</si>
  <si>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DODD, Gavin</t>
  </si>
  <si>
    <t>BODNAR, Cassidy</t>
  </si>
  <si>
    <t>PARHAR, Jasmine</t>
  </si>
  <si>
    <t>LEVASSEUR, Nathan</t>
  </si>
  <si>
    <t>CARISSE, Jesse</t>
  </si>
  <si>
    <t>DON, Alexander</t>
  </si>
  <si>
    <t>METHERAL, Hannah</t>
  </si>
  <si>
    <t>HOWELL, Kayla</t>
  </si>
  <si>
    <t>SOEHN, Kalena</t>
  </si>
  <si>
    <t>1997/1998</t>
  </si>
  <si>
    <t>MÉTHOT &amp; MILETTE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</si>
  <si>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</si>
  <si>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</si>
  <si>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</si>
  <si>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</si>
  <si>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</si>
  <si>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</si>
  <si>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</si>
  <si>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</si>
  <si>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</si>
  <si>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</si>
  <si>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</si>
  <si>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</si>
  <si>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Best Routine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</si>
  <si>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</si>
  <si>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</si>
  <si>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</si>
  <si>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</si>
  <si>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</si>
  <si>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</si>
  <si>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</si>
  <si>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</si>
  <si>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</si>
  <si>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</si>
  <si>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</si>
  <si>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</si>
  <si>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3rd Best
Prelim Routine</t>
  </si>
  <si>
    <t>CLOUTIER, Etienne</t>
  </si>
  <si>
    <t>NOGA-BARD, Kasha</t>
  </si>
  <si>
    <t>THOMPSON, Justin</t>
  </si>
  <si>
    <t>DYKMAN, Matvey</t>
  </si>
  <si>
    <t>CHAMPAGNE, Tyler</t>
  </si>
  <si>
    <t>NEUFELD, Simon</t>
  </si>
  <si>
    <t>CLOUTIER, Étienne</t>
  </si>
  <si>
    <t>ANAKA, Ashley</t>
  </si>
  <si>
    <t>BRENNER, Adin</t>
  </si>
  <si>
    <t>1992/1998</t>
  </si>
  <si>
    <t>BC/ON</t>
  </si>
  <si>
    <t>SMITH &amp; TAM</t>
  </si>
  <si>
    <t>1997/1992</t>
  </si>
  <si>
    <t>ON/AB</t>
  </si>
  <si>
    <t>SHUH &amp; SOEHN</t>
  </si>
  <si>
    <t>SYN</t>
  </si>
  <si>
    <t>Vol 2 SYN</t>
  </si>
  <si>
    <t>Vol 1 SYN</t>
  </si>
  <si>
    <t>Final SYN</t>
  </si>
  <si>
    <t>Semifinal SYN</t>
  </si>
  <si>
    <t>THOMPSON, Abby</t>
  </si>
  <si>
    <t>MEYER, Jeremy</t>
  </si>
  <si>
    <t>DALGETTY, McKayla</t>
  </si>
  <si>
    <t>2002/2001</t>
  </si>
  <si>
    <t>BONHAM &amp; FLYNN</t>
  </si>
  <si>
    <t>NL</t>
  </si>
  <si>
    <t>EVSTIGNEEV, Gleb</t>
  </si>
  <si>
    <t>GEREIN, Curtis</t>
  </si>
  <si>
    <t>NOSSACK, Sophie</t>
  </si>
  <si>
    <t>BONNE, Rielle</t>
  </si>
  <si>
    <t>CLOUTIER &amp; LEVASSEUR</t>
  </si>
  <si>
    <t>2005/2004</t>
  </si>
  <si>
    <t>1993/1991</t>
  </si>
  <si>
    <t>GEREIN &amp; THEODORE</t>
  </si>
  <si>
    <t>2004/1999</t>
  </si>
  <si>
    <t>NOSSACK &amp; SOEHN</t>
  </si>
  <si>
    <t>JAMES &amp; NOGA-BARD</t>
  </si>
  <si>
    <t>2006/2001</t>
  </si>
  <si>
    <t>STANNARD, Adam</t>
  </si>
  <si>
    <t>MALEK, Philo</t>
  </si>
  <si>
    <t>BOWDITCH, Courtney</t>
  </si>
  <si>
    <t>SCHOLES, Hannah</t>
  </si>
  <si>
    <t>MB</t>
  </si>
  <si>
    <t>KLASSEN, Isaiah</t>
  </si>
  <si>
    <t>BLAKELY, Zach</t>
  </si>
  <si>
    <t>MANCINI, Michael</t>
  </si>
  <si>
    <t>BIANCHET, Anthony</t>
  </si>
  <si>
    <t>IBACH, Sam</t>
  </si>
  <si>
    <t>2022 WAGC (Nov 23)</t>
  </si>
  <si>
    <t>2022 WAGC (Nov 25)</t>
  </si>
  <si>
    <t>2022 WAGC (Nov 24)</t>
  </si>
  <si>
    <t>2022 WAGC (Nov 26)</t>
  </si>
  <si>
    <t>BC/AB</t>
  </si>
  <si>
    <t>DODD &amp; ZUREK</t>
  </si>
  <si>
    <t>2023 World Cup AZE (Feb 19)</t>
  </si>
  <si>
    <t>2nd Best Routine</t>
  </si>
  <si>
    <t>2023 Elite Canada</t>
  </si>
  <si>
    <t>JAMES, Roshni</t>
  </si>
  <si>
    <t>ROY, Anne-Jolie</t>
  </si>
  <si>
    <t>MATTHEWS, Jared</t>
  </si>
  <si>
    <t>WILL, Rebecca</t>
  </si>
  <si>
    <t>RICHARDSON, Connor</t>
  </si>
  <si>
    <t>THOMPSON, Derek</t>
  </si>
  <si>
    <t>HUMBERSTONE, Joey</t>
  </si>
  <si>
    <t>VIAU, Nathan</t>
  </si>
  <si>
    <t>MALLAIS, Rylan</t>
  </si>
  <si>
    <t>DION, Amélia</t>
  </si>
  <si>
    <t>LOVELL-SCHMIDT, Sydney</t>
  </si>
  <si>
    <t>1999/1998</t>
  </si>
  <si>
    <t>AB/ON</t>
  </si>
  <si>
    <t>SOEHN &amp; TAM</t>
  </si>
  <si>
    <t>BONNE &amp; GADSBY</t>
  </si>
  <si>
    <t>2004/2006</t>
  </si>
  <si>
    <t>2004/2001</t>
  </si>
  <si>
    <t>NL/NB</t>
  </si>
  <si>
    <t>EVSTIGNEEV &amp; RICHARD</t>
  </si>
  <si>
    <t>ADJEMIAN, Alexan</t>
  </si>
  <si>
    <t>2023 Pan Am Championships (May 14)</t>
  </si>
  <si>
    <t>2023 Pan Am Club Championships (May 14)</t>
  </si>
  <si>
    <t>2023 Pan Am Championships Team Final (May 14)</t>
  </si>
  <si>
    <t>BONNE &amp; JAMES</t>
  </si>
  <si>
    <t>QC/NL</t>
  </si>
  <si>
    <t>CLOUTIER &amp; EVSTIGNEEV</t>
  </si>
  <si>
    <t>2007/2009</t>
  </si>
  <si>
    <t>QC/BC</t>
  </si>
  <si>
    <t>CORRIVEAU &amp; LEE-MCMEEKEN</t>
  </si>
  <si>
    <t>2023 World Cup POR 1 (July 2)</t>
  </si>
  <si>
    <t>2001/1997</t>
  </si>
  <si>
    <t>QC/ON</t>
  </si>
  <si>
    <t>AUBIN &amp; SHUH</t>
  </si>
  <si>
    <t>2001/1998</t>
  </si>
  <si>
    <t>FLYNN &amp; TAM</t>
  </si>
  <si>
    <t>2023 World Cup POR 2 (July 8)</t>
  </si>
  <si>
    <t>2023 Nationals</t>
  </si>
  <si>
    <t>2001/1992</t>
  </si>
  <si>
    <t>QC/AB</t>
  </si>
  <si>
    <t>AUBIN &amp; SOEHN</t>
  </si>
  <si>
    <t>COLLINSON &amp; MEYER</t>
  </si>
  <si>
    <t>2004/2003</t>
  </si>
  <si>
    <t>NEUFELD &amp; ZUREK</t>
  </si>
  <si>
    <t>2009/2006</t>
  </si>
  <si>
    <t>LEPORÉ &amp; ROY</t>
  </si>
  <si>
    <t>JACKSON, Claire</t>
  </si>
  <si>
    <t>PINSK, Benjamin</t>
  </si>
  <si>
    <t>MCCONNELL, Jocelyn</t>
  </si>
  <si>
    <t>2023 World Cup USA (Aug 5)</t>
  </si>
  <si>
    <t>DODD &amp; SHUH</t>
  </si>
  <si>
    <t>2003/1997</t>
  </si>
  <si>
    <t>2004/1998</t>
  </si>
  <si>
    <t>BONNE &amp; TAM</t>
  </si>
  <si>
    <t>2023 Domestic 3rd Trial</t>
  </si>
  <si>
    <t>MCLEAN, Declan</t>
  </si>
  <si>
    <t>COLLINSON, Brody</t>
  </si>
  <si>
    <t>CANUEL, Victor</t>
  </si>
  <si>
    <t>COUTURE, Joey</t>
  </si>
  <si>
    <t>2023 World Cup BUL (Oct 7)</t>
  </si>
  <si>
    <t>2023 World Cup BUL (Oct 8)</t>
  </si>
  <si>
    <t>2023 Pan Am Games (Nov 4)</t>
  </si>
  <si>
    <t>2023 Pan Am [Club] Championships (May 14)</t>
  </si>
  <si>
    <t>2023 World Championships (Nov 9)</t>
  </si>
  <si>
    <t>2023 World Championships All-Around Team Final (Nov 12)</t>
  </si>
  <si>
    <t>2023 World Championships (Nov 12)</t>
  </si>
  <si>
    <t>2023 World Championships (Nov 10)</t>
  </si>
  <si>
    <t>2023 World Championships (Nov 11)</t>
  </si>
  <si>
    <t>2023 World Championships [All-Around] Team Final (Nov 11)</t>
  </si>
  <si>
    <t>2023 WAGC</t>
  </si>
  <si>
    <t>2023 WAGC (Nov 18)</t>
  </si>
  <si>
    <t>2023 WAGC (Nov 16)</t>
  </si>
  <si>
    <t>COLLINSON &amp; DON</t>
  </si>
  <si>
    <t>2005/2002</t>
  </si>
  <si>
    <t>2006/2005</t>
  </si>
  <si>
    <t>ADJEMIAN &amp; CLOUTIER</t>
  </si>
  <si>
    <t>2023 WAGC (Nov 17)</t>
  </si>
  <si>
    <t>Formatting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</si>
</sst>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3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8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F2CC"/>
        <bgColor rgb="FF000000"/>
      </patternFill>
    </fill>
    <fill>
      <patternFill patternType="solid">
        <fgColor rgb="FFFFB6B7"/>
        <bgColor rgb="FF000000"/>
      </patternFill>
    </fill>
    <fill>
      <patternFill patternType="solid">
        <fgColor rgb="FFFFBFFE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DDEBF7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rgb="FFE5C6FA"/>
        <bgColor rgb="FF00000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79">
    <xf numFmtId="0" fontId="0" fillId="0" borderId="0" xfId="0"/>
    <xf numFmtId="0" fontId="4" fillId="0" borderId="0" xfId="0" applyFont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0" fillId="3" borderId="0" xfId="0" applyFill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0" borderId="0" xfId="0" applyFont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1" fillId="3" borderId="0" xfId="0" applyFont="1" applyFill="1" applyAlignment="1">
      <alignment horizontal="center"/>
    </xf>
    <xf numFmtId="0" fontId="11" fillId="4" borderId="0" xfId="0" applyFont="1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164" fontId="6" fillId="0" borderId="0" xfId="0" applyNumberFormat="1" applyFont="1"/>
    <xf numFmtId="0" fontId="11" fillId="9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6" fillId="6" borderId="0" xfId="0" applyFont="1" applyFill="1"/>
    <xf numFmtId="0" fontId="9" fillId="7" borderId="0" xfId="0" applyFont="1" applyFill="1"/>
    <xf numFmtId="0" fontId="10" fillId="8" borderId="0" xfId="0" applyFont="1" applyFill="1"/>
    <xf numFmtId="164" fontId="6" fillId="4" borderId="1" xfId="0" applyNumberFormat="1" applyFont="1" applyFill="1" applyBorder="1" applyProtection="1">
      <protection locked="0"/>
    </xf>
    <xf numFmtId="164" fontId="17" fillId="3" borderId="1" xfId="0" applyNumberFormat="1" applyFont="1" applyFill="1" applyBorder="1" applyAlignment="1" applyProtection="1">
      <alignment horizontal="center"/>
      <protection locked="0"/>
    </xf>
    <xf numFmtId="164" fontId="17" fillId="4" borderId="1" xfId="0" applyNumberFormat="1" applyFont="1" applyFill="1" applyBorder="1" applyAlignment="1" applyProtection="1">
      <alignment horizontal="center"/>
      <protection locked="0"/>
    </xf>
    <xf numFmtId="0" fontId="15" fillId="0" borderId="0" xfId="0" applyFont="1"/>
    <xf numFmtId="0" fontId="18" fillId="11" borderId="0" xfId="0" applyFont="1" applyFill="1"/>
    <xf numFmtId="0" fontId="2" fillId="12" borderId="0" xfId="0" applyFont="1" applyFill="1"/>
    <xf numFmtId="164" fontId="0" fillId="0" borderId="0" xfId="0" applyNumberFormat="1" applyAlignment="1">
      <alignment horizontal="center"/>
    </xf>
    <xf numFmtId="0" fontId="19" fillId="14" borderId="0" xfId="0" applyFont="1" applyFill="1"/>
    <xf numFmtId="0" fontId="21" fillId="5" borderId="0" xfId="0" applyFont="1" applyFill="1"/>
    <xf numFmtId="0" fontId="20" fillId="15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6" fillId="3" borderId="0" xfId="0" applyNumberFormat="1" applyFont="1" applyFill="1" applyAlignment="1" applyProtection="1">
      <alignment horizontal="center"/>
      <protection locked="0"/>
    </xf>
    <xf numFmtId="164" fontId="6" fillId="4" borderId="0" xfId="0" applyNumberFormat="1" applyFont="1" applyFill="1" applyAlignment="1" applyProtection="1">
      <alignment horizontal="center"/>
      <protection locked="0"/>
    </xf>
    <xf numFmtId="164" fontId="0" fillId="3" borderId="0" xfId="0" applyNumberFormat="1" applyFill="1" applyAlignment="1">
      <alignment horizontal="center"/>
    </xf>
    <xf numFmtId="164" fontId="6" fillId="0" borderId="0" xfId="0" applyNumberFormat="1" applyFont="1" applyAlignment="1" applyProtection="1">
      <alignment horizontal="center"/>
      <protection locked="0"/>
    </xf>
    <xf numFmtId="164" fontId="16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2" fillId="12" borderId="0" xfId="0" applyNumberFormat="1" applyFont="1" applyFill="1" applyAlignment="1" applyProtection="1">
      <alignment horizontal="center"/>
      <protection locked="0"/>
    </xf>
    <xf numFmtId="164" fontId="20" fillId="15" borderId="0" xfId="0" applyNumberFormat="1" applyFont="1" applyFill="1" applyAlignment="1" applyProtection="1">
      <alignment horizontal="center"/>
      <protection locked="0"/>
    </xf>
    <xf numFmtId="164" fontId="21" fillId="5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10" fillId="8" borderId="0" xfId="0" applyNumberFormat="1" applyFont="1" applyFill="1" applyAlignment="1" applyProtection="1">
      <alignment horizontal="center"/>
      <protection locked="0"/>
    </xf>
    <xf numFmtId="0" fontId="0" fillId="10" borderId="0" xfId="0" applyFill="1" applyAlignment="1">
      <alignment horizontal="center"/>
    </xf>
    <xf numFmtId="164" fontId="0" fillId="10" borderId="0" xfId="0" applyNumberFormat="1" applyFill="1" applyAlignment="1">
      <alignment horizontal="center"/>
    </xf>
    <xf numFmtId="164" fontId="18" fillId="11" borderId="0" xfId="0" applyNumberFormat="1" applyFont="1" applyFill="1" applyAlignment="1" applyProtection="1">
      <alignment horizontal="center"/>
      <protection locked="0"/>
    </xf>
    <xf numFmtId="164" fontId="16" fillId="16" borderId="0" xfId="0" applyNumberFormat="1" applyFont="1" applyFill="1" applyAlignment="1" applyProtection="1">
      <alignment horizontal="center"/>
      <protection locked="0"/>
    </xf>
    <xf numFmtId="164" fontId="2" fillId="17" borderId="0" xfId="0" applyNumberFormat="1" applyFont="1" applyFill="1" applyAlignment="1" applyProtection="1">
      <alignment horizontal="center"/>
      <protection locked="0"/>
    </xf>
    <xf numFmtId="164" fontId="20" fillId="18" borderId="0" xfId="0" applyNumberFormat="1" applyFont="1" applyFill="1" applyAlignment="1" applyProtection="1">
      <alignment horizontal="center"/>
      <protection locked="0"/>
    </xf>
    <xf numFmtId="164" fontId="21" fillId="19" borderId="0" xfId="0" applyNumberFormat="1" applyFont="1" applyFill="1" applyAlignment="1" applyProtection="1">
      <alignment horizontal="center"/>
      <protection locked="0"/>
    </xf>
    <xf numFmtId="164" fontId="9" fillId="20" borderId="0" xfId="0" applyNumberFormat="1" applyFont="1" applyFill="1" applyAlignment="1" applyProtection="1">
      <alignment horizontal="center"/>
      <protection locked="0"/>
    </xf>
    <xf numFmtId="164" fontId="19" fillId="21" borderId="0" xfId="0" applyNumberFormat="1" applyFont="1" applyFill="1" applyAlignment="1" applyProtection="1">
      <alignment horizontal="center"/>
      <protection locked="0"/>
    </xf>
    <xf numFmtId="164" fontId="10" fillId="22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" fillId="3" borderId="1" xfId="0" applyNumberFormat="1" applyFont="1" applyFill="1" applyBorder="1" applyAlignment="1" applyProtection="1">
      <alignment horizontal="left"/>
      <protection locked="0"/>
    </xf>
    <xf numFmtId="164" fontId="6" fillId="3" borderId="1" xfId="0" applyNumberFormat="1" applyFont="1" applyFill="1" applyBorder="1" applyAlignment="1" applyProtection="1">
      <alignment horizontal="left"/>
      <protection locked="0"/>
    </xf>
    <xf numFmtId="164" fontId="1" fillId="3" borderId="0" xfId="0" applyNumberFormat="1" applyFont="1" applyFill="1" applyAlignment="1">
      <alignment horizontal="center"/>
    </xf>
    <xf numFmtId="165" fontId="0" fillId="0" borderId="0" xfId="0" applyNumberFormat="1" applyAlignment="1">
      <alignment horizontal="left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/>
    </xf>
    <xf numFmtId="0" fontId="3" fillId="3" borderId="0" xfId="0" applyFont="1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3" fillId="4" borderId="0" xfId="0" applyFont="1" applyFill="1" applyAlignment="1">
      <alignment vertical="center"/>
    </xf>
    <xf numFmtId="0" fontId="3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/>
    </xf>
    <xf numFmtId="0" fontId="3" fillId="4" borderId="0" xfId="0" applyFont="1" applyFill="1" applyAlignment="1" applyProtection="1">
      <alignment horizontal="center"/>
      <protection locked="0"/>
    </xf>
    <xf numFmtId="0" fontId="3" fillId="10" borderId="0" xfId="0" applyFont="1" applyFill="1" applyAlignment="1" applyProtection="1">
      <alignment horizontal="center"/>
      <protection locked="0"/>
    </xf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"/>
    </xf>
    <xf numFmtId="0" fontId="11" fillId="3" borderId="0" xfId="0" applyFont="1" applyFill="1" applyAlignment="1">
      <alignment horizontal="center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753"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F6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6" x14ac:dyDescent="0.2">
      <c r="A1" t="s">
        <v>40</v>
      </c>
      <c r="B1" t="s">
        <v>1</v>
      </c>
      <c r="C1" t="s">
        <v>42</v>
      </c>
      <c r="D1" s="37" t="s">
        <v>12</v>
      </c>
    </row>
    <row r="2" spans="1:6" x14ac:dyDescent="0.2">
      <c r="A2" s="6" t="s">
        <v>41</v>
      </c>
      <c r="B2" s="6">
        <v>1</v>
      </c>
      <c r="C2" s="6" t="str">
        <f>IF(B2&gt;MAX('TRA-M'!A:A),"",INDEX('TRA-M'!B:B,MATCH(B2,'TRA-M'!A:A,0)))</f>
        <v>AUBIN, Rémi</v>
      </c>
      <c r="D2" s="14" t="str">
        <f>IF(B2&gt;MAX('TRA-M'!A:A),"",INDEX('TRA-M'!H:H,MATCH(B2,'TRA-M'!A:A,0)))</f>
        <v>Merit</v>
      </c>
      <c r="E2" s="12"/>
      <c r="F2" s="12"/>
    </row>
    <row r="3" spans="1:6" x14ac:dyDescent="0.2">
      <c r="A3" s="6"/>
      <c r="B3" s="6">
        <v>2</v>
      </c>
      <c r="C3" s="6" t="str">
        <f>IF(B3&gt;MAX('TRA-M'!A:A),"",INDEX('TRA-M'!B:B,MATCH(B3,'TRA-M'!A:A,0)))</f>
        <v>CHARTIER, Jérémy</v>
      </c>
      <c r="D3" s="14" t="str">
        <f>IF(B3&gt;MAX('TRA-M'!A:A),"",INDEX('TRA-M'!H:H,MATCH(B3,'TRA-M'!A:A,0)))</f>
        <v>Excellence</v>
      </c>
      <c r="E3" s="12"/>
      <c r="F3" s="12"/>
    </row>
    <row r="4" spans="1:6" x14ac:dyDescent="0.2">
      <c r="A4" s="6"/>
      <c r="B4" s="6">
        <v>3</v>
      </c>
      <c r="C4" s="6" t="str">
        <f>IF(B4&gt;MAX('TRA-M'!A:A),"",INDEX('TRA-M'!B:B,MATCH(B4,'TRA-M'!A:A,0)))</f>
        <v>SOEHN, Keegan</v>
      </c>
      <c r="D4" s="14" t="str">
        <f>IF(B4&gt;MAX('TRA-M'!A:A),"",INDEX('TRA-M'!H:H,MATCH(B4,'TRA-M'!A:A,0)))</f>
        <v>Excellence</v>
      </c>
      <c r="E4" s="12"/>
      <c r="F4" s="12"/>
    </row>
    <row r="5" spans="1:6" x14ac:dyDescent="0.2">
      <c r="A5" s="6"/>
      <c r="B5" s="6">
        <v>4</v>
      </c>
      <c r="C5" s="6" t="str">
        <f>IF(B5&gt;MAX('TRA-M'!A:A),"",INDEX('TRA-M'!B:B,MATCH(B5,'TRA-M'!A:A,0)))</f>
        <v>SHUH, Nathan</v>
      </c>
      <c r="D5" s="14" t="str">
        <f>IF(B5&gt;MAX('TRA-M'!A:A),"",INDEX('TRA-M'!H:H,MATCH(B5,'TRA-M'!A:A,0)))</f>
        <v>Excellence</v>
      </c>
    </row>
    <row r="6" spans="1:6" x14ac:dyDescent="0.2">
      <c r="A6" s="6"/>
      <c r="B6" s="6">
        <v>5</v>
      </c>
      <c r="C6" s="6" t="str">
        <f>IF(B6&gt;MAX('TRA-M'!A:A),"",INDEX('TRA-M'!B:B,MATCH(B6,'TRA-M'!A:A,0)))</f>
        <v>DODD, Gavin</v>
      </c>
      <c r="D6" s="14" t="str">
        <f>IF(B6&gt;MAX('TRA-M'!A:A),"",INDEX('TRA-M'!H:H,MATCH(B6,'TRA-M'!A:A,0)))</f>
        <v>Worlds Team</v>
      </c>
    </row>
    <row r="7" spans="1:6" x14ac:dyDescent="0.2">
      <c r="A7" s="6"/>
      <c r="B7" s="6">
        <v>6</v>
      </c>
      <c r="C7" s="6" t="str">
        <f>IF(B7&gt;MAX('TRA-M'!A:A),"",INDEX('TRA-M'!B:B,MATCH(B7,'TRA-M'!A:A,0)))</f>
        <v>ADJEMIAN, Alexan</v>
      </c>
      <c r="D7" s="14" t="str">
        <f>IF(B7&gt;MAX('TRA-M'!A:A),"",INDEX('TRA-M'!H:H,MATCH(B7,'TRA-M'!A:A,0)))</f>
        <v>No DD</v>
      </c>
    </row>
    <row r="8" spans="1:6" x14ac:dyDescent="0.2">
      <c r="A8" s="6"/>
      <c r="B8" s="6">
        <v>7</v>
      </c>
      <c r="C8" s="6" t="str">
        <f>IF(B8&gt;MAX('TRA-M'!A:A),"",INDEX('TRA-M'!B:B,MATCH(B8,'TRA-M'!A:A,0)))</f>
        <v>BLAKELY, Zachary</v>
      </c>
      <c r="D8" s="14" t="str">
        <f>IF(B8&gt;MAX('TRA-M'!A:A),"",INDEX('TRA-M'!H:H,MATCH(B8,'TRA-M'!A:A,0)))</f>
        <v>No DD</v>
      </c>
    </row>
    <row r="9" spans="1:6" x14ac:dyDescent="0.2">
      <c r="A9" s="6"/>
      <c r="B9" s="6">
        <v>8</v>
      </c>
      <c r="C9" s="6" t="str">
        <f>IF(B9&gt;MAX('TRA-M'!A:A),"",INDEX('TRA-M'!B:B,MATCH(B9,'TRA-M'!A:A,0)))</f>
        <v>CLOUTIER, Etienne</v>
      </c>
      <c r="D9" s="14" t="str">
        <f>IF(B9&gt;MAX('TRA-M'!A:A),"",INDEX('TRA-M'!H:H,MATCH(B9,'TRA-M'!A:A,0)))</f>
        <v>No DD</v>
      </c>
    </row>
    <row r="10" spans="1:6" x14ac:dyDescent="0.2">
      <c r="A10" s="7" t="s">
        <v>44</v>
      </c>
      <c r="B10" s="7">
        <v>1</v>
      </c>
      <c r="C10" s="7" t="str">
        <f>IF(B2&gt;MAX('TRA-W'!A:A),"",INDEX('TRA-W'!B:B,MATCH(B2,'TRA-W'!A:A,0)))</f>
        <v>MILETTE, Sarah</v>
      </c>
      <c r="D10" s="13" t="str">
        <f>IF(B2&gt;MAX('TRA-W'!A:A),"",INDEX('TRA-W'!H:H,MATCH(B2,'TRA-W'!A:A,0)))</f>
        <v>Merit</v>
      </c>
    </row>
    <row r="11" spans="1:6" x14ac:dyDescent="0.2">
      <c r="A11" s="7"/>
      <c r="B11" s="7">
        <v>2</v>
      </c>
      <c r="C11" s="7" t="str">
        <f>IF(B3&gt;MAX('TRA-W'!A:A),"",INDEX('TRA-W'!B:B,MATCH(B3,'TRA-W'!A:A,0)))</f>
        <v>MÉTHOT, Sophiane</v>
      </c>
      <c r="D11" s="13" t="str">
        <f>IF(B3&gt;MAX('TRA-W'!A:A),"",INDEX('TRA-W'!H:H,MATCH(B3,'TRA-W'!A:A,0)))</f>
        <v>Merit</v>
      </c>
    </row>
    <row r="12" spans="1:6" x14ac:dyDescent="0.2">
      <c r="A12" s="7"/>
      <c r="B12" s="7">
        <v>3</v>
      </c>
      <c r="C12" s="7" t="str">
        <f>IF(B4&gt;MAX('TRA-W'!A:A),"",INDEX('TRA-W'!B:B,MATCH(B4,'TRA-W'!A:A,0)))</f>
        <v>TAM, Rachel</v>
      </c>
      <c r="D12" s="13" t="str">
        <f>IF(B4&gt;MAX('TRA-W'!A:A),"",INDEX('TRA-W'!H:H,MATCH(B4,'TRA-W'!A:A,0)))</f>
        <v>Merit</v>
      </c>
    </row>
    <row r="13" spans="1:6" x14ac:dyDescent="0.2">
      <c r="A13" s="7"/>
      <c r="B13" s="7">
        <v>4</v>
      </c>
      <c r="C13" s="7" t="str">
        <f>IF(B5&gt;MAX('TRA-W'!A:A),"",INDEX('TRA-W'!B:B,MATCH(B5,'TRA-W'!A:A,0)))</f>
        <v>FLYNN, Gabby</v>
      </c>
      <c r="D13" s="13" t="str">
        <f>IF(B5&gt;MAX('TRA-W'!A:A),"",INDEX('TRA-W'!H:H,MATCH(B5,'TRA-W'!A:A,0)))</f>
        <v>Excellence</v>
      </c>
    </row>
    <row r="14" spans="1:6" x14ac:dyDescent="0.2">
      <c r="A14" s="7"/>
      <c r="B14" s="7">
        <v>5</v>
      </c>
      <c r="C14" s="7" t="str">
        <f>IF(B6&gt;MAX('TRA-W'!A:A),"",INDEX('TRA-W'!B:B,MATCH(B6,'TRA-W'!A:A,0)))</f>
        <v>BONNE, Rielle</v>
      </c>
      <c r="D14" s="13" t="str">
        <f>IF(B6&gt;MAX('TRA-W'!A:A),"",INDEX('TRA-W'!H:H,MATCH(B6,'TRA-W'!A:A,0)))</f>
        <v>Excellence</v>
      </c>
    </row>
    <row r="15" spans="1:6" x14ac:dyDescent="0.2">
      <c r="A15" s="7"/>
      <c r="B15" s="7">
        <v>6</v>
      </c>
      <c r="C15" s="7" t="str">
        <f>IF(B7&gt;MAX('TRA-W'!A:A),"",INDEX('TRA-W'!B:B,MATCH(B7,'TRA-W'!A:A,0)))</f>
        <v>NOGA-BARD, Kasha</v>
      </c>
      <c r="D15" s="13" t="str">
        <f>IF(B7&gt;MAX('TRA-W'!A:A),"",INDEX('TRA-W'!H:H,MATCH(B7,'TRA-W'!A:A,0)))</f>
        <v>Worlds Team</v>
      </c>
    </row>
    <row r="16" spans="1:6" x14ac:dyDescent="0.2">
      <c r="A16" s="7"/>
      <c r="B16" s="7">
        <v>7</v>
      </c>
      <c r="C16" s="7" t="str">
        <f>IF(B8&gt;MAX('TRA-W'!A:A),"",INDEX('TRA-W'!B:B,MATCH(B8,'TRA-W'!A:A,0)))</f>
        <v>ROY, Anne-Jolie</v>
      </c>
      <c r="D16" s="13" t="str">
        <f>IF(B8&gt;MAX('TRA-W'!A:A),"",INDEX('TRA-W'!H:H,MATCH(B8,'TRA-W'!A:A,0)))</f>
        <v>National Team</v>
      </c>
    </row>
    <row r="17" spans="1:4" x14ac:dyDescent="0.2">
      <c r="A17" s="7"/>
      <c r="B17" s="7">
        <v>8</v>
      </c>
      <c r="C17" s="7" t="str">
        <f>IF(B9&gt;MAX('TRA-W'!A:A),"",INDEX('TRA-W'!B:B,MATCH(B9,'TRA-W'!A:A,0)))</f>
        <v>SOEHN, Kalena</v>
      </c>
      <c r="D17" s="13" t="str">
        <f>IF(B9&gt;MAX('TRA-W'!A:A),"",INDEX('TRA-W'!H:H,MATCH(B9,'TRA-W'!A:A,0)))</f>
        <v>Worlds Team</v>
      </c>
    </row>
    <row r="18" spans="1:4" x14ac:dyDescent="0.2">
      <c r="A18" s="6" t="s">
        <v>45</v>
      </c>
      <c r="B18" s="6">
        <v>1</v>
      </c>
      <c r="C18" s="6" t="str">
        <f>IF(B2&gt;MAX('SYN-M'!A:A),"",INDEX('SYN-M'!B:B,MATCH(B2,'SYN-M'!A:A,0)))</f>
        <v>AUBIN &amp; SOEHN</v>
      </c>
      <c r="D18" s="14" t="str">
        <f>IF(B2&gt;MAX('SYN-M'!A:A),"",INDEX('SYN-M'!H:H,MATCH(B2,'SYN-M'!A:A,0)))</f>
        <v>Excellence</v>
      </c>
    </row>
    <row r="19" spans="1:4" x14ac:dyDescent="0.2">
      <c r="A19" s="6"/>
      <c r="B19" s="6">
        <v>2</v>
      </c>
      <c r="C19" s="6" t="str">
        <f>IF(B3&gt;MAX('SYN-M'!A:A),"",INDEX('SYN-M'!B:B,MATCH(B3,'SYN-M'!A:A,0)))</f>
        <v>SHUH &amp; SOEHN</v>
      </c>
      <c r="D19" s="14" t="str">
        <f>IF(B3&gt;MAX('SYN-M'!A:A),"",INDEX('SYN-M'!H:H,MATCH(B3,'SYN-M'!A:A,0)))</f>
        <v>Excellence</v>
      </c>
    </row>
    <row r="20" spans="1:4" x14ac:dyDescent="0.2">
      <c r="A20" s="6"/>
      <c r="B20" s="6">
        <v>3</v>
      </c>
      <c r="C20" s="6" t="str">
        <f>IF(B4&gt;MAX('SYN-M'!A:A),"",INDEX('SYN-M'!B:B,MATCH(B4,'SYN-M'!A:A,0)))</f>
        <v>AUBIN &amp; SHUH</v>
      </c>
      <c r="D20" s="14" t="str">
        <f>IF(B4&gt;MAX('SYN-M'!A:A),"",INDEX('SYN-M'!H:H,MATCH(B4,'SYN-M'!A:A,0)))</f>
        <v>Excellence</v>
      </c>
    </row>
    <row r="21" spans="1:4" x14ac:dyDescent="0.2">
      <c r="A21" s="6"/>
      <c r="B21" s="6">
        <v>4</v>
      </c>
      <c r="C21" s="6" t="str">
        <f>IF(B5&gt;MAX('SYN-M'!A:A),"",INDEX('SYN-M'!B:B,MATCH(B5,'SYN-M'!A:A,0)))</f>
        <v>DODD &amp; SHUH</v>
      </c>
      <c r="D21" s="14" t="str">
        <f>IF(B5&gt;MAX('SYN-M'!A:A),"",INDEX('SYN-M'!H:H,MATCH(B5,'SYN-M'!A:A,0)))</f>
        <v>National Team</v>
      </c>
    </row>
    <row r="22" spans="1:4" x14ac:dyDescent="0.2">
      <c r="A22" s="7" t="s">
        <v>46</v>
      </c>
      <c r="B22" s="7">
        <v>1</v>
      </c>
      <c r="C22" s="7" t="str">
        <f>IF(B2&gt;MAX('SYN-W'!A:A),"",INDEX('SYN-W'!B:B,MATCH(B2,'SYN-W'!A:A,0)))</f>
        <v>MÉTHOT &amp; MILETTE</v>
      </c>
      <c r="D22" s="13" t="str">
        <f>IF(B2&gt;MAX('SYN-W'!A:A),"",INDEX('SYN-W'!H:H,MATCH(B2,'SYN-W'!A:A,0)))</f>
        <v>Worlds Team</v>
      </c>
    </row>
    <row r="23" spans="1:4" x14ac:dyDescent="0.2">
      <c r="A23" s="7"/>
      <c r="B23" s="7">
        <v>2</v>
      </c>
      <c r="C23" s="7" t="str">
        <f>IF(B3&gt;MAX('SYN-W'!A:A),"",INDEX('SYN-W'!B:B,MATCH(B3,'SYN-W'!A:A,0)))</f>
        <v>BONHAM &amp; FLYNN</v>
      </c>
      <c r="D23" s="13" t="str">
        <f>IF(B3&gt;MAX('SYN-W'!A:A),"",INDEX('SYN-W'!H:H,MATCH(B3,'SYN-W'!A:A,0)))</f>
        <v>Worlds Team</v>
      </c>
    </row>
    <row r="24" spans="1:4" x14ac:dyDescent="0.2">
      <c r="A24" s="7"/>
      <c r="B24" s="7">
        <v>3</v>
      </c>
      <c r="C24" s="7" t="str">
        <f>IF(B4&gt;MAX('SYN-W'!A:A),"",INDEX('SYN-W'!B:B,MATCH(B4,'SYN-W'!A:A,0)))</f>
        <v>SOEHN &amp; TAM</v>
      </c>
      <c r="D24" s="13" t="str">
        <f>IF(B4&gt;MAX('SYN-W'!A:A),"",INDEX('SYN-W'!H:H,MATCH(B4,'SYN-W'!A:A,0)))</f>
        <v>Worlds Team</v>
      </c>
    </row>
    <row r="25" spans="1:4" x14ac:dyDescent="0.2">
      <c r="A25" s="7"/>
      <c r="B25" s="7">
        <v>4</v>
      </c>
      <c r="C25" s="7" t="str">
        <f>IF(B5&gt;MAX('SYN-W'!A:A),"",INDEX('SYN-W'!B:B,MATCH(B5,'SYN-W'!A:A,0)))</f>
        <v>JAMES &amp; NOGA-BARD</v>
      </c>
      <c r="D25" s="13" t="str">
        <f>IF(B5&gt;MAX('SYN-W'!A:A),"",INDEX('SYN-W'!H:H,MATCH(B5,'SYN-W'!A:A,0)))</f>
        <v>National Team</v>
      </c>
    </row>
    <row r="26" spans="1:4" x14ac:dyDescent="0.2">
      <c r="A26" s="6" t="s">
        <v>47</v>
      </c>
      <c r="B26" s="6">
        <v>1</v>
      </c>
      <c r="C26" s="6" t="str">
        <f ca="1">IF(B2&gt;MAX('TUM-M'!A:A),"",INDEX('TUM-M'!B:B,MATCH(B2,'TUM-M'!A:A,0)))</f>
        <v>MATTHEWS, Jared</v>
      </c>
      <c r="D26" s="14" t="str">
        <f ca="1">IF(B2&gt;MAX('TUM-M'!A:A),"",INDEX('TUM-M'!H:H,MATCH(B2,'TUM-M'!A:A,0)))</f>
        <v>Merit</v>
      </c>
    </row>
    <row r="27" spans="1:4" x14ac:dyDescent="0.2">
      <c r="A27" s="6"/>
      <c r="B27" s="6">
        <v>2</v>
      </c>
      <c r="C27" s="6" t="str">
        <f ca="1">IF(B3&gt;MAX('TUM-M'!A:A),"",INDEX('TUM-M'!B:B,MATCH(B3,'TUM-M'!A:A,0)))</f>
        <v>THOMPSON, Justin</v>
      </c>
      <c r="D27" s="14" t="str">
        <f ca="1">IF(B3&gt;MAX('TUM-M'!A:A),"",INDEX('TUM-M'!H:H,MATCH(B3,'TUM-M'!A:A,0)))</f>
        <v>Merit</v>
      </c>
    </row>
    <row r="28" spans="1:4" x14ac:dyDescent="0.2">
      <c r="A28" s="6"/>
      <c r="B28" s="6">
        <v>3</v>
      </c>
      <c r="C28" s="6" t="str">
        <f ca="1">IF(B4&gt;MAX('TUM-M'!A:A),"",INDEX('TUM-M'!B:B,MATCH(B4,'TUM-M'!A:A,0)))</f>
        <v>STANNARD, Adam</v>
      </c>
      <c r="D28" s="14" t="str">
        <f ca="1">IF(B4&gt;MAX('TUM-M'!A:A),"",INDEX('TUM-M'!H:H,MATCH(B4,'TUM-M'!A:A,0)))</f>
        <v>Worlds Team</v>
      </c>
    </row>
    <row r="29" spans="1:4" x14ac:dyDescent="0.2">
      <c r="A29" s="6"/>
      <c r="B29" s="6">
        <v>4</v>
      </c>
      <c r="C29" s="6" t="str">
        <f ca="1">IF(B5&gt;MAX('TUM-M'!A:A),"",INDEX('TUM-M'!B:B,MATCH(B5,'TUM-M'!A:A,0)))</f>
        <v>CANUEL, Victor</v>
      </c>
      <c r="D29" s="14" t="str">
        <f ca="1">IF(B5&gt;MAX('TUM-M'!A:A),"",INDEX('TUM-M'!H:H,MATCH(B5,'TUM-M'!A:A,0)))</f>
        <v>National Team</v>
      </c>
    </row>
    <row r="30" spans="1:4" x14ac:dyDescent="0.2">
      <c r="A30" s="6"/>
      <c r="B30" s="6">
        <v>5</v>
      </c>
      <c r="C30" s="6" t="str">
        <f ca="1">IF(B6&gt;MAX('TUM-M'!A:A),"",INDEX('TUM-M'!B:B,MATCH(B6,'TUM-M'!A:A,0)))</f>
        <v>PEDERSEN, Mitchel</v>
      </c>
      <c r="D30" s="14" t="str">
        <f ca="1">IF(B6&gt;MAX('TUM-M'!A:A),"",INDEX('TUM-M'!H:H,MATCH(B6,'TUM-M'!A:A,0)))</f>
        <v>Worlds Team</v>
      </c>
    </row>
    <row r="31" spans="1:4" x14ac:dyDescent="0.2">
      <c r="A31" s="6"/>
      <c r="B31" s="6">
        <v>6</v>
      </c>
      <c r="C31" s="6" t="str">
        <f ca="1">IF(B7&gt;MAX('TUM-M'!A:A),"",INDEX('TUM-M'!B:B,MATCH(B7,'TUM-M'!A:A,0)))</f>
        <v>NEUFELD, Simon</v>
      </c>
      <c r="D31" s="14" t="str">
        <f ca="1">IF(B7&gt;MAX('TUM-M'!A:A),"",INDEX('TUM-M'!H:H,MATCH(B7,'TUM-M'!A:A,0)))</f>
        <v>National Team</v>
      </c>
    </row>
    <row r="32" spans="1:4" x14ac:dyDescent="0.2">
      <c r="A32" s="6"/>
      <c r="B32" s="6">
        <v>7</v>
      </c>
      <c r="C32" s="6" t="str">
        <f ca="1">IF(B8&gt;MAX('TUM-M'!A:A),"",INDEX('TUM-M'!B:B,MATCH(B8,'TUM-M'!A:A,0)))</f>
        <v>MALEK, Philo</v>
      </c>
      <c r="D32" s="14" t="str">
        <f ca="1">IF(B8&gt;MAX('TUM-M'!A:A),"",INDEX('TUM-M'!H:H,MATCH(B8,'TUM-M'!A:A,0)))</f>
        <v>National Team</v>
      </c>
    </row>
    <row r="33" spans="1:4" hidden="1" x14ac:dyDescent="0.2">
      <c r="A33" s="6"/>
      <c r="B33" s="6">
        <v>8</v>
      </c>
      <c r="C33" s="6" t="str">
        <f ca="1">IF(B9&gt;MAX('TUM-M'!A:A),"",INDEX('TUM-M'!B:B,MATCH(B9,'TUM-M'!A:A,0)))</f>
        <v/>
      </c>
      <c r="D33" s="14" t="str">
        <f ca="1">IF(B9&gt;MAX('TUM-M'!A:A),"",INDEX('TUM-M'!H:H,MATCH(B9,'TUM-M'!A:A,0)))</f>
        <v/>
      </c>
    </row>
    <row r="34" spans="1:4" x14ac:dyDescent="0.2">
      <c r="A34" s="7" t="s">
        <v>48</v>
      </c>
      <c r="B34" s="7">
        <v>1</v>
      </c>
      <c r="C34" s="7" t="str">
        <f>IF(B2&gt;MAX('TUM-W'!A:A),"",INDEX('TUM-W'!B:B,MATCH(B2,'TUM-W'!A:A,0)))</f>
        <v>PILLINGER, Taylor</v>
      </c>
      <c r="D34" s="13" t="str">
        <f>IF(B2&gt;MAX('TUM-W'!A:A),"",INDEX('TUM-W'!H:H,MATCH(B2,'TUM-W'!A:A,0)))</f>
        <v>National Team</v>
      </c>
    </row>
    <row r="35" spans="1:4" x14ac:dyDescent="0.2">
      <c r="A35" s="7"/>
      <c r="B35" s="7">
        <v>2</v>
      </c>
      <c r="C35" s="7" t="str">
        <f>IF(B3&gt;MAX('TUM-W'!A:A),"",INDEX('TUM-W'!B:B,MATCH(B3,'TUM-W'!A:A,0)))</f>
        <v>JACKSON, Claire</v>
      </c>
      <c r="D35" s="13" t="str">
        <f>IF(B3&gt;MAX('TUM-W'!A:A),"",INDEX('TUM-W'!H:H,MATCH(B3,'TUM-W'!A:A,0)))</f>
        <v>Worlds Team</v>
      </c>
    </row>
    <row r="36" spans="1:4" x14ac:dyDescent="0.2">
      <c r="A36" s="7"/>
      <c r="B36" s="7">
        <v>3</v>
      </c>
      <c r="C36" s="7" t="str">
        <f>IF(B4&gt;MAX('TUM-W'!A:A),"",INDEX('TUM-W'!B:B,MATCH(B4,'TUM-W'!A:A,0)))</f>
        <v>THOMPSON, Abby</v>
      </c>
      <c r="D36" s="13" t="str">
        <f>IF(B4&gt;MAX('TUM-W'!A:A),"",INDEX('TUM-W'!H:H,MATCH(B4,'TUM-W'!A:A,0)))</f>
        <v>Worlds Team</v>
      </c>
    </row>
    <row r="37" spans="1:4" x14ac:dyDescent="0.2">
      <c r="A37" s="7"/>
      <c r="B37" s="7">
        <v>4</v>
      </c>
      <c r="C37" s="7" t="str">
        <f>IF(B5&gt;MAX('TUM-W'!A:A),"",INDEX('TUM-W'!B:B,MATCH(B5,'TUM-W'!A:A,0)))</f>
        <v>IBACH, Sam</v>
      </c>
      <c r="D37" s="13" t="str">
        <f>IF(B5&gt;MAX('TUM-W'!A:A),"",INDEX('TUM-W'!H:H,MATCH(B5,'TUM-W'!A:A,0)))</f>
        <v>Worlds Team</v>
      </c>
    </row>
    <row r="38" spans="1:4" x14ac:dyDescent="0.2">
      <c r="A38" s="7"/>
      <c r="B38" s="7">
        <v>5</v>
      </c>
      <c r="C38" s="7" t="str">
        <f>IF(B6&gt;MAX('TUM-W'!A:A),"",INDEX('TUM-W'!B:B,MATCH(B6,'TUM-W'!A:A,0)))</f>
        <v>HOWELL, Kayla</v>
      </c>
      <c r="D38" s="13" t="str">
        <f>IF(B6&gt;MAX('TUM-W'!A:A),"",INDEX('TUM-W'!H:H,MATCH(B6,'TUM-W'!A:A,0)))</f>
        <v>National Team</v>
      </c>
    </row>
    <row r="39" spans="1:4" x14ac:dyDescent="0.2">
      <c r="A39" s="7"/>
      <c r="B39" s="7">
        <v>6</v>
      </c>
      <c r="C39" s="7" t="str">
        <f>IF(B7&gt;MAX('TUM-W'!A:A),"",INDEX('TUM-W'!B:B,MATCH(B7,'TUM-W'!A:A,0)))</f>
        <v>BOWDITCH, Courtney</v>
      </c>
      <c r="D39" s="13" t="str">
        <f>IF(B7&gt;MAX('TUM-W'!A:A),"",INDEX('TUM-W'!H:H,MATCH(B7,'TUM-W'!A:A,0)))</f>
        <v>No DD</v>
      </c>
    </row>
    <row r="40" spans="1:4" hidden="1" x14ac:dyDescent="0.2">
      <c r="A40" s="7"/>
      <c r="B40" s="7">
        <v>7</v>
      </c>
      <c r="C40" s="7" t="str">
        <f>IF(B8&gt;MAX('TUM-W'!A:A),"",INDEX('TUM-W'!B:B,MATCH(B8,'TUM-W'!A:A,0)))</f>
        <v/>
      </c>
      <c r="D40" s="13" t="str">
        <f>IF(B8&gt;MAX('TUM-W'!A:A),"",INDEX('TUM-W'!H:H,MATCH(B8,'TUM-W'!A:A,0)))</f>
        <v/>
      </c>
    </row>
    <row r="41" spans="1:4" hidden="1" x14ac:dyDescent="0.2">
      <c r="A41" s="7"/>
      <c r="B41" s="7">
        <v>8</v>
      </c>
      <c r="C41" s="7" t="str">
        <f>IF(B9&gt;MAX('TUM-W'!A:A),"",INDEX('TUM-W'!B:B,MATCH(B9,'TUM-W'!A:A,0)))</f>
        <v/>
      </c>
      <c r="D41" s="13" t="str">
        <f>IF(B9&gt;MAX('TUM-W'!A:A),"",INDEX('TUM-W'!H:H,MATCH(B9,'TUM-W'!A:A,0)))</f>
        <v/>
      </c>
    </row>
    <row r="42" spans="1:4" x14ac:dyDescent="0.2">
      <c r="A42" s="6" t="s">
        <v>49</v>
      </c>
      <c r="B42" s="6">
        <v>1</v>
      </c>
      <c r="C42" s="6" t="str">
        <f>IF(B2&gt;MAX('DMT-M'!A:A),"",INDEX('DMT-M'!B:B,MATCH(B2,'DMT-M'!A:A,0)))</f>
        <v>DODD, Gavin</v>
      </c>
      <c r="D42" s="14" t="str">
        <f>IF(B2&gt;MAX('DMT-M'!A:A),"",INDEX('DMT-M'!H:H,MATCH(B2,'DMT-M'!A:A,0)))</f>
        <v>Merit</v>
      </c>
    </row>
    <row r="43" spans="1:4" x14ac:dyDescent="0.2">
      <c r="A43" s="6"/>
      <c r="B43" s="6">
        <v>2</v>
      </c>
      <c r="C43" s="6" t="str">
        <f>IF(B3&gt;MAX('DMT-M'!A:A),"",INDEX('DMT-M'!B:B,MATCH(B3,'DMT-M'!A:A,0)))</f>
        <v>ZUREK, Nolan</v>
      </c>
      <c r="D43" s="14" t="str">
        <f>IF(B3&gt;MAX('DMT-M'!A:A),"",INDEX('DMT-M'!H:H,MATCH(B3,'DMT-M'!A:A,0)))</f>
        <v>Excellence</v>
      </c>
    </row>
    <row r="44" spans="1:4" x14ac:dyDescent="0.2">
      <c r="A44" s="6"/>
      <c r="B44" s="6">
        <v>3</v>
      </c>
      <c r="C44" s="6" t="str">
        <f>IF(B4&gt;MAX('DMT-M'!A:A),"",INDEX('DMT-M'!B:B,MATCH(B4,'DMT-M'!A:A,0)))</f>
        <v>LUPISH, Kieran</v>
      </c>
      <c r="D44" s="14" t="str">
        <f>IF(B4&gt;MAX('DMT-M'!A:A),"",INDEX('DMT-M'!H:H,MATCH(B4,'DMT-M'!A:A,0)))</f>
        <v>Worlds Team</v>
      </c>
    </row>
    <row r="45" spans="1:4" x14ac:dyDescent="0.2">
      <c r="A45" s="6"/>
      <c r="B45" s="6">
        <v>4</v>
      </c>
      <c r="C45" s="6" t="str">
        <f>IF(B5&gt;MAX('DMT-M'!A:A),"",INDEX('DMT-M'!B:B,MATCH(B5,'DMT-M'!A:A,0)))</f>
        <v>ARMSTRONG, Mark</v>
      </c>
      <c r="D45" s="14" t="str">
        <f>IF(B5&gt;MAX('DMT-M'!A:A),"",INDEX('DMT-M'!H:H,MATCH(B5,'DMT-M'!A:A,0)))</f>
        <v>Worlds Team</v>
      </c>
    </row>
    <row r="46" spans="1:4" x14ac:dyDescent="0.2">
      <c r="A46" s="6"/>
      <c r="B46" s="6">
        <v>5</v>
      </c>
      <c r="C46" s="6" t="str">
        <f>IF(B6&gt;MAX('DMT-M'!A:A),"",INDEX('DMT-M'!B:B,MATCH(B6,'DMT-M'!A:A,0)))</f>
        <v>NEUFELD, Simon</v>
      </c>
      <c r="D46" s="14" t="str">
        <f>IF(B6&gt;MAX('DMT-M'!A:A),"",INDEX('DMT-M'!H:H,MATCH(B6,'DMT-M'!A:A,0)))</f>
        <v>Worlds Team</v>
      </c>
    </row>
    <row r="47" spans="1:4" x14ac:dyDescent="0.2">
      <c r="A47" s="6"/>
      <c r="B47" s="6">
        <v>6</v>
      </c>
      <c r="C47" s="6" t="str">
        <f>IF(B7&gt;MAX('DMT-M'!A:A),"",INDEX('DMT-M'!B:B,MATCH(B7,'DMT-M'!A:A,0)))</f>
        <v>KLASSEN, Isaiah</v>
      </c>
      <c r="D47" s="14" t="str">
        <f>IF(B7&gt;MAX('DMT-M'!A:A),"",INDEX('DMT-M'!H:H,MATCH(B7,'DMT-M'!A:A,0)))</f>
        <v>Worlds Team</v>
      </c>
    </row>
    <row r="48" spans="1:4" x14ac:dyDescent="0.2">
      <c r="A48" s="6"/>
      <c r="B48" s="6">
        <v>7</v>
      </c>
      <c r="C48" s="6" t="str">
        <f>IF(B8&gt;MAX('DMT-M'!A:A),"",INDEX('DMT-M'!B:B,MATCH(B8,'DMT-M'!A:A,0)))</f>
        <v>CHAMPAGNE, Tyler</v>
      </c>
      <c r="D48" s="14" t="str">
        <f>IF(B8&gt;MAX('DMT-M'!A:A),"",INDEX('DMT-M'!H:H,MATCH(B8,'DMT-M'!A:A,0)))</f>
        <v>Worlds Team</v>
      </c>
    </row>
    <row r="49" spans="1:5" x14ac:dyDescent="0.2">
      <c r="A49" s="6"/>
      <c r="B49" s="6">
        <v>8</v>
      </c>
      <c r="C49" s="6" t="str">
        <f>IF(B9&gt;MAX('DMT-M'!A:A),"",INDEX('DMT-M'!B:B,MATCH(B9,'DMT-M'!A:A,0)))</f>
        <v>BIANCHET, Anthony</v>
      </c>
      <c r="D49" s="14" t="str">
        <f>IF(B9&gt;MAX('DMT-M'!A:A),"",INDEX('DMT-M'!H:H,MATCH(B9,'DMT-M'!A:A,0)))</f>
        <v>National Team</v>
      </c>
    </row>
    <row r="50" spans="1:5" x14ac:dyDescent="0.2">
      <c r="A50" s="7" t="s">
        <v>50</v>
      </c>
      <c r="B50" s="7">
        <v>1</v>
      </c>
      <c r="C50" s="7" t="str">
        <f>IF(B2&gt;MAX('DMT-W'!A:A),"",INDEX('DMT-W'!B:B,MATCH(B2,'DMT-W'!A:A,0)))</f>
        <v>FLYNN, Gabby</v>
      </c>
      <c r="D50" s="13" t="str">
        <f>IF(B2&gt;MAX('DMT-W'!A:A),"",INDEX('DMT-W'!H:H,MATCH(B2,'DMT-W'!A:A,0)))</f>
        <v>Merit</v>
      </c>
    </row>
    <row r="51" spans="1:5" x14ac:dyDescent="0.2">
      <c r="A51" s="7"/>
      <c r="B51" s="7">
        <v>2</v>
      </c>
      <c r="C51" s="7" t="str">
        <f>IF(B3&gt;MAX('DMT-W'!A:A),"",INDEX('DMT-W'!B:B,MATCH(B3,'DMT-W'!A:A,0)))</f>
        <v>SOEHN, Kalena</v>
      </c>
      <c r="D51" s="13" t="str">
        <f>IF(B3&gt;MAX('DMT-W'!A:A),"",INDEX('DMT-W'!H:H,MATCH(B3,'DMT-W'!A:A,0)))</f>
        <v>Merit</v>
      </c>
    </row>
    <row r="52" spans="1:5" x14ac:dyDescent="0.2">
      <c r="A52" s="7"/>
      <c r="B52" s="7">
        <v>3</v>
      </c>
      <c r="C52" s="7" t="str">
        <f>IF(B4&gt;MAX('DMT-W'!A:A),"",INDEX('DMT-W'!B:B,MATCH(B4,'DMT-W'!A:A,0)))</f>
        <v>METHERAL, Hannah</v>
      </c>
      <c r="D52" s="13" t="str">
        <f>IF(B4&gt;MAX('DMT-W'!A:A),"",INDEX('DMT-W'!H:H,MATCH(B4,'DMT-W'!A:A,0)))</f>
        <v>Worlds Team</v>
      </c>
    </row>
    <row r="53" spans="1:5" x14ac:dyDescent="0.2">
      <c r="A53" s="7"/>
      <c r="B53" s="7">
        <v>4</v>
      </c>
      <c r="C53" s="7" t="str">
        <f>IF(B5&gt;MAX('DMT-W'!A:A),"",INDEX('DMT-W'!B:B,MATCH(B5,'DMT-W'!A:A,0)))</f>
        <v>PHANEUF, Zoe</v>
      </c>
      <c r="D53" s="13" t="str">
        <f>IF(B5&gt;MAX('DMT-W'!A:A),"",INDEX('DMT-W'!H:H,MATCH(B5,'DMT-W'!A:A,0)))</f>
        <v>Excellence</v>
      </c>
    </row>
    <row r="54" spans="1:5" x14ac:dyDescent="0.2">
      <c r="A54" s="7"/>
      <c r="B54" s="7">
        <v>5</v>
      </c>
      <c r="C54" s="7" t="str">
        <f>IF(B6&gt;MAX('DMT-W'!A:A),"",INDEX('DMT-W'!B:B,MATCH(B6,'DMT-W'!A:A,0)))</f>
        <v>BROWN, Hannah</v>
      </c>
      <c r="D54" s="13" t="str">
        <f>IF(B6&gt;MAX('DMT-W'!A:A),"",INDEX('DMT-W'!H:H,MATCH(B6,'DMT-W'!A:A,0)))</f>
        <v>National Team</v>
      </c>
    </row>
    <row r="55" spans="1:5" x14ac:dyDescent="0.2">
      <c r="A55" s="7"/>
      <c r="B55" s="7">
        <v>6</v>
      </c>
      <c r="C55" s="7" t="str">
        <f>IF(B7&gt;MAX('DMT-W'!A:A),"",INDEX('DMT-W'!B:B,MATCH(B7,'DMT-W'!A:A,0)))</f>
        <v>ANAKA, Ashley</v>
      </c>
      <c r="D55" s="13" t="str">
        <f>IF(B7&gt;MAX('DMT-W'!A:A),"",INDEX('DMT-W'!H:H,MATCH(B7,'DMT-W'!A:A,0)))</f>
        <v>Worlds Team</v>
      </c>
    </row>
    <row r="56" spans="1:5" x14ac:dyDescent="0.2">
      <c r="A56" s="7"/>
      <c r="B56" s="7">
        <v>7</v>
      </c>
      <c r="C56" s="7" t="str">
        <f>IF(B8&gt;MAX('DMT-W'!A:A),"",INDEX('DMT-W'!B:B,MATCH(B8,'DMT-W'!A:A,0)))</f>
        <v>DALGETTY, McKayla</v>
      </c>
      <c r="D56" s="13" t="str">
        <f>IF(B8&gt;MAX('DMT-W'!A:A),"",INDEX('DMT-W'!H:H,MATCH(B8,'DMT-W'!A:A,0)))</f>
        <v>Worlds Team</v>
      </c>
    </row>
    <row r="57" spans="1:5" x14ac:dyDescent="0.2">
      <c r="A57" s="7"/>
      <c r="B57" s="7">
        <v>8</v>
      </c>
      <c r="C57" s="7" t="str">
        <f>IF(B9&gt;MAX('DMT-W'!A:A),"",INDEX('DMT-W'!B:B,MATCH(B9,'DMT-W'!A:A,0)))</f>
        <v>HOWELL, Kayla</v>
      </c>
      <c r="D57" s="13" t="str">
        <f>IF(B9&gt;MAX('DMT-W'!A:A),"",INDEX('DMT-W'!H:H,MATCH(B9,'DMT-W'!A:A,0)))</f>
        <v>Worlds Team</v>
      </c>
    </row>
    <row r="58" spans="1:5" x14ac:dyDescent="0.2">
      <c r="D58" s="37"/>
    </row>
    <row r="59" spans="1:5" x14ac:dyDescent="0.2">
      <c r="B59" t="s">
        <v>38</v>
      </c>
    </row>
    <row r="60" spans="1:5" x14ac:dyDescent="0.2">
      <c r="B60" t="s">
        <v>36</v>
      </c>
    </row>
    <row r="61" spans="1:5" x14ac:dyDescent="0.2">
      <c r="B61" t="s">
        <v>37</v>
      </c>
    </row>
    <row r="62" spans="1:5" x14ac:dyDescent="0.2">
      <c r="B62" s="12" t="s">
        <v>62</v>
      </c>
      <c r="D62" t="s">
        <v>60</v>
      </c>
    </row>
    <row r="63" spans="1:5" x14ac:dyDescent="0.2">
      <c r="B63" s="12" t="s">
        <v>71</v>
      </c>
      <c r="D63" t="s">
        <v>60</v>
      </c>
      <c r="E63" t="s">
        <v>60</v>
      </c>
    </row>
    <row r="64" spans="1:5" x14ac:dyDescent="0.2">
      <c r="B64" t="s">
        <v>61</v>
      </c>
    </row>
    <row r="65" spans="1:3" x14ac:dyDescent="0.2">
      <c r="B65" t="s">
        <v>72</v>
      </c>
    </row>
    <row r="66" spans="1:3" x14ac:dyDescent="0.2">
      <c r="A66" t="s">
        <v>43</v>
      </c>
      <c r="B66" s="65">
        <v>45253</v>
      </c>
      <c r="C66" s="65"/>
    </row>
    <row r="67" spans="1:3" x14ac:dyDescent="0.2">
      <c r="B67" t="s">
        <v>252</v>
      </c>
    </row>
    <row r="68" spans="1:3" x14ac:dyDescent="0.2">
      <c r="B68" t="s">
        <v>260</v>
      </c>
    </row>
  </sheetData>
  <sheetProtection formatCells="0" formatColumns="0" formatRows="0"/>
  <mergeCells count="1">
    <mergeCell ref="B66:C66"/>
  </mergeCells>
  <conditionalFormatting sqref="D2:D57">
    <cfRule type="containsText" dxfId="752" priority="1" operator="containsText" text="No DD">
      <formula>NOT(ISERROR(SEARCH("No DD",D2)))</formula>
    </cfRule>
    <cfRule type="containsText" dxfId="751" priority="4" operator="containsText" text="Merit">
      <formula>NOT(ISERROR(SEARCH("Merit",D2)))</formula>
    </cfRule>
    <cfRule type="containsText" dxfId="750" priority="5" operator="containsText" text="Excellence">
      <formula>NOT(ISERROR(SEARCH("Excellence",D2)))</formula>
    </cfRule>
    <cfRule type="containsText" dxfId="749" priority="6" operator="containsText" text="Worlds Team">
      <formula>NOT(ISERROR(SEARCH("Worlds Team",D2)))</formula>
    </cfRule>
    <cfRule type="containsText" dxfId="748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55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42" width="10.83203125" hidden="1" customWidth="1"/>
  </cols>
  <sheetData>
    <row r="1" spans="1:542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6" t="s">
        <v>11</v>
      </c>
      <c r="H1" s="66" t="s">
        <v>12</v>
      </c>
      <c r="I1" s="66" t="s">
        <v>89</v>
      </c>
      <c r="J1" s="72" t="s">
        <v>101</v>
      </c>
      <c r="K1" s="68" t="s">
        <v>33</v>
      </c>
      <c r="L1" s="72" t="s">
        <v>102</v>
      </c>
      <c r="M1" s="68" t="s">
        <v>33</v>
      </c>
      <c r="N1" s="72" t="s">
        <v>126</v>
      </c>
      <c r="O1" s="68" t="s">
        <v>33</v>
      </c>
      <c r="P1" s="68" t="s">
        <v>13</v>
      </c>
      <c r="Q1" s="68" t="s">
        <v>33</v>
      </c>
      <c r="R1" s="68" t="s">
        <v>103</v>
      </c>
      <c r="S1" s="68" t="s">
        <v>33</v>
      </c>
      <c r="T1" s="72" t="s">
        <v>104</v>
      </c>
      <c r="U1" s="68" t="s">
        <v>33</v>
      </c>
      <c r="V1" s="71" t="s">
        <v>14</v>
      </c>
      <c r="W1" s="68" t="s">
        <v>34</v>
      </c>
      <c r="X1" s="68" t="s">
        <v>33</v>
      </c>
      <c r="Y1" s="69" t="s">
        <v>183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220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237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14</v>
      </c>
      <c r="DC1" s="75"/>
      <c r="DD1" s="69" t="s">
        <v>176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205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204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206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213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 t="s">
        <v>219</v>
      </c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 t="s">
        <v>232</v>
      </c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 t="s">
        <v>242</v>
      </c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 t="s">
        <v>244</v>
      </c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 t="s">
        <v>246</v>
      </c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 t="s">
        <v>247</v>
      </c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 t="s">
        <v>253</v>
      </c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 t="s">
        <v>68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19</v>
      </c>
      <c r="Z2" s="70"/>
      <c r="AA2" s="70"/>
      <c r="AB2" s="70"/>
      <c r="AC2" s="70"/>
      <c r="AD2" s="70" t="s">
        <v>20</v>
      </c>
      <c r="AE2" s="70"/>
      <c r="AF2" s="70"/>
      <c r="AG2" s="70"/>
      <c r="AH2" s="70"/>
      <c r="AI2" s="70" t="s">
        <v>23</v>
      </c>
      <c r="AJ2" s="70"/>
      <c r="AK2" s="70"/>
      <c r="AL2" s="70"/>
      <c r="AM2" s="70"/>
      <c r="AN2" s="14"/>
      <c r="AO2" s="14" t="s">
        <v>105</v>
      </c>
      <c r="AP2" s="14" t="s">
        <v>106</v>
      </c>
      <c r="AQ2" s="14" t="s">
        <v>21</v>
      </c>
      <c r="AR2" s="14" t="s">
        <v>81</v>
      </c>
      <c r="AS2" s="14" t="s">
        <v>107</v>
      </c>
      <c r="AT2" s="14" t="s">
        <v>22</v>
      </c>
      <c r="AU2" s="14" t="s">
        <v>24</v>
      </c>
      <c r="AV2" s="14" t="s">
        <v>108</v>
      </c>
      <c r="AW2" s="14" t="s">
        <v>109</v>
      </c>
      <c r="AX2" s="14" t="s">
        <v>23</v>
      </c>
      <c r="AY2" s="14" t="s">
        <v>18</v>
      </c>
      <c r="AZ2" s="73" t="s">
        <v>19</v>
      </c>
      <c r="BA2" s="73"/>
      <c r="BB2" s="73"/>
      <c r="BC2" s="73"/>
      <c r="BD2" s="73"/>
      <c r="BE2" s="73" t="s">
        <v>20</v>
      </c>
      <c r="BF2" s="73"/>
      <c r="BG2" s="73"/>
      <c r="BH2" s="73"/>
      <c r="BI2" s="73"/>
      <c r="BJ2" s="73" t="s">
        <v>23</v>
      </c>
      <c r="BK2" s="73"/>
      <c r="BL2" s="73"/>
      <c r="BM2" s="73"/>
      <c r="BN2" s="73"/>
      <c r="BO2" s="13"/>
      <c r="BP2" s="13" t="s">
        <v>105</v>
      </c>
      <c r="BQ2" s="13" t="s">
        <v>106</v>
      </c>
      <c r="BR2" s="13" t="s">
        <v>21</v>
      </c>
      <c r="BS2" s="13" t="s">
        <v>81</v>
      </c>
      <c r="BT2" s="13" t="s">
        <v>107</v>
      </c>
      <c r="BU2" s="13" t="s">
        <v>22</v>
      </c>
      <c r="BV2" s="13" t="s">
        <v>24</v>
      </c>
      <c r="BW2" s="13" t="s">
        <v>108</v>
      </c>
      <c r="BX2" s="13" t="s">
        <v>109</v>
      </c>
      <c r="BY2" s="13" t="s">
        <v>23</v>
      </c>
      <c r="BZ2" s="13" t="s">
        <v>18</v>
      </c>
      <c r="CA2" s="70" t="s">
        <v>19</v>
      </c>
      <c r="CB2" s="70"/>
      <c r="CC2" s="70"/>
      <c r="CD2" s="70"/>
      <c r="CE2" s="70"/>
      <c r="CF2" s="70" t="s">
        <v>20</v>
      </c>
      <c r="CG2" s="70"/>
      <c r="CH2" s="70"/>
      <c r="CI2" s="70"/>
      <c r="CJ2" s="70"/>
      <c r="CK2" s="70" t="s">
        <v>23</v>
      </c>
      <c r="CL2" s="70"/>
      <c r="CM2" s="70"/>
      <c r="CN2" s="70"/>
      <c r="CO2" s="70"/>
      <c r="CP2" s="14"/>
      <c r="CQ2" s="14" t="s">
        <v>105</v>
      </c>
      <c r="CR2" s="14" t="s">
        <v>106</v>
      </c>
      <c r="CS2" s="14" t="s">
        <v>21</v>
      </c>
      <c r="CT2" s="14" t="s">
        <v>81</v>
      </c>
      <c r="CU2" s="14" t="s">
        <v>107</v>
      </c>
      <c r="CV2" s="14" t="s">
        <v>22</v>
      </c>
      <c r="CW2" s="14" t="s">
        <v>24</v>
      </c>
      <c r="CX2" s="14" t="s">
        <v>108</v>
      </c>
      <c r="CY2" s="14" t="s">
        <v>109</v>
      </c>
      <c r="CZ2" s="14" t="s">
        <v>23</v>
      </c>
      <c r="DA2" s="14" t="s">
        <v>18</v>
      </c>
      <c r="DB2" s="51" t="s">
        <v>24</v>
      </c>
      <c r="DC2" s="51" t="s">
        <v>23</v>
      </c>
      <c r="DD2" s="70" t="s">
        <v>19</v>
      </c>
      <c r="DE2" s="70"/>
      <c r="DF2" s="70"/>
      <c r="DG2" s="70"/>
      <c r="DH2" s="70"/>
      <c r="DI2" s="70" t="s">
        <v>20</v>
      </c>
      <c r="DJ2" s="70"/>
      <c r="DK2" s="70"/>
      <c r="DL2" s="70"/>
      <c r="DM2" s="70"/>
      <c r="DN2" s="70" t="s">
        <v>110</v>
      </c>
      <c r="DO2" s="70"/>
      <c r="DP2" s="70"/>
      <c r="DQ2" s="70"/>
      <c r="DR2" s="70"/>
      <c r="DS2" s="70" t="s">
        <v>23</v>
      </c>
      <c r="DT2" s="70"/>
      <c r="DU2" s="70"/>
      <c r="DV2" s="70"/>
      <c r="DW2" s="70"/>
      <c r="DX2" s="14" t="s">
        <v>105</v>
      </c>
      <c r="DY2" s="14" t="s">
        <v>106</v>
      </c>
      <c r="DZ2" s="14" t="s">
        <v>21</v>
      </c>
      <c r="EA2" s="14" t="s">
        <v>81</v>
      </c>
      <c r="EB2" s="14" t="s">
        <v>107</v>
      </c>
      <c r="EC2" s="14" t="s">
        <v>22</v>
      </c>
      <c r="ED2" s="14" t="s">
        <v>24</v>
      </c>
      <c r="EE2" s="14" t="s">
        <v>111</v>
      </c>
      <c r="EF2" s="14" t="s">
        <v>112</v>
      </c>
      <c r="EG2" s="14" t="s">
        <v>110</v>
      </c>
      <c r="EH2" s="14" t="s">
        <v>108</v>
      </c>
      <c r="EI2" s="14" t="s">
        <v>109</v>
      </c>
      <c r="EJ2" s="14" t="s">
        <v>23</v>
      </c>
      <c r="EK2" s="14" t="s">
        <v>18</v>
      </c>
      <c r="EL2" s="73" t="s">
        <v>19</v>
      </c>
      <c r="EM2" s="73"/>
      <c r="EN2" s="73"/>
      <c r="EO2" s="73"/>
      <c r="EP2" s="73"/>
      <c r="EQ2" s="73" t="s">
        <v>20</v>
      </c>
      <c r="ER2" s="73"/>
      <c r="ES2" s="73"/>
      <c r="ET2" s="73"/>
      <c r="EU2" s="73"/>
      <c r="EV2" s="73" t="s">
        <v>110</v>
      </c>
      <c r="EW2" s="73"/>
      <c r="EX2" s="73"/>
      <c r="EY2" s="73"/>
      <c r="EZ2" s="73"/>
      <c r="FA2" s="73" t="s">
        <v>23</v>
      </c>
      <c r="FB2" s="73"/>
      <c r="FC2" s="73"/>
      <c r="FD2" s="73"/>
      <c r="FE2" s="73"/>
      <c r="FF2" s="13" t="s">
        <v>105</v>
      </c>
      <c r="FG2" s="13" t="s">
        <v>106</v>
      </c>
      <c r="FH2" s="13" t="s">
        <v>21</v>
      </c>
      <c r="FI2" s="13" t="s">
        <v>81</v>
      </c>
      <c r="FJ2" s="13" t="s">
        <v>107</v>
      </c>
      <c r="FK2" s="13" t="s">
        <v>22</v>
      </c>
      <c r="FL2" s="13" t="s">
        <v>24</v>
      </c>
      <c r="FM2" s="13" t="s">
        <v>111</v>
      </c>
      <c r="FN2" s="13" t="s">
        <v>112</v>
      </c>
      <c r="FO2" s="13" t="s">
        <v>110</v>
      </c>
      <c r="FP2" s="13" t="s">
        <v>108</v>
      </c>
      <c r="FQ2" s="13" t="s">
        <v>109</v>
      </c>
      <c r="FR2" s="13" t="s">
        <v>23</v>
      </c>
      <c r="FS2" s="13" t="s">
        <v>18</v>
      </c>
      <c r="FT2" s="70" t="s">
        <v>19</v>
      </c>
      <c r="FU2" s="70"/>
      <c r="FV2" s="70"/>
      <c r="FW2" s="70"/>
      <c r="FX2" s="70"/>
      <c r="FY2" s="70" t="s">
        <v>20</v>
      </c>
      <c r="FZ2" s="70"/>
      <c r="GA2" s="70"/>
      <c r="GB2" s="70"/>
      <c r="GC2" s="70"/>
      <c r="GD2" s="70" t="s">
        <v>110</v>
      </c>
      <c r="GE2" s="70"/>
      <c r="GF2" s="70"/>
      <c r="GG2" s="70"/>
      <c r="GH2" s="70"/>
      <c r="GI2" s="70" t="s">
        <v>23</v>
      </c>
      <c r="GJ2" s="70"/>
      <c r="GK2" s="70"/>
      <c r="GL2" s="70"/>
      <c r="GM2" s="70"/>
      <c r="GN2" s="14" t="s">
        <v>105</v>
      </c>
      <c r="GO2" s="14" t="s">
        <v>106</v>
      </c>
      <c r="GP2" s="14" t="s">
        <v>21</v>
      </c>
      <c r="GQ2" s="14" t="s">
        <v>81</v>
      </c>
      <c r="GR2" s="14" t="s">
        <v>107</v>
      </c>
      <c r="GS2" s="14" t="s">
        <v>22</v>
      </c>
      <c r="GT2" s="14" t="s">
        <v>24</v>
      </c>
      <c r="GU2" s="14" t="s">
        <v>111</v>
      </c>
      <c r="GV2" s="14" t="s">
        <v>112</v>
      </c>
      <c r="GW2" s="14" t="s">
        <v>110</v>
      </c>
      <c r="GX2" s="14" t="s">
        <v>108</v>
      </c>
      <c r="GY2" s="14" t="s">
        <v>109</v>
      </c>
      <c r="GZ2" s="14" t="s">
        <v>23</v>
      </c>
      <c r="HA2" s="14" t="s">
        <v>18</v>
      </c>
      <c r="HB2" s="73" t="s">
        <v>19</v>
      </c>
      <c r="HC2" s="73"/>
      <c r="HD2" s="73"/>
      <c r="HE2" s="73"/>
      <c r="HF2" s="73"/>
      <c r="HG2" s="73" t="s">
        <v>20</v>
      </c>
      <c r="HH2" s="73"/>
      <c r="HI2" s="73"/>
      <c r="HJ2" s="73"/>
      <c r="HK2" s="73"/>
      <c r="HL2" s="73" t="s">
        <v>110</v>
      </c>
      <c r="HM2" s="73"/>
      <c r="HN2" s="73"/>
      <c r="HO2" s="73"/>
      <c r="HP2" s="73"/>
      <c r="HQ2" s="73" t="s">
        <v>23</v>
      </c>
      <c r="HR2" s="73"/>
      <c r="HS2" s="73"/>
      <c r="HT2" s="73"/>
      <c r="HU2" s="73"/>
      <c r="HV2" s="13" t="s">
        <v>105</v>
      </c>
      <c r="HW2" s="13" t="s">
        <v>106</v>
      </c>
      <c r="HX2" s="13" t="s">
        <v>21</v>
      </c>
      <c r="HY2" s="13" t="s">
        <v>81</v>
      </c>
      <c r="HZ2" s="13" t="s">
        <v>107</v>
      </c>
      <c r="IA2" s="13" t="s">
        <v>22</v>
      </c>
      <c r="IB2" s="13" t="s">
        <v>24</v>
      </c>
      <c r="IC2" s="13" t="s">
        <v>111</v>
      </c>
      <c r="ID2" s="13" t="s">
        <v>112</v>
      </c>
      <c r="IE2" s="13" t="s">
        <v>110</v>
      </c>
      <c r="IF2" s="13" t="s">
        <v>108</v>
      </c>
      <c r="IG2" s="13" t="s">
        <v>109</v>
      </c>
      <c r="IH2" s="13" t="s">
        <v>23</v>
      </c>
      <c r="II2" s="13" t="s">
        <v>18</v>
      </c>
      <c r="IJ2" s="70" t="s">
        <v>19</v>
      </c>
      <c r="IK2" s="70"/>
      <c r="IL2" s="70"/>
      <c r="IM2" s="70"/>
      <c r="IN2" s="70"/>
      <c r="IO2" s="70" t="s">
        <v>20</v>
      </c>
      <c r="IP2" s="70"/>
      <c r="IQ2" s="70"/>
      <c r="IR2" s="70"/>
      <c r="IS2" s="70"/>
      <c r="IT2" s="70" t="s">
        <v>110</v>
      </c>
      <c r="IU2" s="70"/>
      <c r="IV2" s="70"/>
      <c r="IW2" s="70"/>
      <c r="IX2" s="70"/>
      <c r="IY2" s="70" t="s">
        <v>23</v>
      </c>
      <c r="IZ2" s="70"/>
      <c r="JA2" s="70"/>
      <c r="JB2" s="70"/>
      <c r="JC2" s="70"/>
      <c r="JD2" s="14" t="s">
        <v>105</v>
      </c>
      <c r="JE2" s="14" t="s">
        <v>106</v>
      </c>
      <c r="JF2" s="14" t="s">
        <v>21</v>
      </c>
      <c r="JG2" s="14" t="s">
        <v>81</v>
      </c>
      <c r="JH2" s="14" t="s">
        <v>107</v>
      </c>
      <c r="JI2" s="14" t="s">
        <v>22</v>
      </c>
      <c r="JJ2" s="14" t="s">
        <v>24</v>
      </c>
      <c r="JK2" s="14" t="s">
        <v>111</v>
      </c>
      <c r="JL2" s="14" t="s">
        <v>112</v>
      </c>
      <c r="JM2" s="14" t="s">
        <v>110</v>
      </c>
      <c r="JN2" s="14" t="s">
        <v>108</v>
      </c>
      <c r="JO2" s="14" t="s">
        <v>109</v>
      </c>
      <c r="JP2" s="14" t="s">
        <v>23</v>
      </c>
      <c r="JQ2" s="14" t="s">
        <v>18</v>
      </c>
      <c r="JR2" s="73" t="s">
        <v>19</v>
      </c>
      <c r="JS2" s="73"/>
      <c r="JT2" s="73"/>
      <c r="JU2" s="73"/>
      <c r="JV2" s="73"/>
      <c r="JW2" s="73" t="s">
        <v>20</v>
      </c>
      <c r="JX2" s="73"/>
      <c r="JY2" s="73"/>
      <c r="JZ2" s="73"/>
      <c r="KA2" s="73"/>
      <c r="KB2" s="73" t="s">
        <v>110</v>
      </c>
      <c r="KC2" s="73"/>
      <c r="KD2" s="73"/>
      <c r="KE2" s="73"/>
      <c r="KF2" s="73"/>
      <c r="KG2" s="73" t="s">
        <v>23</v>
      </c>
      <c r="KH2" s="73"/>
      <c r="KI2" s="73"/>
      <c r="KJ2" s="73"/>
      <c r="KK2" s="73"/>
      <c r="KL2" s="13" t="s">
        <v>105</v>
      </c>
      <c r="KM2" s="13" t="s">
        <v>106</v>
      </c>
      <c r="KN2" s="13" t="s">
        <v>21</v>
      </c>
      <c r="KO2" s="13" t="s">
        <v>81</v>
      </c>
      <c r="KP2" s="13" t="s">
        <v>107</v>
      </c>
      <c r="KQ2" s="13" t="s">
        <v>22</v>
      </c>
      <c r="KR2" s="13" t="s">
        <v>24</v>
      </c>
      <c r="KS2" s="13" t="s">
        <v>111</v>
      </c>
      <c r="KT2" s="13" t="s">
        <v>112</v>
      </c>
      <c r="KU2" s="13" t="s">
        <v>110</v>
      </c>
      <c r="KV2" s="13" t="s">
        <v>108</v>
      </c>
      <c r="KW2" s="13" t="s">
        <v>109</v>
      </c>
      <c r="KX2" s="13" t="s">
        <v>23</v>
      </c>
      <c r="KY2" s="13" t="s">
        <v>18</v>
      </c>
      <c r="KZ2" s="70" t="s">
        <v>19</v>
      </c>
      <c r="LA2" s="70"/>
      <c r="LB2" s="70"/>
      <c r="LC2" s="70"/>
      <c r="LD2" s="70"/>
      <c r="LE2" s="70" t="s">
        <v>20</v>
      </c>
      <c r="LF2" s="70"/>
      <c r="LG2" s="70"/>
      <c r="LH2" s="70"/>
      <c r="LI2" s="70"/>
      <c r="LJ2" s="70" t="s">
        <v>110</v>
      </c>
      <c r="LK2" s="70"/>
      <c r="LL2" s="70"/>
      <c r="LM2" s="70"/>
      <c r="LN2" s="70"/>
      <c r="LO2" s="70" t="s">
        <v>23</v>
      </c>
      <c r="LP2" s="70"/>
      <c r="LQ2" s="70"/>
      <c r="LR2" s="70"/>
      <c r="LS2" s="70"/>
      <c r="LT2" s="14" t="s">
        <v>105</v>
      </c>
      <c r="LU2" s="14" t="s">
        <v>106</v>
      </c>
      <c r="LV2" s="14" t="s">
        <v>21</v>
      </c>
      <c r="LW2" s="14" t="s">
        <v>81</v>
      </c>
      <c r="LX2" s="14" t="s">
        <v>107</v>
      </c>
      <c r="LY2" s="14" t="s">
        <v>22</v>
      </c>
      <c r="LZ2" s="14" t="s">
        <v>24</v>
      </c>
      <c r="MA2" s="14" t="s">
        <v>111</v>
      </c>
      <c r="MB2" s="14" t="s">
        <v>112</v>
      </c>
      <c r="MC2" s="14" t="s">
        <v>110</v>
      </c>
      <c r="MD2" s="14" t="s">
        <v>108</v>
      </c>
      <c r="ME2" s="14" t="s">
        <v>109</v>
      </c>
      <c r="MF2" s="14" t="s">
        <v>23</v>
      </c>
      <c r="MG2" s="14" t="s">
        <v>18</v>
      </c>
      <c r="MH2" s="73" t="s">
        <v>19</v>
      </c>
      <c r="MI2" s="73"/>
      <c r="MJ2" s="73"/>
      <c r="MK2" s="73"/>
      <c r="ML2" s="73"/>
      <c r="MM2" s="73" t="s">
        <v>20</v>
      </c>
      <c r="MN2" s="73"/>
      <c r="MO2" s="73"/>
      <c r="MP2" s="73"/>
      <c r="MQ2" s="73"/>
      <c r="MR2" s="73" t="s">
        <v>110</v>
      </c>
      <c r="MS2" s="73"/>
      <c r="MT2" s="73"/>
      <c r="MU2" s="73"/>
      <c r="MV2" s="73"/>
      <c r="MW2" s="73" t="s">
        <v>23</v>
      </c>
      <c r="MX2" s="73"/>
      <c r="MY2" s="73"/>
      <c r="MZ2" s="73"/>
      <c r="NA2" s="73"/>
      <c r="NB2" s="13" t="s">
        <v>105</v>
      </c>
      <c r="NC2" s="13" t="s">
        <v>106</v>
      </c>
      <c r="ND2" s="13" t="s">
        <v>21</v>
      </c>
      <c r="NE2" s="13" t="s">
        <v>81</v>
      </c>
      <c r="NF2" s="13" t="s">
        <v>107</v>
      </c>
      <c r="NG2" s="13" t="s">
        <v>22</v>
      </c>
      <c r="NH2" s="13" t="s">
        <v>24</v>
      </c>
      <c r="NI2" s="13" t="s">
        <v>111</v>
      </c>
      <c r="NJ2" s="13" t="s">
        <v>112</v>
      </c>
      <c r="NK2" s="13" t="s">
        <v>110</v>
      </c>
      <c r="NL2" s="13" t="s">
        <v>108</v>
      </c>
      <c r="NM2" s="13" t="s">
        <v>109</v>
      </c>
      <c r="NN2" s="13" t="s">
        <v>23</v>
      </c>
      <c r="NO2" s="13" t="s">
        <v>18</v>
      </c>
      <c r="NP2" s="70" t="s">
        <v>19</v>
      </c>
      <c r="NQ2" s="70"/>
      <c r="NR2" s="70"/>
      <c r="NS2" s="70"/>
      <c r="NT2" s="70"/>
      <c r="NU2" s="70" t="s">
        <v>20</v>
      </c>
      <c r="NV2" s="70"/>
      <c r="NW2" s="70"/>
      <c r="NX2" s="70"/>
      <c r="NY2" s="70"/>
      <c r="NZ2" s="70" t="s">
        <v>110</v>
      </c>
      <c r="OA2" s="70"/>
      <c r="OB2" s="70"/>
      <c r="OC2" s="70"/>
      <c r="OD2" s="70"/>
      <c r="OE2" s="70" t="s">
        <v>23</v>
      </c>
      <c r="OF2" s="70"/>
      <c r="OG2" s="70"/>
      <c r="OH2" s="70"/>
      <c r="OI2" s="70"/>
      <c r="OJ2" s="14" t="s">
        <v>105</v>
      </c>
      <c r="OK2" s="14" t="s">
        <v>106</v>
      </c>
      <c r="OL2" s="14" t="s">
        <v>21</v>
      </c>
      <c r="OM2" s="14" t="s">
        <v>81</v>
      </c>
      <c r="ON2" s="14" t="s">
        <v>107</v>
      </c>
      <c r="OO2" s="14" t="s">
        <v>22</v>
      </c>
      <c r="OP2" s="14" t="s">
        <v>24</v>
      </c>
      <c r="OQ2" s="14" t="s">
        <v>111</v>
      </c>
      <c r="OR2" s="14" t="s">
        <v>112</v>
      </c>
      <c r="OS2" s="14" t="s">
        <v>110</v>
      </c>
      <c r="OT2" s="14" t="s">
        <v>108</v>
      </c>
      <c r="OU2" s="14" t="s">
        <v>109</v>
      </c>
      <c r="OV2" s="14" t="s">
        <v>23</v>
      </c>
      <c r="OW2" s="14" t="s">
        <v>18</v>
      </c>
      <c r="OX2" s="73" t="s">
        <v>19</v>
      </c>
      <c r="OY2" s="73"/>
      <c r="OZ2" s="73"/>
      <c r="PA2" s="73"/>
      <c r="PB2" s="73"/>
      <c r="PC2" s="73" t="s">
        <v>20</v>
      </c>
      <c r="PD2" s="73"/>
      <c r="PE2" s="73"/>
      <c r="PF2" s="73"/>
      <c r="PG2" s="73"/>
      <c r="PH2" s="73" t="s">
        <v>110</v>
      </c>
      <c r="PI2" s="73"/>
      <c r="PJ2" s="73"/>
      <c r="PK2" s="73"/>
      <c r="PL2" s="73"/>
      <c r="PM2" s="73" t="s">
        <v>23</v>
      </c>
      <c r="PN2" s="73"/>
      <c r="PO2" s="73"/>
      <c r="PP2" s="73"/>
      <c r="PQ2" s="73"/>
      <c r="PR2" s="13" t="s">
        <v>105</v>
      </c>
      <c r="PS2" s="13" t="s">
        <v>106</v>
      </c>
      <c r="PT2" s="13" t="s">
        <v>21</v>
      </c>
      <c r="PU2" s="13" t="s">
        <v>81</v>
      </c>
      <c r="PV2" s="13" t="s">
        <v>107</v>
      </c>
      <c r="PW2" s="13" t="s">
        <v>22</v>
      </c>
      <c r="PX2" s="13" t="s">
        <v>24</v>
      </c>
      <c r="PY2" s="13" t="s">
        <v>111</v>
      </c>
      <c r="PZ2" s="13" t="s">
        <v>112</v>
      </c>
      <c r="QA2" s="13" t="s">
        <v>110</v>
      </c>
      <c r="QB2" s="13" t="s">
        <v>108</v>
      </c>
      <c r="QC2" s="13" t="s">
        <v>109</v>
      </c>
      <c r="QD2" s="13" t="s">
        <v>23</v>
      </c>
      <c r="QE2" s="13" t="s">
        <v>18</v>
      </c>
      <c r="QF2" s="70" t="s">
        <v>19</v>
      </c>
      <c r="QG2" s="70"/>
      <c r="QH2" s="70"/>
      <c r="QI2" s="70"/>
      <c r="QJ2" s="70"/>
      <c r="QK2" s="70" t="s">
        <v>20</v>
      </c>
      <c r="QL2" s="70"/>
      <c r="QM2" s="70"/>
      <c r="QN2" s="70"/>
      <c r="QO2" s="70"/>
      <c r="QP2" s="70" t="s">
        <v>110</v>
      </c>
      <c r="QQ2" s="70"/>
      <c r="QR2" s="70"/>
      <c r="QS2" s="70"/>
      <c r="QT2" s="70"/>
      <c r="QU2" s="70" t="s">
        <v>23</v>
      </c>
      <c r="QV2" s="70"/>
      <c r="QW2" s="70"/>
      <c r="QX2" s="70"/>
      <c r="QY2" s="70"/>
      <c r="QZ2" s="14" t="s">
        <v>105</v>
      </c>
      <c r="RA2" s="14" t="s">
        <v>106</v>
      </c>
      <c r="RB2" s="14" t="s">
        <v>21</v>
      </c>
      <c r="RC2" s="14" t="s">
        <v>81</v>
      </c>
      <c r="RD2" s="14" t="s">
        <v>107</v>
      </c>
      <c r="RE2" s="14" t="s">
        <v>22</v>
      </c>
      <c r="RF2" s="14" t="s">
        <v>24</v>
      </c>
      <c r="RG2" s="14" t="s">
        <v>111</v>
      </c>
      <c r="RH2" s="14" t="s">
        <v>112</v>
      </c>
      <c r="RI2" s="14" t="s">
        <v>110</v>
      </c>
      <c r="RJ2" s="14" t="s">
        <v>108</v>
      </c>
      <c r="RK2" s="14" t="s">
        <v>109</v>
      </c>
      <c r="RL2" s="14" t="s">
        <v>23</v>
      </c>
      <c r="RM2" s="14" t="s">
        <v>18</v>
      </c>
      <c r="RN2" s="73" t="s">
        <v>19</v>
      </c>
      <c r="RO2" s="73"/>
      <c r="RP2" s="73"/>
      <c r="RQ2" s="73"/>
      <c r="RR2" s="73"/>
      <c r="RS2" s="73" t="s">
        <v>20</v>
      </c>
      <c r="RT2" s="73"/>
      <c r="RU2" s="73"/>
      <c r="RV2" s="73"/>
      <c r="RW2" s="73"/>
      <c r="RX2" s="73" t="s">
        <v>110</v>
      </c>
      <c r="RY2" s="73"/>
      <c r="RZ2" s="73"/>
      <c r="SA2" s="73"/>
      <c r="SB2" s="73"/>
      <c r="SC2" s="73" t="s">
        <v>23</v>
      </c>
      <c r="SD2" s="73"/>
      <c r="SE2" s="73"/>
      <c r="SF2" s="73"/>
      <c r="SG2" s="73"/>
      <c r="SH2" s="13" t="s">
        <v>105</v>
      </c>
      <c r="SI2" s="13" t="s">
        <v>106</v>
      </c>
      <c r="SJ2" s="13" t="s">
        <v>21</v>
      </c>
      <c r="SK2" s="13" t="s">
        <v>81</v>
      </c>
      <c r="SL2" s="13" t="s">
        <v>107</v>
      </c>
      <c r="SM2" s="13" t="s">
        <v>22</v>
      </c>
      <c r="SN2" s="13" t="s">
        <v>24</v>
      </c>
      <c r="SO2" s="13" t="s">
        <v>111</v>
      </c>
      <c r="SP2" s="13" t="s">
        <v>112</v>
      </c>
      <c r="SQ2" s="13" t="s">
        <v>110</v>
      </c>
      <c r="SR2" s="13" t="s">
        <v>108</v>
      </c>
      <c r="SS2" s="13" t="s">
        <v>109</v>
      </c>
      <c r="ST2" s="13" t="s">
        <v>23</v>
      </c>
      <c r="SU2" s="13" t="s">
        <v>18</v>
      </c>
      <c r="SV2" s="70" t="s">
        <v>19</v>
      </c>
      <c r="SW2" s="70"/>
      <c r="SX2" s="70"/>
      <c r="SY2" s="70"/>
      <c r="SZ2" s="70"/>
      <c r="TA2" s="70" t="s">
        <v>20</v>
      </c>
      <c r="TB2" s="70"/>
      <c r="TC2" s="70"/>
      <c r="TD2" s="70"/>
      <c r="TE2" s="70"/>
      <c r="TF2" s="70" t="s">
        <v>23</v>
      </c>
      <c r="TG2" s="70"/>
      <c r="TH2" s="70"/>
      <c r="TI2" s="70"/>
      <c r="TJ2" s="70"/>
      <c r="TK2" s="14"/>
      <c r="TL2" s="14" t="s">
        <v>105</v>
      </c>
      <c r="TM2" s="14" t="s">
        <v>106</v>
      </c>
      <c r="TN2" s="14" t="s">
        <v>21</v>
      </c>
      <c r="TO2" s="14" t="s">
        <v>81</v>
      </c>
      <c r="TP2" s="14" t="s">
        <v>107</v>
      </c>
      <c r="TQ2" s="14" t="s">
        <v>22</v>
      </c>
      <c r="TR2" s="14" t="s">
        <v>24</v>
      </c>
      <c r="TS2" s="14" t="s">
        <v>108</v>
      </c>
      <c r="TT2" s="14" t="s">
        <v>109</v>
      </c>
      <c r="TU2" s="14" t="s">
        <v>23</v>
      </c>
      <c r="TV2" s="14" t="s">
        <v>18</v>
      </c>
    </row>
    <row r="3" spans="1:542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DD"),SUMPRODUCT((H$4:H$24&lt;&gt;"")*(H$4:H$24&lt;&gt;"No DD")*(E$4:E$24&gt;E4))+1,IF(H4="No DD",SUMPRODUCT((H$4:H$24="No DD")*(E$4:E$24&gt;E4))+1+SUMPRODUCT((H$4:H$24&lt;&gt;"")*(H$4:H$24&lt;&gt;"No DD")),""))</f>
        <v>1</v>
      </c>
      <c r="B4" s="5" t="s">
        <v>73</v>
      </c>
      <c r="C4" s="4" t="s">
        <v>8</v>
      </c>
      <c r="D4" s="4">
        <v>2001</v>
      </c>
      <c r="E4" s="9">
        <f t="shared" ref="E4:E23" si="0">SUM(J4:V4)+SUM(J4:T4)*0.0000001+SUM(J4)*0.0000000000001</f>
        <v>269.64002678200592</v>
      </c>
      <c r="F4" s="3" t="str">
        <f t="shared" ref="F4:F23" si="1">IF(OR(AND(AO4&gt;=AY$26,AO4&lt;&gt;"",AQ4&gt;=AY$30,AQ4&lt;&gt;"",AN4=""),AND(AR4&gt;=AY$26,AR4&lt;&gt;"",AT4&gt;=AY$30,AT4&lt;&gt;"",AN4=""),AND(AV4&gt;=AY$26,AV4&lt;&gt;"",AX4&gt;=AY$30,AX4&lt;&gt;"",AN4=""),AND(BP4&gt;=BZ$26,BP4&lt;&gt;"",BR4&gt;=BZ$30,BR4&lt;&gt;"",BO4=""),AND(BS4&gt;=BZ$26,BS4&lt;&gt;"",BU4&gt;=BZ$30,BU4&lt;&gt;"",BO4=""),AND(BW4&gt;=BZ$26,BW4&lt;&gt;"",BY4&gt;=BZ$30,BY4&lt;&gt;"",BO4=""),AND(CQ4&gt;=DA$26,CQ4&lt;&gt;"",CS4&gt;=DA$30,CS4&lt;&gt;"",CP4=""),AND(CT4&gt;=DA$26,CT4&lt;&gt;"",CV4&gt;=DA$30,CV4&lt;&gt;"",CP4=""),AND(CX4&gt;=DA$26,CX4&lt;&gt;"",CZ4&gt;=DA$30,CZ4&lt;&gt;"",CP4=""),AND(DX4&gt;=EK$26,DX4&lt;&gt;"",DZ4&gt;=EK$30,DZ4&lt;&gt;""),AND(EA4&gt;=EK$26,EA4&lt;&gt;"",EC4&gt;=EK$30,EC4&lt;&gt;""),AND(EE4&gt;=EK$26,EE4&lt;&gt;"",EG4&gt;=EK$30,EG4&lt;&gt;""),AND(EH4&gt;=EK$26,EH4&lt;&gt;"",EJ4&gt;=EK$30,EJ4&lt;&gt;""),AND(FF4&gt;=FS$26,FF4&lt;&gt;"",FH4&gt;=FS$30,FH4&lt;&gt;""),AND(FI4&gt;=FS$26,FI4&lt;&gt;"",FK4&gt;=FS$30,FK4&lt;&gt;""),AND(FM4&gt;=FS$26,FM4&lt;&gt;"",FO4&gt;=FS$30,FO4&lt;&gt;""),AND(FP4&gt;=FS$26,FP4&lt;&gt;"",FR4&gt;=FS$30,FR4&lt;&gt;""),AND(GN4&gt;=HA$26,GN4&lt;&gt;"",GP4&gt;=HA$30,GP4&lt;&gt;""),AND(GQ4&gt;=HA$26,GQ4&lt;&gt;"",GS4&gt;=HA$30,GS4&lt;&gt;""),AND(GU4&gt;=HA$26,GU4&lt;&gt;"",GW4&gt;=HA$30,GW4&lt;&gt;""),AND(GX4&gt;=HA$26,GX4&lt;&gt;"",GZ4&gt;=HA$30,GZ4&lt;&gt;""),AND(HV4&gt;=II$26,HV4&lt;&gt;"",HX4&gt;=II$30,HX4&lt;&gt;""),AND(HY4&gt;=II$26,HY4&lt;&gt;"",IA4&gt;=II$30,IA4&lt;&gt;""),AND(IC4&gt;=II$26,IC4&lt;&gt;"",IE4&gt;=II$30,IE4&lt;&gt;""),AND(IF4&gt;=II$26,IF4&lt;&gt;"",IH4&gt;=II$30,IH4&lt;&gt;""),AND(JD4&gt;=JQ$26,JD4&lt;&gt;"",JF4&gt;=JQ$30,JF4&lt;&gt;""),AND(JG4&gt;=JQ$26,JG4&lt;&gt;"",JI4&gt;=JQ$30,JI4&lt;&gt;""),AND(JK4&gt;=JQ$26,JK4&lt;&gt;"",JM4&gt;=JQ$30,JM4&lt;&gt;""),AND(JN4&gt;=JQ$26,JN4&lt;&gt;"",JP4&gt;=JQ$30,JP4&lt;&gt;""),AND(KL4&gt;=KY$26,KL4&lt;&gt;"",KN4&gt;=KY$30,KN4&lt;&gt;""),AND(KO4&gt;=KY$26,KO4&lt;&gt;"",KQ4&gt;=KY$30,KQ4&lt;&gt;""),AND(KS4&gt;=KY$26,KS4&lt;&gt;"",KU4&gt;=KY$30,KU4&lt;&gt;""),AND(KV4&gt;=KY$26,KV4&lt;&gt;"",KX4&gt;=KY$30,KX4&lt;&gt;""),AND(LT4&gt;=MG$26,LT4&lt;&gt;"",LV4&gt;=MG$30,LV4&lt;&gt;""),AND(LW4&gt;=MG$26,LW4&lt;&gt;"",LY4&gt;=MG$30,LY4&lt;&gt;""),AND(MA4&gt;=MG$26,MA4&lt;&gt;"",MC4&gt;=MG$30,MC4&lt;&gt;""),AND(MD4&gt;=MG$26,MD4&lt;&gt;"",MF4&gt;=MG$30,MF4&lt;&gt;""),AND(NB4&gt;=NO$26,NB4&lt;&gt;"",ND4&gt;=NO$30,ND4&lt;&gt;""),AND(NE4&gt;=NO$26,NE4&lt;&gt;"",NG4&gt;=NO$30,NG4&lt;&gt;""),AND(NI4&gt;=NO$26,NI4&lt;&gt;"",NK4&gt;=NO$30,NK4&lt;&gt;""),AND(NL4&gt;=NO$26,NL4&lt;&gt;"",NN4&gt;=NO$30,NN4&lt;&gt;""),AND(OJ4&gt;=OW$26,OJ4&lt;&gt;"",OL4&gt;=OW$30,OL4&lt;&gt;""),AND(OM4&gt;=OW$26,OM4&lt;&gt;"",OO4&gt;=OW$30,OO4&lt;&gt;""),AND(OQ4&gt;=OW$26,OQ4&lt;&gt;"",OS4&gt;=OW$30,OS4&lt;&gt;""),AND(OT4&gt;=OW$26,OT4&lt;&gt;"",OV4&gt;=OW$30,OV4&lt;&gt;""),AND(PR4&gt;=QE$26,PR4&lt;&gt;"",PT4&gt;=QE$30,PT4&lt;&gt;""),AND(PU4&gt;=QE$26,PU4&lt;&gt;"",PW4&gt;=QE$30,PW4&lt;&gt;""),AND(PY4&gt;=QE$26,PY4&lt;&gt;"",QA4&gt;=QE$30,QA4&lt;&gt;""),AND(QB4&gt;=QE$26,QB4&lt;&gt;"",QD4&gt;=QE$30,QD4&lt;&gt;""),AND(QZ4&gt;=RM$26,QZ4&lt;&gt;"",RB4&gt;=RM$30,RB4&lt;&gt;""),AND(RC4&gt;=RM$26,RC4&lt;&gt;"",RE4&gt;=RM$30,RE4&lt;&gt;""),AND(RG4&gt;=RM$26,RG4&lt;&gt;"",RI4&gt;=RM$30,RI4&lt;&gt;""),AND(RJ4&gt;=RM$26,RJ4&lt;&gt;"",RL4&gt;=RM$30,RL4&lt;&gt;""),AND(SH4&gt;=SU$26,SH4&lt;&gt;"",SJ4&gt;=SU$30,SJ4&lt;&gt;""),AND(SK4&gt;=SU$26,SK4&lt;&gt;"",SM4&gt;=SU$30,SM4&lt;&gt;""),AND(SO4&gt;=SU$26,SO4&lt;&gt;"",SQ4&gt;=SU$30,SQ4&lt;&gt;""),AND(SR4&gt;=SU$26,SR4&lt;&gt;"",ST4&gt;=SU$30,ST4&lt;&gt;"")),"P","")</f>
        <v>P</v>
      </c>
      <c r="G4" s="3" t="str">
        <f t="shared" ref="G4:G23" si="2">IF(OR(AND(AQ4&gt;=AY$30,AQ4&lt;&gt;"",AN4=""),AND(AT4&gt;=AY$30,AT4&lt;&gt;"",AN4=""),AND(AX4&gt;=AY$30,AX4&lt;&gt;"",AN4=""),AND(BR4&gt;=BZ$30,BR4&lt;&gt;"",BO4=""),AND(BU4&gt;=BZ$30,BU4&lt;&gt;"",BO4=""),AND(BY4&gt;=BZ$30,BY4&lt;&gt;"",BO4=""),AND(CS4&gt;=DA$30,CS4&lt;&gt;"",CP4=""),AND(CV4&gt;=DA$30,CV4&lt;&gt;"",CP4=""),AND(CZ4&gt;=DA$30,CZ4&lt;&gt;"",CP4=""),AND(DZ4&gt;=EK$30,DZ4&lt;&gt;""),AND(EC4&gt;=EK$30,EC4&lt;&gt;""),AND(EG4&gt;=EK$30,EG4&lt;&gt;""),AND(EJ4&gt;=EK$30,EJ4&lt;&gt;""),AND(FH4&gt;=FS$30,FH4&lt;&gt;""),AND(FK4&gt;=FS$30,FK4&lt;&gt;""),AND(FO4&gt;=FS$30,FO4&lt;&gt;""),AND(FR4&gt;=FS$30,FR4&lt;&gt;""),AND(GP4&gt;=HA$30,GP4&lt;&gt;""),AND(GS4&gt;=HA$30,GS4&lt;&gt;""),AND(GW4&gt;=HA$30,GW4&lt;&gt;""),AND(GZ4&gt;=HA$30,GZ4&lt;&gt;""),AND(HX4&gt;=II$30,HX4&lt;&gt;""),AND(IA4&gt;=II$30,IA4&lt;&gt;""),AND(IE4&gt;=II$30,IE4&lt;&gt;""),AND(IH4&gt;=II$30,IH4&lt;&gt;""),AND(JF4&gt;=JQ$30,JF4&lt;&gt;""),AND(JI4&gt;=JQ$30,JI4&lt;&gt;""),AND(JM4&gt;=JQ$30,JM4&lt;&gt;""),AND(JP4&gt;=JQ$30,JP4&lt;&gt;""),AND(KN4&gt;=KY$30,KN4&lt;&gt;""),AND(KQ4&gt;=KY$30,KQ4&lt;&gt;""),AND(KU4&gt;=KY$30,KU4&lt;&gt;""),AND(KX4&gt;=KY$30,KX4&lt;&gt;""),AND(LV4&gt;=MG$30,LV4&lt;&gt;""),AND(LY4&gt;=MG$30,LY4&lt;&gt;""),AND(MC4&gt;=MG$30,MC4&lt;&gt;""),AND(MF4&gt;=MG$30,MF4&lt;&gt;""),AND(ND4&gt;=NO$30,ND4&lt;&gt;""),AND(NG4&gt;=NO$30,NG4&lt;&gt;""),AND(NK4&gt;=NO$30,NK4&lt;&gt;""),AND(NN4&gt;=NO$30,NN4&lt;&gt;""),AND(OL4&gt;=OW$30,OL4&lt;&gt;""),AND(OO4&gt;=OW$30,OO4&lt;&gt;""),AND(OS4&gt;=OW$30,OS4&lt;&gt;""),AND(OV4&gt;=OW$30,OV4&lt;&gt;""),AND(PT4&gt;=QE$30,PT4&lt;&gt;""),AND(PW4&gt;=QE$30,PW4&lt;&gt;""),AND(QA4&gt;=QE$30,QA4&lt;&gt;""),AND(QD4&gt;=QE$30,QD4&lt;&gt;""),AND(RB4&gt;=RM$30,RB4&lt;&gt;""),AND(RE4&gt;=RM$30,RE4&lt;&gt;""),AND(RI4&gt;=RM$30,RI4&lt;&gt;""),AND(RL4&gt;=RM$30,RL4&lt;&gt;""),AND(SJ4&gt;=SU$30,SJ4&lt;&gt;""),AND(SM4&gt;=SU$30,SM4&lt;&gt;""),AND(SQ4&gt;=SU$30,SQ4&lt;&gt;""),AND(ST4&gt;=SU$30,ST4&lt;&gt;"")),"P","")</f>
        <v>P</v>
      </c>
      <c r="H4" s="37" t="str">
        <f t="shared" ref="H4:H23" si="3">IF(AND(G4="P",F4=""),"No DD",IF(OR(AND(AO4&gt;=AY$29,AO4&lt;&gt;"",AQ4&gt;=AY$33,AQ4&lt;&gt;"",AN4=""),AND(AR4&gt;=AY$29,AR4&lt;&gt;"",AT4&gt;=AY$33,AT4&lt;&gt;"",AN4=""),AND(AV4&gt;=AY$29,AV4&lt;&gt;"",AX4&gt;=AY$33,AX4&lt;&gt;"",AN4=""),AND(BP4&gt;=BZ$29,BP4&lt;&gt;"",BR4&gt;=BZ$33,BR4&lt;&gt;"",BO4=""),AND(BS4&gt;=BZ$29,BS4&lt;&gt;"",BU4&gt;=BZ$33,BU4&lt;&gt;"",BO4=""),AND(BW4&gt;=BZ$29,BW4&lt;&gt;"",BY4&gt;=BZ$33,BY4&lt;&gt;"",BO4=""),AND(CQ4&gt;=DA$29,CQ4&lt;&gt;"",CS4&gt;=DA$33,CS4&lt;&gt;"",CP4=""),AND(CT4&gt;=DA$29,CT4&lt;&gt;"",CV4&gt;=DA$33,CV4&lt;&gt;"",CP4=""),AND(CX4&gt;=DA$29,CX4&lt;&gt;"",CZ4&gt;=DA$33,CZ4&lt;&gt;"",CP4=""),AND(DX4&gt;=EK$29,DX4&lt;&gt;"",DZ4&gt;=EK$33,DZ4&lt;&gt;""),AND(EA4&gt;=EK$29,EA4&lt;&gt;"",EC4&gt;=EK$33,EC4&lt;&gt;""),AND(EE4&gt;=EK$29,EE4&lt;&gt;"",EG4&gt;=EK$33,EG4&lt;&gt;""),AND(EH4&gt;=EK$29,EH4&lt;&gt;"",EJ4&gt;=EK$33,EJ4&lt;&gt;""),AND(FF4&gt;=FS$29,FF4&lt;&gt;"",FH4&gt;=FS$33,FH4&lt;&gt;""),AND(FI4&gt;=FS$29,FI4&lt;&gt;"",FK4&gt;=FS$33,FK4&lt;&gt;""),AND(FM4&gt;=FS$29,FM4&lt;&gt;"",FO4&gt;=FS$33,FO4&lt;&gt;""),AND(FP4&gt;=FS$29,FP4&lt;&gt;"",FR4&gt;=FS$33,FR4&lt;&gt;""),AND(GN4&gt;=HA$29,GN4&lt;&gt;"",GP4&gt;=HA$33,GP4&lt;&gt;""),AND(GQ4&gt;=HA$29,GQ4&lt;&gt;"",GS4&gt;=HA$33,GS4&lt;&gt;""),AND(GU4&gt;=HA$29,GU4&lt;&gt;"",GW4&gt;=HA$33,GW4&lt;&gt;""),AND(GX4&gt;=HA$29,GX4&lt;&gt;"",GZ4&gt;=HA$33,GZ4&lt;&gt;""),AND(HV4&gt;=II$29,HV4&lt;&gt;"",HX4&gt;=II$33,HX4&lt;&gt;""),AND(HY4&gt;=II$29,HY4&lt;&gt;"",IA4&gt;=II$33,IA4&lt;&gt;""),AND(IC4&gt;=II$29,IC4&lt;&gt;"",IE4&gt;=II$33,IE4&lt;&gt;""),AND(IF4&gt;=II$29,IF4&lt;&gt;"",IH4&gt;=II$33,IH4&lt;&gt;""),AND(JD4&gt;=JQ$29,JD4&lt;&gt;"",JF4&gt;=JQ$33,JF4&lt;&gt;""),AND(JG4&gt;=JQ$29,JG4&lt;&gt;"",JI4&gt;=JQ$33,JI4&lt;&gt;""),AND(JK4&gt;=JQ$29,JK4&lt;&gt;"",JM4&gt;=JQ$33,JM4&lt;&gt;""),AND(JN4&gt;=JQ$29,JN4&lt;&gt;"",JP4&gt;=JQ$33,JP4&lt;&gt;""),AND(KL4&gt;=KY$29,KL4&lt;&gt;"",KN4&gt;=KY$33,KN4&lt;&gt;""),AND(KO4&gt;=KY$29,KO4&lt;&gt;"",KQ4&gt;=KY$33,KQ4&lt;&gt;""),AND(KS4&gt;=KY$29,KS4&lt;&gt;"",KU4&gt;=KY$33,KU4&lt;&gt;""),AND(KV4&gt;=KY$29,KV4&lt;&gt;"",KX4&gt;=KY$33,KX4&lt;&gt;""),AND(LT4&gt;=MG$29,LT4&lt;&gt;"",LV4&gt;=MG$33,LV4&lt;&gt;""),AND(LW4&gt;=MG$29,LW4&lt;&gt;"",LY4&gt;=MG$33,LY4&lt;&gt;""),AND(MA4&gt;=MG$29,MA4&lt;&gt;"",MC4&gt;=MG$33,MC4&lt;&gt;""),AND(MD4&gt;=MG$29,MD4&lt;&gt;"",MF4&gt;=MG$33,MF4&lt;&gt;""),AND(NB4&gt;=NO$29,NB4&lt;&gt;"",ND4&gt;=NO$33,ND4&lt;&gt;""),AND(NE4&gt;=NO$29,NE4&lt;&gt;"",NG4&gt;=NO$33,NG4&lt;&gt;""),AND(NI4&gt;=NO$29,NI4&lt;&gt;"",NK4&gt;=NO$33,NK4&lt;&gt;""),AND(NL4&gt;=NO$29,NL4&lt;&gt;"",NN4&gt;=NO$33,NN4&lt;&gt;""),AND(OJ4&gt;=OW$29,OJ4&lt;&gt;"",OL4&gt;=OW$33,OL4&lt;&gt;""),AND(OM4&gt;=OW$29,OM4&lt;&gt;"",OO4&gt;=OW$33,OO4&lt;&gt;""),AND(OQ4&gt;=OW$29,OQ4&lt;&gt;"",OS4&gt;=OW$33,OS4&lt;&gt;""),AND(OT4&gt;=OW$29,OT4&lt;&gt;"",OV4&gt;=OW$33,OV4&lt;&gt;""),AND(PR4&gt;=QE$29,PR4&lt;&gt;"",PT4&gt;=QE$33,PT4&lt;&gt;""),AND(PU4&gt;=QE$29,PU4&lt;&gt;"",PW4&gt;=QE$33,PW4&lt;&gt;""),AND(PY4&gt;=QE$29,PY4&lt;&gt;"",QA4&gt;=QE$33,QA4&lt;&gt;""),AND(QB4&gt;=QE$29,QB4&lt;&gt;"",QD4&gt;=QE$33,QD4&lt;&gt;""),AND(QZ4&gt;=RM$29,QZ4&lt;&gt;"",RB4&gt;=RM$33,RB4&lt;&gt;""),AND(RC4&gt;=RM$29,RC4&lt;&gt;"",RE4&gt;=RM$33,RE4&lt;&gt;""),AND(RG4&gt;=RM$29,RG4&lt;&gt;"",RI4&gt;=RM$33,RI4&lt;&gt;""),AND(RJ4&gt;=RM$29,RJ4&lt;&gt;"",RL4&gt;=RM$33,RL4&lt;&gt;""),AND(SH4&gt;=SU$29,SH4&lt;&gt;"",SJ4&gt;=SU$33,SJ4&lt;&gt;""),AND(SK4&gt;=SU$29,SK4&lt;&gt;"",SM4&gt;=SU$33,SM4&lt;&gt;""),AND(SO4&gt;=SU$29,SO4&lt;&gt;"",SQ4&gt;=SU$33,SQ4&lt;&gt;""),AND(SR4&gt;=SU$29,SR4&lt;&gt;"",ST4&gt;=SU$33,ST4&lt;&gt;"")),"Merit",IF(OR(AND(AO4&gt;=AY$28,AO4&lt;&gt;"",AQ4&gt;=AY$32,AQ4&lt;&gt;"",AN4=""),AND(AR4&gt;=AY$28,AR4&lt;&gt;"",AT4&gt;=AY$32,AT4&lt;&gt;"",AN4=""),AND(AV4&gt;=AY$28,AV4&lt;&gt;"",AX4&gt;=AY$32,AX4&lt;&gt;"",AN4=""),AND(BP4&gt;=BZ$28,BP4&lt;&gt;"",BR4&gt;=BZ$32,BR4&lt;&gt;"",BO4=""),AND(BS4&gt;=BZ$28,BS4&lt;&gt;"",BU4&gt;=BZ$32,BU4&lt;&gt;"",BO4=""),AND(BW4&gt;=BZ$28,BW4&lt;&gt;"",BY4&gt;=BZ$32,BY4&lt;&gt;"",BO4=""),AND(CQ4&gt;=DA$28,CQ4&lt;&gt;"",CS4&gt;=DA$32,CS4&lt;&gt;"",CP4=""),AND(CT4&gt;=DA$28,CT4&lt;&gt;"",CV4&gt;=DA$32,CV4&lt;&gt;"",CP4=""),AND(CX4&gt;=DA$28,CX4&lt;&gt;"",CZ4&gt;=DA$32,CZ4&lt;&gt;"",CP4=""),AND(DX4&gt;=EK$28,DX4&lt;&gt;"",DZ4&gt;=EK$32,DZ4&lt;&gt;""),AND(EA4&gt;=EK$28,EA4&lt;&gt;"",EC4&gt;=EK$32,EC4&lt;&gt;""),AND(EE4&gt;=EK$28,EE4&lt;&gt;"",EG4&gt;=EK$32,EG4&lt;&gt;""),AND(EH4&gt;=EK$28,EH4&lt;&gt;"",EJ4&gt;=EK$32,EJ4&lt;&gt;""),AND(FF4&gt;=FS$28,FF4&lt;&gt;"",FH4&gt;=FS$32,FH4&lt;&gt;""),AND(FI4&gt;=FS$28,FI4&lt;&gt;"",FK4&gt;=FS$32,FK4&lt;&gt;""),AND(FM4&gt;=FS$28,FM4&lt;&gt;"",FO4&gt;=FS$32,FO4&lt;&gt;""),AND(FP4&gt;=FS$28,FP4&lt;&gt;"",FR4&gt;=FS$32,FR4&lt;&gt;""),AND(GN4&gt;=HA$28,GN4&lt;&gt;"",GP4&gt;=HA$32,GP4&lt;&gt;""),AND(GQ4&gt;=HA$28,GQ4&lt;&gt;"",GS4&gt;=HA$32,GS4&lt;&gt;""),AND(GU4&gt;=HA$28,GU4&lt;&gt;"",GW4&gt;=HA$32,GW4&lt;&gt;""),AND(GX4&gt;=HA$28,GX4&lt;&gt;"",GZ4&gt;=HA$32,GZ4&lt;&gt;""),AND(HV4&gt;=II$28,HV4&lt;&gt;"",HX4&gt;=II$32,HX4&lt;&gt;""),AND(HY4&gt;=II$28,HY4&lt;&gt;"",IA4&gt;=II$32,IA4&lt;&gt;""),AND(IC4&gt;=II$28,IC4&lt;&gt;"",IE4&gt;=II$32,IE4&lt;&gt;""),AND(IF4&gt;=II$28,IF4&lt;&gt;"",IH4&gt;=II$32,IH4&lt;&gt;""),AND(JD4&gt;=JQ$28,JD4&lt;&gt;"",JF4&gt;=JQ$32,JF4&lt;&gt;""),AND(JG4&gt;=JQ$28,JG4&lt;&gt;"",JI4&gt;=JQ$32,JI4&lt;&gt;""),AND(JK4&gt;=JQ$28,JK4&lt;&gt;"",JM4&gt;=JQ$32,JM4&lt;&gt;""),AND(JN4&gt;=JQ$28,JN4&lt;&gt;"",JP4&gt;=JQ$32,JP4&lt;&gt;""),AND(KL4&gt;=KY$28,KL4&lt;&gt;"",KN4&gt;=KY$32,KN4&lt;&gt;""),AND(KO4&gt;=KY$28,KO4&lt;&gt;"",KQ4&gt;=KY$32,KQ4&lt;&gt;""),AND(KS4&gt;=KY$28,KS4&lt;&gt;"",KU4&gt;=KY$32,KU4&lt;&gt;""),AND(KV4&gt;=KY$28,KV4&lt;&gt;"",KX4&gt;=KY$32,KX4&lt;&gt;""),AND(LT4&gt;=MG$28,LT4&lt;&gt;"",LV4&gt;=MG$32,LV4&lt;&gt;""),AND(LW4&gt;=MG$28,LW4&lt;&gt;"",LY4&gt;=MG$32,LY4&lt;&gt;""),AND(MA4&gt;=MG$28,MA4&lt;&gt;"",MC4&gt;=MG$32,MC4&lt;&gt;""),AND(MD4&gt;=MG$28,MD4&lt;&gt;"",MF4&gt;=MG$32,MF4&lt;&gt;""),AND(NB4&gt;=NO$28,NB4&lt;&gt;"",ND4&gt;=NO$32,ND4&lt;&gt;""),AND(NE4&gt;=NO$28,NE4&lt;&gt;"",NG4&gt;=NO$32,NG4&lt;&gt;""),AND(NI4&gt;=NO$28,NI4&lt;&gt;"",NK4&gt;=NO$32,NK4&lt;&gt;""),AND(NL4&gt;=NO$28,NL4&lt;&gt;"",NN4&gt;=NO$32,NN4&lt;&gt;""),AND(OJ4&gt;=OW$28,OJ4&lt;&gt;"",OL4&gt;=OW$32,OL4&lt;&gt;""),AND(OM4&gt;=OW$28,OM4&lt;&gt;"",OO4&gt;=OW$32,OO4&lt;&gt;""),AND(OQ4&gt;=OW$28,OQ4&lt;&gt;"",OS4&gt;=OW$32,OS4&lt;&gt;""),AND(OT4&gt;=OW$28,OT4&lt;&gt;"",OV4&gt;=OW$32,OV4&lt;&gt;""),AND(PR4&gt;=QE$28,PR4&lt;&gt;"",PT4&gt;=QE$32,PT4&lt;&gt;""),AND(PU4&gt;=QE$28,PU4&lt;&gt;"",PW4&gt;=QE$32,PW4&lt;&gt;""),AND(PY4&gt;=QE$28,PY4&lt;&gt;"",QA4&gt;=QE$32,QA4&lt;&gt;""),AND(QB4&gt;=QE$28,QB4&lt;&gt;"",QD4&gt;=QE$32,QD4&lt;&gt;""),AND(QZ4&gt;=RM$28,QZ4&lt;&gt;"",RB4&gt;=RM$32,RB4&lt;&gt;""),AND(RC4&gt;=RM$28,RC4&lt;&gt;"",RE4&gt;=RM$32,RE4&lt;&gt;""),AND(RG4&gt;=RM$28,RG4&lt;&gt;"",RI4&gt;=RM$32,RI4&lt;&gt;""),AND(RJ4&gt;=RM$28,RJ4&lt;&gt;"",RL4&gt;=RM$32,RL4&lt;&gt;""),AND(SH4&gt;=SU$28,SH4&lt;&gt;"",SJ4&gt;=SU$32,SJ4&lt;&gt;""),AND(SK4&gt;=SU$28,SK4&lt;&gt;"",SM4&gt;=SU$32,SM4&lt;&gt;""),AND(SO4&gt;=SU$28,SO4&lt;&gt;"",SQ4&gt;=SU$32,SQ4&lt;&gt;""),AND(SR4&gt;=SU$28,SR4&lt;&gt;"",ST4&gt;=SU$32,ST4&lt;&gt;"")),"Excellence",IF(I4="P","Worlds Team",IF(F4="P","National Team","")))))</f>
        <v>Merit</v>
      </c>
      <c r="I4" s="3" t="str">
        <f t="shared" ref="I4:I23" si="4">IF(OR(AND(AO4&gt;=AY$27,AO4&lt;&gt;"",AQ4&gt;=AY$31,AQ4&lt;&gt;"",AN4=""),AND(AR4&gt;=AY$27,AR4&lt;&gt;"",AT4&gt;=AY$31,AT4&lt;&gt;"",AN4=""),AND(AV4&gt;=AY$27,AV4&lt;&gt;"",AX4&gt;=AY$31,AX4&lt;&gt;"",AN4=""),AND(BP4&gt;=BZ$27,BP4&lt;&gt;"",BR4&gt;=BZ$31,BR4&lt;&gt;"",BO4=""),AND(BS4&gt;=BZ$27,BS4&lt;&gt;"",BU4&gt;=BZ$31,BU4&lt;&gt;"",BO4=""),AND(BW4&gt;=BZ$27,BW4&lt;&gt;"",BY4&gt;=BZ$31,BY4&lt;&gt;"",BO4=""),AND(CQ4&gt;=DA$27,CQ4&lt;&gt;"",CS4&gt;=DA$31,CS4&lt;&gt;"",CP4=""),AND(CT4&gt;=DA$27,CT4&lt;&gt;"",CV4&gt;=DA$31,CV4&lt;&gt;"",CP4=""),AND(CX4&gt;=DA$27,CX4&lt;&gt;"",CZ4&gt;=DA$31,CZ4&lt;&gt;"",CP4=""),AND(DX4&gt;=EK$27,DX4&lt;&gt;"",DZ4&gt;=EK$31,DZ4&lt;&gt;""),AND(EA4&gt;=EK$27,EA4&lt;&gt;"",EC4&gt;=EK$31,EC4&lt;&gt;""),AND(EE4&gt;=EK$27,EE4&lt;&gt;"",EG4&gt;=EK$31,EG4&lt;&gt;""),AND(EH4&gt;=EK$27,EH4&lt;&gt;"",EJ4&gt;=EK$31,EJ4&lt;&gt;""),AND(FF4&gt;=FS$27,FF4&lt;&gt;"",FH4&gt;=FS$31,FH4&lt;&gt;""),AND(FI4&gt;=FS$27,FI4&lt;&gt;"",FK4&gt;=FS$31,FK4&lt;&gt;""),AND(FM4&gt;=FS$27,FM4&lt;&gt;"",FO4&gt;=FS$31,FO4&lt;&gt;""),AND(FP4&gt;=FS$27,FP4&lt;&gt;"",FR4&gt;=FS$31,FR4&lt;&gt;""),AND(GN4&gt;=HA$27,GN4&lt;&gt;"",GP4&gt;=HA$31,GP4&lt;&gt;""),AND(GQ4&gt;=HA$27,GQ4&lt;&gt;"",GS4&gt;=HA$31,GS4&lt;&gt;""),AND(GU4&gt;=HA$27,GU4&lt;&gt;"",GW4&gt;=HA$31,GW4&lt;&gt;""),AND(GX4&gt;=HA$27,GX4&lt;&gt;"",GZ4&gt;=HA$31,GZ4&lt;&gt;""),AND(HV4&gt;=II$27,HV4&lt;&gt;"",HX4&gt;=II$31,HX4&lt;&gt;""),AND(HY4&gt;=II$27,HY4&lt;&gt;"",IA4&gt;=II$31,IA4&lt;&gt;""),AND(IC4&gt;=II$27,IC4&lt;&gt;"",IE4&gt;=II$31,IE4&lt;&gt;""),AND(IF4&gt;=II$27,IF4&lt;&gt;"",IH4&gt;=II$31,IH4&lt;&gt;""),AND(JD4&gt;=JQ$27,JD4&lt;&gt;"",JF4&gt;=JQ$31,JF4&lt;&gt;""),AND(JG4&gt;=JQ$27,JG4&lt;&gt;"",JI4&gt;=JQ$31,JI4&lt;&gt;""),AND(JK4&gt;=JQ$27,JK4&lt;&gt;"",JM4&gt;=JQ$31,JM4&lt;&gt;""),AND(JN4&gt;=JQ$27,JN4&lt;&gt;"",JP4&gt;=JQ$31,JP4&lt;&gt;""),AND(KL4&gt;=KY$27,KL4&lt;&gt;"",KN4&gt;=KY$31,KN4&lt;&gt;""),AND(KO4&gt;=KY$27,KO4&lt;&gt;"",KQ4&gt;=KY$31,KQ4&lt;&gt;""),AND(KS4&gt;=KY$27,KS4&lt;&gt;"",KU4&gt;=KY$31,KU4&lt;&gt;""),AND(KV4&gt;=KY$27,KV4&lt;&gt;"",KX4&gt;=KY$31,KX4&lt;&gt;""),AND(LT4&gt;=MG$27,LT4&lt;&gt;"",LV4&gt;=MG$31,LV4&lt;&gt;""),AND(LW4&gt;=MG$27,LW4&lt;&gt;"",LY4&gt;=MG$31,LY4&lt;&gt;""),AND(MA4&gt;=MG$27,MA4&lt;&gt;"",MC4&gt;=MG$31,MC4&lt;&gt;""),AND(MD4&gt;=MG$27,MD4&lt;&gt;"",MF4&gt;=MG$31,MF4&lt;&gt;""),AND(NB4&gt;=NO$27,NB4&lt;&gt;"",ND4&gt;=NO$31,ND4&lt;&gt;""),AND(NE4&gt;=NO$27,NE4&lt;&gt;"",NG4&gt;=NO$31,NG4&lt;&gt;""),AND(NI4&gt;=NO$27,NI4&lt;&gt;"",NK4&gt;=NO$31,NK4&lt;&gt;""),AND(NL4&gt;=NO$27,NL4&lt;&gt;"",NN4&gt;=NO$31,NN4&lt;&gt;""),AND(OJ4&gt;=OW$27,OJ4&lt;&gt;"",OL4&gt;=OW$31,OL4&lt;&gt;""),AND(OM4&gt;=OW$27,OM4&lt;&gt;"",OO4&gt;=OW$31,OO4&lt;&gt;""),AND(OQ4&gt;=OW$27,OQ4&lt;&gt;"",OS4&gt;=OW$31,OS4&lt;&gt;""),AND(OT4&gt;=OW$27,OT4&lt;&gt;"",OV4&gt;=OW$31,OV4&lt;&gt;""),AND(PR4&gt;=QE$27,PR4&lt;&gt;"",PT4&gt;=QE$31,PT4&lt;&gt;""),AND(PU4&gt;=QE$27,PU4&lt;&gt;"",PW4&gt;=QE$31,PW4&lt;&gt;""),AND(PY4&gt;=QE$27,PY4&lt;&gt;"",QA4&gt;=QE$31,QA4&lt;&gt;""),AND(QB4&gt;=QE$27,QB4&lt;&gt;"",QD4&gt;=QE$31,QD4&lt;&gt;""),AND(QZ4&gt;=RM$27,QZ4&lt;&gt;"",RB4&gt;=RM$31,RB4&lt;&gt;""),AND(RC4&gt;=RM$27,RC4&lt;&gt;"",RE4&gt;=RM$31,RE4&lt;&gt;""),AND(RG4&gt;=RM$27,RG4&lt;&gt;"",RI4&gt;=RM$31,RI4&lt;&gt;""),AND(RJ4&gt;=RM$27,RJ4&lt;&gt;"",RL4&gt;=RM$31,RL4&lt;&gt;""),AND(SH4&gt;=SU$27,SH4&lt;&gt;"",SJ4&gt;=SU$31,SJ4&lt;&gt;""),AND(SK4&gt;=SU$27,SK4&lt;&gt;"",SM4&gt;=SU$31,SM4&lt;&gt;""),AND(SO4&gt;=SU$27,SO4&lt;&gt;"",SQ4&gt;=SU$31,SQ4&lt;&gt;""),AND(SR4&gt;=SU$27,SR4&lt;&gt;"",ST4&gt;=SU$31,ST4&lt;&gt;"")),"P","")</f>
        <v>P</v>
      </c>
      <c r="J4" s="8">
        <f>IF(COUNT(AQ4,AT4,BR4,BU4,CS4,CV4)&gt;0,LARGE((AQ4,AT4,BR4,BU4,CS4,CV4),1),0)</f>
        <v>58.83</v>
      </c>
      <c r="K4" s="8" t="str">
        <f t="shared" ref="K4:K23" si="5">IF(J4="","",IF(OR(J4=CS4,J4=CV4),$CA$1,IF(OR(J4=BR4,J4=BU4),$AZ$1,IF(OR(J4=AQ4,J4=AT4),$Y$1,""))))</f>
        <v>2023 Domestic 3rd Trial</v>
      </c>
      <c r="L4" s="8">
        <f>IF(COUNT(AQ4,AT4,BR4,BU4,CS4,CV4)&gt;1,LARGE((AQ4,AT4,BR4,BU4,CS4,CV4),2),0)</f>
        <v>58.08</v>
      </c>
      <c r="M4" s="8" t="str">
        <f t="shared" ref="M4:M23" si="6">IF(L4="","",IF(OR(L4=CS4,L4=CV4),$CA$1,IF(OR(L4=BR4,L4=BU4),$AZ$1,IF(OR(L4=AQ4,L4=AT4),$Y$1,""))))</f>
        <v>2023 Domestic 3rd Trial</v>
      </c>
      <c r="N4" s="8">
        <f>IF(COUNT(AQ4,AT4,BR4,BU4,CS4,CV4)&gt;2,LARGE((AQ4,AT4,BR4,BU4,CS4,CV4),3),0)</f>
        <v>56.63000000000001</v>
      </c>
      <c r="O4" s="8" t="str">
        <f t="shared" ref="O4:O23" si="7">IF(N4="","",IF(OR(N4=CS4,N4=CV4),$CA$1,IF(OR(N4=BR4,N4=BU4),$AZ$1,IF(OR(N4=AQ4,N4=AT4),$Y$1,""))))</f>
        <v>2023 Nationals</v>
      </c>
      <c r="P4" s="8">
        <f t="shared" ref="P4:P23" si="8">IF(MAX(AX4,BY4,CZ4)&gt;0,MAX(AX4,BY4,CZ4),0)</f>
        <v>59.42</v>
      </c>
      <c r="Q4" s="8" t="str">
        <f t="shared" ref="Q4:Q23" si="9">IF(P4="","",IF(P4=CZ4,$CA$1,IF(P4=BY4,$AZ$1,IF(P4=AX4,$Y$1,""))))</f>
        <v>2023 Nationals</v>
      </c>
      <c r="R4" s="8">
        <f t="shared" ref="R4:R23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17.5</v>
      </c>
      <c r="S4" s="8" t="str">
        <f t="shared" ref="S4:S23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Domestic 3rd Trial</v>
      </c>
      <c r="T4" s="8">
        <f t="shared" ref="T4:T23" si="12">IF(MAX(IF(AO4&gt;=$AY$26,AP4,0),IF(AR4&gt;=$AY$26,AS4,0),IF(AV4&gt;=$AY$26,AW4,0),IF(BP4&gt;=$BZ$26,BQ4,0),IF(BS4&gt;=$BZ$26,BT4,0),IF(BW4&gt;=$BZ$26,BX4,0),IF(CQ4&gt;=$DA$26,CR4,0),IF(CT4&gt;=$DA$26,CU4,0),IF(CX4&gt;=$DA$26,CY4,0),IF(DX4&gt;=$EK$26,DY4,0),IF(EA4&gt;=$EK$26,EB4,0),IF(EE4&gt;=$EK$26,EF4,0),IF(EH4&gt;=$EK$26,EI4,0),IF(FF4&gt;=$FS$26,FG4,0),IF(FI4&gt;=$FS$26,FJ4,0),IF(FM4&gt;=$FS$26,FN4,0),IF(FP4&gt;=$FS$26,FQ4,0),IF(GN4&gt;=$HA$26,GO4,0),IF(GQ4&gt;=$HA$26,GR4,0),IF(GU4&gt;=$HA$26,GV4,0),IF(GX4&gt;=$HA$26,GY4,0),IF(HV4&gt;=$II$26,HW4,0),IF(HY4&gt;=$II$26,HZ4,0),IF(IC4&gt;=$II$26,ID4,0),IF(IF4&gt;=$II$26,IG4,0),IF(JD4&gt;=$JQ$26,JE4,0),IF(JG4&gt;=$JQ$26,JH4,0),IF(JK4&gt;=$JQ$26,JL4,0),IF(JN4&gt;=$JQ$26,JO4,0),IF(KL4&gt;=$KY$26,KM4,0),IF(KO4&gt;=$KY$26,KP4,0),IF(KS4&gt;=$KY$26,KT4,0),IF(KV4&gt;=$KY$26,KW4,0),IF(LT4&gt;=$MG$26,LU4,0),IF(LW4&gt;=$MG$26,LX4,0),IF(MA4&gt;=$MG$26,MB4,0),IF(MD4&gt;=$MG$26,ME4,0),IF(NB4&gt;=$NO$26,NC4,0),IF(NE4&gt;=$NO$26,NF4,0),IF(NI4&gt;=$NO$26,NJ4,0),IF(NL4&gt;=$NO$26,NM4,0),IF(OJ4&gt;=$OW$26,OK4,0),IF(OM4&gt;=$OW$26,ON4,0),IF(OQ4&gt;=$OW$26,OR4,0),IF(OT4&gt;=$OW$26,OU4,0),IF(PR4&gt;=$QE$26,PS4,0),IF(PU4&gt;=$QE$26,PV4,0),IF(PY4&gt;=$QE$26,PZ4,0),IF(QB4&gt;=$QE$26,QC4,0),IF(QZ4&gt;=$RM$26,RA4,0),IF(RC4&gt;=$RM$26,RD4,0),IF(RG4&gt;=$RM$26,RH4,0),IF(RJ4&gt;=$RM$26,RK4,0),IF(SH4&gt;=$SU$26,SI4,0),IF(SK4&gt;=$SU$26,SL4,0),IF(SO4&gt;=$SU$26,SP4,0),IF(SR4&gt;=$SU$26,SS4,0))&gt;0,MAX(IF(AO4&gt;=$AY$26,AP4,0),IF(AR4&gt;=$AY$26,AS4,0),IF(AV4&gt;=$AY$26,AW4,0),IF(BP4&gt;=$BZ$26,BQ4,0),IF(BS4&gt;=$BZ$26,BT4,0),IF(BW4&gt;=$BZ$26,BX4,0),IF(CQ4&gt;=$DA$26,CR4,0),IF(CT4&gt;=$DA$26,CU4,0),IF(CX4&gt;=$DA$26,CY4,0),IF(DX4&gt;=$EK$26,DY4,0),IF(EA4&gt;=$EK$26,EB4,0),IF(EE4&gt;=$EK$26,EF4,0),IF(EH4&gt;=$EK$26,EI4,0),IF(FF4&gt;=$FS$26,FG4,0),IF(FI4&gt;=$FS$26,FJ4,0),IF(FM4&gt;=$FS$26,FN4,0),IF(FP4&gt;=$FS$26,FQ4,0),IF(GN4&gt;=$HA$26,GO4,0),IF(GQ4&gt;=$HA$26,GR4,0),IF(GU4&gt;=$HA$26,GV4,0),IF(GX4&gt;=$HA$26,GY4,0),IF(HV4&gt;=$II$26,HW4,0),IF(HY4&gt;=$II$26,HZ4,0),IF(IC4&gt;=$II$26,ID4,0),IF(IF4&gt;=$II$26,IG4,0),IF(JD4&gt;=$JQ$26,JE4,0),IF(JG4&gt;=$JQ$26,JH4,0),IF(JK4&gt;=$JQ$26,JL4,0),IF(JN4&gt;=$JQ$26,JO4,0),IF(KL4&gt;=$KY$26,KM4,0),IF(KO4&gt;=$KY$26,KP4,0),IF(KS4&gt;=$KY$26,KT4,0),IF(KV4&gt;=$KY$26,KW4,0),IF(LT4&gt;=$MG$26,LU4,0),IF(LW4&gt;=$MG$26,LX4,0),IF(MA4&gt;=$MG$26,MB4,0),IF(MD4&gt;=$MG$26,ME4,0),IF(NB4&gt;=$NO$26,NC4,0),IF(NE4&gt;=$NO$26,NF4,0),IF(NI4&gt;=$NO$26,NJ4,0),IF(NL4&gt;=$NO$26,NM4,0),IF(OJ4&gt;=$OW$26,OK4,0),IF(OM4&gt;=$OW$26,ON4,0),IF(OQ4&gt;=$OW$26,OR4,0),IF(OT4&gt;=$OW$26,OU4,0),IF(PR4&gt;=$QE$26,PS4,0),IF(PU4&gt;=$QE$26,PV4,0),IF(PY4&gt;=$QE$26,PZ4,0),IF(QB4&gt;=$QE$26,QC4,0),IF(QZ4&gt;=$RM$26,RA4,0),IF(RC4&gt;=$RM$26,RD4,0),IF(RG4&gt;=$RM$26,RH4,0),IF(RJ4&gt;=$RM$26,RK4,0),IF(SH4&gt;=$SU$26,SI4,0),IF(SK4&gt;=$SU$26,SL4,0),IF(SO4&gt;=$SU$26,SP4,0),IF(SR4&gt;=$SU$26,SS4,0)),0)</f>
        <v>17.36</v>
      </c>
      <c r="U4" s="8" t="str">
        <f t="shared" ref="U4:U23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>
        <f t="shared" ref="V4:V23" si="14">IF(MAX(DB4,DC4)&gt;0,MAX(DB4,DC4),"")</f>
        <v>1.8199999999999932</v>
      </c>
      <c r="W4" s="11" t="str">
        <f t="shared" ref="W4:W23" si="15">IF(V4="","",IF(V4=DB4,"("&amp;DB$2&amp;")",IF(V4=DC4,"("&amp;DC$2&amp;")")))</f>
        <v>(Prelim)</v>
      </c>
      <c r="X4" s="8" t="str">
        <f t="shared" ref="X4:X23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USA (Aug 5)</v>
      </c>
      <c r="Y4" s="23">
        <v>10.199999999999999</v>
      </c>
      <c r="Z4" s="23">
        <v>6.1000000000000005</v>
      </c>
      <c r="AA4" s="23">
        <v>10.85</v>
      </c>
      <c r="AB4" s="23">
        <v>11.115</v>
      </c>
      <c r="AC4" s="23">
        <v>0</v>
      </c>
      <c r="AD4" s="23">
        <v>14.95</v>
      </c>
      <c r="AE4" s="23">
        <v>8.9</v>
      </c>
      <c r="AF4" s="23">
        <v>15.35</v>
      </c>
      <c r="AG4" s="23">
        <v>17.25</v>
      </c>
      <c r="AH4" s="23">
        <v>0</v>
      </c>
      <c r="AI4" s="23">
        <v>15.45</v>
      </c>
      <c r="AJ4" s="23">
        <v>9.4</v>
      </c>
      <c r="AK4" s="23">
        <v>16.2</v>
      </c>
      <c r="AL4" s="23">
        <v>17.36</v>
      </c>
      <c r="AM4" s="23">
        <v>0</v>
      </c>
      <c r="AN4" s="28" t="s">
        <v>57</v>
      </c>
      <c r="AO4" s="39">
        <f t="shared" ref="AO4:AO23" si="17">IF(AA4&gt;0,AA4,"")</f>
        <v>10.85</v>
      </c>
      <c r="AP4" s="39">
        <f t="shared" ref="AP4:AP23" si="18">IF(AB4&gt;0,AB4,"")</f>
        <v>11.115</v>
      </c>
      <c r="AQ4" s="41">
        <f t="shared" ref="AQ4:AQ23" si="19">IF(SUM(Y4:AB4)-AC4&gt;0,SUM(Y4:AB4)-AC4,"")</f>
        <v>38.265000000000001</v>
      </c>
      <c r="AR4" s="41">
        <f t="shared" ref="AR4:AR23" si="20">IF(AF4&gt;0,AF4,"")</f>
        <v>15.35</v>
      </c>
      <c r="AS4" s="41">
        <f t="shared" ref="AS4:AS23" si="21">IF(AG4&gt;0,AG4,"")</f>
        <v>17.25</v>
      </c>
      <c r="AT4" s="41">
        <f t="shared" ref="AT4:AT23" si="22">IF(SUM(AD4:AG4)-AH4&gt;0,SUM(AD4:AG4)-AH4,"")</f>
        <v>56.45</v>
      </c>
      <c r="AU4" s="41">
        <f t="shared" ref="AU4:AU23" si="23">IF(AQ4="","",MAX(AQ4,AT4))</f>
        <v>56.45</v>
      </c>
      <c r="AV4" s="41">
        <f t="shared" ref="AV4:AV23" si="24">IF(AK4&gt;0,AK4,"")</f>
        <v>16.2</v>
      </c>
      <c r="AW4" s="41">
        <f t="shared" ref="AW4:AW23" si="25">IF(AL4&gt;0,AL4,"")</f>
        <v>17.36</v>
      </c>
      <c r="AX4" s="41">
        <f t="shared" ref="AX4:AX23" si="26">IF(SUM(AI4:AL4)-AM4&gt;0,SUM(AI4:AL4)-AM4,"")</f>
        <v>58.41</v>
      </c>
      <c r="AY4" s="41">
        <f t="shared" ref="AY4:AY23" si="27">IF(SUM(AU4,AX4)&gt;0,SUM(AU4,AX4),"")</f>
        <v>114.86</v>
      </c>
      <c r="AZ4" s="27">
        <v>1.6</v>
      </c>
      <c r="BA4" s="27">
        <v>1</v>
      </c>
      <c r="BB4" s="27">
        <v>2.2000000000000002</v>
      </c>
      <c r="BC4" s="27">
        <v>1.83</v>
      </c>
      <c r="BD4" s="27">
        <v>0</v>
      </c>
      <c r="BE4" s="27">
        <v>15.1</v>
      </c>
      <c r="BF4" s="27">
        <v>9</v>
      </c>
      <c r="BG4" s="27">
        <v>16.3</v>
      </c>
      <c r="BH4" s="27">
        <v>16.23</v>
      </c>
      <c r="BI4" s="27">
        <v>0</v>
      </c>
      <c r="BJ4" s="27">
        <v>16.100000000000001</v>
      </c>
      <c r="BK4" s="27">
        <v>9.6</v>
      </c>
      <c r="BL4" s="27">
        <v>17.100000000000001</v>
      </c>
      <c r="BM4" s="27">
        <v>16.62</v>
      </c>
      <c r="BN4" s="27">
        <v>0</v>
      </c>
      <c r="BO4" s="29"/>
      <c r="BP4" s="40">
        <f t="shared" ref="BP4:BP23" si="28">IF(BB4&gt;0,BB4,"")</f>
        <v>2.2000000000000002</v>
      </c>
      <c r="BQ4" s="40">
        <f t="shared" ref="BQ4:BQ23" si="29">IF(BC4&gt;0,BC4,"")</f>
        <v>1.83</v>
      </c>
      <c r="BR4" s="11">
        <f t="shared" ref="BR4:BR23" si="30">IF(SUM(AZ4:BC4)-BD4&gt;0,SUM(AZ4:BC4)-BD4,"")</f>
        <v>6.6300000000000008</v>
      </c>
      <c r="BS4" s="11">
        <f t="shared" ref="BS4:BS23" si="31">IF(BG4&gt;0,BG4,"")</f>
        <v>16.3</v>
      </c>
      <c r="BT4" s="11">
        <f t="shared" ref="BT4:BT23" si="32">IF(BH4&gt;0,BH4,"")</f>
        <v>16.23</v>
      </c>
      <c r="BU4" s="11">
        <f t="shared" ref="BU4:BU23" si="33">IF(SUM(BE4:BH4)-BI4&gt;0,SUM(BE4:BH4)-BI4,"")</f>
        <v>56.63000000000001</v>
      </c>
      <c r="BV4" s="11">
        <f t="shared" ref="BV4:BV23" si="34">IF(BR4="","",MAX(BR4,BU4))</f>
        <v>56.63000000000001</v>
      </c>
      <c r="BW4" s="11">
        <f t="shared" ref="BW4:BW23" si="35">IF(BL4&gt;0,BL4,"")</f>
        <v>17.100000000000001</v>
      </c>
      <c r="BX4" s="11">
        <f t="shared" ref="BX4:BX23" si="36">IF(BM4&gt;0,BM4,"")</f>
        <v>16.62</v>
      </c>
      <c r="BY4" s="11">
        <f t="shared" ref="BY4:BY23" si="37">IF(SUM(BJ4:BM4)-BN4&gt;0,SUM(BJ4:BM4)-BN4,"")</f>
        <v>59.42</v>
      </c>
      <c r="BZ4" s="11">
        <f t="shared" ref="BZ4:BZ23" si="38">IF(SUM(BV4,BY4)&gt;0,SUM(BV4,BY4),"")</f>
        <v>116.05000000000001</v>
      </c>
      <c r="CA4" s="23">
        <v>15.5</v>
      </c>
      <c r="CB4" s="23">
        <v>9</v>
      </c>
      <c r="CC4" s="23">
        <v>17.100000000000001</v>
      </c>
      <c r="CD4" s="23">
        <v>17.23</v>
      </c>
      <c r="CE4" s="23">
        <v>0</v>
      </c>
      <c r="CF4" s="23">
        <v>15</v>
      </c>
      <c r="CG4" s="23">
        <v>9.3000000000000007</v>
      </c>
      <c r="CH4" s="23">
        <v>16.7</v>
      </c>
      <c r="CI4" s="23">
        <v>17.079999999999998</v>
      </c>
      <c r="CJ4" s="23">
        <v>0</v>
      </c>
      <c r="CK4" s="23">
        <v>14.5</v>
      </c>
      <c r="CL4" s="23">
        <v>8.9</v>
      </c>
      <c r="CM4" s="23">
        <v>17.5</v>
      </c>
      <c r="CN4" s="23">
        <v>17.07</v>
      </c>
      <c r="CO4" s="23">
        <v>0</v>
      </c>
      <c r="CP4" s="28"/>
      <c r="CQ4" s="39">
        <f t="shared" ref="CQ4:CQ23" si="39">IF(CC4&gt;0,CC4,"")</f>
        <v>17.100000000000001</v>
      </c>
      <c r="CR4" s="39">
        <f t="shared" ref="CR4:CR23" si="40">IF(CD4&gt;0,CD4,"")</f>
        <v>17.23</v>
      </c>
      <c r="CS4" s="41">
        <f t="shared" ref="CS4:CS23" si="41">IF(SUM(CA4:CD4)-CE4&gt;0,SUM(CA4:CD4)-CE4,"")</f>
        <v>58.83</v>
      </c>
      <c r="CT4" s="41">
        <f t="shared" ref="CT4:CT23" si="42">IF(CH4&gt;0,CH4,"")</f>
        <v>16.7</v>
      </c>
      <c r="CU4" s="41">
        <f t="shared" ref="CU4:CU23" si="43">IF(CI4&gt;0,CI4,"")</f>
        <v>17.079999999999998</v>
      </c>
      <c r="CV4" s="41">
        <f t="shared" ref="CV4:CV23" si="44">IF(SUM(CF4:CI4)-CJ4&gt;0,SUM(CF4:CI4)-CJ4,"")</f>
        <v>58.08</v>
      </c>
      <c r="CW4" s="41">
        <f t="shared" ref="CW4:CW23" si="45">IF(CS4="","",MAX(CS4,CV4))</f>
        <v>58.83</v>
      </c>
      <c r="CX4" s="41">
        <f t="shared" ref="CX4:CX23" si="46">IF(CM4&gt;0,CM4,"")</f>
        <v>17.5</v>
      </c>
      <c r="CY4" s="41">
        <f t="shared" ref="CY4:CY23" si="47">IF(CN4&gt;0,CN4,"")</f>
        <v>17.07</v>
      </c>
      <c r="CZ4" s="41">
        <f t="shared" ref="CZ4:CZ23" si="48">IF(SUM(CK4:CN4)-CO4&gt;0,SUM(CK4:CN4)-CO4,"")</f>
        <v>57.97</v>
      </c>
      <c r="DA4" s="41">
        <f t="shared" ref="DA4:DA23" si="49">IF(SUM(CW4,CZ4)&gt;0,SUM(CW4,CZ4),"")</f>
        <v>116.8</v>
      </c>
      <c r="DB4" s="52">
        <f t="shared" ref="DB4:DB23" si="50">IF(MAX(ED4,FL4,GT4,IB4,JJ4,KR4,LZ4,NH4,OP4,PX4,RF4,SN4)-IF(N4="",0,N4)&gt;0.001,MAX(ED4,FL4,GT4,IB4,JJ4,KR4,LZ4,NH4,OP4,PX4,RF4,SN4)-IF(N4="",0,N4),"")</f>
        <v>1.8199999999999932</v>
      </c>
      <c r="DC4" s="52" t="str">
        <f t="shared" ref="DC4:DC23" si="51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1" t="str">
        <f t="shared" ref="DX4:DX23" si="52">IF(DF4&gt;0,DF4,"")</f>
        <v/>
      </c>
      <c r="DY4" s="41" t="str">
        <f t="shared" ref="DY4:DY23" si="53">IF(DG4&gt;0,DG4,"")</f>
        <v/>
      </c>
      <c r="DZ4" s="41" t="str">
        <f t="shared" ref="DZ4:DZ23" si="54">IF(SUM(DD4:DG4)-DH4&gt;0,SUM(DD4:DG4)-DH4,"")</f>
        <v/>
      </c>
      <c r="EA4" s="41" t="str">
        <f t="shared" ref="EA4:EA23" si="55">IF(DK4&gt;0,DK4,"")</f>
        <v/>
      </c>
      <c r="EB4" s="41" t="str">
        <f t="shared" ref="EB4:EB23" si="56">IF(DL4&gt;0,DL4,"")</f>
        <v/>
      </c>
      <c r="EC4" s="41" t="str">
        <f t="shared" ref="EC4:EC23" si="57">IF(SUM(DI4:DL4)-DM4&gt;0,SUM(DI4:DL4)-DM4,"")</f>
        <v/>
      </c>
      <c r="ED4" s="41" t="str">
        <f t="shared" ref="ED4:ED23" si="58">IF(MAX(DZ4,EC4)&gt;0,MAX(DZ4,EC4),"")</f>
        <v/>
      </c>
      <c r="EE4" s="41" t="str">
        <f t="shared" ref="EE4:EE23" si="59">IF(DP4&gt;0,DP4,"")</f>
        <v/>
      </c>
      <c r="EF4" s="41" t="str">
        <f t="shared" ref="EF4:EF23" si="60">IF(DQ4&gt;0,DQ4,"")</f>
        <v/>
      </c>
      <c r="EG4" s="41" t="str">
        <f t="shared" ref="EG4:EG23" si="61">IF(SUM(DN4:DQ4)-DR4&gt;0,SUM(DN4:DQ4)-DR4,"")</f>
        <v/>
      </c>
      <c r="EH4" s="41" t="str">
        <f t="shared" ref="EH4:EH23" si="62">IF(DU4&gt;0,DU4,"")</f>
        <v/>
      </c>
      <c r="EI4" s="41" t="str">
        <f t="shared" ref="EI4:EI23" si="63">IF(DV4&gt;0,DV4,"")</f>
        <v/>
      </c>
      <c r="EJ4" s="41" t="str">
        <f t="shared" ref="EJ4:EJ23" si="64">IF(SUM(DS4:DV4)-DW4&gt;0,SUM(DS4:DV4)-DW4,"")</f>
        <v/>
      </c>
      <c r="EK4" s="41" t="str">
        <f t="shared" ref="EK4:EK23" si="65">IF(SUM(ED4,EG4,EJ4)&gt;0,SUM(ED4,EG4,EJ4),"")</f>
        <v/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 t="shared" ref="FF4:FF23" si="66">IF(EN4&gt;0,EN4,"")</f>
        <v/>
      </c>
      <c r="FG4" s="11" t="str">
        <f t="shared" ref="FG4:FG23" si="67">IF(EO4&gt;0,EO4,"")</f>
        <v/>
      </c>
      <c r="FH4" s="11" t="str">
        <f t="shared" ref="FH4:FH23" si="68">IF(SUM(EL4:EO4)-EP4&gt;0,SUM(EL4:EO4)-EP4,"")</f>
        <v/>
      </c>
      <c r="FI4" s="11" t="str">
        <f t="shared" ref="FI4:FI23" si="69">IF(ES4&gt;0,ES4,"")</f>
        <v/>
      </c>
      <c r="FJ4" s="11" t="str">
        <f t="shared" ref="FJ4:FJ23" si="70">IF(ET4&gt;0,ET4,"")</f>
        <v/>
      </c>
      <c r="FK4" s="11" t="str">
        <f t="shared" ref="FK4:FK23" si="71">IF(SUM(EQ4:ET4)-EU4&gt;0,SUM(EQ4:ET4)-EU4,"")</f>
        <v/>
      </c>
      <c r="FL4" s="11" t="str">
        <f t="shared" ref="FL4:FL23" si="72">IF(MAX(FH4,FK4)&gt;0,MAX(FH4,FK4),"")</f>
        <v/>
      </c>
      <c r="FM4" s="11" t="str">
        <f t="shared" ref="FM4:FM23" si="73">IF(EX4&gt;0,EX4,"")</f>
        <v/>
      </c>
      <c r="FN4" s="11" t="str">
        <f t="shared" ref="FN4:FN23" si="74">IF(EY4&gt;0,EY4,"")</f>
        <v/>
      </c>
      <c r="FO4" s="11" t="str">
        <f t="shared" ref="FO4:FO23" si="75">IF(SUM(EV4:EY4)-EZ4&gt;0,SUM(EV4:EY4)-EZ4,"")</f>
        <v/>
      </c>
      <c r="FP4" s="11" t="str">
        <f t="shared" ref="FP4:FP23" si="76">IF(FC4&gt;0,FC4,"")</f>
        <v/>
      </c>
      <c r="FQ4" s="11" t="str">
        <f t="shared" ref="FQ4:FQ23" si="77">IF(FD4&gt;0,FD4,"")</f>
        <v/>
      </c>
      <c r="FR4" s="11" t="str">
        <f t="shared" ref="FR4:FR23" si="78">IF(SUM(FA4:FD4)-FE4&gt;0,SUM(FA4:FD4)-FE4,"")</f>
        <v/>
      </c>
      <c r="FS4" s="11" t="str">
        <f t="shared" ref="FS4:FS23" si="79">IF(SUM(FL4,FO4,FR4)&gt;0,SUM(FL4,FO4,FR4),"")</f>
        <v/>
      </c>
      <c r="FT4" s="17">
        <v>5</v>
      </c>
      <c r="FU4" s="17">
        <v>2.7</v>
      </c>
      <c r="FV4" s="17">
        <v>5.0999999999999996</v>
      </c>
      <c r="FW4" s="17">
        <v>5.37</v>
      </c>
      <c r="FX4" s="17">
        <v>0</v>
      </c>
      <c r="FY4" s="17">
        <v>15.2</v>
      </c>
      <c r="FZ4" s="17">
        <v>9.1999999999999993</v>
      </c>
      <c r="GA4" s="17">
        <v>15.6</v>
      </c>
      <c r="GB4" s="17">
        <v>17.079999999999998</v>
      </c>
      <c r="GC4" s="17">
        <v>0</v>
      </c>
      <c r="GD4" s="17"/>
      <c r="GE4" s="17"/>
      <c r="GF4" s="17"/>
      <c r="GG4" s="17"/>
      <c r="GH4" s="17"/>
      <c r="GI4" s="17">
        <v>1.8</v>
      </c>
      <c r="GJ4" s="17">
        <v>0.9</v>
      </c>
      <c r="GK4" s="17">
        <v>2</v>
      </c>
      <c r="GL4" s="17">
        <v>1.71</v>
      </c>
      <c r="GM4" s="17">
        <v>0</v>
      </c>
      <c r="GN4" s="41">
        <f t="shared" ref="GN4:GN23" si="80">IF(FV4&gt;0,FV4,"")</f>
        <v>5.0999999999999996</v>
      </c>
      <c r="GO4" s="41">
        <f t="shared" ref="GO4:GO23" si="81">IF(FW4&gt;0,FW4,"")</f>
        <v>5.37</v>
      </c>
      <c r="GP4" s="41">
        <f t="shared" ref="GP4:GP23" si="82">IF(SUM(FT4:FW4)-FX4&gt;0,SUM(FT4:FW4)-FX4,"")</f>
        <v>18.170000000000002</v>
      </c>
      <c r="GQ4" s="41">
        <f t="shared" ref="GQ4:GQ23" si="83">IF(GA4&gt;0,GA4,"")</f>
        <v>15.6</v>
      </c>
      <c r="GR4" s="41">
        <f t="shared" ref="GR4:GR23" si="84">IF(GB4&gt;0,GB4,"")</f>
        <v>17.079999999999998</v>
      </c>
      <c r="GS4" s="41">
        <f t="shared" ref="GS4:GS23" si="85">IF(SUM(FY4:GB4)-GC4&gt;0,SUM(FY4:GB4)-GC4,"")</f>
        <v>57.08</v>
      </c>
      <c r="GT4" s="41">
        <f t="shared" ref="GT4:GT23" si="86">IF(MAX(GP4,GS4)&gt;0,MAX(GP4,GS4),"")</f>
        <v>57.08</v>
      </c>
      <c r="GU4" s="41" t="str">
        <f t="shared" ref="GU4:GU23" si="87">IF(GF4&gt;0,GF4,"")</f>
        <v/>
      </c>
      <c r="GV4" s="41" t="str">
        <f t="shared" ref="GV4:GV23" si="88">IF(GG4&gt;0,GG4,"")</f>
        <v/>
      </c>
      <c r="GW4" s="41" t="str">
        <f t="shared" ref="GW4:GW23" si="89">IF(SUM(GD4:GG4)-GH4&gt;0,SUM(GD4:GG4)-GH4,"")</f>
        <v/>
      </c>
      <c r="GX4" s="41">
        <f t="shared" ref="GX4:GX23" si="90">IF(GK4&gt;0,GK4,"")</f>
        <v>2</v>
      </c>
      <c r="GY4" s="41">
        <f t="shared" ref="GY4:GY23" si="91">IF(GL4&gt;0,GL4,"")</f>
        <v>1.71</v>
      </c>
      <c r="GZ4" s="41">
        <f t="shared" ref="GZ4:GZ23" si="92">IF(SUM(GI4:GL4)-GM4&gt;0,SUM(GI4:GL4)-GM4,"")</f>
        <v>6.41</v>
      </c>
      <c r="HA4" s="41">
        <f t="shared" ref="HA4:HA23" si="93">IF(SUM(GT4,GW4,GZ4)&gt;0,SUM(GT4,GW4,GZ4),"")</f>
        <v>63.489999999999995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>
        <v>15.6</v>
      </c>
      <c r="HR4" s="18">
        <v>8.9</v>
      </c>
      <c r="HS4" s="18">
        <v>15.6</v>
      </c>
      <c r="HT4" s="18">
        <v>17.05</v>
      </c>
      <c r="HU4" s="18">
        <v>0</v>
      </c>
      <c r="HV4" s="11" t="str">
        <f t="shared" ref="HV4:HV23" si="94">IF(HD4&gt;0,HD4,"")</f>
        <v/>
      </c>
      <c r="HW4" s="11" t="str">
        <f t="shared" ref="HW4:HW23" si="95">IF(HE4&gt;0,HE4,"")</f>
        <v/>
      </c>
      <c r="HX4" s="11" t="str">
        <f t="shared" ref="HX4:HX23" si="96">IF(SUM(HB4:HE4)-HF4&gt;0,SUM(HB4:HE4)-HF4,"")</f>
        <v/>
      </c>
      <c r="HY4" s="11" t="str">
        <f t="shared" ref="HY4:HY23" si="97">IF(HI4&gt;0,HI4,"")</f>
        <v/>
      </c>
      <c r="HZ4" s="11" t="str">
        <f t="shared" ref="HZ4:HZ23" si="98">IF(HJ4&gt;0,HJ4,"")</f>
        <v/>
      </c>
      <c r="IA4" s="11" t="str">
        <f t="shared" ref="IA4:IA23" si="99">IF(SUM(HG4:HJ4)-HK4&gt;0,SUM(HG4:HJ4)-HK4,"")</f>
        <v/>
      </c>
      <c r="IB4" s="11" t="str">
        <f t="shared" ref="IB4:IB23" si="100">IF(MAX(HX4,IA4)&gt;0,MAX(HX4,IA4),"")</f>
        <v/>
      </c>
      <c r="IC4" s="11" t="str">
        <f t="shared" ref="IC4:IC23" si="101">IF(HN4&gt;0,HN4,"")</f>
        <v/>
      </c>
      <c r="ID4" s="11" t="str">
        <f t="shared" ref="ID4:ID23" si="102">IF(HO4&gt;0,HO4,"")</f>
        <v/>
      </c>
      <c r="IE4" s="11" t="str">
        <f t="shared" ref="IE4:IE23" si="103">IF(SUM(HL4:HO4)-HP4&gt;0,SUM(HL4:HO4)-HP4,"")</f>
        <v/>
      </c>
      <c r="IF4" s="11">
        <f t="shared" ref="IF4:IF23" si="104">IF(HS4&gt;0,HS4,"")</f>
        <v>15.6</v>
      </c>
      <c r="IG4" s="11">
        <f t="shared" ref="IG4:IG23" si="105">IF(HT4&gt;0,HT4,"")</f>
        <v>17.05</v>
      </c>
      <c r="IH4" s="11">
        <f t="shared" ref="IH4:IH23" si="106">IF(SUM(HQ4:HT4)-HU4&gt;0,SUM(HQ4:HT4)-HU4,"")</f>
        <v>57.150000000000006</v>
      </c>
      <c r="II4" s="11">
        <f t="shared" ref="II4:II23" si="107">IF(SUM(IB4,IE4,IH4)&gt;0,SUM(IB4,IE4,IH4),"")</f>
        <v>57.150000000000006</v>
      </c>
      <c r="IJ4" s="17">
        <v>10.8</v>
      </c>
      <c r="IK4" s="17">
        <v>6.3</v>
      </c>
      <c r="IL4" s="17">
        <v>12.2</v>
      </c>
      <c r="IM4" s="17">
        <v>12.18</v>
      </c>
      <c r="IN4" s="17">
        <v>0</v>
      </c>
      <c r="IO4" s="17">
        <v>14.5</v>
      </c>
      <c r="IP4" s="17">
        <v>9.1</v>
      </c>
      <c r="IQ4" s="17">
        <v>16</v>
      </c>
      <c r="IR4" s="17">
        <v>16.62</v>
      </c>
      <c r="IS4" s="17">
        <v>0</v>
      </c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1">
        <f t="shared" ref="JD4:JD23" si="108">IF(IL4&gt;0,IL4,"")</f>
        <v>12.2</v>
      </c>
      <c r="JE4" s="41">
        <f t="shared" ref="JE4:JE23" si="109">IF(IM4&gt;0,IM4,"")</f>
        <v>12.18</v>
      </c>
      <c r="JF4" s="41">
        <f t="shared" ref="JF4:JF23" si="110">IF(SUM(IJ4:IM4)-IN4&gt;0,SUM(IJ4:IM4)-IN4,"")</f>
        <v>41.480000000000004</v>
      </c>
      <c r="JG4" s="41">
        <f t="shared" ref="JG4:JG23" si="111">IF(IQ4&gt;0,IQ4,"")</f>
        <v>16</v>
      </c>
      <c r="JH4" s="41">
        <f t="shared" ref="JH4:JH23" si="112">IF(IR4&gt;0,IR4,"")</f>
        <v>16.62</v>
      </c>
      <c r="JI4" s="41">
        <f t="shared" ref="JI4:JI23" si="113">IF(SUM(IO4:IR4)-IS4&gt;0,SUM(IO4:IR4)-IS4,"")</f>
        <v>56.22</v>
      </c>
      <c r="JJ4" s="41">
        <f t="shared" ref="JJ4:JJ23" si="114">IF(MAX(JF4,JI4)&gt;0,MAX(JF4,JI4),"")</f>
        <v>56.22</v>
      </c>
      <c r="JK4" s="41" t="str">
        <f t="shared" ref="JK4:JK23" si="115">IF(IV4&gt;0,IV4,"")</f>
        <v/>
      </c>
      <c r="JL4" s="41" t="str">
        <f t="shared" ref="JL4:JL23" si="116">IF(IW4&gt;0,IW4,"")</f>
        <v/>
      </c>
      <c r="JM4" s="41" t="str">
        <f t="shared" ref="JM4:JM23" si="117">IF(SUM(IT4:IW4)-IX4&gt;0,SUM(IT4:IW4)-IX4,"")</f>
        <v/>
      </c>
      <c r="JN4" s="41" t="str">
        <f t="shared" ref="JN4:JN23" si="118">IF(JA4&gt;0,JA4,"")</f>
        <v/>
      </c>
      <c r="JO4" s="41" t="str">
        <f t="shared" ref="JO4:JO23" si="119">IF(JB4&gt;0,JB4,"")</f>
        <v/>
      </c>
      <c r="JP4" s="41" t="str">
        <f t="shared" ref="JP4:JP23" si="120">IF(SUM(IY4:JB4)-JC4&gt;0,SUM(IY4:JB4)-JC4,"")</f>
        <v/>
      </c>
      <c r="JQ4" s="41">
        <f t="shared" ref="JQ4:JQ23" si="121">IF(SUM(JJ4,JM4,JP4)&gt;0,SUM(JJ4,JM4,JP4),"")</f>
        <v>56.22</v>
      </c>
      <c r="JR4" s="18">
        <v>14.6</v>
      </c>
      <c r="JS4" s="18">
        <v>9.3000000000000007</v>
      </c>
      <c r="JT4" s="18">
        <v>17.100000000000001</v>
      </c>
      <c r="JU4" s="18">
        <v>17.100000000000001</v>
      </c>
      <c r="JV4" s="18">
        <v>0</v>
      </c>
      <c r="JW4" s="18">
        <v>14.4</v>
      </c>
      <c r="JX4" s="18">
        <v>9.1</v>
      </c>
      <c r="JY4" s="18">
        <v>16.100000000000001</v>
      </c>
      <c r="JZ4" s="18">
        <v>16.760000000000002</v>
      </c>
      <c r="KA4" s="18">
        <v>0</v>
      </c>
      <c r="KB4" s="18">
        <v>1.6</v>
      </c>
      <c r="KC4" s="18">
        <v>0.9</v>
      </c>
      <c r="KD4" s="18">
        <v>2.2000000000000002</v>
      </c>
      <c r="KE4" s="18">
        <v>1.77</v>
      </c>
      <c r="KF4" s="18">
        <v>0</v>
      </c>
      <c r="KG4" s="18"/>
      <c r="KH4" s="18"/>
      <c r="KI4" s="18"/>
      <c r="KJ4" s="18"/>
      <c r="KK4" s="18"/>
      <c r="KL4" s="11">
        <f t="shared" ref="KL4:KL23" si="122">IF(JT4&gt;0,JT4,"")</f>
        <v>17.100000000000001</v>
      </c>
      <c r="KM4" s="11">
        <f t="shared" ref="KM4:KM23" si="123">IF(JU4&gt;0,JU4,"")</f>
        <v>17.100000000000001</v>
      </c>
      <c r="KN4" s="11">
        <f t="shared" ref="KN4:KN23" si="124">IF(SUM(JR4:JU4)-JV4&gt;0,SUM(JR4:JU4)-JV4,"")</f>
        <v>58.1</v>
      </c>
      <c r="KO4" s="11">
        <f t="shared" ref="KO4:KO23" si="125">IF(JY4&gt;0,JY4,"")</f>
        <v>16.100000000000001</v>
      </c>
      <c r="KP4" s="11">
        <f t="shared" ref="KP4:KP23" si="126">IF(JZ4&gt;0,JZ4,"")</f>
        <v>16.760000000000002</v>
      </c>
      <c r="KQ4" s="11">
        <f t="shared" ref="KQ4:KQ23" si="127">IF(SUM(JW4:JZ4)-KA4&gt;0,SUM(JW4:JZ4)-KA4,"")</f>
        <v>56.36</v>
      </c>
      <c r="KR4" s="11">
        <f t="shared" ref="KR4:KR23" si="128">IF(MAX(KN4,KQ4)&gt;0,MAX(KN4,KQ4),"")</f>
        <v>58.1</v>
      </c>
      <c r="KS4" s="11">
        <f t="shared" ref="KS4:KS23" si="129">IF(KD4&gt;0,KD4,"")</f>
        <v>2.2000000000000002</v>
      </c>
      <c r="KT4" s="11">
        <f t="shared" ref="KT4:KT23" si="130">IF(KE4&gt;0,KE4,"")</f>
        <v>1.77</v>
      </c>
      <c r="KU4" s="11">
        <f t="shared" ref="KU4:KU23" si="131">IF(SUM(KB4:KE4)-KF4&gt;0,SUM(KB4:KE4)-KF4,"")</f>
        <v>6.4700000000000006</v>
      </c>
      <c r="KV4" s="11" t="str">
        <f t="shared" ref="KV4:KV23" si="132">IF(KI4&gt;0,KI4,"")</f>
        <v/>
      </c>
      <c r="KW4" s="11" t="str">
        <f t="shared" ref="KW4:KW23" si="133">IF(KJ4&gt;0,KJ4,"")</f>
        <v/>
      </c>
      <c r="KX4" s="11" t="str">
        <f t="shared" ref="KX4:KX23" si="134">IF(SUM(KG4:KJ4)-KK4&gt;0,SUM(KG4:KJ4)-KK4,"")</f>
        <v/>
      </c>
      <c r="KY4" s="11">
        <f t="shared" ref="KY4:KY23" si="135">IF(SUM(KR4,KU4,KX4)&gt;0,SUM(KR4,KU4,KX4),"")</f>
        <v>64.570000000000007</v>
      </c>
      <c r="KZ4" s="17">
        <v>15.1</v>
      </c>
      <c r="LA4" s="17">
        <v>9.5</v>
      </c>
      <c r="LB4" s="17">
        <v>17.100000000000001</v>
      </c>
      <c r="LC4" s="17">
        <v>16.75</v>
      </c>
      <c r="LD4" s="17">
        <v>0</v>
      </c>
      <c r="LE4" s="17">
        <v>1.6</v>
      </c>
      <c r="LF4" s="17">
        <v>1</v>
      </c>
      <c r="LG4" s="17">
        <v>2.2000000000000002</v>
      </c>
      <c r="LH4" s="17">
        <v>1.8</v>
      </c>
      <c r="LI4" s="17">
        <v>0</v>
      </c>
      <c r="LJ4" s="17">
        <v>14.3</v>
      </c>
      <c r="LK4" s="17">
        <v>9</v>
      </c>
      <c r="LL4" s="17">
        <v>16.100000000000001</v>
      </c>
      <c r="LM4" s="17">
        <v>16.579999999999998</v>
      </c>
      <c r="LN4" s="17"/>
      <c r="LO4" s="17"/>
      <c r="LP4" s="17"/>
      <c r="LQ4" s="17"/>
      <c r="LR4" s="17"/>
      <c r="LS4" s="17"/>
      <c r="LT4" s="41">
        <f t="shared" ref="LT4:LT23" si="136">IF(LB4&gt;0,LB4,"")</f>
        <v>17.100000000000001</v>
      </c>
      <c r="LU4" s="41">
        <f t="shared" ref="LU4:LU23" si="137">IF(LC4&gt;0,LC4,"")</f>
        <v>16.75</v>
      </c>
      <c r="LV4" s="41">
        <f t="shared" ref="LV4:LV23" si="138">IF(SUM(KZ4:LC4)-LD4&gt;0,SUM(KZ4:LC4)-LD4,"")</f>
        <v>58.45</v>
      </c>
      <c r="LW4" s="41">
        <f t="shared" ref="LW4:LW23" si="139">IF(LG4&gt;0,LG4,"")</f>
        <v>2.2000000000000002</v>
      </c>
      <c r="LX4" s="41">
        <f t="shared" ref="LX4:LX23" si="140">IF(LH4&gt;0,LH4,"")</f>
        <v>1.8</v>
      </c>
      <c r="LY4" s="41">
        <f t="shared" ref="LY4:LY23" si="141">IF(SUM(LE4:LH4)-LI4&gt;0,SUM(LE4:LH4)-LI4,"")</f>
        <v>6.6000000000000005</v>
      </c>
      <c r="LZ4" s="41">
        <f t="shared" ref="LZ4:LZ23" si="142">IF(MAX(LV4,LY4)&gt;0,MAX(LV4,LY4),"")</f>
        <v>58.45</v>
      </c>
      <c r="MA4" s="41">
        <f t="shared" ref="MA4:MA23" si="143">IF(LL4&gt;0,LL4,"")</f>
        <v>16.100000000000001</v>
      </c>
      <c r="MB4" s="41">
        <f t="shared" ref="MB4:MB23" si="144">IF(LM4&gt;0,LM4,"")</f>
        <v>16.579999999999998</v>
      </c>
      <c r="MC4" s="41">
        <f t="shared" ref="MC4:MC23" si="145">IF(SUM(LJ4:LM4)-LN4&gt;0,SUM(LJ4:LM4)-LN4,"")</f>
        <v>55.980000000000004</v>
      </c>
      <c r="MD4" s="41" t="str">
        <f t="shared" ref="MD4:MD23" si="146">IF(LQ4&gt;0,LQ4,"")</f>
        <v/>
      </c>
      <c r="ME4" s="41" t="str">
        <f t="shared" ref="ME4:ME23" si="147">IF(LR4&gt;0,LR4,"")</f>
        <v/>
      </c>
      <c r="MF4" s="41" t="str">
        <f t="shared" ref="MF4:MF23" si="148">IF(SUM(LO4:LR4)-LS4&gt;0,SUM(LO4:LR4)-LS4,"")</f>
        <v/>
      </c>
      <c r="MG4" s="41">
        <f t="shared" ref="MG4:MG23" si="149">IF(SUM(LZ4,MC4,MF4)&gt;0,SUM(LZ4,MC4,MF4),"")</f>
        <v>114.43</v>
      </c>
      <c r="MH4" s="18">
        <v>14.5</v>
      </c>
      <c r="MI4" s="18">
        <v>9.4</v>
      </c>
      <c r="MJ4" s="18">
        <v>17.100000000000001</v>
      </c>
      <c r="MK4" s="18">
        <v>16.72</v>
      </c>
      <c r="ML4" s="18">
        <v>0</v>
      </c>
      <c r="MM4" s="18">
        <v>14.7</v>
      </c>
      <c r="MN4" s="18">
        <v>9</v>
      </c>
      <c r="MO4" s="18">
        <v>17.100000000000001</v>
      </c>
      <c r="MP4" s="18">
        <v>16.87</v>
      </c>
      <c r="MQ4" s="18">
        <v>0</v>
      </c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>
        <f t="shared" ref="NB4:NB23" si="150">IF(MJ4&gt;0,MJ4,"")</f>
        <v>17.100000000000001</v>
      </c>
      <c r="NC4" s="11">
        <f t="shared" ref="NC4:NC23" si="151">IF(MK4&gt;0,MK4,"")</f>
        <v>16.72</v>
      </c>
      <c r="ND4" s="11">
        <f t="shared" ref="ND4:ND23" si="152">IF(SUM(MH4:MK4)-ML4&gt;0,SUM(MH4:MK4)-ML4,"")</f>
        <v>57.72</v>
      </c>
      <c r="NE4" s="11">
        <f t="shared" ref="NE4:NE23" si="153">IF(MO4&gt;0,MO4,"")</f>
        <v>17.100000000000001</v>
      </c>
      <c r="NF4" s="11">
        <f t="shared" ref="NF4:NF23" si="154">IF(MP4&gt;0,MP4,"")</f>
        <v>16.87</v>
      </c>
      <c r="NG4" s="11">
        <f t="shared" ref="NG4:NG23" si="155">IF(SUM(MM4:MP4)-MQ4&gt;0,SUM(MM4:MP4)-MQ4,"")</f>
        <v>57.67</v>
      </c>
      <c r="NH4" s="11">
        <f t="shared" ref="NH4:NH23" si="156">IF(MAX(ND4,NG4)&gt;0,MAX(ND4,NG4),"")</f>
        <v>57.72</v>
      </c>
      <c r="NI4" s="11" t="str">
        <f t="shared" ref="NI4:NI23" si="157">IF(MT4&gt;0,MT4,"")</f>
        <v/>
      </c>
      <c r="NJ4" s="11" t="str">
        <f t="shared" ref="NJ4:NJ23" si="158">IF(MU4&gt;0,MU4,"")</f>
        <v/>
      </c>
      <c r="NK4" s="11" t="str">
        <f t="shared" ref="NK4:NK23" si="159">IF(SUM(MR4:MU4)-MV4&gt;0,SUM(MR4:MU4)-MV4,"")</f>
        <v/>
      </c>
      <c r="NL4" s="11" t="str">
        <f t="shared" ref="NL4:NL23" si="160">IF(MY4&gt;0,MY4,"")</f>
        <v/>
      </c>
      <c r="NM4" s="11" t="str">
        <f t="shared" ref="NM4:NM23" si="161">IF(MZ4&gt;0,MZ4,"")</f>
        <v/>
      </c>
      <c r="NN4" s="11" t="str">
        <f t="shared" ref="NN4:NN23" si="162">IF(SUM(MW4:MZ4)-NA4&gt;0,SUM(MW4:MZ4)-NA4,"")</f>
        <v/>
      </c>
      <c r="NO4" s="11">
        <f t="shared" ref="NO4:NO23" si="163">IF(SUM(NH4,NK4,NN4)&gt;0,SUM(NH4,NK4,NN4),"")</f>
        <v>57.72</v>
      </c>
      <c r="NP4" s="17">
        <v>1.4</v>
      </c>
      <c r="NQ4" s="17">
        <v>0.8</v>
      </c>
      <c r="NR4" s="17">
        <v>2.2000000000000002</v>
      </c>
      <c r="NS4" s="17">
        <v>1.79</v>
      </c>
      <c r="NT4" s="17">
        <v>0.2</v>
      </c>
      <c r="NU4" s="17">
        <v>7.3</v>
      </c>
      <c r="NV4" s="17">
        <v>4.5</v>
      </c>
      <c r="NW4" s="17">
        <v>7.4</v>
      </c>
      <c r="NX4" s="17">
        <v>8.84</v>
      </c>
      <c r="NY4" s="17">
        <v>0</v>
      </c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>
        <f t="shared" ref="OJ4:OJ23" si="164">IF(NR4&gt;0,NR4,"")</f>
        <v>2.2000000000000002</v>
      </c>
      <c r="OK4" s="41">
        <f t="shared" ref="OK4:OK23" si="165">IF(NS4&gt;0,NS4,"")</f>
        <v>1.79</v>
      </c>
      <c r="OL4" s="41">
        <f t="shared" ref="OL4:OL23" si="166">IF(SUM(NP4:NS4)-NT4&gt;0,SUM(NP4:NS4)-NT4,"")</f>
        <v>5.99</v>
      </c>
      <c r="OM4" s="41">
        <f t="shared" ref="OM4:OM23" si="167">IF(NW4&gt;0,NW4,"")</f>
        <v>7.4</v>
      </c>
      <c r="ON4" s="41">
        <f t="shared" ref="ON4:ON23" si="168">IF(NX4&gt;0,NX4,"")</f>
        <v>8.84</v>
      </c>
      <c r="OO4" s="41">
        <f t="shared" ref="OO4:OO23" si="169">IF(SUM(NU4:NX4)-NY4&gt;0,SUM(NU4:NX4)-NY4,"")</f>
        <v>28.040000000000003</v>
      </c>
      <c r="OP4" s="41">
        <f t="shared" ref="OP4:OP23" si="170">IF(MAX(OL4,OO4)&gt;0,MAX(OL4,OO4),"")</f>
        <v>28.040000000000003</v>
      </c>
      <c r="OQ4" s="41" t="str">
        <f t="shared" ref="OQ4:OQ23" si="171">IF(OB4&gt;0,OB4,"")</f>
        <v/>
      </c>
      <c r="OR4" s="41" t="str">
        <f t="shared" ref="OR4:OR23" si="172">IF(OC4&gt;0,OC4,"")</f>
        <v/>
      </c>
      <c r="OS4" s="41" t="str">
        <f t="shared" ref="OS4:OS23" si="173">IF(SUM(NZ4:OC4)-OD4&gt;0,SUM(NZ4:OC4)-OD4,"")</f>
        <v/>
      </c>
      <c r="OT4" s="41" t="str">
        <f t="shared" ref="OT4:OT23" si="174">IF(OG4&gt;0,OG4,"")</f>
        <v/>
      </c>
      <c r="OU4" s="41" t="str">
        <f t="shared" ref="OU4:OU23" si="175">IF(OH4&gt;0,OH4,"")</f>
        <v/>
      </c>
      <c r="OV4" s="41" t="str">
        <f t="shared" ref="OV4:OV23" si="176">IF(SUM(OE4:OH4)-OI4&gt;0,SUM(OE4:OH4)-OI4,"")</f>
        <v/>
      </c>
      <c r="OW4" s="41">
        <f t="shared" ref="OW4:OW23" si="177">IF(SUM(OP4,OS4,OV4)&gt;0,SUM(OP4,OS4,OV4),"")</f>
        <v>28.040000000000003</v>
      </c>
      <c r="OX4" s="18">
        <v>1.6</v>
      </c>
      <c r="OY4" s="18">
        <v>1</v>
      </c>
      <c r="OZ4" s="18">
        <v>2.2000000000000002</v>
      </c>
      <c r="PA4" s="18">
        <v>1.82</v>
      </c>
      <c r="PB4" s="18">
        <v>0</v>
      </c>
      <c r="PC4" s="18">
        <v>5.8</v>
      </c>
      <c r="PD4" s="18">
        <v>3.8</v>
      </c>
      <c r="PE4" s="18">
        <v>7.4</v>
      </c>
      <c r="PF4" s="18">
        <v>7.05</v>
      </c>
      <c r="PG4" s="18">
        <v>0</v>
      </c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>
        <f t="shared" ref="PR4:PR23" si="178">IF(OZ4&gt;0,OZ4,"")</f>
        <v>2.2000000000000002</v>
      </c>
      <c r="PS4" s="11">
        <f t="shared" ref="PS4:PS23" si="179">IF(PA4&gt;0,PA4,"")</f>
        <v>1.82</v>
      </c>
      <c r="PT4" s="11">
        <f t="shared" ref="PT4:PT23" si="180">IF(SUM(OX4:PA4)-PB4&gt;0,SUM(OX4:PA4)-PB4,"")</f>
        <v>6.620000000000001</v>
      </c>
      <c r="PU4" s="11">
        <f t="shared" ref="PU4:PU23" si="181">IF(PE4&gt;0,PE4,"")</f>
        <v>7.4</v>
      </c>
      <c r="PV4" s="11">
        <f t="shared" ref="PV4:PV23" si="182">IF(PF4&gt;0,PF4,"")</f>
        <v>7.05</v>
      </c>
      <c r="PW4" s="11">
        <f t="shared" ref="PW4:PW23" si="183">IF(SUM(PC4:PF4)-PG4&gt;0,SUM(PC4:PF4)-PG4,"")</f>
        <v>24.05</v>
      </c>
      <c r="PX4" s="11">
        <f t="shared" ref="PX4:PX23" si="184">IF(MAX(PT4,PW4)&gt;0,MAX(PT4,PW4),"")</f>
        <v>24.05</v>
      </c>
      <c r="PY4" s="11" t="str">
        <f t="shared" ref="PY4:PY23" si="185">IF(PJ4&gt;0,PJ4,"")</f>
        <v/>
      </c>
      <c r="PZ4" s="11" t="str">
        <f t="shared" ref="PZ4:PZ23" si="186">IF(PK4&gt;0,PK4,"")</f>
        <v/>
      </c>
      <c r="QA4" s="11" t="str">
        <f t="shared" ref="QA4:QA23" si="187">IF(SUM(PH4:PK4)-PL4&gt;0,SUM(PH4:PK4)-PL4,"")</f>
        <v/>
      </c>
      <c r="QB4" s="11" t="str">
        <f t="shared" ref="QB4:QB23" si="188">IF(PO4&gt;0,PO4,"")</f>
        <v/>
      </c>
      <c r="QC4" s="11" t="str">
        <f t="shared" ref="QC4:QC23" si="189">IF(PP4&gt;0,PP4,"")</f>
        <v/>
      </c>
      <c r="QD4" s="11" t="str">
        <f t="shared" ref="QD4:QD23" si="190">IF(SUM(PM4:PP4)-PQ4&gt;0,SUM(PM4:PP4)-PQ4,"")</f>
        <v/>
      </c>
      <c r="QE4" s="11">
        <f t="shared" ref="QE4:QE23" si="191">IF(SUM(PX4,QA4,QD4)&gt;0,SUM(PX4,QA4,QD4),"")</f>
        <v>24.05</v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1" t="str">
        <f t="shared" ref="QZ4:QZ23" si="192">IF(QH4&gt;0,QH4,"")</f>
        <v/>
      </c>
      <c r="RA4" s="41" t="str">
        <f t="shared" ref="RA4:RA23" si="193">IF(QI4&gt;0,QI4,"")</f>
        <v/>
      </c>
      <c r="RB4" s="41" t="str">
        <f t="shared" ref="RB4:RB23" si="194">IF(SUM(QF4:QI4)-QJ4&gt;0,SUM(QF4:QI4)-QJ4,"")</f>
        <v/>
      </c>
      <c r="RC4" s="41" t="str">
        <f t="shared" ref="RC4:RC23" si="195">IF(QM4&gt;0,QM4,"")</f>
        <v/>
      </c>
      <c r="RD4" s="41" t="str">
        <f t="shared" ref="RD4:RD23" si="196">IF(QN4&gt;0,QN4,"")</f>
        <v/>
      </c>
      <c r="RE4" s="41" t="str">
        <f t="shared" ref="RE4:RE23" si="197">IF(SUM(QK4:QN4)-QO4&gt;0,SUM(QK4:QN4)-QO4,"")</f>
        <v/>
      </c>
      <c r="RF4" s="41" t="str">
        <f t="shared" ref="RF4:RF23" si="198">IF(MAX(RB4,RE4)&gt;0,MAX(RB4,RE4),"")</f>
        <v/>
      </c>
      <c r="RG4" s="41" t="str">
        <f t="shared" ref="RG4:RG23" si="199">IF(QR4&gt;0,QR4,"")</f>
        <v/>
      </c>
      <c r="RH4" s="41" t="str">
        <f t="shared" ref="RH4:RH23" si="200">IF(QS4&gt;0,QS4,"")</f>
        <v/>
      </c>
      <c r="RI4" s="41" t="str">
        <f t="shared" ref="RI4:RI23" si="201">IF(SUM(QP4:QS4)-QT4&gt;0,SUM(QP4:QS4)-QT4,"")</f>
        <v/>
      </c>
      <c r="RJ4" s="41" t="str">
        <f t="shared" ref="RJ4:RJ23" si="202">IF(QW4&gt;0,QW4,"")</f>
        <v/>
      </c>
      <c r="RK4" s="41" t="str">
        <f t="shared" ref="RK4:RK23" si="203">IF(QX4&gt;0,QX4,"")</f>
        <v/>
      </c>
      <c r="RL4" s="41" t="str">
        <f t="shared" ref="RL4:RL23" si="204">IF(SUM(QU4:QX4)-QY4&gt;0,SUM(QU4:QX4)-QY4,"")</f>
        <v/>
      </c>
      <c r="RM4" s="41" t="str">
        <f t="shared" ref="RM4:RM23" si="205"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23" si="206">IF(RP4&gt;0,RP4,"")</f>
        <v/>
      </c>
      <c r="SI4" s="11" t="str">
        <f t="shared" ref="SI4:SI23" si="207">IF(RQ4&gt;0,RQ4,"")</f>
        <v/>
      </c>
      <c r="SJ4" s="11" t="str">
        <f t="shared" ref="SJ4:SJ23" si="208">IF(SUM(RN4:RQ4)-RR4&gt;0,SUM(RN4:RQ4)-RR4,"")</f>
        <v/>
      </c>
      <c r="SK4" s="11" t="str">
        <f t="shared" ref="SK4:SK23" si="209">IF(RU4&gt;0,RU4,"")</f>
        <v/>
      </c>
      <c r="SL4" s="11" t="str">
        <f t="shared" ref="SL4:SL23" si="210">IF(RV4&gt;0,RV4,"")</f>
        <v/>
      </c>
      <c r="SM4" s="11" t="str">
        <f t="shared" ref="SM4:SM23" si="211">IF(SUM(RS4:RV4)-RW4&gt;0,SUM(RS4:RV4)-RW4,"")</f>
        <v/>
      </c>
      <c r="SN4" s="11" t="str">
        <f t="shared" ref="SN4:SN23" si="212">IF(MAX(SJ4,SM4)&gt;0,MAX(SJ4,SM4),"")</f>
        <v/>
      </c>
      <c r="SO4" s="11" t="str">
        <f t="shared" ref="SO4:SO23" si="213">IF(RZ4&gt;0,RZ4,"")</f>
        <v/>
      </c>
      <c r="SP4" s="11" t="str">
        <f t="shared" ref="SP4:SP23" si="214">IF(SA4&gt;0,SA4,"")</f>
        <v/>
      </c>
      <c r="SQ4" s="11" t="str">
        <f t="shared" ref="SQ4:SQ23" si="215">IF(SUM(RX4:SA4)-SB4&gt;0,SUM(RX4:SA4)-SB4,"")</f>
        <v/>
      </c>
      <c r="SR4" s="11" t="str">
        <f t="shared" ref="SR4:SR23" si="216">IF(SE4&gt;0,SE4,"")</f>
        <v/>
      </c>
      <c r="SS4" s="11" t="str">
        <f t="shared" ref="SS4:SS23" si="217">IF(SF4&gt;0,SF4,"")</f>
        <v/>
      </c>
      <c r="ST4" s="11" t="str">
        <f t="shared" ref="ST4:ST23" si="218">IF(SUM(SC4:SF4)-SG4&gt;0,SUM(SC4:SF4)-SG4,"")</f>
        <v/>
      </c>
      <c r="SU4" s="11" t="str">
        <f t="shared" ref="SU4:SU23" si="219">IF(SUM(SN4,SQ4,ST4)&gt;0,SUM(SN4,SQ4,ST4),"")</f>
        <v/>
      </c>
      <c r="SV4" s="23">
        <f t="shared" ref="SV4:SV23" si="220">IF($CP4="P",CA4,(CA4+AZ4)/2)</f>
        <v>8.5500000000000007</v>
      </c>
      <c r="SW4" s="23">
        <f t="shared" ref="SW4:SW23" si="221">IF($CP4="P",CB4,(CB4+BA4)/2)</f>
        <v>5</v>
      </c>
      <c r="SX4" s="23">
        <f t="shared" ref="SX4:SX23" si="222">IF($CP4="P",CC4,(CC4+BB4)/2)</f>
        <v>9.65</v>
      </c>
      <c r="SY4" s="23">
        <f t="shared" ref="SY4:SY23" si="223">IF($CP4="P",CD4,(CD4+BC4)/2)</f>
        <v>9.5300000000000011</v>
      </c>
      <c r="SZ4" s="23">
        <f t="shared" ref="SZ4:SZ23" si="224">IF($CP4="P",CE4,(CE4+BD4)/2)</f>
        <v>0</v>
      </c>
      <c r="TA4" s="23">
        <f t="shared" ref="TA4:TA23" si="225">IF($CP4="P",CF4,(CF4+BE4)/2)</f>
        <v>15.05</v>
      </c>
      <c r="TB4" s="23">
        <f t="shared" ref="TB4:TB23" si="226">IF($CP4="P",CG4,(CG4+BF4)/2)</f>
        <v>9.15</v>
      </c>
      <c r="TC4" s="23">
        <f t="shared" ref="TC4:TC23" si="227">IF($CP4="P",CH4,(CH4+BG4)/2)</f>
        <v>16.5</v>
      </c>
      <c r="TD4" s="23">
        <f t="shared" ref="TD4:TD23" si="228">IF($CP4="P",CI4,(CI4+BH4)/2)</f>
        <v>16.655000000000001</v>
      </c>
      <c r="TE4" s="23">
        <f t="shared" ref="TE4:TE23" si="229">IF($CP4="P",CJ4,(CJ4+BI4)/2)</f>
        <v>0</v>
      </c>
      <c r="TF4" s="23">
        <f t="shared" ref="TF4:TF23" si="230">IF($CP4="P",CK4,(CK4+BJ4)/2)</f>
        <v>15.3</v>
      </c>
      <c r="TG4" s="23">
        <f t="shared" ref="TG4:TG23" si="231">IF($CP4="P",CL4,(CL4+BK4)/2)</f>
        <v>9.25</v>
      </c>
      <c r="TH4" s="23">
        <f t="shared" ref="TH4:TH23" si="232">IF($CP4="P",CM4,(CM4+BL4)/2)</f>
        <v>17.3</v>
      </c>
      <c r="TI4" s="23">
        <f t="shared" ref="TI4:TI23" si="233">IF($CP4="P",CN4,(CN4+BM4)/2)</f>
        <v>16.844999999999999</v>
      </c>
      <c r="TJ4" s="23">
        <f t="shared" ref="TJ4:TJ23" si="234">IF($CP4="P",CO4,(CO4+BN4)/2)</f>
        <v>0</v>
      </c>
      <c r="TK4" s="28" t="s">
        <v>57</v>
      </c>
      <c r="TL4" s="41">
        <f t="shared" ref="TL4:TL23" si="235">IF(SX4&gt;0,SX4,"")</f>
        <v>9.65</v>
      </c>
      <c r="TM4" s="41">
        <f t="shared" ref="TM4:TM23" si="236">IF(SY4&gt;0,SY4,"")</f>
        <v>9.5300000000000011</v>
      </c>
      <c r="TN4" s="41">
        <f t="shared" ref="TN4:TN23" si="237">IF(SUM(SV4:SY4)-SZ4&gt;0,SUM(SV4:SY4)-SZ4,"")</f>
        <v>32.730000000000004</v>
      </c>
      <c r="TO4" s="41">
        <f t="shared" ref="TO4:TO23" si="238">IF(TC4&gt;0,TC4,"")</f>
        <v>16.5</v>
      </c>
      <c r="TP4" s="41">
        <f t="shared" ref="TP4:TP23" si="239">IF(TD4&gt;0,TD4,"")</f>
        <v>16.655000000000001</v>
      </c>
      <c r="TQ4" s="41">
        <f t="shared" ref="TQ4:TQ23" si="240">IF(SUM(TA4:TD4)-TE4&gt;0,SUM(TA4:TD4)-TE4,"")</f>
        <v>57.355000000000004</v>
      </c>
      <c r="TR4" s="41">
        <f t="shared" ref="TR4:TR23" si="241">IF(MAX(TN4,TQ4)&gt;0,MAX(TN4,TQ4),"")</f>
        <v>57.355000000000004</v>
      </c>
      <c r="TS4" s="41">
        <f t="shared" ref="TS4:TS23" si="242">IF(TH4&gt;0,TH4,"")</f>
        <v>17.3</v>
      </c>
      <c r="TT4" s="41">
        <f t="shared" ref="TT4:TT23" si="243">IF(TI4&gt;0,TI4,"")</f>
        <v>16.844999999999999</v>
      </c>
      <c r="TU4" s="41">
        <f t="shared" ref="TU4:TU23" si="244">IF(SUM(TF4:TI4)-TJ4&gt;0,SUM(TF4:TI4)-TJ4,"")</f>
        <v>58.695</v>
      </c>
      <c r="TV4" s="41">
        <f t="shared" ref="TV4:TV23" si="245">IF(SUM(TR4,TU4)&gt;0,SUM(TR4,TU4),"")</f>
        <v>116.05000000000001</v>
      </c>
    </row>
    <row r="5" spans="1:542" x14ac:dyDescent="0.2">
      <c r="A5" s="4" cm="1">
        <f t="array" ref="A5">IF(AND(H5&lt;&gt;"",H5&lt;&gt;"No DD"),SUMPRODUCT((H$4:H$24&lt;&gt;"")*(H$4:H$24&lt;&gt;"No DD")*(E$4:E$24&gt;E5))+1,IF(H5="No DD",SUMPRODUCT((H$4:H$24="No DD")*(E$4:E$24&gt;E5))+1+SUMPRODUCT((H$4:H$24&lt;&gt;"")*(H$4:H$24&lt;&gt;"No DD")),""))</f>
        <v>2</v>
      </c>
      <c r="B5" s="5" t="s">
        <v>63</v>
      </c>
      <c r="C5" s="4" t="s">
        <v>8</v>
      </c>
      <c r="D5" s="4">
        <v>2001</v>
      </c>
      <c r="E5" s="9">
        <f t="shared" si="0"/>
        <v>268.86002511200599</v>
      </c>
      <c r="F5" s="3" t="str">
        <f t="shared" si="1"/>
        <v>P</v>
      </c>
      <c r="G5" s="3" t="str">
        <f t="shared" si="2"/>
        <v>P</v>
      </c>
      <c r="H5" s="37" t="str">
        <f t="shared" si="3"/>
        <v>Excellence</v>
      </c>
      <c r="I5" s="3" t="str">
        <f t="shared" si="4"/>
        <v>P</v>
      </c>
      <c r="J5" s="8">
        <f>IF(COUNT(AQ5,AT5,BR5,BU5,CS5,CV5)&gt;0,LARGE((AQ5,AT5,BR5,BU5,CS5,CV5),1),0)</f>
        <v>59.84</v>
      </c>
      <c r="K5" s="8" t="str">
        <f t="shared" si="5"/>
        <v>2023 Elite Canada</v>
      </c>
      <c r="L5" s="8">
        <f>IF(COUNT(AQ5,AT5,BR5,BU5,CS5,CV5)&gt;1,LARGE((AQ5,AT5,BR5,BU5,CS5,CV5),2),0)</f>
        <v>58.85</v>
      </c>
      <c r="M5" s="8" t="str">
        <f t="shared" si="6"/>
        <v>2023 Domestic 3rd Trial</v>
      </c>
      <c r="N5" s="8">
        <f>IF(COUNT(AQ5,AT5,BR5,BU5,CS5,CV5)&gt;2,LARGE((AQ5,AT5,BR5,BU5,CS5,CV5),3),0)</f>
        <v>40.85</v>
      </c>
      <c r="O5" s="8" t="str">
        <f t="shared" si="7"/>
        <v>2023 Domestic 3rd Trial</v>
      </c>
      <c r="P5" s="8">
        <f t="shared" si="8"/>
        <v>57.769999999999996</v>
      </c>
      <c r="Q5" s="8" t="str">
        <f t="shared" si="9"/>
        <v>2023 Domestic 3rd Trial</v>
      </c>
      <c r="R5" s="8">
        <f t="shared" si="10"/>
        <v>16.649999999999999</v>
      </c>
      <c r="S5" s="8" t="str">
        <f t="shared" si="11"/>
        <v>2023 Elite Canada</v>
      </c>
      <c r="T5" s="8">
        <f t="shared" si="12"/>
        <v>17.16</v>
      </c>
      <c r="U5" s="8" t="str">
        <f t="shared" si="13"/>
        <v>2023 Pan Am Championships (May 14)</v>
      </c>
      <c r="V5" s="8">
        <f t="shared" si="14"/>
        <v>17.739999999999995</v>
      </c>
      <c r="W5" s="11" t="str">
        <f t="shared" si="15"/>
        <v>(Prelim)</v>
      </c>
      <c r="X5" s="8" t="str">
        <f t="shared" si="16"/>
        <v>2023 World Cup POR 1 (July 2)</v>
      </c>
      <c r="Y5" s="23">
        <v>16.75</v>
      </c>
      <c r="Z5" s="23">
        <v>9.3000000000000007</v>
      </c>
      <c r="AA5" s="23">
        <v>16.649999999999999</v>
      </c>
      <c r="AB5" s="23">
        <v>17.14</v>
      </c>
      <c r="AC5" s="23">
        <v>0</v>
      </c>
      <c r="AD5" s="23">
        <v>5.8</v>
      </c>
      <c r="AE5" s="23">
        <v>3.05</v>
      </c>
      <c r="AF5" s="23">
        <v>6.5</v>
      </c>
      <c r="AG5" s="23">
        <v>6.27</v>
      </c>
      <c r="AH5" s="23">
        <v>0</v>
      </c>
      <c r="AI5" s="23">
        <v>15.4</v>
      </c>
      <c r="AJ5" s="23">
        <v>8.3000000000000007</v>
      </c>
      <c r="AK5" s="23">
        <v>15.75</v>
      </c>
      <c r="AL5" s="23">
        <v>16.28</v>
      </c>
      <c r="AM5" s="23">
        <v>0</v>
      </c>
      <c r="AN5" s="28" t="s">
        <v>57</v>
      </c>
      <c r="AO5" s="39">
        <f t="shared" si="17"/>
        <v>16.649999999999999</v>
      </c>
      <c r="AP5" s="39">
        <f t="shared" si="18"/>
        <v>17.14</v>
      </c>
      <c r="AQ5" s="41">
        <f t="shared" si="19"/>
        <v>59.84</v>
      </c>
      <c r="AR5" s="41">
        <f t="shared" si="20"/>
        <v>6.5</v>
      </c>
      <c r="AS5" s="41">
        <f t="shared" si="21"/>
        <v>6.27</v>
      </c>
      <c r="AT5" s="41">
        <f t="shared" si="22"/>
        <v>21.619999999999997</v>
      </c>
      <c r="AU5" s="41">
        <f t="shared" si="23"/>
        <v>59.84</v>
      </c>
      <c r="AV5" s="41">
        <f t="shared" si="24"/>
        <v>15.75</v>
      </c>
      <c r="AW5" s="41">
        <f t="shared" si="25"/>
        <v>16.28</v>
      </c>
      <c r="AX5" s="41">
        <f t="shared" si="26"/>
        <v>55.730000000000004</v>
      </c>
      <c r="AY5" s="41">
        <f t="shared" si="27"/>
        <v>115.57000000000001</v>
      </c>
      <c r="AZ5" s="27">
        <v>1.8</v>
      </c>
      <c r="BA5" s="27">
        <v>1</v>
      </c>
      <c r="BB5" s="27">
        <v>2</v>
      </c>
      <c r="BC5" s="27">
        <v>1.78</v>
      </c>
      <c r="BD5" s="27">
        <v>0</v>
      </c>
      <c r="BE5" s="27">
        <v>1.7</v>
      </c>
      <c r="BF5" s="27">
        <v>1</v>
      </c>
      <c r="BG5" s="27">
        <v>2</v>
      </c>
      <c r="BH5" s="27">
        <v>1.78</v>
      </c>
      <c r="BI5" s="27">
        <v>0</v>
      </c>
      <c r="BJ5" s="27"/>
      <c r="BK5" s="27"/>
      <c r="BL5" s="27"/>
      <c r="BM5" s="27"/>
      <c r="BN5" s="27"/>
      <c r="BO5" s="29"/>
      <c r="BP5" s="40">
        <f t="shared" si="28"/>
        <v>2</v>
      </c>
      <c r="BQ5" s="40">
        <f t="shared" si="29"/>
        <v>1.78</v>
      </c>
      <c r="BR5" s="11">
        <f t="shared" si="30"/>
        <v>6.58</v>
      </c>
      <c r="BS5" s="11">
        <f t="shared" si="31"/>
        <v>2</v>
      </c>
      <c r="BT5" s="11">
        <f t="shared" si="32"/>
        <v>1.78</v>
      </c>
      <c r="BU5" s="11">
        <f t="shared" si="33"/>
        <v>6.48</v>
      </c>
      <c r="BV5" s="11">
        <f t="shared" si="34"/>
        <v>6.58</v>
      </c>
      <c r="BW5" s="11" t="str">
        <f t="shared" si="35"/>
        <v/>
      </c>
      <c r="BX5" s="11" t="str">
        <f t="shared" si="36"/>
        <v/>
      </c>
      <c r="BY5" s="11" t="str">
        <f t="shared" si="37"/>
        <v/>
      </c>
      <c r="BZ5" s="11">
        <f t="shared" si="38"/>
        <v>6.58</v>
      </c>
      <c r="CA5" s="23">
        <v>11.5</v>
      </c>
      <c r="CB5" s="23">
        <v>5.7</v>
      </c>
      <c r="CC5" s="23">
        <v>11.8</v>
      </c>
      <c r="CD5" s="23">
        <v>11.85</v>
      </c>
      <c r="CE5" s="23">
        <v>0</v>
      </c>
      <c r="CF5" s="23">
        <v>16.5</v>
      </c>
      <c r="CG5" s="23">
        <v>9.1999999999999993</v>
      </c>
      <c r="CH5" s="23">
        <v>16.5</v>
      </c>
      <c r="CI5" s="23">
        <v>16.649999999999999</v>
      </c>
      <c r="CJ5" s="23">
        <v>0</v>
      </c>
      <c r="CK5" s="23">
        <v>16.2</v>
      </c>
      <c r="CL5" s="23">
        <v>8.3000000000000007</v>
      </c>
      <c r="CM5" s="23">
        <v>16.5</v>
      </c>
      <c r="CN5" s="23">
        <v>16.77</v>
      </c>
      <c r="CO5" s="23">
        <v>0</v>
      </c>
      <c r="CP5" s="28"/>
      <c r="CQ5" s="39">
        <f t="shared" si="39"/>
        <v>11.8</v>
      </c>
      <c r="CR5" s="39">
        <f t="shared" si="40"/>
        <v>11.85</v>
      </c>
      <c r="CS5" s="41">
        <f t="shared" si="41"/>
        <v>40.85</v>
      </c>
      <c r="CT5" s="41">
        <f t="shared" si="42"/>
        <v>16.5</v>
      </c>
      <c r="CU5" s="41">
        <f t="shared" si="43"/>
        <v>16.649999999999999</v>
      </c>
      <c r="CV5" s="41">
        <f t="shared" si="44"/>
        <v>58.85</v>
      </c>
      <c r="CW5" s="41">
        <f t="shared" si="45"/>
        <v>58.85</v>
      </c>
      <c r="CX5" s="41">
        <f t="shared" si="46"/>
        <v>16.5</v>
      </c>
      <c r="CY5" s="41">
        <f t="shared" si="47"/>
        <v>16.77</v>
      </c>
      <c r="CZ5" s="41">
        <f t="shared" si="48"/>
        <v>57.769999999999996</v>
      </c>
      <c r="DA5" s="41">
        <f t="shared" si="49"/>
        <v>116.62</v>
      </c>
      <c r="DB5" s="52">
        <f t="shared" si="50"/>
        <v>17.739999999999995</v>
      </c>
      <c r="DC5" s="52">
        <f t="shared" si="51"/>
        <v>1.0400000000000063</v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 t="str">
        <f t="shared" si="52"/>
        <v/>
      </c>
      <c r="DY5" s="41" t="str">
        <f t="shared" si="53"/>
        <v/>
      </c>
      <c r="DZ5" s="41" t="str">
        <f t="shared" si="54"/>
        <v/>
      </c>
      <c r="EA5" s="41" t="str">
        <f t="shared" si="55"/>
        <v/>
      </c>
      <c r="EB5" s="41" t="str">
        <f t="shared" si="56"/>
        <v/>
      </c>
      <c r="EC5" s="41" t="str">
        <f t="shared" si="57"/>
        <v/>
      </c>
      <c r="ED5" s="41" t="str">
        <f t="shared" si="58"/>
        <v/>
      </c>
      <c r="EE5" s="41" t="str">
        <f t="shared" si="59"/>
        <v/>
      </c>
      <c r="EF5" s="41" t="str">
        <f t="shared" si="60"/>
        <v/>
      </c>
      <c r="EG5" s="41" t="str">
        <f t="shared" si="61"/>
        <v/>
      </c>
      <c r="EH5" s="41" t="str">
        <f t="shared" si="62"/>
        <v/>
      </c>
      <c r="EI5" s="41" t="str">
        <f t="shared" si="63"/>
        <v/>
      </c>
      <c r="EJ5" s="41" t="str">
        <f t="shared" si="64"/>
        <v/>
      </c>
      <c r="EK5" s="41" t="str">
        <f t="shared" si="65"/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 t="str">
        <f t="shared" si="79"/>
        <v/>
      </c>
      <c r="FT5" s="17">
        <v>16.399999999999999</v>
      </c>
      <c r="FU5" s="17">
        <v>8.6999999999999993</v>
      </c>
      <c r="FV5" s="17">
        <v>15.2</v>
      </c>
      <c r="FW5" s="17">
        <v>17</v>
      </c>
      <c r="FX5" s="17">
        <v>0</v>
      </c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>
        <v>16.5</v>
      </c>
      <c r="GJ5" s="17">
        <v>9.1999999999999993</v>
      </c>
      <c r="GK5" s="17">
        <v>15.6</v>
      </c>
      <c r="GL5" s="17">
        <v>17.16</v>
      </c>
      <c r="GM5" s="17">
        <v>0</v>
      </c>
      <c r="GN5" s="41">
        <f t="shared" si="80"/>
        <v>15.2</v>
      </c>
      <c r="GO5" s="41">
        <f t="shared" si="81"/>
        <v>17</v>
      </c>
      <c r="GP5" s="41">
        <f t="shared" si="82"/>
        <v>57.3</v>
      </c>
      <c r="GQ5" s="41" t="str">
        <f t="shared" si="83"/>
        <v/>
      </c>
      <c r="GR5" s="41" t="str">
        <f t="shared" si="84"/>
        <v/>
      </c>
      <c r="GS5" s="41" t="str">
        <f t="shared" si="85"/>
        <v/>
      </c>
      <c r="GT5" s="41">
        <f t="shared" si="86"/>
        <v>57.3</v>
      </c>
      <c r="GU5" s="41" t="str">
        <f t="shared" si="87"/>
        <v/>
      </c>
      <c r="GV5" s="41" t="str">
        <f t="shared" si="88"/>
        <v/>
      </c>
      <c r="GW5" s="41" t="str">
        <f t="shared" si="89"/>
        <v/>
      </c>
      <c r="GX5" s="41">
        <f t="shared" si="90"/>
        <v>15.6</v>
      </c>
      <c r="GY5" s="41">
        <f t="shared" si="91"/>
        <v>17.16</v>
      </c>
      <c r="GZ5" s="41">
        <f t="shared" si="92"/>
        <v>58.459999999999994</v>
      </c>
      <c r="HA5" s="41">
        <f t="shared" si="93"/>
        <v>115.75999999999999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>
        <v>15.8</v>
      </c>
      <c r="HR5" s="18">
        <v>8.6999999999999993</v>
      </c>
      <c r="HS5" s="18">
        <v>15.2</v>
      </c>
      <c r="HT5" s="18">
        <v>17.07</v>
      </c>
      <c r="HU5" s="18">
        <v>0</v>
      </c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>
        <f t="shared" si="104"/>
        <v>15.2</v>
      </c>
      <c r="IG5" s="11">
        <f t="shared" si="105"/>
        <v>17.07</v>
      </c>
      <c r="IH5" s="11">
        <f t="shared" si="106"/>
        <v>56.77</v>
      </c>
      <c r="II5" s="11">
        <f t="shared" si="107"/>
        <v>56.77</v>
      </c>
      <c r="IJ5" s="17">
        <v>12.5</v>
      </c>
      <c r="IK5" s="17">
        <v>6.8</v>
      </c>
      <c r="IL5" s="17">
        <v>12.9</v>
      </c>
      <c r="IM5" s="17">
        <v>13.23</v>
      </c>
      <c r="IN5" s="17">
        <v>0</v>
      </c>
      <c r="IO5" s="17">
        <v>16.2</v>
      </c>
      <c r="IP5" s="17">
        <v>9.4</v>
      </c>
      <c r="IQ5" s="17">
        <v>16.2</v>
      </c>
      <c r="IR5" s="17">
        <v>16.79</v>
      </c>
      <c r="IS5" s="17">
        <v>0</v>
      </c>
      <c r="IT5" s="17">
        <v>16.399999999999999</v>
      </c>
      <c r="IU5" s="17">
        <v>9.4</v>
      </c>
      <c r="IV5" s="17">
        <v>16.2</v>
      </c>
      <c r="IW5" s="17">
        <v>16.809999999999999</v>
      </c>
      <c r="IX5" s="17">
        <v>0</v>
      </c>
      <c r="IY5" s="17">
        <v>16.600000000000001</v>
      </c>
      <c r="IZ5" s="17">
        <v>9.1999999999999993</v>
      </c>
      <c r="JA5" s="17">
        <v>16.2</v>
      </c>
      <c r="JB5" s="17">
        <v>16.77</v>
      </c>
      <c r="JC5" s="17">
        <v>0</v>
      </c>
      <c r="JD5" s="41">
        <f t="shared" si="108"/>
        <v>12.9</v>
      </c>
      <c r="JE5" s="41">
        <f t="shared" si="109"/>
        <v>13.23</v>
      </c>
      <c r="JF5" s="41">
        <f t="shared" si="110"/>
        <v>45.430000000000007</v>
      </c>
      <c r="JG5" s="41">
        <f t="shared" si="111"/>
        <v>16.2</v>
      </c>
      <c r="JH5" s="41">
        <f t="shared" si="112"/>
        <v>16.79</v>
      </c>
      <c r="JI5" s="41">
        <f t="shared" si="113"/>
        <v>58.589999999999996</v>
      </c>
      <c r="JJ5" s="41">
        <f t="shared" si="114"/>
        <v>58.589999999999996</v>
      </c>
      <c r="JK5" s="41">
        <f t="shared" si="115"/>
        <v>16.2</v>
      </c>
      <c r="JL5" s="41">
        <f t="shared" si="116"/>
        <v>16.809999999999999</v>
      </c>
      <c r="JM5" s="41">
        <f t="shared" si="117"/>
        <v>58.81</v>
      </c>
      <c r="JN5" s="41">
        <f t="shared" si="118"/>
        <v>16.2</v>
      </c>
      <c r="JO5" s="41">
        <f t="shared" si="119"/>
        <v>16.77</v>
      </c>
      <c r="JP5" s="41">
        <f t="shared" si="120"/>
        <v>58.769999999999996</v>
      </c>
      <c r="JQ5" s="41">
        <f t="shared" si="121"/>
        <v>176.17000000000002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 t="shared" si="122"/>
        <v/>
      </c>
      <c r="KM5" s="11" t="str">
        <f t="shared" si="123"/>
        <v/>
      </c>
      <c r="KN5" s="11" t="str">
        <f t="shared" si="124"/>
        <v/>
      </c>
      <c r="KO5" s="11" t="str">
        <f t="shared" si="125"/>
        <v/>
      </c>
      <c r="KP5" s="11" t="str">
        <f t="shared" si="126"/>
        <v/>
      </c>
      <c r="KQ5" s="11" t="str">
        <f t="shared" si="127"/>
        <v/>
      </c>
      <c r="KR5" s="11" t="str">
        <f t="shared" si="128"/>
        <v/>
      </c>
      <c r="KS5" s="11" t="str">
        <f t="shared" si="129"/>
        <v/>
      </c>
      <c r="KT5" s="11" t="str">
        <f t="shared" si="130"/>
        <v/>
      </c>
      <c r="KU5" s="11" t="str">
        <f t="shared" si="131"/>
        <v/>
      </c>
      <c r="KV5" s="11" t="str">
        <f t="shared" si="132"/>
        <v/>
      </c>
      <c r="KW5" s="11" t="str">
        <f t="shared" si="133"/>
        <v/>
      </c>
      <c r="KX5" s="11" t="str">
        <f t="shared" si="134"/>
        <v/>
      </c>
      <c r="KY5" s="11" t="str">
        <f t="shared" si="135"/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 t="shared" si="136"/>
        <v/>
      </c>
      <c r="LU5" s="41" t="str">
        <f t="shared" si="137"/>
        <v/>
      </c>
      <c r="LV5" s="41" t="str">
        <f t="shared" si="138"/>
        <v/>
      </c>
      <c r="LW5" s="41" t="str">
        <f t="shared" si="139"/>
        <v/>
      </c>
      <c r="LX5" s="41" t="str">
        <f t="shared" si="140"/>
        <v/>
      </c>
      <c r="LY5" s="41" t="str">
        <f t="shared" si="141"/>
        <v/>
      </c>
      <c r="LZ5" s="41" t="str">
        <f t="shared" si="142"/>
        <v/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 t="str">
        <f t="shared" si="146"/>
        <v/>
      </c>
      <c r="ME5" s="41" t="str">
        <f t="shared" si="147"/>
        <v/>
      </c>
      <c r="MF5" s="41" t="str">
        <f t="shared" si="148"/>
        <v/>
      </c>
      <c r="MG5" s="41" t="str">
        <f t="shared" si="149"/>
        <v/>
      </c>
      <c r="MH5" s="18">
        <v>15.7</v>
      </c>
      <c r="MI5" s="18">
        <v>9.1</v>
      </c>
      <c r="MJ5" s="18">
        <v>16.5</v>
      </c>
      <c r="MK5" s="18">
        <v>16.47</v>
      </c>
      <c r="ML5" s="18">
        <v>0</v>
      </c>
      <c r="MM5" s="18">
        <v>15.4</v>
      </c>
      <c r="MN5" s="18">
        <v>8.8000000000000007</v>
      </c>
      <c r="MO5" s="18">
        <v>16.5</v>
      </c>
      <c r="MP5" s="18">
        <v>16.48</v>
      </c>
      <c r="MQ5" s="18">
        <v>0</v>
      </c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>
        <f t="shared" si="150"/>
        <v>16.5</v>
      </c>
      <c r="NC5" s="11">
        <f t="shared" si="151"/>
        <v>16.47</v>
      </c>
      <c r="ND5" s="11">
        <f t="shared" si="152"/>
        <v>57.769999999999996</v>
      </c>
      <c r="NE5" s="11">
        <f t="shared" si="153"/>
        <v>16.5</v>
      </c>
      <c r="NF5" s="11">
        <f t="shared" si="154"/>
        <v>16.48</v>
      </c>
      <c r="NG5" s="11">
        <f t="shared" si="155"/>
        <v>57.180000000000007</v>
      </c>
      <c r="NH5" s="11">
        <f t="shared" si="156"/>
        <v>57.769999999999996</v>
      </c>
      <c r="NI5" s="11" t="str">
        <f t="shared" si="157"/>
        <v/>
      </c>
      <c r="NJ5" s="11" t="str">
        <f t="shared" si="158"/>
        <v/>
      </c>
      <c r="NK5" s="11" t="str">
        <f t="shared" si="159"/>
        <v/>
      </c>
      <c r="NL5" s="11" t="str">
        <f t="shared" si="160"/>
        <v/>
      </c>
      <c r="NM5" s="11" t="str">
        <f t="shared" si="161"/>
        <v/>
      </c>
      <c r="NN5" s="11" t="str">
        <f t="shared" si="162"/>
        <v/>
      </c>
      <c r="NO5" s="11">
        <f t="shared" si="163"/>
        <v>57.769999999999996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 t="shared" si="164"/>
        <v/>
      </c>
      <c r="OK5" s="41" t="str">
        <f t="shared" si="165"/>
        <v/>
      </c>
      <c r="OL5" s="41" t="str">
        <f t="shared" si="166"/>
        <v/>
      </c>
      <c r="OM5" s="41" t="str">
        <f t="shared" si="167"/>
        <v/>
      </c>
      <c r="ON5" s="41" t="str">
        <f t="shared" si="168"/>
        <v/>
      </c>
      <c r="OO5" s="41" t="str">
        <f t="shared" si="169"/>
        <v/>
      </c>
      <c r="OP5" s="41" t="str">
        <f t="shared" si="170"/>
        <v/>
      </c>
      <c r="OQ5" s="41" t="str">
        <f t="shared" si="171"/>
        <v/>
      </c>
      <c r="OR5" s="41" t="str">
        <f t="shared" si="172"/>
        <v/>
      </c>
      <c r="OS5" s="41" t="str">
        <f t="shared" si="173"/>
        <v/>
      </c>
      <c r="OT5" s="41" t="str">
        <f t="shared" si="174"/>
        <v/>
      </c>
      <c r="OU5" s="41" t="str">
        <f t="shared" si="175"/>
        <v/>
      </c>
      <c r="OV5" s="41" t="str">
        <f t="shared" si="176"/>
        <v/>
      </c>
      <c r="OW5" s="41" t="str">
        <f t="shared" si="177"/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 t="shared" si="178"/>
        <v/>
      </c>
      <c r="PS5" s="11" t="str">
        <f t="shared" si="179"/>
        <v/>
      </c>
      <c r="PT5" s="11" t="str">
        <f t="shared" si="180"/>
        <v/>
      </c>
      <c r="PU5" s="11" t="str">
        <f t="shared" si="181"/>
        <v/>
      </c>
      <c r="PV5" s="11" t="str">
        <f t="shared" si="182"/>
        <v/>
      </c>
      <c r="PW5" s="11" t="str">
        <f t="shared" si="183"/>
        <v/>
      </c>
      <c r="PX5" s="11" t="str">
        <f t="shared" si="184"/>
        <v/>
      </c>
      <c r="PY5" s="11" t="str">
        <f t="shared" si="185"/>
        <v/>
      </c>
      <c r="PZ5" s="11" t="str">
        <f t="shared" si="186"/>
        <v/>
      </c>
      <c r="QA5" s="11" t="str">
        <f t="shared" si="187"/>
        <v/>
      </c>
      <c r="QB5" s="11" t="str">
        <f t="shared" si="188"/>
        <v/>
      </c>
      <c r="QC5" s="11" t="str">
        <f t="shared" si="189"/>
        <v/>
      </c>
      <c r="QD5" s="11" t="str">
        <f t="shared" si="190"/>
        <v/>
      </c>
      <c r="QE5" s="11" t="str">
        <f t="shared" si="191"/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1" t="str">
        <f t="shared" si="192"/>
        <v/>
      </c>
      <c r="RA5" s="41" t="str">
        <f t="shared" si="193"/>
        <v/>
      </c>
      <c r="RB5" s="41" t="str">
        <f t="shared" si="194"/>
        <v/>
      </c>
      <c r="RC5" s="41" t="str">
        <f t="shared" si="195"/>
        <v/>
      </c>
      <c r="RD5" s="41" t="str">
        <f t="shared" si="196"/>
        <v/>
      </c>
      <c r="RE5" s="41" t="str">
        <f t="shared" si="197"/>
        <v/>
      </c>
      <c r="RF5" s="41" t="str">
        <f t="shared" si="198"/>
        <v/>
      </c>
      <c r="RG5" s="41" t="str">
        <f t="shared" si="199"/>
        <v/>
      </c>
      <c r="RH5" s="41" t="str">
        <f t="shared" si="200"/>
        <v/>
      </c>
      <c r="RI5" s="41" t="str">
        <f t="shared" si="201"/>
        <v/>
      </c>
      <c r="RJ5" s="41" t="str">
        <f t="shared" si="202"/>
        <v/>
      </c>
      <c r="RK5" s="41" t="str">
        <f t="shared" si="203"/>
        <v/>
      </c>
      <c r="RL5" s="41" t="str">
        <f t="shared" si="204"/>
        <v/>
      </c>
      <c r="RM5" s="41" t="str">
        <f t="shared" si="205"/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23">
        <f t="shared" si="220"/>
        <v>6.65</v>
      </c>
      <c r="SW5" s="23">
        <f t="shared" si="221"/>
        <v>3.35</v>
      </c>
      <c r="SX5" s="23">
        <f t="shared" si="222"/>
        <v>6.9</v>
      </c>
      <c r="SY5" s="23">
        <f t="shared" si="223"/>
        <v>6.8149999999999995</v>
      </c>
      <c r="SZ5" s="23">
        <f t="shared" si="224"/>
        <v>0</v>
      </c>
      <c r="TA5" s="23">
        <f t="shared" si="225"/>
        <v>9.1</v>
      </c>
      <c r="TB5" s="23">
        <f t="shared" si="226"/>
        <v>5.0999999999999996</v>
      </c>
      <c r="TC5" s="23">
        <f t="shared" si="227"/>
        <v>9.25</v>
      </c>
      <c r="TD5" s="23">
        <f t="shared" si="228"/>
        <v>9.2149999999999999</v>
      </c>
      <c r="TE5" s="23">
        <f t="shared" si="229"/>
        <v>0</v>
      </c>
      <c r="TF5" s="23">
        <f t="shared" si="230"/>
        <v>8.1</v>
      </c>
      <c r="TG5" s="23">
        <f t="shared" si="231"/>
        <v>4.1500000000000004</v>
      </c>
      <c r="TH5" s="23">
        <f t="shared" si="232"/>
        <v>8.25</v>
      </c>
      <c r="TI5" s="23">
        <f t="shared" si="233"/>
        <v>8.3849999999999998</v>
      </c>
      <c r="TJ5" s="23">
        <f t="shared" si="234"/>
        <v>0</v>
      </c>
      <c r="TK5" s="28" t="s">
        <v>57</v>
      </c>
      <c r="TL5" s="41">
        <f t="shared" si="235"/>
        <v>6.9</v>
      </c>
      <c r="TM5" s="41">
        <f t="shared" si="236"/>
        <v>6.8149999999999995</v>
      </c>
      <c r="TN5" s="41">
        <f t="shared" si="237"/>
        <v>23.714999999999996</v>
      </c>
      <c r="TO5" s="41">
        <f t="shared" si="238"/>
        <v>9.25</v>
      </c>
      <c r="TP5" s="41">
        <f t="shared" si="239"/>
        <v>9.2149999999999999</v>
      </c>
      <c r="TQ5" s="41">
        <f t="shared" si="240"/>
        <v>32.664999999999999</v>
      </c>
      <c r="TR5" s="41">
        <f t="shared" si="241"/>
        <v>32.664999999999999</v>
      </c>
      <c r="TS5" s="41">
        <f t="shared" si="242"/>
        <v>8.25</v>
      </c>
      <c r="TT5" s="41">
        <f t="shared" si="243"/>
        <v>8.3849999999999998</v>
      </c>
      <c r="TU5" s="41">
        <f t="shared" si="244"/>
        <v>28.884999999999998</v>
      </c>
      <c r="TV5" s="41">
        <f t="shared" si="245"/>
        <v>61.55</v>
      </c>
    </row>
    <row r="6" spans="1:542" x14ac:dyDescent="0.2">
      <c r="A6" s="4" cm="1">
        <f t="array" ref="A6">IF(AND(H6&lt;&gt;"",H6&lt;&gt;"No DD"),SUMPRODUCT((H$4:H$24&lt;&gt;"")*(H$4:H$24&lt;&gt;"No DD")*(E$4:E$24&gt;E6))+1,IF(H6="No DD",SUMPRODUCT((H$4:H$24="No DD")*(E$4:E$24&gt;E6))+1+SUMPRODUCT((H$4:H$24&lt;&gt;"")*(H$4:H$24&lt;&gt;"No DD")),""))</f>
        <v>3</v>
      </c>
      <c r="B6" s="5" t="s">
        <v>4</v>
      </c>
      <c r="C6" s="4" t="s">
        <v>5</v>
      </c>
      <c r="D6" s="4">
        <v>1992</v>
      </c>
      <c r="E6" s="9">
        <f t="shared" si="0"/>
        <v>267.2200267220058</v>
      </c>
      <c r="F6" s="3" t="str">
        <f t="shared" si="1"/>
        <v>P</v>
      </c>
      <c r="G6" s="3" t="str">
        <f t="shared" si="2"/>
        <v>P</v>
      </c>
      <c r="H6" s="37" t="str">
        <f t="shared" si="3"/>
        <v>Excellence</v>
      </c>
      <c r="I6" s="3" t="str">
        <f t="shared" si="4"/>
        <v>P</v>
      </c>
      <c r="J6" s="8">
        <f>IF(COUNT(AQ6,AT6,BR6,BU6,CS6,CV6)&gt;0,LARGE((AQ6,AT6,BR6,BU6,CS6,CV6),1),0)</f>
        <v>58.67</v>
      </c>
      <c r="K6" s="8" t="str">
        <f t="shared" si="5"/>
        <v>2023 Domestic 3rd Trial</v>
      </c>
      <c r="L6" s="8">
        <f>IF(COUNT(AQ6,AT6,BR6,BU6,CS6,CV6)&gt;1,LARGE((AQ6,AT6,BR6,BU6,CS6,CV6),2),0)</f>
        <v>58.295000000000002</v>
      </c>
      <c r="M6" s="8" t="str">
        <f t="shared" si="6"/>
        <v>2023 Elite Canada</v>
      </c>
      <c r="N6" s="8">
        <f>IF(COUNT(AQ6,AT6,BR6,BU6,CS6,CV6)&gt;2,LARGE((AQ6,AT6,BR6,BU6,CS6,CV6),3),0)</f>
        <v>58.25</v>
      </c>
      <c r="O6" s="8" t="str">
        <f t="shared" si="7"/>
        <v>2023 Nationals</v>
      </c>
      <c r="P6" s="8">
        <f t="shared" si="8"/>
        <v>58.160000000000004</v>
      </c>
      <c r="Q6" s="8" t="str">
        <f t="shared" si="9"/>
        <v>2023 Elite Canada</v>
      </c>
      <c r="R6" s="8">
        <f t="shared" si="10"/>
        <v>17.100000000000001</v>
      </c>
      <c r="S6" s="8" t="str">
        <f t="shared" si="11"/>
        <v>2023 Domestic 3rd Trial</v>
      </c>
      <c r="T6" s="8">
        <f t="shared" si="12"/>
        <v>16.745000000000001</v>
      </c>
      <c r="U6" s="8" t="str">
        <f t="shared" si="13"/>
        <v>2023 Elite Canada</v>
      </c>
      <c r="V6" s="8" t="str">
        <f t="shared" si="14"/>
        <v/>
      </c>
      <c r="W6" s="11" t="str">
        <f t="shared" si="15"/>
        <v/>
      </c>
      <c r="X6" s="8" t="str">
        <f t="shared" si="16"/>
        <v/>
      </c>
      <c r="Y6" s="23">
        <v>16.149999999999999</v>
      </c>
      <c r="Z6" s="23">
        <v>9.25</v>
      </c>
      <c r="AA6" s="23">
        <v>16.149999999999999</v>
      </c>
      <c r="AB6" s="23">
        <v>16.745000000000001</v>
      </c>
      <c r="AC6" s="23">
        <v>0</v>
      </c>
      <c r="AD6" s="23">
        <v>15.65</v>
      </c>
      <c r="AE6" s="23">
        <v>9</v>
      </c>
      <c r="AF6" s="23">
        <v>16.3</v>
      </c>
      <c r="AG6" s="23">
        <v>16.125</v>
      </c>
      <c r="AH6" s="23">
        <v>0</v>
      </c>
      <c r="AI6" s="23">
        <v>16.350000000000001</v>
      </c>
      <c r="AJ6" s="23">
        <v>9.3000000000000007</v>
      </c>
      <c r="AK6" s="23">
        <v>16.25</v>
      </c>
      <c r="AL6" s="23">
        <v>16.259999999999998</v>
      </c>
      <c r="AM6" s="23">
        <v>0</v>
      </c>
      <c r="AN6" s="28" t="s">
        <v>57</v>
      </c>
      <c r="AO6" s="39">
        <f t="shared" si="17"/>
        <v>16.149999999999999</v>
      </c>
      <c r="AP6" s="39">
        <f t="shared" si="18"/>
        <v>16.745000000000001</v>
      </c>
      <c r="AQ6" s="41">
        <f t="shared" si="19"/>
        <v>58.295000000000002</v>
      </c>
      <c r="AR6" s="41">
        <f t="shared" si="20"/>
        <v>16.3</v>
      </c>
      <c r="AS6" s="41">
        <f t="shared" si="21"/>
        <v>16.125</v>
      </c>
      <c r="AT6" s="41">
        <f t="shared" si="22"/>
        <v>57.075000000000003</v>
      </c>
      <c r="AU6" s="41">
        <f t="shared" si="23"/>
        <v>58.295000000000002</v>
      </c>
      <c r="AV6" s="41">
        <f t="shared" si="24"/>
        <v>16.25</v>
      </c>
      <c r="AW6" s="41">
        <f t="shared" si="25"/>
        <v>16.259999999999998</v>
      </c>
      <c r="AX6" s="41">
        <f t="shared" si="26"/>
        <v>58.160000000000004</v>
      </c>
      <c r="AY6" s="41">
        <f t="shared" si="27"/>
        <v>116.45500000000001</v>
      </c>
      <c r="AZ6" s="27">
        <v>8.8000000000000007</v>
      </c>
      <c r="BA6" s="27">
        <v>4.8</v>
      </c>
      <c r="BB6" s="27">
        <v>8</v>
      </c>
      <c r="BC6" s="27">
        <v>8.58</v>
      </c>
      <c r="BD6" s="27">
        <v>0</v>
      </c>
      <c r="BE6" s="27">
        <v>17.2</v>
      </c>
      <c r="BF6" s="27">
        <v>9.4</v>
      </c>
      <c r="BG6" s="27">
        <v>15.2</v>
      </c>
      <c r="BH6" s="27">
        <v>16.45</v>
      </c>
      <c r="BI6" s="27">
        <v>0</v>
      </c>
      <c r="BJ6" s="27">
        <v>1.9</v>
      </c>
      <c r="BK6" s="27">
        <v>1</v>
      </c>
      <c r="BL6" s="27">
        <v>2</v>
      </c>
      <c r="BM6" s="27">
        <v>1.82</v>
      </c>
      <c r="BN6" s="27">
        <v>0</v>
      </c>
      <c r="BO6" s="29"/>
      <c r="BP6" s="40">
        <f t="shared" si="28"/>
        <v>8</v>
      </c>
      <c r="BQ6" s="40">
        <f t="shared" si="29"/>
        <v>8.58</v>
      </c>
      <c r="BR6" s="11">
        <f t="shared" si="30"/>
        <v>30.18</v>
      </c>
      <c r="BS6" s="11">
        <f t="shared" si="31"/>
        <v>15.2</v>
      </c>
      <c r="BT6" s="11">
        <f t="shared" si="32"/>
        <v>16.45</v>
      </c>
      <c r="BU6" s="11">
        <f t="shared" si="33"/>
        <v>58.25</v>
      </c>
      <c r="BV6" s="11">
        <f t="shared" si="34"/>
        <v>58.25</v>
      </c>
      <c r="BW6" s="11">
        <f t="shared" si="35"/>
        <v>2</v>
      </c>
      <c r="BX6" s="11">
        <f t="shared" si="36"/>
        <v>1.82</v>
      </c>
      <c r="BY6" s="11">
        <f t="shared" si="37"/>
        <v>6.7200000000000006</v>
      </c>
      <c r="BZ6" s="11">
        <f t="shared" si="38"/>
        <v>64.97</v>
      </c>
      <c r="CA6" s="23">
        <v>15.7</v>
      </c>
      <c r="CB6" s="23">
        <v>9.3000000000000007</v>
      </c>
      <c r="CC6" s="23">
        <v>17.100000000000001</v>
      </c>
      <c r="CD6" s="23">
        <v>16.57</v>
      </c>
      <c r="CE6" s="23">
        <v>0</v>
      </c>
      <c r="CF6" s="23">
        <v>15</v>
      </c>
      <c r="CG6" s="23">
        <v>9.5</v>
      </c>
      <c r="CH6" s="23">
        <v>16.899999999999999</v>
      </c>
      <c r="CI6" s="23">
        <v>16.190000000000001</v>
      </c>
      <c r="CJ6" s="23">
        <v>0</v>
      </c>
      <c r="CK6" s="23">
        <v>15.2</v>
      </c>
      <c r="CL6" s="23">
        <v>9.1</v>
      </c>
      <c r="CM6" s="23">
        <v>17.100000000000001</v>
      </c>
      <c r="CN6" s="23">
        <v>16.61</v>
      </c>
      <c r="CO6" s="23">
        <v>0.2</v>
      </c>
      <c r="CP6" s="28"/>
      <c r="CQ6" s="39">
        <f t="shared" si="39"/>
        <v>17.100000000000001</v>
      </c>
      <c r="CR6" s="39">
        <f t="shared" si="40"/>
        <v>16.57</v>
      </c>
      <c r="CS6" s="41">
        <f t="shared" si="41"/>
        <v>58.67</v>
      </c>
      <c r="CT6" s="41">
        <f t="shared" si="42"/>
        <v>16.899999999999999</v>
      </c>
      <c r="CU6" s="41">
        <f t="shared" si="43"/>
        <v>16.190000000000001</v>
      </c>
      <c r="CV6" s="41">
        <f t="shared" si="44"/>
        <v>57.59</v>
      </c>
      <c r="CW6" s="41">
        <f t="shared" si="45"/>
        <v>58.67</v>
      </c>
      <c r="CX6" s="41">
        <f t="shared" si="46"/>
        <v>17.100000000000001</v>
      </c>
      <c r="CY6" s="41">
        <f t="shared" si="47"/>
        <v>16.61</v>
      </c>
      <c r="CZ6" s="41">
        <f t="shared" si="48"/>
        <v>57.809999999999995</v>
      </c>
      <c r="DA6" s="41">
        <f t="shared" si="49"/>
        <v>116.47999999999999</v>
      </c>
      <c r="DB6" s="52" t="str">
        <f t="shared" si="50"/>
        <v/>
      </c>
      <c r="DC6" s="52" t="str">
        <f t="shared" si="51"/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 t="str">
        <f t="shared" si="52"/>
        <v/>
      </c>
      <c r="DY6" s="41" t="str">
        <f t="shared" si="53"/>
        <v/>
      </c>
      <c r="DZ6" s="41" t="str">
        <f t="shared" si="54"/>
        <v/>
      </c>
      <c r="EA6" s="41" t="str">
        <f t="shared" si="55"/>
        <v/>
      </c>
      <c r="EB6" s="41" t="str">
        <f t="shared" si="56"/>
        <v/>
      </c>
      <c r="EC6" s="41" t="str">
        <f t="shared" si="57"/>
        <v/>
      </c>
      <c r="ED6" s="41" t="str">
        <f t="shared" si="58"/>
        <v/>
      </c>
      <c r="EE6" s="41" t="str">
        <f t="shared" si="59"/>
        <v/>
      </c>
      <c r="EF6" s="41" t="str">
        <f t="shared" si="60"/>
        <v/>
      </c>
      <c r="EG6" s="41" t="str">
        <f t="shared" si="61"/>
        <v/>
      </c>
      <c r="EH6" s="41" t="str">
        <f t="shared" si="62"/>
        <v/>
      </c>
      <c r="EI6" s="41" t="str">
        <f t="shared" si="63"/>
        <v/>
      </c>
      <c r="EJ6" s="41" t="str">
        <f t="shared" si="64"/>
        <v/>
      </c>
      <c r="EK6" s="41" t="str">
        <f t="shared" si="65"/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 t="str">
        <f t="shared" si="79"/>
        <v/>
      </c>
      <c r="FT6" s="17">
        <v>14.5</v>
      </c>
      <c r="FU6" s="17">
        <v>8.5</v>
      </c>
      <c r="FV6" s="17">
        <v>13.2</v>
      </c>
      <c r="FW6" s="17">
        <v>15.64</v>
      </c>
      <c r="FX6" s="17">
        <v>0</v>
      </c>
      <c r="FY6" s="17">
        <v>15.9</v>
      </c>
      <c r="FZ6" s="17">
        <v>9.1999999999999993</v>
      </c>
      <c r="GA6" s="17">
        <v>15</v>
      </c>
      <c r="GB6" s="17">
        <v>15.96</v>
      </c>
      <c r="GC6" s="17">
        <v>0</v>
      </c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>
        <f t="shared" si="80"/>
        <v>13.2</v>
      </c>
      <c r="GO6" s="41">
        <f t="shared" si="81"/>
        <v>15.64</v>
      </c>
      <c r="GP6" s="41">
        <f t="shared" si="82"/>
        <v>51.84</v>
      </c>
      <c r="GQ6" s="41">
        <f t="shared" si="83"/>
        <v>15</v>
      </c>
      <c r="GR6" s="41">
        <f t="shared" si="84"/>
        <v>15.96</v>
      </c>
      <c r="GS6" s="41">
        <f t="shared" si="85"/>
        <v>56.06</v>
      </c>
      <c r="GT6" s="41">
        <f t="shared" si="86"/>
        <v>56.06</v>
      </c>
      <c r="GU6" s="41" t="str">
        <f t="shared" si="87"/>
        <v/>
      </c>
      <c r="GV6" s="41" t="str">
        <f t="shared" si="88"/>
        <v/>
      </c>
      <c r="GW6" s="41" t="str">
        <f t="shared" si="89"/>
        <v/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>
        <f t="shared" si="93"/>
        <v>56.06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>
        <v>16.399999999999999</v>
      </c>
      <c r="HR6" s="18">
        <v>9.8000000000000007</v>
      </c>
      <c r="HS6" s="18">
        <v>15.2</v>
      </c>
      <c r="HT6" s="18">
        <v>16.190000000000001</v>
      </c>
      <c r="HU6" s="18">
        <v>0</v>
      </c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>
        <f t="shared" si="104"/>
        <v>15.2</v>
      </c>
      <c r="IG6" s="11">
        <f t="shared" si="105"/>
        <v>16.190000000000001</v>
      </c>
      <c r="IH6" s="11">
        <f t="shared" si="106"/>
        <v>57.59</v>
      </c>
      <c r="II6" s="11">
        <f t="shared" si="107"/>
        <v>57.59</v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 t="str">
        <f t="shared" si="108"/>
        <v/>
      </c>
      <c r="JE6" s="41" t="str">
        <f t="shared" si="109"/>
        <v/>
      </c>
      <c r="JF6" s="41" t="str">
        <f t="shared" si="110"/>
        <v/>
      </c>
      <c r="JG6" s="41" t="str">
        <f t="shared" si="111"/>
        <v/>
      </c>
      <c r="JH6" s="41" t="str">
        <f t="shared" si="112"/>
        <v/>
      </c>
      <c r="JI6" s="41" t="str">
        <f t="shared" si="113"/>
        <v/>
      </c>
      <c r="JJ6" s="41" t="str">
        <f t="shared" si="114"/>
        <v/>
      </c>
      <c r="JK6" s="41" t="str">
        <f t="shared" si="115"/>
        <v/>
      </c>
      <c r="JL6" s="41" t="str">
        <f t="shared" si="116"/>
        <v/>
      </c>
      <c r="JM6" s="41" t="str">
        <f t="shared" si="117"/>
        <v/>
      </c>
      <c r="JN6" s="41" t="str">
        <f t="shared" si="118"/>
        <v/>
      </c>
      <c r="JO6" s="41" t="str">
        <f t="shared" si="119"/>
        <v/>
      </c>
      <c r="JP6" s="41" t="str">
        <f t="shared" si="120"/>
        <v/>
      </c>
      <c r="JQ6" s="41" t="str">
        <f t="shared" si="121"/>
        <v/>
      </c>
      <c r="JR6" s="18">
        <v>9.4</v>
      </c>
      <c r="JS6" s="18">
        <v>5.5</v>
      </c>
      <c r="JT6" s="18">
        <v>10.1</v>
      </c>
      <c r="JU6" s="18">
        <v>9.9600000000000009</v>
      </c>
      <c r="JV6" s="18">
        <v>0</v>
      </c>
      <c r="JW6" s="18">
        <v>12.7</v>
      </c>
      <c r="JX6" s="18">
        <v>7.5</v>
      </c>
      <c r="JY6" s="18">
        <v>13</v>
      </c>
      <c r="JZ6" s="18">
        <v>13.39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 t="shared" si="122"/>
        <v>10.1</v>
      </c>
      <c r="KM6" s="11">
        <f t="shared" si="123"/>
        <v>9.9600000000000009</v>
      </c>
      <c r="KN6" s="11">
        <f t="shared" si="124"/>
        <v>34.96</v>
      </c>
      <c r="KO6" s="11">
        <f t="shared" si="125"/>
        <v>13</v>
      </c>
      <c r="KP6" s="11">
        <f t="shared" si="126"/>
        <v>13.39</v>
      </c>
      <c r="KQ6" s="11">
        <f t="shared" si="127"/>
        <v>46.59</v>
      </c>
      <c r="KR6" s="11">
        <f t="shared" si="128"/>
        <v>46.59</v>
      </c>
      <c r="KS6" s="11" t="str">
        <f t="shared" si="129"/>
        <v/>
      </c>
      <c r="KT6" s="11" t="str">
        <f t="shared" si="130"/>
        <v/>
      </c>
      <c r="KU6" s="11" t="str">
        <f t="shared" si="131"/>
        <v/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>
        <f t="shared" si="135"/>
        <v>46.59</v>
      </c>
      <c r="KZ6" s="17">
        <v>11.2</v>
      </c>
      <c r="LA6" s="17">
        <v>7.1</v>
      </c>
      <c r="LB6" s="17">
        <v>12.6</v>
      </c>
      <c r="LC6" s="17">
        <v>13.01</v>
      </c>
      <c r="LD6" s="17">
        <v>0</v>
      </c>
      <c r="LE6" s="17">
        <v>14.3</v>
      </c>
      <c r="LF6" s="17">
        <v>9.3000000000000007</v>
      </c>
      <c r="LG6" s="17">
        <v>16.100000000000001</v>
      </c>
      <c r="LH6" s="17">
        <v>16.12</v>
      </c>
      <c r="LI6" s="17">
        <v>0</v>
      </c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>
        <f t="shared" si="136"/>
        <v>12.6</v>
      </c>
      <c r="LU6" s="41">
        <f t="shared" si="137"/>
        <v>13.01</v>
      </c>
      <c r="LV6" s="41">
        <f t="shared" si="138"/>
        <v>43.91</v>
      </c>
      <c r="LW6" s="41">
        <f t="shared" si="139"/>
        <v>16.100000000000001</v>
      </c>
      <c r="LX6" s="41">
        <f t="shared" si="140"/>
        <v>16.12</v>
      </c>
      <c r="LY6" s="41">
        <f t="shared" si="141"/>
        <v>55.820000000000007</v>
      </c>
      <c r="LZ6" s="41">
        <f t="shared" si="142"/>
        <v>55.820000000000007</v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>
        <f t="shared" si="149"/>
        <v>55.820000000000007</v>
      </c>
      <c r="MH6" s="18">
        <v>13.7</v>
      </c>
      <c r="MI6" s="18">
        <v>9.1999999999999993</v>
      </c>
      <c r="MJ6" s="18">
        <v>16.3</v>
      </c>
      <c r="MK6" s="18">
        <v>16.02</v>
      </c>
      <c r="ML6" s="18">
        <v>0</v>
      </c>
      <c r="MM6" s="18">
        <v>3</v>
      </c>
      <c r="MN6" s="18">
        <v>1.6</v>
      </c>
      <c r="MO6" s="18">
        <v>3.6</v>
      </c>
      <c r="MP6" s="18">
        <v>3.57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 t="shared" si="150"/>
        <v>16.3</v>
      </c>
      <c r="NC6" s="11">
        <f t="shared" si="151"/>
        <v>16.02</v>
      </c>
      <c r="ND6" s="11">
        <f t="shared" si="152"/>
        <v>55.22</v>
      </c>
      <c r="NE6" s="11">
        <f t="shared" si="153"/>
        <v>3.6</v>
      </c>
      <c r="NF6" s="11">
        <f t="shared" si="154"/>
        <v>3.57</v>
      </c>
      <c r="NG6" s="11">
        <f t="shared" si="155"/>
        <v>11.77</v>
      </c>
      <c r="NH6" s="11">
        <f t="shared" si="156"/>
        <v>55.22</v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>
        <f t="shared" si="163"/>
        <v>55.22</v>
      </c>
      <c r="NP6" s="17">
        <v>12.4</v>
      </c>
      <c r="NQ6" s="17">
        <v>7.5</v>
      </c>
      <c r="NR6" s="17">
        <v>12.8</v>
      </c>
      <c r="NS6" s="17">
        <v>13.26</v>
      </c>
      <c r="NT6" s="17">
        <v>0</v>
      </c>
      <c r="NU6" s="17">
        <v>15.4</v>
      </c>
      <c r="NV6" s="17">
        <v>9</v>
      </c>
      <c r="NW6" s="17">
        <v>16.5</v>
      </c>
      <c r="NX6" s="17">
        <v>16.48</v>
      </c>
      <c r="NY6" s="17">
        <v>0</v>
      </c>
      <c r="NZ6" s="17"/>
      <c r="OA6" s="17"/>
      <c r="OB6" s="17"/>
      <c r="OC6" s="17"/>
      <c r="OD6" s="17"/>
      <c r="OE6" s="17">
        <v>3.1</v>
      </c>
      <c r="OF6" s="17">
        <v>1.9</v>
      </c>
      <c r="OG6" s="17">
        <v>3.6</v>
      </c>
      <c r="OH6" s="17">
        <v>3.52</v>
      </c>
      <c r="OI6" s="17">
        <v>0</v>
      </c>
      <c r="OJ6" s="41">
        <f t="shared" si="164"/>
        <v>12.8</v>
      </c>
      <c r="OK6" s="41">
        <f t="shared" si="165"/>
        <v>13.26</v>
      </c>
      <c r="OL6" s="41">
        <f t="shared" si="166"/>
        <v>45.96</v>
      </c>
      <c r="OM6" s="41">
        <f t="shared" si="167"/>
        <v>16.5</v>
      </c>
      <c r="ON6" s="41">
        <f t="shared" si="168"/>
        <v>16.48</v>
      </c>
      <c r="OO6" s="41">
        <f t="shared" si="169"/>
        <v>57.379999999999995</v>
      </c>
      <c r="OP6" s="41">
        <f t="shared" si="170"/>
        <v>57.379999999999995</v>
      </c>
      <c r="OQ6" s="41" t="str">
        <f t="shared" si="171"/>
        <v/>
      </c>
      <c r="OR6" s="41" t="str">
        <f t="shared" si="172"/>
        <v/>
      </c>
      <c r="OS6" s="41" t="str">
        <f t="shared" si="173"/>
        <v/>
      </c>
      <c r="OT6" s="41">
        <f t="shared" si="174"/>
        <v>3.6</v>
      </c>
      <c r="OU6" s="41">
        <f t="shared" si="175"/>
        <v>3.52</v>
      </c>
      <c r="OV6" s="41">
        <f t="shared" si="176"/>
        <v>12.12</v>
      </c>
      <c r="OW6" s="41">
        <f t="shared" si="177"/>
        <v>69.5</v>
      </c>
      <c r="OX6" s="18">
        <v>7.5</v>
      </c>
      <c r="OY6" s="18">
        <v>4.5999999999999996</v>
      </c>
      <c r="OZ6" s="18">
        <v>9.1</v>
      </c>
      <c r="PA6" s="18">
        <v>8.56</v>
      </c>
      <c r="PB6" s="18">
        <v>0</v>
      </c>
      <c r="PC6" s="18">
        <v>14.7</v>
      </c>
      <c r="PD6" s="18">
        <v>9.5</v>
      </c>
      <c r="PE6" s="18">
        <v>17.100000000000001</v>
      </c>
      <c r="PF6" s="18">
        <v>16.260000000000002</v>
      </c>
      <c r="PG6" s="18">
        <v>0</v>
      </c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>
        <f t="shared" si="178"/>
        <v>9.1</v>
      </c>
      <c r="PS6" s="11">
        <f t="shared" si="179"/>
        <v>8.56</v>
      </c>
      <c r="PT6" s="11">
        <f t="shared" si="180"/>
        <v>29.759999999999998</v>
      </c>
      <c r="PU6" s="11">
        <f t="shared" si="181"/>
        <v>17.100000000000001</v>
      </c>
      <c r="PV6" s="11">
        <f t="shared" si="182"/>
        <v>16.260000000000002</v>
      </c>
      <c r="PW6" s="11">
        <f t="shared" si="183"/>
        <v>57.56</v>
      </c>
      <c r="PX6" s="11">
        <f t="shared" si="184"/>
        <v>57.56</v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>
        <f t="shared" si="191"/>
        <v>57.56</v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>
        <v>11.2</v>
      </c>
      <c r="QV6" s="17">
        <v>6.4</v>
      </c>
      <c r="QW6" s="17">
        <v>11.4</v>
      </c>
      <c r="QX6" s="17">
        <v>11.89</v>
      </c>
      <c r="QY6" s="17">
        <v>0</v>
      </c>
      <c r="QZ6" s="41" t="str">
        <f t="shared" si="192"/>
        <v/>
      </c>
      <c r="RA6" s="41" t="str">
        <f t="shared" si="193"/>
        <v/>
      </c>
      <c r="RB6" s="41" t="str">
        <f t="shared" si="194"/>
        <v/>
      </c>
      <c r="RC6" s="41" t="str">
        <f t="shared" si="195"/>
        <v/>
      </c>
      <c r="RD6" s="41" t="str">
        <f t="shared" si="196"/>
        <v/>
      </c>
      <c r="RE6" s="41" t="str">
        <f t="shared" si="197"/>
        <v/>
      </c>
      <c r="RF6" s="41" t="str">
        <f t="shared" si="198"/>
        <v/>
      </c>
      <c r="RG6" s="41" t="str">
        <f t="shared" si="199"/>
        <v/>
      </c>
      <c r="RH6" s="41" t="str">
        <f t="shared" si="200"/>
        <v/>
      </c>
      <c r="RI6" s="41" t="str">
        <f t="shared" si="201"/>
        <v/>
      </c>
      <c r="RJ6" s="41">
        <f t="shared" si="202"/>
        <v>11.4</v>
      </c>
      <c r="RK6" s="41">
        <f t="shared" si="203"/>
        <v>11.89</v>
      </c>
      <c r="RL6" s="41">
        <f t="shared" si="204"/>
        <v>40.89</v>
      </c>
      <c r="RM6" s="41">
        <f t="shared" si="205"/>
        <v>40.89</v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12.25</v>
      </c>
      <c r="SW6" s="23">
        <f t="shared" si="221"/>
        <v>7.0500000000000007</v>
      </c>
      <c r="SX6" s="23">
        <f t="shared" si="222"/>
        <v>12.55</v>
      </c>
      <c r="SY6" s="23">
        <f t="shared" si="223"/>
        <v>12.574999999999999</v>
      </c>
      <c r="SZ6" s="23">
        <f t="shared" si="224"/>
        <v>0</v>
      </c>
      <c r="TA6" s="23">
        <f t="shared" si="225"/>
        <v>16.100000000000001</v>
      </c>
      <c r="TB6" s="23">
        <f t="shared" si="226"/>
        <v>9.4499999999999993</v>
      </c>
      <c r="TC6" s="23">
        <f t="shared" si="227"/>
        <v>16.049999999999997</v>
      </c>
      <c r="TD6" s="23">
        <f t="shared" si="228"/>
        <v>16.32</v>
      </c>
      <c r="TE6" s="23">
        <f t="shared" si="229"/>
        <v>0</v>
      </c>
      <c r="TF6" s="23">
        <f t="shared" si="230"/>
        <v>8.5499999999999989</v>
      </c>
      <c r="TG6" s="23">
        <f t="shared" si="231"/>
        <v>5.05</v>
      </c>
      <c r="TH6" s="23">
        <f t="shared" si="232"/>
        <v>9.5500000000000007</v>
      </c>
      <c r="TI6" s="23">
        <f t="shared" si="233"/>
        <v>9.2149999999999999</v>
      </c>
      <c r="TJ6" s="23">
        <f t="shared" si="234"/>
        <v>0.1</v>
      </c>
      <c r="TK6" s="28" t="s">
        <v>57</v>
      </c>
      <c r="TL6" s="41">
        <f t="shared" si="235"/>
        <v>12.55</v>
      </c>
      <c r="TM6" s="41">
        <f t="shared" si="236"/>
        <v>12.574999999999999</v>
      </c>
      <c r="TN6" s="41">
        <f t="shared" si="237"/>
        <v>44.424999999999997</v>
      </c>
      <c r="TO6" s="41">
        <f t="shared" si="238"/>
        <v>16.049999999999997</v>
      </c>
      <c r="TP6" s="41">
        <f t="shared" si="239"/>
        <v>16.32</v>
      </c>
      <c r="TQ6" s="41">
        <f t="shared" si="240"/>
        <v>57.919999999999995</v>
      </c>
      <c r="TR6" s="41">
        <f t="shared" si="241"/>
        <v>57.919999999999995</v>
      </c>
      <c r="TS6" s="41">
        <f t="shared" si="242"/>
        <v>9.5500000000000007</v>
      </c>
      <c r="TT6" s="41">
        <f t="shared" si="243"/>
        <v>9.2149999999999999</v>
      </c>
      <c r="TU6" s="41">
        <f t="shared" si="244"/>
        <v>32.264999999999993</v>
      </c>
      <c r="TV6" s="41">
        <f t="shared" si="245"/>
        <v>90.184999999999988</v>
      </c>
    </row>
    <row r="7" spans="1:542" x14ac:dyDescent="0.2">
      <c r="A7" s="4" cm="1">
        <f t="array" ref="A7">IF(AND(H7&lt;&gt;"",H7&lt;&gt;"No DD"),SUMPRODUCT((H$4:H$24&lt;&gt;"")*(H$4:H$24&lt;&gt;"No DD")*(E$4:E$24&gt;E7))+1,IF(H7="No DD",SUMPRODUCT((H$4:H$24="No DD")*(E$4:E$24&gt;E7))+1+SUMPRODUCT((H$4:H$24&lt;&gt;"")*(H$4:H$24&lt;&gt;"No DD")),""))</f>
        <v>4</v>
      </c>
      <c r="B7" s="5" t="s">
        <v>7</v>
      </c>
      <c r="C7" s="4" t="s">
        <v>3</v>
      </c>
      <c r="D7" s="4">
        <v>1997</v>
      </c>
      <c r="E7" s="9">
        <f t="shared" si="0"/>
        <v>259.61002590400579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IF(COUNT(AQ7,AT7,BR7,BU7,CS7,CV7)&gt;0,LARGE((AQ7,AT7,BR7,BU7,CS7,CV7),1),0)</f>
        <v>58.109999999999992</v>
      </c>
      <c r="K7" s="8" t="str">
        <f t="shared" si="5"/>
        <v>2023 Domestic 3rd Trial</v>
      </c>
      <c r="L7" s="8">
        <f>IF(COUNT(AQ7,AT7,BR7,BU7,CS7,CV7)&gt;1,LARGE((AQ7,AT7,BR7,BU7,CS7,CV7),2),0)</f>
        <v>55.940000000000005</v>
      </c>
      <c r="M7" s="8" t="str">
        <f t="shared" si="6"/>
        <v>2023 Domestic 3rd Trial</v>
      </c>
      <c r="N7" s="8">
        <f>IF(COUNT(AQ7,AT7,BR7,BU7,CS7,CV7)&gt;2,LARGE((AQ7,AT7,BR7,BU7,CS7,CV7),3),0)</f>
        <v>55.5</v>
      </c>
      <c r="O7" s="8" t="str">
        <f t="shared" si="7"/>
        <v>2023 Nationals</v>
      </c>
      <c r="P7" s="8">
        <f t="shared" si="8"/>
        <v>56.580000000000005</v>
      </c>
      <c r="Q7" s="8" t="str">
        <f t="shared" si="9"/>
        <v>2023 Elite Canada</v>
      </c>
      <c r="R7" s="8">
        <f t="shared" si="10"/>
        <v>16.2</v>
      </c>
      <c r="S7" s="8" t="str">
        <f t="shared" si="11"/>
        <v>2023 Domestic 3rd Trial</v>
      </c>
      <c r="T7" s="8">
        <f t="shared" si="12"/>
        <v>16.71</v>
      </c>
      <c r="U7" s="8" t="str">
        <f t="shared" si="13"/>
        <v>2023 Domestic 3rd Trial</v>
      </c>
      <c r="V7" s="8">
        <f t="shared" si="14"/>
        <v>0.57000000000000028</v>
      </c>
      <c r="W7" s="11" t="str">
        <f t="shared" si="15"/>
        <v>(Prelim)</v>
      </c>
      <c r="X7" s="8" t="str">
        <f t="shared" si="16"/>
        <v>2023 World Cup POR 2 (July 8)</v>
      </c>
      <c r="Y7" s="23">
        <v>14.3</v>
      </c>
      <c r="Z7" s="23">
        <v>8.8000000000000007</v>
      </c>
      <c r="AA7" s="23">
        <v>15.6</v>
      </c>
      <c r="AB7" s="23">
        <v>15.38</v>
      </c>
      <c r="AC7" s="23">
        <v>0</v>
      </c>
      <c r="AD7" s="23">
        <v>18.899999999999999</v>
      </c>
      <c r="AE7" s="23">
        <v>1.7</v>
      </c>
      <c r="AF7" s="23">
        <v>3.8</v>
      </c>
      <c r="AG7" s="23">
        <v>3.38</v>
      </c>
      <c r="AH7" s="23">
        <v>0</v>
      </c>
      <c r="AI7" s="23">
        <v>14.9</v>
      </c>
      <c r="AJ7" s="23">
        <v>9.6</v>
      </c>
      <c r="AK7" s="23">
        <v>16.2</v>
      </c>
      <c r="AL7" s="23">
        <v>15.88</v>
      </c>
      <c r="AM7" s="23">
        <v>0</v>
      </c>
      <c r="AN7" s="28"/>
      <c r="AO7" s="39">
        <f t="shared" si="17"/>
        <v>15.6</v>
      </c>
      <c r="AP7" s="39">
        <f t="shared" si="18"/>
        <v>15.38</v>
      </c>
      <c r="AQ7" s="41">
        <f t="shared" si="19"/>
        <v>54.080000000000005</v>
      </c>
      <c r="AR7" s="41">
        <f t="shared" si="20"/>
        <v>3.8</v>
      </c>
      <c r="AS7" s="41">
        <f t="shared" si="21"/>
        <v>3.38</v>
      </c>
      <c r="AT7" s="41">
        <f t="shared" si="22"/>
        <v>27.779999999999998</v>
      </c>
      <c r="AU7" s="41">
        <f t="shared" si="23"/>
        <v>54.080000000000005</v>
      </c>
      <c r="AV7" s="41">
        <f t="shared" si="24"/>
        <v>16.2</v>
      </c>
      <c r="AW7" s="41">
        <f t="shared" si="25"/>
        <v>15.88</v>
      </c>
      <c r="AX7" s="41">
        <f t="shared" si="26"/>
        <v>56.580000000000005</v>
      </c>
      <c r="AY7" s="41">
        <f t="shared" si="27"/>
        <v>110.66000000000001</v>
      </c>
      <c r="AZ7" s="27">
        <v>14.1</v>
      </c>
      <c r="BA7" s="27">
        <v>9.4</v>
      </c>
      <c r="BB7" s="27">
        <v>16.2</v>
      </c>
      <c r="BC7" s="27">
        <v>15.8</v>
      </c>
      <c r="BD7" s="27">
        <v>0</v>
      </c>
      <c r="BE7" s="27">
        <v>1.6</v>
      </c>
      <c r="BF7" s="27">
        <v>1</v>
      </c>
      <c r="BG7" s="27">
        <v>2</v>
      </c>
      <c r="BH7" s="27">
        <v>1.76</v>
      </c>
      <c r="BI7" s="27">
        <v>0.4</v>
      </c>
      <c r="BJ7" s="27"/>
      <c r="BK7" s="27"/>
      <c r="BL7" s="27"/>
      <c r="BM7" s="27"/>
      <c r="BN7" s="27"/>
      <c r="BO7" s="29"/>
      <c r="BP7" s="40">
        <f t="shared" si="28"/>
        <v>16.2</v>
      </c>
      <c r="BQ7" s="40">
        <f t="shared" si="29"/>
        <v>15.8</v>
      </c>
      <c r="BR7" s="11">
        <f t="shared" si="30"/>
        <v>55.5</v>
      </c>
      <c r="BS7" s="11">
        <f t="shared" si="31"/>
        <v>2</v>
      </c>
      <c r="BT7" s="11">
        <f t="shared" si="32"/>
        <v>1.76</v>
      </c>
      <c r="BU7" s="11">
        <f t="shared" si="33"/>
        <v>5.9599999999999991</v>
      </c>
      <c r="BV7" s="11">
        <f t="shared" si="34"/>
        <v>55.5</v>
      </c>
      <c r="BW7" s="11" t="str">
        <f t="shared" si="35"/>
        <v/>
      </c>
      <c r="BX7" s="11" t="str">
        <f t="shared" si="36"/>
        <v/>
      </c>
      <c r="BY7" s="11" t="str">
        <f t="shared" si="37"/>
        <v/>
      </c>
      <c r="BZ7" s="11">
        <f t="shared" si="38"/>
        <v>55.5</v>
      </c>
      <c r="CA7" s="23">
        <v>15.2</v>
      </c>
      <c r="CB7" s="23">
        <v>8.9</v>
      </c>
      <c r="CC7" s="23">
        <v>16.100000000000001</v>
      </c>
      <c r="CD7" s="23">
        <v>15.74</v>
      </c>
      <c r="CE7" s="23">
        <v>0</v>
      </c>
      <c r="CF7" s="23">
        <v>15.6</v>
      </c>
      <c r="CG7" s="23">
        <v>9.8000000000000007</v>
      </c>
      <c r="CH7" s="23">
        <v>16.2</v>
      </c>
      <c r="CI7" s="23">
        <v>16.71</v>
      </c>
      <c r="CJ7" s="23">
        <v>0.2</v>
      </c>
      <c r="CK7" s="23">
        <v>4.2</v>
      </c>
      <c r="CL7" s="23">
        <v>2.6</v>
      </c>
      <c r="CM7" s="23">
        <v>5.6</v>
      </c>
      <c r="CN7" s="23">
        <v>5.13</v>
      </c>
      <c r="CO7" s="23">
        <v>0</v>
      </c>
      <c r="CP7" s="28"/>
      <c r="CQ7" s="39">
        <f t="shared" si="39"/>
        <v>16.100000000000001</v>
      </c>
      <c r="CR7" s="39">
        <f t="shared" si="40"/>
        <v>15.74</v>
      </c>
      <c r="CS7" s="41">
        <f t="shared" si="41"/>
        <v>55.940000000000005</v>
      </c>
      <c r="CT7" s="41">
        <f t="shared" si="42"/>
        <v>16.2</v>
      </c>
      <c r="CU7" s="41">
        <f t="shared" si="43"/>
        <v>16.71</v>
      </c>
      <c r="CV7" s="41">
        <f t="shared" si="44"/>
        <v>58.109999999999992</v>
      </c>
      <c r="CW7" s="41">
        <f t="shared" si="45"/>
        <v>58.109999999999992</v>
      </c>
      <c r="CX7" s="41">
        <f t="shared" si="46"/>
        <v>5.6</v>
      </c>
      <c r="CY7" s="41">
        <f t="shared" si="47"/>
        <v>5.13</v>
      </c>
      <c r="CZ7" s="41">
        <f t="shared" si="48"/>
        <v>17.53</v>
      </c>
      <c r="DA7" s="41">
        <f t="shared" si="49"/>
        <v>75.639999999999986</v>
      </c>
      <c r="DB7" s="52">
        <f t="shared" si="50"/>
        <v>0.57000000000000028</v>
      </c>
      <c r="DC7" s="52" t="str">
        <f t="shared" si="51"/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 t="str">
        <f t="shared" si="52"/>
        <v/>
      </c>
      <c r="DY7" s="41" t="str">
        <f t="shared" si="53"/>
        <v/>
      </c>
      <c r="DZ7" s="41" t="str">
        <f t="shared" si="54"/>
        <v/>
      </c>
      <c r="EA7" s="41" t="str">
        <f t="shared" si="55"/>
        <v/>
      </c>
      <c r="EB7" s="41" t="str">
        <f t="shared" si="56"/>
        <v/>
      </c>
      <c r="EC7" s="41" t="str">
        <f t="shared" si="57"/>
        <v/>
      </c>
      <c r="ED7" s="41" t="str">
        <f t="shared" si="58"/>
        <v/>
      </c>
      <c r="EE7" s="41" t="str">
        <f t="shared" si="59"/>
        <v/>
      </c>
      <c r="EF7" s="41" t="str">
        <f t="shared" si="60"/>
        <v/>
      </c>
      <c r="EG7" s="41" t="str">
        <f t="shared" si="61"/>
        <v/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 t="str">
        <f t="shared" si="65"/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 t="shared" si="66"/>
        <v/>
      </c>
      <c r="FG7" s="11" t="str">
        <f t="shared" si="67"/>
        <v/>
      </c>
      <c r="FH7" s="11" t="str">
        <f t="shared" si="68"/>
        <v/>
      </c>
      <c r="FI7" s="11" t="str">
        <f t="shared" si="69"/>
        <v/>
      </c>
      <c r="FJ7" s="11" t="str">
        <f t="shared" si="70"/>
        <v/>
      </c>
      <c r="FK7" s="11" t="str">
        <f t="shared" si="71"/>
        <v/>
      </c>
      <c r="FL7" s="11" t="str">
        <f t="shared" si="72"/>
        <v/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 t="str">
        <f t="shared" si="79"/>
        <v/>
      </c>
      <c r="FT7" s="17">
        <v>9</v>
      </c>
      <c r="FU7" s="17">
        <v>5.7</v>
      </c>
      <c r="FV7" s="17">
        <v>10</v>
      </c>
      <c r="FW7" s="17">
        <v>9.76</v>
      </c>
      <c r="FX7" s="17">
        <v>0</v>
      </c>
      <c r="FY7" s="17">
        <v>14</v>
      </c>
      <c r="FZ7" s="17">
        <v>9.5</v>
      </c>
      <c r="GA7" s="17">
        <v>16.2</v>
      </c>
      <c r="GB7" s="17">
        <v>15.34</v>
      </c>
      <c r="GC7" s="17">
        <v>0.2</v>
      </c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>
        <f t="shared" si="80"/>
        <v>10</v>
      </c>
      <c r="GO7" s="41">
        <f t="shared" si="81"/>
        <v>9.76</v>
      </c>
      <c r="GP7" s="41">
        <f t="shared" si="82"/>
        <v>34.46</v>
      </c>
      <c r="GQ7" s="41">
        <f t="shared" si="83"/>
        <v>16.2</v>
      </c>
      <c r="GR7" s="41">
        <f t="shared" si="84"/>
        <v>15.34</v>
      </c>
      <c r="GS7" s="41">
        <f t="shared" si="85"/>
        <v>54.84</v>
      </c>
      <c r="GT7" s="41">
        <f t="shared" si="86"/>
        <v>54.84</v>
      </c>
      <c r="GU7" s="41" t="str">
        <f t="shared" si="87"/>
        <v/>
      </c>
      <c r="GV7" s="41" t="str">
        <f t="shared" si="88"/>
        <v/>
      </c>
      <c r="GW7" s="41" t="str">
        <f t="shared" si="89"/>
        <v/>
      </c>
      <c r="GX7" s="41" t="str">
        <f t="shared" si="90"/>
        <v/>
      </c>
      <c r="GY7" s="41" t="str">
        <f t="shared" si="91"/>
        <v/>
      </c>
      <c r="GZ7" s="41" t="str">
        <f t="shared" si="92"/>
        <v/>
      </c>
      <c r="HA7" s="41">
        <f t="shared" si="93"/>
        <v>54.84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>
        <v>2.8</v>
      </c>
      <c r="IK7" s="17">
        <v>1.8</v>
      </c>
      <c r="IL7" s="17">
        <v>3.8</v>
      </c>
      <c r="IM7" s="17">
        <v>3.46</v>
      </c>
      <c r="IN7" s="17">
        <v>0</v>
      </c>
      <c r="IO7" s="17">
        <v>13.9</v>
      </c>
      <c r="IP7" s="17">
        <v>9.1999999999999993</v>
      </c>
      <c r="IQ7" s="17">
        <v>15.8</v>
      </c>
      <c r="IR7" s="17">
        <v>15.57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 t="shared" si="108"/>
        <v>3.8</v>
      </c>
      <c r="JE7" s="41">
        <f t="shared" si="109"/>
        <v>3.46</v>
      </c>
      <c r="JF7" s="41">
        <f t="shared" si="110"/>
        <v>11.86</v>
      </c>
      <c r="JG7" s="41">
        <f t="shared" si="111"/>
        <v>15.8</v>
      </c>
      <c r="JH7" s="41">
        <f t="shared" si="112"/>
        <v>15.57</v>
      </c>
      <c r="JI7" s="41">
        <f t="shared" si="113"/>
        <v>54.470000000000006</v>
      </c>
      <c r="JJ7" s="41">
        <f t="shared" si="114"/>
        <v>54.470000000000006</v>
      </c>
      <c r="JK7" s="41" t="str">
        <f t="shared" si="115"/>
        <v/>
      </c>
      <c r="JL7" s="41" t="str">
        <f t="shared" si="116"/>
        <v/>
      </c>
      <c r="JM7" s="41" t="str">
        <f t="shared" si="117"/>
        <v/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>
        <f t="shared" si="121"/>
        <v>54.470000000000006</v>
      </c>
      <c r="JR7" s="18">
        <v>14.4</v>
      </c>
      <c r="JS7" s="18">
        <v>9.4</v>
      </c>
      <c r="JT7" s="18">
        <v>16.2</v>
      </c>
      <c r="JU7" s="18">
        <v>16.07</v>
      </c>
      <c r="JV7" s="18">
        <v>0</v>
      </c>
      <c r="JW7" s="18">
        <v>13.6</v>
      </c>
      <c r="JX7" s="18">
        <v>9.1</v>
      </c>
      <c r="JY7" s="18">
        <v>15.8</v>
      </c>
      <c r="JZ7" s="18">
        <v>15.28</v>
      </c>
      <c r="KA7" s="18">
        <v>0</v>
      </c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>
        <f t="shared" si="122"/>
        <v>16.2</v>
      </c>
      <c r="KM7" s="11">
        <f t="shared" si="123"/>
        <v>16.07</v>
      </c>
      <c r="KN7" s="11">
        <f t="shared" si="124"/>
        <v>56.07</v>
      </c>
      <c r="KO7" s="11">
        <f t="shared" si="125"/>
        <v>15.8</v>
      </c>
      <c r="KP7" s="11">
        <f t="shared" si="126"/>
        <v>15.28</v>
      </c>
      <c r="KQ7" s="11">
        <f t="shared" si="127"/>
        <v>53.78</v>
      </c>
      <c r="KR7" s="11">
        <f t="shared" si="128"/>
        <v>56.07</v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>
        <f t="shared" si="135"/>
        <v>56.07</v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 t="shared" si="136"/>
        <v/>
      </c>
      <c r="LU7" s="41" t="str">
        <f t="shared" si="137"/>
        <v/>
      </c>
      <c r="LV7" s="41" t="str">
        <f t="shared" si="138"/>
        <v/>
      </c>
      <c r="LW7" s="41" t="str">
        <f t="shared" si="139"/>
        <v/>
      </c>
      <c r="LX7" s="41" t="str">
        <f t="shared" si="140"/>
        <v/>
      </c>
      <c r="LY7" s="41" t="str">
        <f t="shared" si="141"/>
        <v/>
      </c>
      <c r="LZ7" s="41" t="str">
        <f t="shared" si="142"/>
        <v/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 t="str">
        <f t="shared" si="149"/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 t="shared" si="150"/>
        <v/>
      </c>
      <c r="NC7" s="11" t="str">
        <f t="shared" si="151"/>
        <v/>
      </c>
      <c r="ND7" s="11" t="str">
        <f t="shared" si="152"/>
        <v/>
      </c>
      <c r="NE7" s="11" t="str">
        <f t="shared" si="153"/>
        <v/>
      </c>
      <c r="NF7" s="11" t="str">
        <f t="shared" si="154"/>
        <v/>
      </c>
      <c r="NG7" s="11" t="str">
        <f t="shared" si="155"/>
        <v/>
      </c>
      <c r="NH7" s="11" t="str">
        <f t="shared" si="156"/>
        <v/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 t="str">
        <f t="shared" si="163"/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 t="shared" si="164"/>
        <v/>
      </c>
      <c r="OK7" s="41" t="str">
        <f t="shared" si="165"/>
        <v/>
      </c>
      <c r="OL7" s="41" t="str">
        <f t="shared" si="166"/>
        <v/>
      </c>
      <c r="OM7" s="41" t="str">
        <f t="shared" si="167"/>
        <v/>
      </c>
      <c r="ON7" s="41" t="str">
        <f t="shared" si="168"/>
        <v/>
      </c>
      <c r="OO7" s="41" t="str">
        <f t="shared" si="169"/>
        <v/>
      </c>
      <c r="OP7" s="41" t="str">
        <f t="shared" si="170"/>
        <v/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 t="str">
        <f t="shared" si="177"/>
        <v/>
      </c>
      <c r="OX7" s="18">
        <v>1.6</v>
      </c>
      <c r="OY7" s="18">
        <v>1</v>
      </c>
      <c r="OZ7" s="18">
        <v>2</v>
      </c>
      <c r="PA7" s="18">
        <v>1.74</v>
      </c>
      <c r="PB7" s="18">
        <v>0</v>
      </c>
      <c r="PC7" s="18">
        <v>6.8</v>
      </c>
      <c r="PD7" s="18">
        <v>4.5</v>
      </c>
      <c r="PE7" s="18">
        <v>8.6</v>
      </c>
      <c r="PF7" s="18">
        <v>8.23</v>
      </c>
      <c r="PG7" s="18">
        <v>0</v>
      </c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>
        <f t="shared" si="178"/>
        <v>2</v>
      </c>
      <c r="PS7" s="11">
        <f t="shared" si="179"/>
        <v>1.74</v>
      </c>
      <c r="PT7" s="11">
        <f t="shared" si="180"/>
        <v>6.34</v>
      </c>
      <c r="PU7" s="11">
        <f t="shared" si="181"/>
        <v>8.6</v>
      </c>
      <c r="PV7" s="11">
        <f t="shared" si="182"/>
        <v>8.23</v>
      </c>
      <c r="PW7" s="11">
        <f t="shared" si="183"/>
        <v>28.13</v>
      </c>
      <c r="PX7" s="11">
        <f t="shared" si="184"/>
        <v>28.13</v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>
        <f t="shared" si="191"/>
        <v>28.13</v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14.649999999999999</v>
      </c>
      <c r="SW7" s="23">
        <f t="shared" si="221"/>
        <v>9.15</v>
      </c>
      <c r="SX7" s="23">
        <f t="shared" si="222"/>
        <v>16.149999999999999</v>
      </c>
      <c r="SY7" s="23">
        <f t="shared" si="223"/>
        <v>15.77</v>
      </c>
      <c r="SZ7" s="23">
        <f t="shared" si="224"/>
        <v>0</v>
      </c>
      <c r="TA7" s="23">
        <f t="shared" si="225"/>
        <v>8.6</v>
      </c>
      <c r="TB7" s="23">
        <f t="shared" si="226"/>
        <v>5.4</v>
      </c>
      <c r="TC7" s="23">
        <f t="shared" si="227"/>
        <v>9.1</v>
      </c>
      <c r="TD7" s="23">
        <f t="shared" si="228"/>
        <v>9.2350000000000012</v>
      </c>
      <c r="TE7" s="23">
        <f t="shared" si="229"/>
        <v>0.30000000000000004</v>
      </c>
      <c r="TF7" s="23">
        <f t="shared" si="230"/>
        <v>2.1</v>
      </c>
      <c r="TG7" s="23">
        <f t="shared" si="231"/>
        <v>1.3</v>
      </c>
      <c r="TH7" s="23">
        <f t="shared" si="232"/>
        <v>2.8</v>
      </c>
      <c r="TI7" s="23">
        <f t="shared" si="233"/>
        <v>2.5649999999999999</v>
      </c>
      <c r="TJ7" s="23">
        <f t="shared" si="234"/>
        <v>0</v>
      </c>
      <c r="TK7" s="28" t="s">
        <v>57</v>
      </c>
      <c r="TL7" s="41">
        <f t="shared" si="235"/>
        <v>16.149999999999999</v>
      </c>
      <c r="TM7" s="41">
        <f t="shared" si="236"/>
        <v>15.77</v>
      </c>
      <c r="TN7" s="41">
        <f t="shared" si="237"/>
        <v>55.72</v>
      </c>
      <c r="TO7" s="41">
        <f t="shared" si="238"/>
        <v>9.1</v>
      </c>
      <c r="TP7" s="41">
        <f t="shared" si="239"/>
        <v>9.2350000000000012</v>
      </c>
      <c r="TQ7" s="41">
        <f t="shared" si="240"/>
        <v>32.035000000000004</v>
      </c>
      <c r="TR7" s="41">
        <f t="shared" si="241"/>
        <v>55.72</v>
      </c>
      <c r="TS7" s="41">
        <f t="shared" si="242"/>
        <v>2.8</v>
      </c>
      <c r="TT7" s="41">
        <f t="shared" si="243"/>
        <v>2.5649999999999999</v>
      </c>
      <c r="TU7" s="41">
        <f t="shared" si="244"/>
        <v>8.7650000000000006</v>
      </c>
      <c r="TV7" s="41">
        <f t="shared" si="245"/>
        <v>64.484999999999999</v>
      </c>
    </row>
    <row r="8" spans="1:542" x14ac:dyDescent="0.2">
      <c r="A8" s="4" cm="1">
        <f t="array" ref="A8">IF(AND(H8&lt;&gt;"",H8&lt;&gt;"No DD"),SUMPRODUCT((H$4:H$24&lt;&gt;"")*(H$4:H$24&lt;&gt;"No DD")*(E$4:E$24&gt;E8))+1,IF(H8="No DD",SUMPRODUCT((H$4:H$24="No DD")*(E$4:E$24&gt;E8))+1+SUMPRODUCT((H$4:H$24&lt;&gt;"")*(H$4:H$24&lt;&gt;"No DD")),""))</f>
        <v>5</v>
      </c>
      <c r="B8" s="5" t="s">
        <v>90</v>
      </c>
      <c r="C8" s="4" t="s">
        <v>6</v>
      </c>
      <c r="D8" s="4">
        <v>2003</v>
      </c>
      <c r="E8" s="9">
        <f t="shared" si="0"/>
        <v>254.92002522100555</v>
      </c>
      <c r="F8" s="3" t="str">
        <f t="shared" si="1"/>
        <v>P</v>
      </c>
      <c r="G8" s="3" t="str">
        <f t="shared" si="2"/>
        <v>P</v>
      </c>
      <c r="H8" s="37" t="str">
        <f t="shared" si="3"/>
        <v>Worlds Team</v>
      </c>
      <c r="I8" s="3" t="str">
        <f t="shared" si="4"/>
        <v>P</v>
      </c>
      <c r="J8" s="8">
        <f>IF(COUNT(AQ8,AT8,BR8,BU8,CS8,CV8)&gt;0,LARGE((AQ8,AT8,BR8,BU8,CS8,CV8),1),0)</f>
        <v>55.540000000000006</v>
      </c>
      <c r="K8" s="8" t="str">
        <f t="shared" si="5"/>
        <v>2023 Elite Canada</v>
      </c>
      <c r="L8" s="8">
        <f>IF(COUNT(AQ8,AT8,BR8,BU8,CS8,CV8)&gt;1,LARGE((AQ8,AT8,BR8,BU8,CS8,CV8),2),0)</f>
        <v>54.879999999999995</v>
      </c>
      <c r="M8" s="8" t="str">
        <f t="shared" si="6"/>
        <v>2023 Nationals</v>
      </c>
      <c r="N8" s="8">
        <f>IF(COUNT(AQ8,AT8,BR8,BU8,CS8,CV8)&gt;2,LARGE((AQ8,AT8,BR8,BU8,CS8,CV8),3),0)</f>
        <v>54.08</v>
      </c>
      <c r="O8" s="8" t="str">
        <f t="shared" si="7"/>
        <v>2023 Domestic 3rd Trial</v>
      </c>
      <c r="P8" s="8">
        <f t="shared" si="8"/>
        <v>54.32</v>
      </c>
      <c r="Q8" s="8" t="str">
        <f t="shared" si="9"/>
        <v>2023 Elite Canada</v>
      </c>
      <c r="R8" s="8">
        <f t="shared" si="10"/>
        <v>16.399999999999999</v>
      </c>
      <c r="S8" s="8" t="str">
        <f t="shared" si="11"/>
        <v>2023 World Cup BUL (Oct 7)</v>
      </c>
      <c r="T8" s="8">
        <f t="shared" si="12"/>
        <v>16.989999999999998</v>
      </c>
      <c r="U8" s="8" t="str">
        <f t="shared" si="13"/>
        <v>2023 World Cup BUL (Oct 7)</v>
      </c>
      <c r="V8" s="8">
        <f t="shared" si="14"/>
        <v>2.7099999999999937</v>
      </c>
      <c r="W8" s="11" t="str">
        <f t="shared" si="15"/>
        <v>(Prelim)</v>
      </c>
      <c r="X8" s="8" t="str">
        <f t="shared" si="16"/>
        <v>2023 World Cup BUL (Oct 7)</v>
      </c>
      <c r="Y8" s="23">
        <v>14.6</v>
      </c>
      <c r="Z8" s="23">
        <v>9</v>
      </c>
      <c r="AA8" s="23">
        <v>14.8</v>
      </c>
      <c r="AB8" s="23">
        <v>15.62</v>
      </c>
      <c r="AC8" s="23">
        <v>0</v>
      </c>
      <c r="AD8" s="23">
        <v>14.9</v>
      </c>
      <c r="AE8" s="23">
        <v>9</v>
      </c>
      <c r="AF8" s="23">
        <v>15.8</v>
      </c>
      <c r="AG8" s="23">
        <v>15.84</v>
      </c>
      <c r="AH8" s="23">
        <v>0</v>
      </c>
      <c r="AI8" s="23">
        <v>14.7</v>
      </c>
      <c r="AJ8" s="23">
        <v>9</v>
      </c>
      <c r="AK8" s="23">
        <v>14.8</v>
      </c>
      <c r="AL8" s="23">
        <v>15.82</v>
      </c>
      <c r="AM8" s="23">
        <v>0</v>
      </c>
      <c r="AN8" s="28"/>
      <c r="AO8" s="39">
        <f t="shared" si="17"/>
        <v>14.8</v>
      </c>
      <c r="AP8" s="39">
        <f t="shared" si="18"/>
        <v>15.62</v>
      </c>
      <c r="AQ8" s="41">
        <f t="shared" si="19"/>
        <v>54.02</v>
      </c>
      <c r="AR8" s="41">
        <f t="shared" si="20"/>
        <v>15.8</v>
      </c>
      <c r="AS8" s="41">
        <f t="shared" si="21"/>
        <v>15.84</v>
      </c>
      <c r="AT8" s="41">
        <f t="shared" si="22"/>
        <v>55.540000000000006</v>
      </c>
      <c r="AU8" s="41">
        <f t="shared" si="23"/>
        <v>55.540000000000006</v>
      </c>
      <c r="AV8" s="41">
        <f t="shared" si="24"/>
        <v>14.8</v>
      </c>
      <c r="AW8" s="41">
        <f t="shared" si="25"/>
        <v>15.82</v>
      </c>
      <c r="AX8" s="41">
        <f t="shared" si="26"/>
        <v>54.32</v>
      </c>
      <c r="AY8" s="41">
        <f t="shared" si="27"/>
        <v>109.86000000000001</v>
      </c>
      <c r="AZ8" s="27">
        <v>14.1</v>
      </c>
      <c r="BA8" s="27">
        <v>9</v>
      </c>
      <c r="BB8" s="27">
        <v>15.4</v>
      </c>
      <c r="BC8" s="27">
        <v>16.38</v>
      </c>
      <c r="BD8" s="27">
        <v>0</v>
      </c>
      <c r="BE8" s="27">
        <v>1.8</v>
      </c>
      <c r="BF8" s="27">
        <v>0.9</v>
      </c>
      <c r="BG8" s="27">
        <v>2</v>
      </c>
      <c r="BH8" s="27">
        <v>1.75</v>
      </c>
      <c r="BI8" s="27">
        <v>0</v>
      </c>
      <c r="BJ8" s="27">
        <v>1.7</v>
      </c>
      <c r="BK8" s="27">
        <v>0.8</v>
      </c>
      <c r="BL8" s="27">
        <v>2</v>
      </c>
      <c r="BM8" s="27">
        <v>1.76</v>
      </c>
      <c r="BN8" s="27">
        <v>0</v>
      </c>
      <c r="BO8" s="29"/>
      <c r="BP8" s="40">
        <f t="shared" si="28"/>
        <v>15.4</v>
      </c>
      <c r="BQ8" s="40">
        <f t="shared" si="29"/>
        <v>16.38</v>
      </c>
      <c r="BR8" s="11">
        <f t="shared" si="30"/>
        <v>54.879999999999995</v>
      </c>
      <c r="BS8" s="11">
        <f t="shared" si="31"/>
        <v>2</v>
      </c>
      <c r="BT8" s="11">
        <f t="shared" si="32"/>
        <v>1.75</v>
      </c>
      <c r="BU8" s="11">
        <f t="shared" si="33"/>
        <v>6.45</v>
      </c>
      <c r="BV8" s="11">
        <f t="shared" si="34"/>
        <v>54.879999999999995</v>
      </c>
      <c r="BW8" s="11">
        <f t="shared" si="35"/>
        <v>2</v>
      </c>
      <c r="BX8" s="11">
        <f t="shared" si="36"/>
        <v>1.76</v>
      </c>
      <c r="BY8" s="11">
        <f t="shared" si="37"/>
        <v>6.26</v>
      </c>
      <c r="BZ8" s="11">
        <f t="shared" si="38"/>
        <v>61.139999999999993</v>
      </c>
      <c r="CA8" s="23">
        <v>10.3</v>
      </c>
      <c r="CB8" s="23">
        <v>6</v>
      </c>
      <c r="CC8" s="23">
        <v>10</v>
      </c>
      <c r="CD8" s="23">
        <v>11.73</v>
      </c>
      <c r="CE8" s="23">
        <v>0</v>
      </c>
      <c r="CF8" s="23">
        <v>13.9</v>
      </c>
      <c r="CG8" s="23">
        <v>9</v>
      </c>
      <c r="CH8" s="23">
        <v>14.7</v>
      </c>
      <c r="CI8" s="23">
        <v>16.48</v>
      </c>
      <c r="CJ8" s="23">
        <v>0</v>
      </c>
      <c r="CK8" s="23">
        <v>1.6</v>
      </c>
      <c r="CL8" s="23">
        <v>1</v>
      </c>
      <c r="CM8" s="23">
        <v>2</v>
      </c>
      <c r="CN8" s="23">
        <v>1.8</v>
      </c>
      <c r="CO8" s="23">
        <v>0</v>
      </c>
      <c r="CP8" s="28"/>
      <c r="CQ8" s="39">
        <f t="shared" si="39"/>
        <v>10</v>
      </c>
      <c r="CR8" s="39">
        <f t="shared" si="40"/>
        <v>11.73</v>
      </c>
      <c r="CS8" s="41">
        <f t="shared" si="41"/>
        <v>38.03</v>
      </c>
      <c r="CT8" s="41">
        <f t="shared" si="42"/>
        <v>14.7</v>
      </c>
      <c r="CU8" s="41">
        <f t="shared" si="43"/>
        <v>16.48</v>
      </c>
      <c r="CV8" s="41">
        <f t="shared" si="44"/>
        <v>54.08</v>
      </c>
      <c r="CW8" s="41">
        <f t="shared" si="45"/>
        <v>54.08</v>
      </c>
      <c r="CX8" s="41">
        <f t="shared" si="46"/>
        <v>2</v>
      </c>
      <c r="CY8" s="41">
        <f t="shared" si="47"/>
        <v>1.8</v>
      </c>
      <c r="CZ8" s="41">
        <f t="shared" si="48"/>
        <v>6.3999999999999995</v>
      </c>
      <c r="DA8" s="41">
        <f t="shared" si="49"/>
        <v>60.48</v>
      </c>
      <c r="DB8" s="52">
        <f t="shared" si="50"/>
        <v>2.7099999999999937</v>
      </c>
      <c r="DC8" s="52" t="str">
        <f t="shared" si="51"/>
        <v/>
      </c>
      <c r="DD8" s="17">
        <v>12.2</v>
      </c>
      <c r="DE8" s="17">
        <v>9.1</v>
      </c>
      <c r="DF8" s="17">
        <v>15</v>
      </c>
      <c r="DG8" s="17">
        <v>16.309999999999999</v>
      </c>
      <c r="DH8" s="17">
        <v>0</v>
      </c>
      <c r="DI8" s="17">
        <v>6</v>
      </c>
      <c r="DJ8" s="17">
        <v>3.4</v>
      </c>
      <c r="DK8" s="17">
        <v>6.5</v>
      </c>
      <c r="DL8" s="17">
        <v>6.7</v>
      </c>
      <c r="DM8" s="17">
        <v>0.2</v>
      </c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>
        <f t="shared" si="52"/>
        <v>15</v>
      </c>
      <c r="DY8" s="41">
        <f t="shared" si="53"/>
        <v>16.309999999999999</v>
      </c>
      <c r="DZ8" s="41">
        <f t="shared" si="54"/>
        <v>52.61</v>
      </c>
      <c r="EA8" s="41">
        <f t="shared" si="55"/>
        <v>6.5</v>
      </c>
      <c r="EB8" s="41">
        <f t="shared" si="56"/>
        <v>6.7</v>
      </c>
      <c r="EC8" s="41">
        <f t="shared" si="57"/>
        <v>22.400000000000002</v>
      </c>
      <c r="ED8" s="41">
        <f t="shared" si="58"/>
        <v>52.61</v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 t="str">
        <f t="shared" si="62"/>
        <v/>
      </c>
      <c r="EI8" s="41" t="str">
        <f t="shared" si="63"/>
        <v/>
      </c>
      <c r="EJ8" s="41" t="str">
        <f t="shared" si="64"/>
        <v/>
      </c>
      <c r="EK8" s="41">
        <f t="shared" si="65"/>
        <v>52.61</v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1" t="str">
        <f t="shared" si="80"/>
        <v/>
      </c>
      <c r="GO8" s="41" t="str">
        <f t="shared" si="81"/>
        <v/>
      </c>
      <c r="GP8" s="41" t="str">
        <f t="shared" si="82"/>
        <v/>
      </c>
      <c r="GQ8" s="41" t="str">
        <f t="shared" si="83"/>
        <v/>
      </c>
      <c r="GR8" s="41" t="str">
        <f t="shared" si="84"/>
        <v/>
      </c>
      <c r="GS8" s="41" t="str">
        <f t="shared" si="85"/>
        <v/>
      </c>
      <c r="GT8" s="41" t="str">
        <f t="shared" si="86"/>
        <v/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 t="str">
        <f t="shared" si="90"/>
        <v/>
      </c>
      <c r="GY8" s="41" t="str">
        <f t="shared" si="91"/>
        <v/>
      </c>
      <c r="GZ8" s="41" t="str">
        <f t="shared" si="92"/>
        <v/>
      </c>
      <c r="HA8" s="41" t="str">
        <f t="shared" si="93"/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 t="shared" si="108"/>
        <v/>
      </c>
      <c r="JE8" s="41" t="str">
        <f t="shared" si="109"/>
        <v/>
      </c>
      <c r="JF8" s="41" t="str">
        <f t="shared" si="110"/>
        <v/>
      </c>
      <c r="JG8" s="41" t="str">
        <f t="shared" si="111"/>
        <v/>
      </c>
      <c r="JH8" s="41" t="str">
        <f t="shared" si="112"/>
        <v/>
      </c>
      <c r="JI8" s="41" t="str">
        <f t="shared" si="113"/>
        <v/>
      </c>
      <c r="JJ8" s="41" t="str">
        <f t="shared" si="114"/>
        <v/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 t="str">
        <f t="shared" si="118"/>
        <v/>
      </c>
      <c r="JO8" s="41" t="str">
        <f t="shared" si="119"/>
        <v/>
      </c>
      <c r="JP8" s="41" t="str">
        <f t="shared" si="120"/>
        <v/>
      </c>
      <c r="JQ8" s="41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 t="str">
        <f t="shared" si="136"/>
        <v/>
      </c>
      <c r="LU8" s="41" t="str">
        <f t="shared" si="137"/>
        <v/>
      </c>
      <c r="LV8" s="41" t="str">
        <f t="shared" si="138"/>
        <v/>
      </c>
      <c r="LW8" s="41" t="str">
        <f t="shared" si="139"/>
        <v/>
      </c>
      <c r="LX8" s="41" t="str">
        <f t="shared" si="140"/>
        <v/>
      </c>
      <c r="LY8" s="41" t="str">
        <f t="shared" si="141"/>
        <v/>
      </c>
      <c r="LZ8" s="41" t="str">
        <f t="shared" si="142"/>
        <v/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 t="str">
        <f t="shared" si="149"/>
        <v/>
      </c>
      <c r="MH8" s="18">
        <v>14.5</v>
      </c>
      <c r="MI8" s="18">
        <v>9</v>
      </c>
      <c r="MJ8" s="18">
        <v>16.2</v>
      </c>
      <c r="MK8" s="18">
        <v>16.100000000000001</v>
      </c>
      <c r="ML8" s="18">
        <v>0</v>
      </c>
      <c r="MM8" s="18">
        <v>14.2</v>
      </c>
      <c r="MN8" s="18">
        <v>9.1999999999999993</v>
      </c>
      <c r="MO8" s="18">
        <v>16.399999999999999</v>
      </c>
      <c r="MP8" s="18">
        <v>16.989999999999998</v>
      </c>
      <c r="MQ8" s="18">
        <v>0</v>
      </c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>
        <f t="shared" si="150"/>
        <v>16.2</v>
      </c>
      <c r="NC8" s="11">
        <f t="shared" si="151"/>
        <v>16.100000000000001</v>
      </c>
      <c r="ND8" s="11">
        <f t="shared" si="152"/>
        <v>55.800000000000004</v>
      </c>
      <c r="NE8" s="11">
        <f t="shared" si="153"/>
        <v>16.399999999999999</v>
      </c>
      <c r="NF8" s="11">
        <f t="shared" si="154"/>
        <v>16.989999999999998</v>
      </c>
      <c r="NG8" s="11">
        <f t="shared" si="155"/>
        <v>56.789999999999992</v>
      </c>
      <c r="NH8" s="11">
        <f t="shared" si="156"/>
        <v>56.789999999999992</v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>
        <f t="shared" si="163"/>
        <v>56.789999999999992</v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 t="shared" si="164"/>
        <v/>
      </c>
      <c r="OK8" s="41" t="str">
        <f t="shared" si="165"/>
        <v/>
      </c>
      <c r="OL8" s="41" t="str">
        <f t="shared" si="166"/>
        <v/>
      </c>
      <c r="OM8" s="41" t="str">
        <f t="shared" si="167"/>
        <v/>
      </c>
      <c r="ON8" s="41" t="str">
        <f t="shared" si="168"/>
        <v/>
      </c>
      <c r="OO8" s="41" t="str">
        <f t="shared" si="169"/>
        <v/>
      </c>
      <c r="OP8" s="41" t="str">
        <f t="shared" si="170"/>
        <v/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 t="str">
        <f t="shared" si="174"/>
        <v/>
      </c>
      <c r="OU8" s="41" t="str">
        <f t="shared" si="175"/>
        <v/>
      </c>
      <c r="OV8" s="41" t="str">
        <f t="shared" si="176"/>
        <v/>
      </c>
      <c r="OW8" s="41" t="str">
        <f t="shared" si="177"/>
        <v/>
      </c>
      <c r="OX8" s="18">
        <v>13</v>
      </c>
      <c r="OY8" s="18">
        <v>9.1999999999999993</v>
      </c>
      <c r="OZ8" s="18">
        <v>15.8</v>
      </c>
      <c r="PA8" s="18">
        <v>16.510000000000002</v>
      </c>
      <c r="PB8" s="18">
        <v>0</v>
      </c>
      <c r="PC8" s="18">
        <v>13.5</v>
      </c>
      <c r="PD8" s="18">
        <v>8.9</v>
      </c>
      <c r="PE8" s="18">
        <v>15.3</v>
      </c>
      <c r="PF8" s="18">
        <v>16.62</v>
      </c>
      <c r="PG8" s="18">
        <v>0</v>
      </c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>
        <f t="shared" si="178"/>
        <v>15.8</v>
      </c>
      <c r="PS8" s="11">
        <f t="shared" si="179"/>
        <v>16.510000000000002</v>
      </c>
      <c r="PT8" s="11">
        <f t="shared" si="180"/>
        <v>54.510000000000005</v>
      </c>
      <c r="PU8" s="11">
        <f t="shared" si="181"/>
        <v>15.3</v>
      </c>
      <c r="PV8" s="11">
        <f t="shared" si="182"/>
        <v>16.62</v>
      </c>
      <c r="PW8" s="11">
        <f t="shared" si="183"/>
        <v>54.320000000000007</v>
      </c>
      <c r="PX8" s="11">
        <f t="shared" si="184"/>
        <v>54.510000000000005</v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>
        <f t="shared" si="191"/>
        <v>54.510000000000005</v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 t="shared" si="206"/>
        <v/>
      </c>
      <c r="SI8" s="11" t="str">
        <f t="shared" si="207"/>
        <v/>
      </c>
      <c r="SJ8" s="11" t="str">
        <f t="shared" si="208"/>
        <v/>
      </c>
      <c r="SK8" s="11" t="str">
        <f t="shared" si="209"/>
        <v/>
      </c>
      <c r="SL8" s="11" t="str">
        <f t="shared" si="210"/>
        <v/>
      </c>
      <c r="SM8" s="11" t="str">
        <f t="shared" si="211"/>
        <v/>
      </c>
      <c r="SN8" s="11" t="str">
        <f t="shared" si="212"/>
        <v/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 t="str">
        <f t="shared" si="216"/>
        <v/>
      </c>
      <c r="SS8" s="11" t="str">
        <f t="shared" si="217"/>
        <v/>
      </c>
      <c r="ST8" s="11" t="str">
        <f t="shared" si="218"/>
        <v/>
      </c>
      <c r="SU8" s="11" t="str">
        <f t="shared" si="219"/>
        <v/>
      </c>
      <c r="SV8" s="23">
        <f t="shared" si="220"/>
        <v>12.2</v>
      </c>
      <c r="SW8" s="23">
        <f t="shared" si="221"/>
        <v>7.5</v>
      </c>
      <c r="SX8" s="23">
        <f t="shared" si="222"/>
        <v>12.7</v>
      </c>
      <c r="SY8" s="23">
        <f t="shared" si="223"/>
        <v>14.055</v>
      </c>
      <c r="SZ8" s="23">
        <f t="shared" si="224"/>
        <v>0</v>
      </c>
      <c r="TA8" s="23">
        <f t="shared" si="225"/>
        <v>7.8500000000000005</v>
      </c>
      <c r="TB8" s="23">
        <f t="shared" si="226"/>
        <v>4.95</v>
      </c>
      <c r="TC8" s="23">
        <f t="shared" si="227"/>
        <v>8.35</v>
      </c>
      <c r="TD8" s="23">
        <f t="shared" si="228"/>
        <v>9.1150000000000002</v>
      </c>
      <c r="TE8" s="23">
        <f t="shared" si="229"/>
        <v>0</v>
      </c>
      <c r="TF8" s="23">
        <f t="shared" si="230"/>
        <v>1.65</v>
      </c>
      <c r="TG8" s="23">
        <f t="shared" si="231"/>
        <v>0.9</v>
      </c>
      <c r="TH8" s="23">
        <f t="shared" si="232"/>
        <v>2</v>
      </c>
      <c r="TI8" s="23">
        <f t="shared" si="233"/>
        <v>1.78</v>
      </c>
      <c r="TJ8" s="23">
        <f t="shared" si="234"/>
        <v>0</v>
      </c>
      <c r="TK8" s="28" t="s">
        <v>57</v>
      </c>
      <c r="TL8" s="41">
        <f t="shared" si="235"/>
        <v>12.7</v>
      </c>
      <c r="TM8" s="41">
        <f t="shared" si="236"/>
        <v>14.055</v>
      </c>
      <c r="TN8" s="41">
        <f t="shared" si="237"/>
        <v>46.454999999999998</v>
      </c>
      <c r="TO8" s="41">
        <f t="shared" si="238"/>
        <v>8.35</v>
      </c>
      <c r="TP8" s="41">
        <f t="shared" si="239"/>
        <v>9.1150000000000002</v>
      </c>
      <c r="TQ8" s="41">
        <f t="shared" si="240"/>
        <v>30.265000000000001</v>
      </c>
      <c r="TR8" s="41">
        <f t="shared" si="241"/>
        <v>46.454999999999998</v>
      </c>
      <c r="TS8" s="41">
        <f t="shared" si="242"/>
        <v>2</v>
      </c>
      <c r="TT8" s="41">
        <f t="shared" si="243"/>
        <v>1.78</v>
      </c>
      <c r="TU8" s="41">
        <f t="shared" si="244"/>
        <v>6.33</v>
      </c>
      <c r="TV8" s="41">
        <f t="shared" si="245"/>
        <v>52.784999999999997</v>
      </c>
    </row>
    <row r="9" spans="1:542" x14ac:dyDescent="0.2">
      <c r="A9" s="4" cm="1">
        <f t="array" ref="A9">IF(AND(H9&lt;&gt;"",H9&lt;&gt;"No DD"),SUMPRODUCT((H$4:H$24&lt;&gt;"")*(H$4:H$24&lt;&gt;"No DD")*(E$4:E$24&gt;E9))+1,IF(H9="No DD",SUMPRODUCT((H$4:H$24="No DD")*(E$4:E$24&gt;E9))+1+SUMPRODUCT((H$4:H$24&lt;&gt;"")*(H$4:H$24&lt;&gt;"No DD")),""))</f>
        <v>6</v>
      </c>
      <c r="B9" s="5" t="s">
        <v>203</v>
      </c>
      <c r="C9" s="4" t="s">
        <v>8</v>
      </c>
      <c r="D9" s="4">
        <v>2006</v>
      </c>
      <c r="E9" s="9">
        <f t="shared" si="0"/>
        <v>246.46002308000544</v>
      </c>
      <c r="F9" s="3" t="str">
        <f t="shared" si="1"/>
        <v/>
      </c>
      <c r="G9" s="3" t="str">
        <f t="shared" si="2"/>
        <v>P</v>
      </c>
      <c r="H9" s="37" t="str">
        <f t="shared" si="3"/>
        <v>No DD</v>
      </c>
      <c r="I9" s="3" t="str">
        <f t="shared" si="4"/>
        <v/>
      </c>
      <c r="J9" s="8">
        <f>IF(COUNT(AQ9,AT9,BR9,BU9,CS9,CV9)&gt;0,LARGE((AQ9,AT9,BR9,BU9,CS9,CV9),1),0)</f>
        <v>54.68</v>
      </c>
      <c r="K9" s="8" t="str">
        <f t="shared" si="5"/>
        <v>2023 Elite Canada</v>
      </c>
      <c r="L9" s="8">
        <f>IF(COUNT(AQ9,AT9,BR9,BU9,CS9,CV9)&gt;1,LARGE((AQ9,AT9,BR9,BU9,CS9,CV9),2),0)</f>
        <v>54.089999999999996</v>
      </c>
      <c r="M9" s="8" t="str">
        <f t="shared" si="6"/>
        <v>2023 Nationals</v>
      </c>
      <c r="N9" s="8">
        <f>IF(COUNT(AQ9,AT9,BR9,BU9,CS9,CV9)&gt;2,LARGE((AQ9,AT9,BR9,BU9,CS9,CV9),3),0)</f>
        <v>37.56</v>
      </c>
      <c r="O9" s="8" t="str">
        <f t="shared" si="7"/>
        <v>2023 Nationals</v>
      </c>
      <c r="P9" s="8">
        <f t="shared" si="8"/>
        <v>53.35</v>
      </c>
      <c r="Q9" s="8" t="str">
        <f t="shared" si="9"/>
        <v>2023 Nationals</v>
      </c>
      <c r="R9" s="8">
        <f t="shared" si="10"/>
        <v>15.4</v>
      </c>
      <c r="S9" s="8" t="str">
        <f t="shared" si="11"/>
        <v>2023 WAGC (Nov 18)</v>
      </c>
      <c r="T9" s="8">
        <f t="shared" si="12"/>
        <v>15.72</v>
      </c>
      <c r="U9" s="8" t="str">
        <f t="shared" si="13"/>
        <v>2023 WAGC (Nov 18)</v>
      </c>
      <c r="V9" s="8">
        <f t="shared" si="14"/>
        <v>15.659999999999997</v>
      </c>
      <c r="W9" s="11" t="str">
        <f t="shared" si="15"/>
        <v>(Prelim)</v>
      </c>
      <c r="X9" s="8" t="str">
        <f t="shared" si="16"/>
        <v>2023 WAGC (Nov 18)</v>
      </c>
      <c r="Y9" s="23">
        <v>5.0999999999999996</v>
      </c>
      <c r="Z9" s="23">
        <v>3.4</v>
      </c>
      <c r="AA9" s="23">
        <v>6.1</v>
      </c>
      <c r="AB9" s="23">
        <v>6.49</v>
      </c>
      <c r="AC9" s="23">
        <v>0</v>
      </c>
      <c r="AD9" s="23">
        <v>15.7</v>
      </c>
      <c r="AE9" s="23">
        <v>9</v>
      </c>
      <c r="AF9" s="23">
        <v>14.4</v>
      </c>
      <c r="AG9" s="23">
        <v>15.58</v>
      </c>
      <c r="AH9" s="23">
        <v>0</v>
      </c>
      <c r="AI9" s="23">
        <v>2.8</v>
      </c>
      <c r="AJ9" s="23">
        <v>1.7</v>
      </c>
      <c r="AK9" s="23">
        <v>3.2</v>
      </c>
      <c r="AL9" s="23">
        <v>3.37</v>
      </c>
      <c r="AM9" s="23">
        <v>0</v>
      </c>
      <c r="AN9" s="28"/>
      <c r="AO9" s="39">
        <f t="shared" si="17"/>
        <v>6.1</v>
      </c>
      <c r="AP9" s="39">
        <f t="shared" si="18"/>
        <v>6.49</v>
      </c>
      <c r="AQ9" s="41">
        <f t="shared" si="19"/>
        <v>21.09</v>
      </c>
      <c r="AR9" s="41">
        <f t="shared" si="20"/>
        <v>14.4</v>
      </c>
      <c r="AS9" s="41">
        <f t="shared" si="21"/>
        <v>15.58</v>
      </c>
      <c r="AT9" s="41">
        <f t="shared" si="22"/>
        <v>54.68</v>
      </c>
      <c r="AU9" s="41">
        <f t="shared" si="23"/>
        <v>54.68</v>
      </c>
      <c r="AV9" s="41">
        <f t="shared" si="24"/>
        <v>3.2</v>
      </c>
      <c r="AW9" s="41">
        <f t="shared" si="25"/>
        <v>3.37</v>
      </c>
      <c r="AX9" s="41">
        <f t="shared" si="26"/>
        <v>11.07</v>
      </c>
      <c r="AY9" s="41">
        <f t="shared" si="27"/>
        <v>65.75</v>
      </c>
      <c r="AZ9" s="27">
        <v>16.3</v>
      </c>
      <c r="BA9" s="27">
        <v>9.1</v>
      </c>
      <c r="BB9" s="27">
        <v>13.5</v>
      </c>
      <c r="BC9" s="27">
        <v>15.19</v>
      </c>
      <c r="BD9" s="27">
        <v>0</v>
      </c>
      <c r="BE9" s="27">
        <v>10.8</v>
      </c>
      <c r="BF9" s="27">
        <v>6.4</v>
      </c>
      <c r="BG9" s="27">
        <v>9.6</v>
      </c>
      <c r="BH9" s="27">
        <v>10.76</v>
      </c>
      <c r="BI9" s="27">
        <v>0</v>
      </c>
      <c r="BJ9" s="27">
        <v>16</v>
      </c>
      <c r="BK9" s="27">
        <v>9.1</v>
      </c>
      <c r="BL9" s="27">
        <v>13.5</v>
      </c>
      <c r="BM9" s="27">
        <v>14.75</v>
      </c>
      <c r="BN9" s="27">
        <v>0</v>
      </c>
      <c r="BO9" s="29"/>
      <c r="BP9" s="40">
        <f t="shared" si="28"/>
        <v>13.5</v>
      </c>
      <c r="BQ9" s="40">
        <f t="shared" si="29"/>
        <v>15.19</v>
      </c>
      <c r="BR9" s="11">
        <f t="shared" si="30"/>
        <v>54.089999999999996</v>
      </c>
      <c r="BS9" s="11">
        <f t="shared" si="31"/>
        <v>9.6</v>
      </c>
      <c r="BT9" s="11">
        <f t="shared" si="32"/>
        <v>10.76</v>
      </c>
      <c r="BU9" s="11">
        <f t="shared" si="33"/>
        <v>37.56</v>
      </c>
      <c r="BV9" s="11">
        <f t="shared" si="34"/>
        <v>54.089999999999996</v>
      </c>
      <c r="BW9" s="11">
        <f t="shared" si="35"/>
        <v>13.5</v>
      </c>
      <c r="BX9" s="11">
        <f t="shared" si="36"/>
        <v>14.75</v>
      </c>
      <c r="BY9" s="11">
        <f t="shared" si="37"/>
        <v>53.35</v>
      </c>
      <c r="BZ9" s="11">
        <f t="shared" si="38"/>
        <v>107.44</v>
      </c>
      <c r="CA9" s="23">
        <v>4.5999999999999996</v>
      </c>
      <c r="CB9" s="23">
        <v>2.5</v>
      </c>
      <c r="CC9" s="23">
        <v>4.9000000000000004</v>
      </c>
      <c r="CD9" s="23">
        <v>5.0999999999999996</v>
      </c>
      <c r="CE9" s="23">
        <v>0</v>
      </c>
      <c r="CF9" s="23">
        <v>6.1</v>
      </c>
      <c r="CG9" s="23">
        <v>3.6</v>
      </c>
      <c r="CH9" s="23">
        <v>6.5</v>
      </c>
      <c r="CI9" s="23">
        <v>6.78</v>
      </c>
      <c r="CJ9" s="23">
        <v>0</v>
      </c>
      <c r="CK9" s="23"/>
      <c r="CL9" s="23"/>
      <c r="CM9" s="23"/>
      <c r="CN9" s="23"/>
      <c r="CO9" s="23"/>
      <c r="CP9" s="28"/>
      <c r="CQ9" s="39">
        <f t="shared" si="39"/>
        <v>4.9000000000000004</v>
      </c>
      <c r="CR9" s="39">
        <f t="shared" si="40"/>
        <v>5.0999999999999996</v>
      </c>
      <c r="CS9" s="41">
        <f t="shared" si="41"/>
        <v>17.100000000000001</v>
      </c>
      <c r="CT9" s="41">
        <f t="shared" si="42"/>
        <v>6.5</v>
      </c>
      <c r="CU9" s="41">
        <f t="shared" si="43"/>
        <v>6.78</v>
      </c>
      <c r="CV9" s="41">
        <f t="shared" si="44"/>
        <v>22.98</v>
      </c>
      <c r="CW9" s="41">
        <f t="shared" si="45"/>
        <v>22.98</v>
      </c>
      <c r="CX9" s="41" t="str">
        <f t="shared" si="46"/>
        <v/>
      </c>
      <c r="CY9" s="41" t="str">
        <f t="shared" si="47"/>
        <v/>
      </c>
      <c r="CZ9" s="41" t="str">
        <f t="shared" si="48"/>
        <v/>
      </c>
      <c r="DA9" s="41">
        <f t="shared" si="49"/>
        <v>22.98</v>
      </c>
      <c r="DB9" s="52">
        <f t="shared" si="50"/>
        <v>15.659999999999997</v>
      </c>
      <c r="DC9" s="52" t="str">
        <f t="shared" si="51"/>
        <v/>
      </c>
      <c r="DD9" s="17"/>
      <c r="DE9" s="17"/>
      <c r="DF9" s="17"/>
      <c r="DG9" s="17"/>
      <c r="DH9" s="17"/>
      <c r="DI9" s="17">
        <v>14.3</v>
      </c>
      <c r="DJ9" s="17">
        <v>8.8000000000000007</v>
      </c>
      <c r="DK9" s="17">
        <v>13.5</v>
      </c>
      <c r="DL9" s="17">
        <v>14.65</v>
      </c>
      <c r="DM9" s="17">
        <v>0.2</v>
      </c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>
        <f t="shared" si="55"/>
        <v>13.5</v>
      </c>
      <c r="EB9" s="41">
        <f t="shared" si="56"/>
        <v>14.65</v>
      </c>
      <c r="EC9" s="41">
        <f t="shared" si="57"/>
        <v>51.05</v>
      </c>
      <c r="ED9" s="41">
        <f t="shared" si="58"/>
        <v>51.05</v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>
        <f t="shared" si="65"/>
        <v>51.05</v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 t="shared" si="164"/>
        <v/>
      </c>
      <c r="OK9" s="41" t="str">
        <f t="shared" si="165"/>
        <v/>
      </c>
      <c r="OL9" s="41" t="str">
        <f t="shared" si="166"/>
        <v/>
      </c>
      <c r="OM9" s="41" t="str">
        <f t="shared" si="167"/>
        <v/>
      </c>
      <c r="ON9" s="41" t="str">
        <f t="shared" si="168"/>
        <v/>
      </c>
      <c r="OO9" s="41" t="str">
        <f t="shared" si="169"/>
        <v/>
      </c>
      <c r="OP9" s="41" t="str">
        <f t="shared" si="170"/>
        <v/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>
        <v>12.9</v>
      </c>
      <c r="RO9" s="18">
        <v>9.1999999999999993</v>
      </c>
      <c r="RP9" s="18">
        <v>15.4</v>
      </c>
      <c r="RQ9" s="18">
        <v>15.72</v>
      </c>
      <c r="RR9" s="18">
        <v>0</v>
      </c>
      <c r="RS9" s="18">
        <v>1.5</v>
      </c>
      <c r="RT9" s="18">
        <v>1</v>
      </c>
      <c r="RU9" s="18">
        <v>2</v>
      </c>
      <c r="RV9" s="18">
        <v>1.73</v>
      </c>
      <c r="RW9" s="18">
        <v>0</v>
      </c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>
        <f t="shared" si="206"/>
        <v>15.4</v>
      </c>
      <c r="SI9" s="11">
        <f t="shared" si="207"/>
        <v>15.72</v>
      </c>
      <c r="SJ9" s="11">
        <f t="shared" si="208"/>
        <v>53.22</v>
      </c>
      <c r="SK9" s="11">
        <f t="shared" si="209"/>
        <v>2</v>
      </c>
      <c r="SL9" s="11">
        <f t="shared" si="210"/>
        <v>1.73</v>
      </c>
      <c r="SM9" s="11">
        <f t="shared" si="211"/>
        <v>6.23</v>
      </c>
      <c r="SN9" s="11">
        <f t="shared" si="212"/>
        <v>53.22</v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>
        <f t="shared" si="219"/>
        <v>53.22</v>
      </c>
      <c r="SV9" s="23">
        <f t="shared" si="220"/>
        <v>10.45</v>
      </c>
      <c r="SW9" s="23">
        <f t="shared" si="221"/>
        <v>5.8</v>
      </c>
      <c r="SX9" s="23">
        <f t="shared" si="222"/>
        <v>9.1999999999999993</v>
      </c>
      <c r="SY9" s="23">
        <f t="shared" si="223"/>
        <v>10.145</v>
      </c>
      <c r="SZ9" s="23">
        <f t="shared" si="224"/>
        <v>0</v>
      </c>
      <c r="TA9" s="23">
        <f t="shared" si="225"/>
        <v>8.4499999999999993</v>
      </c>
      <c r="TB9" s="23">
        <f t="shared" si="226"/>
        <v>5</v>
      </c>
      <c r="TC9" s="23">
        <f t="shared" si="227"/>
        <v>8.0500000000000007</v>
      </c>
      <c r="TD9" s="23">
        <f t="shared" si="228"/>
        <v>8.77</v>
      </c>
      <c r="TE9" s="23">
        <f t="shared" si="229"/>
        <v>0</v>
      </c>
      <c r="TF9" s="23">
        <f t="shared" si="230"/>
        <v>8</v>
      </c>
      <c r="TG9" s="23">
        <f t="shared" si="231"/>
        <v>4.55</v>
      </c>
      <c r="TH9" s="23">
        <f t="shared" si="232"/>
        <v>6.75</v>
      </c>
      <c r="TI9" s="23">
        <f t="shared" si="233"/>
        <v>7.375</v>
      </c>
      <c r="TJ9" s="23">
        <f t="shared" si="234"/>
        <v>0</v>
      </c>
      <c r="TK9" s="28" t="s">
        <v>57</v>
      </c>
      <c r="TL9" s="41">
        <f t="shared" si="235"/>
        <v>9.1999999999999993</v>
      </c>
      <c r="TM9" s="41">
        <f t="shared" si="236"/>
        <v>10.145</v>
      </c>
      <c r="TN9" s="41">
        <f t="shared" si="237"/>
        <v>35.594999999999999</v>
      </c>
      <c r="TO9" s="41">
        <f t="shared" si="238"/>
        <v>8.0500000000000007</v>
      </c>
      <c r="TP9" s="41">
        <f t="shared" si="239"/>
        <v>8.77</v>
      </c>
      <c r="TQ9" s="41">
        <f t="shared" si="240"/>
        <v>30.27</v>
      </c>
      <c r="TR9" s="41">
        <f t="shared" si="241"/>
        <v>35.594999999999999</v>
      </c>
      <c r="TS9" s="41">
        <f t="shared" si="242"/>
        <v>6.75</v>
      </c>
      <c r="TT9" s="41">
        <f t="shared" si="243"/>
        <v>7.375</v>
      </c>
      <c r="TU9" s="41">
        <f t="shared" si="244"/>
        <v>26.675000000000001</v>
      </c>
      <c r="TV9" s="41">
        <f t="shared" si="245"/>
        <v>62.269999999999996</v>
      </c>
    </row>
    <row r="10" spans="1:542" x14ac:dyDescent="0.2">
      <c r="A10" s="4" cm="1">
        <f t="array" ref="A10">IF(AND(H10&lt;&gt;"",H10&lt;&gt;"No DD"),SUMPRODUCT((H$4:H$24&lt;&gt;"")*(H$4:H$24&lt;&gt;"No DD")*(E$4:E$24&gt;E10))+1,IF(H10="No DD",SUMPRODUCT((H$4:H$24="No DD")*(E$4:E$24&gt;E10))+1+SUMPRODUCT((H$4:H$24&lt;&gt;"")*(H$4:H$24&lt;&gt;"No DD")),""))</f>
        <v>7</v>
      </c>
      <c r="B10" s="5" t="s">
        <v>55</v>
      </c>
      <c r="C10" s="4" t="s">
        <v>5</v>
      </c>
      <c r="D10" s="4">
        <v>1999</v>
      </c>
      <c r="E10" s="9">
        <f t="shared" si="0"/>
        <v>244.78252447825534</v>
      </c>
      <c r="F10" s="3" t="str">
        <f t="shared" si="1"/>
        <v/>
      </c>
      <c r="G10" s="3" t="str">
        <f t="shared" si="2"/>
        <v>P</v>
      </c>
      <c r="H10" s="37" t="str">
        <f t="shared" si="3"/>
        <v>No DD</v>
      </c>
      <c r="I10" s="3" t="str">
        <f t="shared" si="4"/>
        <v/>
      </c>
      <c r="J10" s="8">
        <f>IF(COUNT(AQ10,AT10,BR10,BU10,CS10,CV10)&gt;0,LARGE((AQ10,AT10,BR10,BU10,CS10,CV10),1),0)</f>
        <v>53.349999999999994</v>
      </c>
      <c r="K10" s="8" t="str">
        <f t="shared" si="5"/>
        <v>2023 Elite Canada</v>
      </c>
      <c r="L10" s="8">
        <f>IF(COUNT(AQ10,AT10,BR10,BU10,CS10,CV10)&gt;1,LARGE((AQ10,AT10,BR10,BU10,CS10,CV10),2),0)</f>
        <v>53.29</v>
      </c>
      <c r="M10" s="8" t="str">
        <f t="shared" si="6"/>
        <v>2023 Elite Canada</v>
      </c>
      <c r="N10" s="8">
        <f>IF(COUNT(AQ10,AT10,BR10,BU10,CS10,CV10)&gt;2,LARGE((AQ10,AT10,BR10,BU10,CS10,CV10),3),0)</f>
        <v>53.182500000000005</v>
      </c>
      <c r="O10" s="8" t="str">
        <f t="shared" si="7"/>
        <v>2023 Nationals</v>
      </c>
      <c r="P10" s="8">
        <f t="shared" si="8"/>
        <v>54.61</v>
      </c>
      <c r="Q10" s="8" t="str">
        <f t="shared" si="9"/>
        <v>2023 Elite Canada</v>
      </c>
      <c r="R10" s="8">
        <f t="shared" si="10"/>
        <v>15.4</v>
      </c>
      <c r="S10" s="8" t="str">
        <f t="shared" si="11"/>
        <v>2023 Elite Canada</v>
      </c>
      <c r="T10" s="8">
        <f t="shared" si="12"/>
        <v>14.95</v>
      </c>
      <c r="U10" s="8" t="str">
        <f t="shared" si="13"/>
        <v>2023 Elite Canada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3">
        <v>14.7</v>
      </c>
      <c r="Z10" s="23">
        <v>9</v>
      </c>
      <c r="AA10" s="23">
        <v>14.8</v>
      </c>
      <c r="AB10" s="23">
        <v>14.79</v>
      </c>
      <c r="AC10" s="23">
        <v>0</v>
      </c>
      <c r="AD10" s="23">
        <v>14.1</v>
      </c>
      <c r="AE10" s="23">
        <v>8.9</v>
      </c>
      <c r="AF10" s="23">
        <v>15.4</v>
      </c>
      <c r="AG10" s="23">
        <v>14.95</v>
      </c>
      <c r="AH10" s="23">
        <v>0</v>
      </c>
      <c r="AI10" s="23">
        <v>15.7</v>
      </c>
      <c r="AJ10" s="23">
        <v>9.6</v>
      </c>
      <c r="AK10" s="23">
        <v>14</v>
      </c>
      <c r="AL10" s="23">
        <v>15.31</v>
      </c>
      <c r="AM10" s="23">
        <v>0</v>
      </c>
      <c r="AN10" s="28"/>
      <c r="AO10" s="39">
        <f t="shared" si="17"/>
        <v>14.8</v>
      </c>
      <c r="AP10" s="39">
        <f t="shared" si="18"/>
        <v>14.79</v>
      </c>
      <c r="AQ10" s="41">
        <f t="shared" si="19"/>
        <v>53.29</v>
      </c>
      <c r="AR10" s="41">
        <f t="shared" si="20"/>
        <v>15.4</v>
      </c>
      <c r="AS10" s="41">
        <f t="shared" si="21"/>
        <v>14.95</v>
      </c>
      <c r="AT10" s="41">
        <f t="shared" si="22"/>
        <v>53.349999999999994</v>
      </c>
      <c r="AU10" s="41">
        <f t="shared" si="23"/>
        <v>53.349999999999994</v>
      </c>
      <c r="AV10" s="41">
        <f t="shared" si="24"/>
        <v>14</v>
      </c>
      <c r="AW10" s="41">
        <f t="shared" si="25"/>
        <v>15.31</v>
      </c>
      <c r="AX10" s="41">
        <f t="shared" si="26"/>
        <v>54.61</v>
      </c>
      <c r="AY10" s="41">
        <f t="shared" si="27"/>
        <v>107.96</v>
      </c>
      <c r="AZ10" s="27">
        <v>14.125</v>
      </c>
      <c r="BA10" s="27">
        <v>9</v>
      </c>
      <c r="BB10" s="27">
        <v>14.950000000000001</v>
      </c>
      <c r="BC10" s="27">
        <v>15.1075</v>
      </c>
      <c r="BD10" s="27">
        <v>0</v>
      </c>
      <c r="BE10" s="27">
        <v>13.45</v>
      </c>
      <c r="BF10" s="27">
        <v>8.3500000000000014</v>
      </c>
      <c r="BG10" s="27">
        <v>13.600000000000001</v>
      </c>
      <c r="BH10" s="27">
        <v>15.014999999999999</v>
      </c>
      <c r="BI10" s="27">
        <v>0.2</v>
      </c>
      <c r="BJ10" s="27">
        <v>13.85</v>
      </c>
      <c r="BK10" s="27">
        <v>8.4250000000000007</v>
      </c>
      <c r="BL10" s="27">
        <v>12.9</v>
      </c>
      <c r="BM10" s="27">
        <v>13.995000000000001</v>
      </c>
      <c r="BN10" s="27">
        <v>0</v>
      </c>
      <c r="BO10" s="29" t="s">
        <v>57</v>
      </c>
      <c r="BP10" s="40">
        <f t="shared" si="28"/>
        <v>14.950000000000001</v>
      </c>
      <c r="BQ10" s="40">
        <f t="shared" si="29"/>
        <v>15.1075</v>
      </c>
      <c r="BR10" s="11">
        <f t="shared" si="30"/>
        <v>53.182500000000005</v>
      </c>
      <c r="BS10" s="11">
        <f t="shared" si="31"/>
        <v>13.600000000000001</v>
      </c>
      <c r="BT10" s="11">
        <f t="shared" si="32"/>
        <v>15.014999999999999</v>
      </c>
      <c r="BU10" s="11">
        <f t="shared" si="33"/>
        <v>50.215000000000003</v>
      </c>
      <c r="BV10" s="11">
        <f t="shared" si="34"/>
        <v>53.182500000000005</v>
      </c>
      <c r="BW10" s="11">
        <f t="shared" si="35"/>
        <v>12.9</v>
      </c>
      <c r="BX10" s="11">
        <f t="shared" si="36"/>
        <v>13.995000000000001</v>
      </c>
      <c r="BY10" s="11">
        <f t="shared" si="37"/>
        <v>49.17</v>
      </c>
      <c r="BZ10" s="11">
        <f t="shared" si="38"/>
        <v>102.35250000000001</v>
      </c>
      <c r="CA10" s="23"/>
      <c r="CB10" s="23"/>
      <c r="CC10" s="23"/>
      <c r="CD10" s="23"/>
      <c r="CE10" s="23"/>
      <c r="CF10" s="23"/>
      <c r="CG10" s="23"/>
      <c r="CH10" s="23"/>
      <c r="CI10" s="23"/>
      <c r="CJ10" s="23"/>
      <c r="CK10" s="23"/>
      <c r="CL10" s="23"/>
      <c r="CM10" s="23"/>
      <c r="CN10" s="23"/>
      <c r="CO10" s="23"/>
      <c r="CP10" s="28"/>
      <c r="CQ10" s="39" t="str">
        <f t="shared" si="39"/>
        <v/>
      </c>
      <c r="CR10" s="39" t="str">
        <f t="shared" si="40"/>
        <v/>
      </c>
      <c r="CS10" s="41" t="str">
        <f t="shared" si="41"/>
        <v/>
      </c>
      <c r="CT10" s="41" t="str">
        <f t="shared" si="42"/>
        <v/>
      </c>
      <c r="CU10" s="41" t="str">
        <f t="shared" si="43"/>
        <v/>
      </c>
      <c r="CV10" s="41" t="str">
        <f t="shared" si="44"/>
        <v/>
      </c>
      <c r="CW10" s="41" t="str">
        <f t="shared" si="45"/>
        <v/>
      </c>
      <c r="CX10" s="41" t="str">
        <f t="shared" si="46"/>
        <v/>
      </c>
      <c r="CY10" s="41" t="str">
        <f t="shared" si="47"/>
        <v/>
      </c>
      <c r="CZ10" s="41" t="str">
        <f t="shared" si="48"/>
        <v/>
      </c>
      <c r="DA10" s="41" t="str">
        <f t="shared" si="49"/>
        <v/>
      </c>
      <c r="DB10" s="52" t="str">
        <f t="shared" si="50"/>
        <v/>
      </c>
      <c r="DC10" s="52" t="str">
        <f t="shared" si="51"/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 t="str">
        <f t="shared" si="55"/>
        <v/>
      </c>
      <c r="EB10" s="41" t="str">
        <f t="shared" si="56"/>
        <v/>
      </c>
      <c r="EC10" s="41" t="str">
        <f t="shared" si="57"/>
        <v/>
      </c>
      <c r="ED10" s="41" t="str">
        <f t="shared" si="58"/>
        <v/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 t="str">
        <f t="shared" si="65"/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 t="str">
        <f t="shared" si="83"/>
        <v/>
      </c>
      <c r="GR10" s="41" t="str">
        <f t="shared" si="84"/>
        <v/>
      </c>
      <c r="GS10" s="41" t="str">
        <f t="shared" si="85"/>
        <v/>
      </c>
      <c r="GT10" s="41" t="str">
        <f t="shared" si="86"/>
        <v/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 t="shared" si="164"/>
        <v/>
      </c>
      <c r="OK10" s="41" t="str">
        <f t="shared" si="165"/>
        <v/>
      </c>
      <c r="OL10" s="41" t="str">
        <f t="shared" si="166"/>
        <v/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 t="str">
        <f t="shared" si="170"/>
        <v/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 t="shared" si="206"/>
        <v/>
      </c>
      <c r="SI10" s="11" t="str">
        <f t="shared" si="207"/>
        <v/>
      </c>
      <c r="SJ10" s="11" t="str">
        <f t="shared" si="208"/>
        <v/>
      </c>
      <c r="SK10" s="11" t="str">
        <f t="shared" si="209"/>
        <v/>
      </c>
      <c r="SL10" s="11" t="str">
        <f t="shared" si="210"/>
        <v/>
      </c>
      <c r="SM10" s="11" t="str">
        <f t="shared" si="211"/>
        <v/>
      </c>
      <c r="SN10" s="11" t="str">
        <f t="shared" si="212"/>
        <v/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 t="str">
        <f t="shared" si="219"/>
        <v/>
      </c>
      <c r="SV10" s="23">
        <f t="shared" si="220"/>
        <v>7.0625</v>
      </c>
      <c r="SW10" s="23">
        <f t="shared" si="221"/>
        <v>4.5</v>
      </c>
      <c r="SX10" s="23">
        <f t="shared" si="222"/>
        <v>7.4750000000000005</v>
      </c>
      <c r="SY10" s="23">
        <f t="shared" si="223"/>
        <v>7.55375</v>
      </c>
      <c r="SZ10" s="23">
        <f t="shared" si="224"/>
        <v>0</v>
      </c>
      <c r="TA10" s="23">
        <f t="shared" si="225"/>
        <v>6.7249999999999996</v>
      </c>
      <c r="TB10" s="23">
        <f t="shared" si="226"/>
        <v>4.1750000000000007</v>
      </c>
      <c r="TC10" s="23">
        <f t="shared" si="227"/>
        <v>6.8000000000000007</v>
      </c>
      <c r="TD10" s="23">
        <f t="shared" si="228"/>
        <v>7.5074999999999994</v>
      </c>
      <c r="TE10" s="23">
        <f t="shared" si="229"/>
        <v>0.1</v>
      </c>
      <c r="TF10" s="23">
        <f t="shared" si="230"/>
        <v>6.9249999999999998</v>
      </c>
      <c r="TG10" s="23">
        <f t="shared" si="231"/>
        <v>4.2125000000000004</v>
      </c>
      <c r="TH10" s="23">
        <f t="shared" si="232"/>
        <v>6.45</v>
      </c>
      <c r="TI10" s="23">
        <f t="shared" si="233"/>
        <v>6.9975000000000005</v>
      </c>
      <c r="TJ10" s="23">
        <f t="shared" si="234"/>
        <v>0</v>
      </c>
      <c r="TK10" s="28" t="s">
        <v>57</v>
      </c>
      <c r="TL10" s="41">
        <f t="shared" si="235"/>
        <v>7.4750000000000005</v>
      </c>
      <c r="TM10" s="41">
        <f t="shared" si="236"/>
        <v>7.55375</v>
      </c>
      <c r="TN10" s="41">
        <f t="shared" si="237"/>
        <v>26.591250000000002</v>
      </c>
      <c r="TO10" s="41">
        <f t="shared" si="238"/>
        <v>6.8000000000000007</v>
      </c>
      <c r="TP10" s="41">
        <f t="shared" si="239"/>
        <v>7.5074999999999994</v>
      </c>
      <c r="TQ10" s="41">
        <f t="shared" si="240"/>
        <v>25.107500000000002</v>
      </c>
      <c r="TR10" s="41">
        <f t="shared" si="241"/>
        <v>26.591250000000002</v>
      </c>
      <c r="TS10" s="41">
        <f t="shared" si="242"/>
        <v>6.45</v>
      </c>
      <c r="TT10" s="41">
        <f t="shared" si="243"/>
        <v>6.9975000000000005</v>
      </c>
      <c r="TU10" s="41">
        <f t="shared" si="244"/>
        <v>24.585000000000001</v>
      </c>
      <c r="TV10" s="41">
        <f t="shared" si="245"/>
        <v>51.176250000000003</v>
      </c>
    </row>
    <row r="11" spans="1:542" x14ac:dyDescent="0.2">
      <c r="A11" s="4" t="str" cm="1">
        <f t="array" ref="A11">IF(AND(H11&lt;&gt;"",H11&lt;&gt;"No DD"),SUMPRODUCT((H$4:H$24&lt;&gt;"")*(H$4:H$24&lt;&gt;"No DD")*(E$4:E$24&gt;E11))+1,IF(H11="No DD",SUMPRODUCT((H$4:H$24="No DD")*(E$4:E$24&gt;E11))+1+SUMPRODUCT((H$4:H$24&lt;&gt;"")*(H$4:H$24&lt;&gt;"No DD")),""))</f>
        <v/>
      </c>
      <c r="B11" s="5" t="s">
        <v>95</v>
      </c>
      <c r="C11" s="4" t="s">
        <v>8</v>
      </c>
      <c r="D11" s="4">
        <v>2002</v>
      </c>
      <c r="E11" s="9">
        <f t="shared" si="0"/>
        <v>241.93002419300541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IF(COUNT(AQ11,AT11,BR11,BU11,CS11,CV11)&gt;0,LARGE((AQ11,AT11,BR11,BU11,CS11,CV11),1),0)</f>
        <v>53.97</v>
      </c>
      <c r="K11" s="8" t="str">
        <f t="shared" si="5"/>
        <v>2023 Nationals</v>
      </c>
      <c r="L11" s="8">
        <f>IF(COUNT(AQ11,AT11,BR11,BU11,CS11,CV11)&gt;1,LARGE((AQ11,AT11,BR11,BU11,CS11,CV11),2),0)</f>
        <v>52.44</v>
      </c>
      <c r="M11" s="8" t="str">
        <f t="shared" si="6"/>
        <v>2023 Domestic 3rd Trial</v>
      </c>
      <c r="N11" s="8">
        <f>IF(COUNT(AQ11,AT11,BR11,BU11,CS11,CV11)&gt;2,LARGE((AQ11,AT11,BR11,BU11,CS11,CV11),3),0)</f>
        <v>51.78</v>
      </c>
      <c r="O11" s="8" t="str">
        <f t="shared" si="7"/>
        <v>2023 Elite Canada</v>
      </c>
      <c r="P11" s="8">
        <f t="shared" si="8"/>
        <v>53.17</v>
      </c>
      <c r="Q11" s="8" t="str">
        <f t="shared" si="9"/>
        <v>2023 Elite Canada</v>
      </c>
      <c r="R11" s="8">
        <f t="shared" si="10"/>
        <v>15.6</v>
      </c>
      <c r="S11" s="8" t="str">
        <f t="shared" si="11"/>
        <v>2023 Nationals</v>
      </c>
      <c r="T11" s="8">
        <f t="shared" si="12"/>
        <v>14.97</v>
      </c>
      <c r="U11" s="8" t="str">
        <f t="shared" si="13"/>
        <v>2023 Nationals</v>
      </c>
      <c r="V11" s="8" t="str">
        <f t="shared" si="14"/>
        <v/>
      </c>
      <c r="W11" s="11" t="str">
        <f t="shared" si="15"/>
        <v/>
      </c>
      <c r="X11" s="8" t="str">
        <f t="shared" si="16"/>
        <v/>
      </c>
      <c r="Y11" s="23">
        <v>13.9</v>
      </c>
      <c r="Z11" s="23">
        <v>9.1999999999999993</v>
      </c>
      <c r="AA11" s="23">
        <v>13.5</v>
      </c>
      <c r="AB11" s="23">
        <v>14.79</v>
      </c>
      <c r="AC11" s="23">
        <v>0</v>
      </c>
      <c r="AD11" s="23">
        <v>13.1</v>
      </c>
      <c r="AE11" s="23">
        <v>9.1</v>
      </c>
      <c r="AF11" s="23">
        <v>14.5</v>
      </c>
      <c r="AG11" s="23">
        <v>15.08</v>
      </c>
      <c r="AH11" s="23">
        <v>0</v>
      </c>
      <c r="AI11" s="23">
        <v>14.5</v>
      </c>
      <c r="AJ11" s="23">
        <v>9.1</v>
      </c>
      <c r="AK11" s="23">
        <v>14.5</v>
      </c>
      <c r="AL11" s="23">
        <v>15.07</v>
      </c>
      <c r="AM11" s="23">
        <v>0</v>
      </c>
      <c r="AN11" s="28"/>
      <c r="AO11" s="39">
        <f t="shared" si="17"/>
        <v>13.5</v>
      </c>
      <c r="AP11" s="39">
        <f t="shared" si="18"/>
        <v>14.79</v>
      </c>
      <c r="AQ11" s="41">
        <f t="shared" si="19"/>
        <v>51.39</v>
      </c>
      <c r="AR11" s="41">
        <f t="shared" si="20"/>
        <v>14.5</v>
      </c>
      <c r="AS11" s="41">
        <f t="shared" si="21"/>
        <v>15.08</v>
      </c>
      <c r="AT11" s="41">
        <f t="shared" si="22"/>
        <v>51.78</v>
      </c>
      <c r="AU11" s="41">
        <f t="shared" si="23"/>
        <v>51.78</v>
      </c>
      <c r="AV11" s="41">
        <f t="shared" si="24"/>
        <v>14.5</v>
      </c>
      <c r="AW11" s="41">
        <f t="shared" si="25"/>
        <v>15.07</v>
      </c>
      <c r="AX11" s="41">
        <f t="shared" si="26"/>
        <v>53.17</v>
      </c>
      <c r="AY11" s="41">
        <f t="shared" si="27"/>
        <v>104.95</v>
      </c>
      <c r="AZ11" s="27">
        <v>4.5999999999999996</v>
      </c>
      <c r="BA11" s="27">
        <v>2.6</v>
      </c>
      <c r="BB11" s="27">
        <v>5.5</v>
      </c>
      <c r="BC11" s="27">
        <v>4.95</v>
      </c>
      <c r="BD11" s="27">
        <v>0</v>
      </c>
      <c r="BE11" s="27">
        <v>13.9</v>
      </c>
      <c r="BF11" s="27">
        <v>9.5</v>
      </c>
      <c r="BG11" s="27">
        <v>15.6</v>
      </c>
      <c r="BH11" s="27">
        <v>14.97</v>
      </c>
      <c r="BI11" s="27">
        <v>0</v>
      </c>
      <c r="BJ11" s="27">
        <v>4.3</v>
      </c>
      <c r="BK11" s="27">
        <v>2.7</v>
      </c>
      <c r="BL11" s="27">
        <v>5.5</v>
      </c>
      <c r="BM11" s="27">
        <v>4.8899999999999997</v>
      </c>
      <c r="BN11" s="27">
        <v>0</v>
      </c>
      <c r="BO11" s="29"/>
      <c r="BP11" s="40">
        <f t="shared" si="28"/>
        <v>5.5</v>
      </c>
      <c r="BQ11" s="40">
        <f t="shared" si="29"/>
        <v>4.95</v>
      </c>
      <c r="BR11" s="11">
        <f t="shared" si="30"/>
        <v>17.649999999999999</v>
      </c>
      <c r="BS11" s="11">
        <f t="shared" si="31"/>
        <v>15.6</v>
      </c>
      <c r="BT11" s="11">
        <f t="shared" si="32"/>
        <v>14.97</v>
      </c>
      <c r="BU11" s="11">
        <f t="shared" si="33"/>
        <v>53.97</v>
      </c>
      <c r="BV11" s="11">
        <f t="shared" si="34"/>
        <v>53.97</v>
      </c>
      <c r="BW11" s="11">
        <f t="shared" si="35"/>
        <v>5.5</v>
      </c>
      <c r="BX11" s="11">
        <f t="shared" si="36"/>
        <v>4.8899999999999997</v>
      </c>
      <c r="BY11" s="11">
        <f t="shared" si="37"/>
        <v>17.39</v>
      </c>
      <c r="BZ11" s="11">
        <f t="shared" si="38"/>
        <v>71.36</v>
      </c>
      <c r="CA11" s="23">
        <v>1.5</v>
      </c>
      <c r="CB11" s="23">
        <v>1</v>
      </c>
      <c r="CC11" s="23">
        <v>2</v>
      </c>
      <c r="CD11" s="23">
        <v>1.73</v>
      </c>
      <c r="CE11" s="23">
        <v>0</v>
      </c>
      <c r="CF11" s="23">
        <v>12.8</v>
      </c>
      <c r="CG11" s="23">
        <v>9.1999999999999993</v>
      </c>
      <c r="CH11" s="23">
        <v>15</v>
      </c>
      <c r="CI11" s="23">
        <v>15.44</v>
      </c>
      <c r="CJ11" s="23">
        <v>0</v>
      </c>
      <c r="CK11" s="23">
        <v>12.5</v>
      </c>
      <c r="CL11" s="23">
        <v>8.8000000000000007</v>
      </c>
      <c r="CM11" s="23">
        <v>14</v>
      </c>
      <c r="CN11" s="23">
        <v>15.57</v>
      </c>
      <c r="CO11" s="23">
        <v>0</v>
      </c>
      <c r="CP11" s="28"/>
      <c r="CQ11" s="39">
        <f t="shared" si="39"/>
        <v>2</v>
      </c>
      <c r="CR11" s="39">
        <f t="shared" si="40"/>
        <v>1.73</v>
      </c>
      <c r="CS11" s="41">
        <f t="shared" si="41"/>
        <v>6.23</v>
      </c>
      <c r="CT11" s="41">
        <f t="shared" si="42"/>
        <v>15</v>
      </c>
      <c r="CU11" s="41">
        <f t="shared" si="43"/>
        <v>15.44</v>
      </c>
      <c r="CV11" s="41">
        <f t="shared" si="44"/>
        <v>52.44</v>
      </c>
      <c r="CW11" s="41">
        <f t="shared" si="45"/>
        <v>52.44</v>
      </c>
      <c r="CX11" s="41">
        <f t="shared" si="46"/>
        <v>14</v>
      </c>
      <c r="CY11" s="41">
        <f t="shared" si="47"/>
        <v>15.57</v>
      </c>
      <c r="CZ11" s="41">
        <f t="shared" si="48"/>
        <v>50.87</v>
      </c>
      <c r="DA11" s="41">
        <f t="shared" si="49"/>
        <v>103.31</v>
      </c>
      <c r="DB11" s="52" t="str">
        <f t="shared" si="50"/>
        <v/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 t="shared" si="80"/>
        <v/>
      </c>
      <c r="GO11" s="41" t="str">
        <f t="shared" si="81"/>
        <v/>
      </c>
      <c r="GP11" s="41" t="str">
        <f t="shared" si="82"/>
        <v/>
      </c>
      <c r="GQ11" s="41" t="str">
        <f t="shared" si="83"/>
        <v/>
      </c>
      <c r="GR11" s="41" t="str">
        <f t="shared" si="84"/>
        <v/>
      </c>
      <c r="GS11" s="41" t="str">
        <f t="shared" si="85"/>
        <v/>
      </c>
      <c r="GT11" s="41" t="str">
        <f t="shared" si="86"/>
        <v/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 t="shared" si="136"/>
        <v/>
      </c>
      <c r="LU11" s="41" t="str">
        <f t="shared" si="137"/>
        <v/>
      </c>
      <c r="LV11" s="41" t="str">
        <f t="shared" si="138"/>
        <v/>
      </c>
      <c r="LW11" s="41" t="str">
        <f t="shared" si="139"/>
        <v/>
      </c>
      <c r="LX11" s="41" t="str">
        <f t="shared" si="140"/>
        <v/>
      </c>
      <c r="LY11" s="41" t="str">
        <f t="shared" si="141"/>
        <v/>
      </c>
      <c r="LZ11" s="41" t="str">
        <f t="shared" si="142"/>
        <v/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 t="shared" si="164"/>
        <v/>
      </c>
      <c r="OK11" s="41" t="str">
        <f t="shared" si="165"/>
        <v/>
      </c>
      <c r="OL11" s="41" t="str">
        <f t="shared" si="166"/>
        <v/>
      </c>
      <c r="OM11" s="41" t="str">
        <f t="shared" si="167"/>
        <v/>
      </c>
      <c r="ON11" s="41" t="str">
        <f t="shared" si="168"/>
        <v/>
      </c>
      <c r="OO11" s="41" t="str">
        <f t="shared" si="169"/>
        <v/>
      </c>
      <c r="OP11" s="41" t="str">
        <f t="shared" si="170"/>
        <v/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>
        <v>1.6</v>
      </c>
      <c r="RO11" s="18">
        <v>1</v>
      </c>
      <c r="RP11" s="18">
        <v>2</v>
      </c>
      <c r="RQ11" s="18">
        <v>1.77</v>
      </c>
      <c r="RR11" s="18">
        <v>0</v>
      </c>
      <c r="RS11" s="18">
        <v>1.7</v>
      </c>
      <c r="RT11" s="18">
        <v>1</v>
      </c>
      <c r="RU11" s="18">
        <v>2</v>
      </c>
      <c r="RV11" s="18">
        <v>1.78</v>
      </c>
      <c r="RW11" s="18">
        <v>0</v>
      </c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>
        <f t="shared" si="206"/>
        <v>2</v>
      </c>
      <c r="SI11" s="11">
        <f t="shared" si="207"/>
        <v>1.77</v>
      </c>
      <c r="SJ11" s="11">
        <f t="shared" si="208"/>
        <v>6.3699999999999992</v>
      </c>
      <c r="SK11" s="11">
        <f t="shared" si="209"/>
        <v>2</v>
      </c>
      <c r="SL11" s="11">
        <f t="shared" si="210"/>
        <v>1.78</v>
      </c>
      <c r="SM11" s="11">
        <f t="shared" si="211"/>
        <v>6.48</v>
      </c>
      <c r="SN11" s="11">
        <f t="shared" si="212"/>
        <v>6.48</v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>
        <f t="shared" si="219"/>
        <v>6.48</v>
      </c>
      <c r="SV11" s="23">
        <f t="shared" si="220"/>
        <v>3.05</v>
      </c>
      <c r="SW11" s="23">
        <f t="shared" si="221"/>
        <v>1.8</v>
      </c>
      <c r="SX11" s="23">
        <f t="shared" si="222"/>
        <v>3.75</v>
      </c>
      <c r="SY11" s="23">
        <f t="shared" si="223"/>
        <v>3.34</v>
      </c>
      <c r="SZ11" s="23">
        <f t="shared" si="224"/>
        <v>0</v>
      </c>
      <c r="TA11" s="23">
        <f t="shared" si="225"/>
        <v>13.350000000000001</v>
      </c>
      <c r="TB11" s="23">
        <f t="shared" si="226"/>
        <v>9.35</v>
      </c>
      <c r="TC11" s="23">
        <f t="shared" si="227"/>
        <v>15.3</v>
      </c>
      <c r="TD11" s="23">
        <f t="shared" si="228"/>
        <v>15.205</v>
      </c>
      <c r="TE11" s="23">
        <f t="shared" si="229"/>
        <v>0</v>
      </c>
      <c r="TF11" s="23">
        <f t="shared" si="230"/>
        <v>8.4</v>
      </c>
      <c r="TG11" s="23">
        <f t="shared" si="231"/>
        <v>5.75</v>
      </c>
      <c r="TH11" s="23">
        <f t="shared" si="232"/>
        <v>9.75</v>
      </c>
      <c r="TI11" s="23">
        <f t="shared" si="233"/>
        <v>10.23</v>
      </c>
      <c r="TJ11" s="23">
        <f t="shared" si="234"/>
        <v>0</v>
      </c>
      <c r="TK11" s="28" t="s">
        <v>57</v>
      </c>
      <c r="TL11" s="41">
        <f t="shared" si="235"/>
        <v>3.75</v>
      </c>
      <c r="TM11" s="41">
        <f t="shared" si="236"/>
        <v>3.34</v>
      </c>
      <c r="TN11" s="41">
        <f t="shared" si="237"/>
        <v>11.94</v>
      </c>
      <c r="TO11" s="41">
        <f t="shared" si="238"/>
        <v>15.3</v>
      </c>
      <c r="TP11" s="41">
        <f t="shared" si="239"/>
        <v>15.205</v>
      </c>
      <c r="TQ11" s="41">
        <f t="shared" si="240"/>
        <v>53.204999999999998</v>
      </c>
      <c r="TR11" s="41">
        <f t="shared" si="241"/>
        <v>53.204999999999998</v>
      </c>
      <c r="TS11" s="41">
        <f t="shared" si="242"/>
        <v>9.75</v>
      </c>
      <c r="TT11" s="41">
        <f t="shared" si="243"/>
        <v>10.23</v>
      </c>
      <c r="TU11" s="41">
        <f t="shared" si="244"/>
        <v>34.129999999999995</v>
      </c>
      <c r="TV11" s="41">
        <f t="shared" si="245"/>
        <v>87.334999999999994</v>
      </c>
    </row>
    <row r="12" spans="1:542" x14ac:dyDescent="0.2">
      <c r="A12" s="4" t="str" cm="1">
        <f t="array" ref="A12">IF(AND(H12&lt;&gt;"",H12&lt;&gt;"No DD"),SUMPRODUCT((H$4:H$24&lt;&gt;"")*(H$4:H$24&lt;&gt;"No DD")*(E$4:E$24&gt;E12))+1,IF(H12="No DD",SUMPRODUCT((H$4:H$24="No DD")*(E$4:E$24&gt;E12))+1+SUMPRODUCT((H$4:H$24&lt;&gt;"")*(H$4:H$24&lt;&gt;"No DD")),""))</f>
        <v/>
      </c>
      <c r="B12" s="5" t="s">
        <v>94</v>
      </c>
      <c r="C12" s="4" t="s">
        <v>3</v>
      </c>
      <c r="D12" s="4">
        <v>1988</v>
      </c>
      <c r="E12" s="9">
        <f t="shared" si="0"/>
        <v>233.38002333800529</v>
      </c>
      <c r="F12" s="3" t="str">
        <f t="shared" si="1"/>
        <v/>
      </c>
      <c r="G12" s="3" t="str">
        <f t="shared" si="2"/>
        <v/>
      </c>
      <c r="H12" s="37" t="str">
        <f t="shared" si="3"/>
        <v/>
      </c>
      <c r="I12" s="3" t="str">
        <f t="shared" si="4"/>
        <v/>
      </c>
      <c r="J12" s="8">
        <f>IF(COUNT(AQ12,AT12,BR12,BU12,CS12,CV12)&gt;0,LARGE((AQ12,AT12,BR12,BU12,CS12,CV12),1),0)</f>
        <v>52.900000000000006</v>
      </c>
      <c r="K12" s="8" t="str">
        <f t="shared" si="5"/>
        <v>2023 Domestic 3rd Trial</v>
      </c>
      <c r="L12" s="8">
        <f>IF(COUNT(AQ12,AT12,BR12,BU12,CS12,CV12)&gt;1,LARGE((AQ12,AT12,BR12,BU12,CS12,CV12),2),0)</f>
        <v>51.22</v>
      </c>
      <c r="M12" s="8" t="str">
        <f t="shared" si="6"/>
        <v>2023 Domestic 3rd Trial</v>
      </c>
      <c r="N12" s="8">
        <f>IF(COUNT(AQ12,AT12,BR12,BU12,CS12,CV12)&gt;2,LARGE((AQ12,AT12,BR12,BU12,CS12,CV12),3),0)</f>
        <v>48.04</v>
      </c>
      <c r="O12" s="8" t="str">
        <f t="shared" si="7"/>
        <v>2023 Nationals</v>
      </c>
      <c r="P12" s="8">
        <f t="shared" si="8"/>
        <v>50.400000000000006</v>
      </c>
      <c r="Q12" s="8" t="str">
        <f t="shared" si="9"/>
        <v>2023 Nationals</v>
      </c>
      <c r="R12" s="8">
        <f t="shared" si="10"/>
        <v>15.4</v>
      </c>
      <c r="S12" s="8" t="str">
        <f t="shared" si="11"/>
        <v>2023 Domestic 3rd Trial</v>
      </c>
      <c r="T12" s="8">
        <f t="shared" si="12"/>
        <v>15.42</v>
      </c>
      <c r="U12" s="8" t="str">
        <f t="shared" si="13"/>
        <v>2023 Domestic 3rd Trial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3"/>
      <c r="AJ12" s="23"/>
      <c r="AK12" s="23"/>
      <c r="AL12" s="23"/>
      <c r="AM12" s="23"/>
      <c r="AN12" s="28"/>
      <c r="AO12" s="39" t="str">
        <f t="shared" si="17"/>
        <v/>
      </c>
      <c r="AP12" s="39" t="str">
        <f t="shared" si="18"/>
        <v/>
      </c>
      <c r="AQ12" s="41" t="str">
        <f t="shared" si="19"/>
        <v/>
      </c>
      <c r="AR12" s="41" t="str">
        <f t="shared" si="20"/>
        <v/>
      </c>
      <c r="AS12" s="41" t="str">
        <f t="shared" si="21"/>
        <v/>
      </c>
      <c r="AT12" s="41" t="str">
        <f t="shared" si="22"/>
        <v/>
      </c>
      <c r="AU12" s="41" t="str">
        <f t="shared" si="23"/>
        <v/>
      </c>
      <c r="AV12" s="41" t="str">
        <f t="shared" si="24"/>
        <v/>
      </c>
      <c r="AW12" s="41" t="str">
        <f t="shared" si="25"/>
        <v/>
      </c>
      <c r="AX12" s="41" t="str">
        <f t="shared" si="26"/>
        <v/>
      </c>
      <c r="AY12" s="41" t="str">
        <f t="shared" si="27"/>
        <v/>
      </c>
      <c r="AZ12" s="27">
        <v>13.5</v>
      </c>
      <c r="BA12" s="27">
        <v>8.8000000000000007</v>
      </c>
      <c r="BB12" s="27">
        <v>11.3</v>
      </c>
      <c r="BC12" s="27">
        <v>14.44</v>
      </c>
      <c r="BD12" s="27">
        <v>0</v>
      </c>
      <c r="BE12" s="27">
        <v>1.6</v>
      </c>
      <c r="BF12" s="27">
        <v>0.9</v>
      </c>
      <c r="BG12" s="27">
        <v>2</v>
      </c>
      <c r="BH12" s="27">
        <v>1.59</v>
      </c>
      <c r="BI12" s="27">
        <v>0</v>
      </c>
      <c r="BJ12" s="27">
        <v>12.8</v>
      </c>
      <c r="BK12" s="27">
        <v>8.9</v>
      </c>
      <c r="BL12" s="27">
        <v>14.4</v>
      </c>
      <c r="BM12" s="27">
        <v>14.3</v>
      </c>
      <c r="BN12" s="27">
        <v>0</v>
      </c>
      <c r="BO12" s="29"/>
      <c r="BP12" s="40">
        <f t="shared" si="28"/>
        <v>11.3</v>
      </c>
      <c r="BQ12" s="40">
        <f t="shared" si="29"/>
        <v>14.44</v>
      </c>
      <c r="BR12" s="11">
        <f t="shared" si="30"/>
        <v>48.04</v>
      </c>
      <c r="BS12" s="11">
        <f t="shared" si="31"/>
        <v>2</v>
      </c>
      <c r="BT12" s="11">
        <f t="shared" si="32"/>
        <v>1.59</v>
      </c>
      <c r="BU12" s="11">
        <f t="shared" si="33"/>
        <v>6.09</v>
      </c>
      <c r="BV12" s="11">
        <f t="shared" si="34"/>
        <v>48.04</v>
      </c>
      <c r="BW12" s="11">
        <f t="shared" si="35"/>
        <v>14.4</v>
      </c>
      <c r="BX12" s="11">
        <f t="shared" si="36"/>
        <v>14.3</v>
      </c>
      <c r="BY12" s="11">
        <f t="shared" si="37"/>
        <v>50.400000000000006</v>
      </c>
      <c r="BZ12" s="11">
        <f t="shared" si="38"/>
        <v>98.44</v>
      </c>
      <c r="CA12" s="23">
        <v>13.2</v>
      </c>
      <c r="CB12" s="23">
        <v>9</v>
      </c>
      <c r="CC12" s="23">
        <v>15.4</v>
      </c>
      <c r="CD12" s="23">
        <v>15.3</v>
      </c>
      <c r="CE12" s="23">
        <v>0</v>
      </c>
      <c r="CF12" s="23">
        <v>11.9</v>
      </c>
      <c r="CG12" s="23">
        <v>8.5</v>
      </c>
      <c r="CH12" s="23">
        <v>15.4</v>
      </c>
      <c r="CI12" s="23">
        <v>15.42</v>
      </c>
      <c r="CJ12" s="23">
        <v>0</v>
      </c>
      <c r="CK12" s="23">
        <v>2.8</v>
      </c>
      <c r="CL12" s="23">
        <v>1.6</v>
      </c>
      <c r="CM12" s="23">
        <v>3.4</v>
      </c>
      <c r="CN12" s="23">
        <v>3.28</v>
      </c>
      <c r="CO12" s="23">
        <v>0</v>
      </c>
      <c r="CP12" s="28"/>
      <c r="CQ12" s="39">
        <f t="shared" si="39"/>
        <v>15.4</v>
      </c>
      <c r="CR12" s="39">
        <f t="shared" si="40"/>
        <v>15.3</v>
      </c>
      <c r="CS12" s="41">
        <f t="shared" si="41"/>
        <v>52.900000000000006</v>
      </c>
      <c r="CT12" s="41">
        <f t="shared" si="42"/>
        <v>15.4</v>
      </c>
      <c r="CU12" s="41">
        <f t="shared" si="43"/>
        <v>15.42</v>
      </c>
      <c r="CV12" s="41">
        <f t="shared" si="44"/>
        <v>51.22</v>
      </c>
      <c r="CW12" s="41">
        <f t="shared" si="45"/>
        <v>52.900000000000006</v>
      </c>
      <c r="CX12" s="41">
        <f t="shared" si="46"/>
        <v>3.4</v>
      </c>
      <c r="CY12" s="41">
        <f t="shared" si="47"/>
        <v>3.28</v>
      </c>
      <c r="CZ12" s="41">
        <f t="shared" si="48"/>
        <v>11.08</v>
      </c>
      <c r="DA12" s="41">
        <f t="shared" si="49"/>
        <v>63.980000000000004</v>
      </c>
      <c r="DB12" s="52" t="str">
        <f t="shared" si="50"/>
        <v/>
      </c>
      <c r="DC12" s="52" t="str">
        <f t="shared" si="51"/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 t="str">
        <f t="shared" si="52"/>
        <v/>
      </c>
      <c r="DY12" s="41" t="str">
        <f t="shared" si="53"/>
        <v/>
      </c>
      <c r="DZ12" s="41" t="str">
        <f t="shared" si="54"/>
        <v/>
      </c>
      <c r="EA12" s="41" t="str">
        <f t="shared" si="55"/>
        <v/>
      </c>
      <c r="EB12" s="41" t="str">
        <f t="shared" si="56"/>
        <v/>
      </c>
      <c r="EC12" s="41" t="str">
        <f t="shared" si="57"/>
        <v/>
      </c>
      <c r="ED12" s="41" t="str">
        <f t="shared" si="58"/>
        <v/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 t="str">
        <f t="shared" si="65"/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 t="shared" si="66"/>
        <v/>
      </c>
      <c r="FG12" s="11" t="str">
        <f t="shared" si="67"/>
        <v/>
      </c>
      <c r="FH12" s="11" t="str">
        <f t="shared" si="68"/>
        <v/>
      </c>
      <c r="FI12" s="11" t="str">
        <f t="shared" si="69"/>
        <v/>
      </c>
      <c r="FJ12" s="11" t="str">
        <f t="shared" si="70"/>
        <v/>
      </c>
      <c r="FK12" s="11" t="str">
        <f t="shared" si="71"/>
        <v/>
      </c>
      <c r="FL12" s="11" t="str">
        <f t="shared" si="72"/>
        <v/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 t="str">
        <f t="shared" si="79"/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 t="shared" si="80"/>
        <v/>
      </c>
      <c r="GO12" s="41" t="str">
        <f t="shared" si="81"/>
        <v/>
      </c>
      <c r="GP12" s="41" t="str">
        <f t="shared" si="82"/>
        <v/>
      </c>
      <c r="GQ12" s="41" t="str">
        <f t="shared" si="83"/>
        <v/>
      </c>
      <c r="GR12" s="41" t="str">
        <f t="shared" si="84"/>
        <v/>
      </c>
      <c r="GS12" s="41" t="str">
        <f t="shared" si="85"/>
        <v/>
      </c>
      <c r="GT12" s="41" t="str">
        <f t="shared" si="86"/>
        <v/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 t="str">
        <f t="shared" si="90"/>
        <v/>
      </c>
      <c r="GY12" s="41" t="str">
        <f t="shared" si="91"/>
        <v/>
      </c>
      <c r="GZ12" s="41" t="str">
        <f t="shared" si="92"/>
        <v/>
      </c>
      <c r="HA12" s="41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 t="shared" si="136"/>
        <v/>
      </c>
      <c r="LU12" s="41" t="str">
        <f t="shared" si="137"/>
        <v/>
      </c>
      <c r="LV12" s="41" t="str">
        <f t="shared" si="138"/>
        <v/>
      </c>
      <c r="LW12" s="41" t="str">
        <f t="shared" si="139"/>
        <v/>
      </c>
      <c r="LX12" s="41" t="str">
        <f t="shared" si="140"/>
        <v/>
      </c>
      <c r="LY12" s="41" t="str">
        <f t="shared" si="141"/>
        <v/>
      </c>
      <c r="LZ12" s="41" t="str">
        <f t="shared" si="142"/>
        <v/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13.35</v>
      </c>
      <c r="SW12" s="23">
        <f t="shared" si="221"/>
        <v>8.9</v>
      </c>
      <c r="SX12" s="23">
        <f t="shared" si="222"/>
        <v>13.350000000000001</v>
      </c>
      <c r="SY12" s="23">
        <f t="shared" si="223"/>
        <v>14.870000000000001</v>
      </c>
      <c r="SZ12" s="23">
        <f t="shared" si="224"/>
        <v>0</v>
      </c>
      <c r="TA12" s="23">
        <f t="shared" si="225"/>
        <v>6.75</v>
      </c>
      <c r="TB12" s="23">
        <f t="shared" si="226"/>
        <v>4.7</v>
      </c>
      <c r="TC12" s="23">
        <f t="shared" si="227"/>
        <v>8.6999999999999993</v>
      </c>
      <c r="TD12" s="23">
        <f t="shared" si="228"/>
        <v>8.5050000000000008</v>
      </c>
      <c r="TE12" s="23">
        <f t="shared" si="229"/>
        <v>0</v>
      </c>
      <c r="TF12" s="23">
        <f t="shared" si="230"/>
        <v>7.8000000000000007</v>
      </c>
      <c r="TG12" s="23">
        <f t="shared" si="231"/>
        <v>5.25</v>
      </c>
      <c r="TH12" s="23">
        <f t="shared" si="232"/>
        <v>8.9</v>
      </c>
      <c r="TI12" s="23">
        <f t="shared" si="233"/>
        <v>8.7900000000000009</v>
      </c>
      <c r="TJ12" s="23">
        <f t="shared" si="234"/>
        <v>0</v>
      </c>
      <c r="TK12" s="28" t="s">
        <v>57</v>
      </c>
      <c r="TL12" s="41">
        <f t="shared" si="235"/>
        <v>13.350000000000001</v>
      </c>
      <c r="TM12" s="41">
        <f t="shared" si="236"/>
        <v>14.870000000000001</v>
      </c>
      <c r="TN12" s="41">
        <f t="shared" si="237"/>
        <v>50.47</v>
      </c>
      <c r="TO12" s="41">
        <f t="shared" si="238"/>
        <v>8.6999999999999993</v>
      </c>
      <c r="TP12" s="41">
        <f t="shared" si="239"/>
        <v>8.5050000000000008</v>
      </c>
      <c r="TQ12" s="41">
        <f t="shared" si="240"/>
        <v>28.655000000000001</v>
      </c>
      <c r="TR12" s="41">
        <f t="shared" si="241"/>
        <v>50.47</v>
      </c>
      <c r="TS12" s="41">
        <f t="shared" si="242"/>
        <v>8.9</v>
      </c>
      <c r="TT12" s="41">
        <f t="shared" si="243"/>
        <v>8.7900000000000009</v>
      </c>
      <c r="TU12" s="41">
        <f t="shared" si="244"/>
        <v>30.740000000000002</v>
      </c>
      <c r="TV12" s="41">
        <f t="shared" si="245"/>
        <v>81.210000000000008</v>
      </c>
    </row>
    <row r="13" spans="1:542" x14ac:dyDescent="0.2">
      <c r="A13" s="4" cm="1">
        <f t="array" ref="A13">IF(AND(H13&lt;&gt;"",H13&lt;&gt;"No DD"),SUMPRODUCT((H$4:H$24&lt;&gt;"")*(H$4:H$24&lt;&gt;"No DD")*(E$4:E$24&gt;E13))+1,IF(H13="No DD",SUMPRODUCT((H$4:H$24="No DD")*(E$4:E$24&gt;E13))+1+SUMPRODUCT((H$4:H$24&lt;&gt;"")*(H$4:H$24&lt;&gt;"No DD")),""))</f>
        <v>8</v>
      </c>
      <c r="B13" s="5" t="s">
        <v>127</v>
      </c>
      <c r="C13" s="4" t="s">
        <v>8</v>
      </c>
      <c r="D13" s="4">
        <v>2005</v>
      </c>
      <c r="E13" s="9">
        <f t="shared" si="0"/>
        <v>232.17002319800551</v>
      </c>
      <c r="F13" s="3" t="str">
        <f t="shared" si="1"/>
        <v/>
      </c>
      <c r="G13" s="3" t="str">
        <f t="shared" si="2"/>
        <v>P</v>
      </c>
      <c r="H13" s="37" t="str">
        <f t="shared" si="3"/>
        <v>No DD</v>
      </c>
      <c r="I13" s="3" t="str">
        <f t="shared" si="4"/>
        <v/>
      </c>
      <c r="J13" s="8">
        <f>IF(COUNT(AQ13,AT13,BR13,BU13,CS13,CV13)&gt;0,LARGE((AQ13,AT13,BR13,BU13,CS13,CV13),1),0)</f>
        <v>55.14</v>
      </c>
      <c r="K13" s="8" t="str">
        <f t="shared" si="5"/>
        <v>2023 Nationals</v>
      </c>
      <c r="L13" s="8">
        <f>IF(COUNT(AQ13,AT13,BR13,BU13,CS13,CV13)&gt;1,LARGE((AQ13,AT13,BR13,BU13,CS13,CV13),2),0)</f>
        <v>54.33</v>
      </c>
      <c r="M13" s="8" t="str">
        <f t="shared" si="6"/>
        <v>2023 Nationals</v>
      </c>
      <c r="N13" s="8">
        <f>IF(COUNT(AQ13,AT13,BR13,BU13,CS13,CV13)&gt;2,LARGE((AQ13,AT13,BR13,BU13,CS13,CV13),3),0)</f>
        <v>53.98</v>
      </c>
      <c r="O13" s="8" t="str">
        <f t="shared" si="7"/>
        <v>2023 Elite Canada</v>
      </c>
      <c r="P13" s="8">
        <f t="shared" si="8"/>
        <v>54.13</v>
      </c>
      <c r="Q13" s="8" t="str">
        <f t="shared" si="9"/>
        <v>2023 Nationals</v>
      </c>
      <c r="R13" s="8">
        <f t="shared" si="10"/>
        <v>14.4</v>
      </c>
      <c r="S13" s="8" t="str">
        <f t="shared" si="11"/>
        <v>2023 Nationals</v>
      </c>
      <c r="T13" s="8">
        <f t="shared" si="12"/>
        <v>0</v>
      </c>
      <c r="U13" s="8" t="str">
        <f t="shared" si="13"/>
        <v/>
      </c>
      <c r="V13" s="8">
        <f t="shared" si="14"/>
        <v>0.18999999999999773</v>
      </c>
      <c r="W13" s="11" t="str">
        <f t="shared" si="15"/>
        <v>(Prelim)</v>
      </c>
      <c r="X13" s="8" t="str">
        <f t="shared" si="16"/>
        <v>2023 Pan Am Club Championships (May 14)</v>
      </c>
      <c r="Y13" s="23">
        <v>15.7</v>
      </c>
      <c r="Z13" s="23">
        <v>9.1</v>
      </c>
      <c r="AA13" s="23">
        <v>14.4</v>
      </c>
      <c r="AB13" s="23">
        <v>14.78</v>
      </c>
      <c r="AC13" s="23">
        <v>0</v>
      </c>
      <c r="AD13" s="23">
        <v>15.3</v>
      </c>
      <c r="AE13" s="23">
        <v>9.1999999999999993</v>
      </c>
      <c r="AF13" s="23">
        <v>14.2</v>
      </c>
      <c r="AG13" s="23">
        <v>14.51</v>
      </c>
      <c r="AH13" s="23">
        <v>0</v>
      </c>
      <c r="AI13" s="23">
        <v>6.5</v>
      </c>
      <c r="AJ13" s="23">
        <v>3.7</v>
      </c>
      <c r="AK13" s="23">
        <v>6.1</v>
      </c>
      <c r="AL13" s="23">
        <v>6.26</v>
      </c>
      <c r="AM13" s="23">
        <v>0</v>
      </c>
      <c r="AN13" s="28"/>
      <c r="AO13" s="39">
        <f t="shared" si="17"/>
        <v>14.4</v>
      </c>
      <c r="AP13" s="39">
        <f t="shared" si="18"/>
        <v>14.78</v>
      </c>
      <c r="AQ13" s="41">
        <f t="shared" si="19"/>
        <v>53.98</v>
      </c>
      <c r="AR13" s="41">
        <f t="shared" si="20"/>
        <v>14.2</v>
      </c>
      <c r="AS13" s="41">
        <f t="shared" si="21"/>
        <v>14.51</v>
      </c>
      <c r="AT13" s="41">
        <f t="shared" si="22"/>
        <v>53.21</v>
      </c>
      <c r="AU13" s="41">
        <f t="shared" si="23"/>
        <v>53.98</v>
      </c>
      <c r="AV13" s="41">
        <f t="shared" si="24"/>
        <v>6.1</v>
      </c>
      <c r="AW13" s="41">
        <f t="shared" si="25"/>
        <v>6.26</v>
      </c>
      <c r="AX13" s="41">
        <f t="shared" si="26"/>
        <v>22.559999999999995</v>
      </c>
      <c r="AY13" s="41">
        <f t="shared" si="27"/>
        <v>76.539999999999992</v>
      </c>
      <c r="AZ13" s="27">
        <v>15.9</v>
      </c>
      <c r="BA13" s="27">
        <v>9.1</v>
      </c>
      <c r="BB13" s="27">
        <v>14.4</v>
      </c>
      <c r="BC13" s="27">
        <v>14.93</v>
      </c>
      <c r="BD13" s="27">
        <v>0</v>
      </c>
      <c r="BE13" s="27">
        <v>16.399999999999999</v>
      </c>
      <c r="BF13" s="27">
        <v>9.1999999999999993</v>
      </c>
      <c r="BG13" s="27">
        <v>14.4</v>
      </c>
      <c r="BH13" s="27">
        <v>15.14</v>
      </c>
      <c r="BI13" s="27">
        <v>0</v>
      </c>
      <c r="BJ13" s="27">
        <v>15.3</v>
      </c>
      <c r="BK13" s="27">
        <v>9.4</v>
      </c>
      <c r="BL13" s="27">
        <v>14.4</v>
      </c>
      <c r="BM13" s="27">
        <v>15.03</v>
      </c>
      <c r="BN13" s="27">
        <v>0</v>
      </c>
      <c r="BO13" s="29"/>
      <c r="BP13" s="40">
        <f t="shared" si="28"/>
        <v>14.4</v>
      </c>
      <c r="BQ13" s="40">
        <f t="shared" si="29"/>
        <v>14.93</v>
      </c>
      <c r="BR13" s="11">
        <f t="shared" si="30"/>
        <v>54.33</v>
      </c>
      <c r="BS13" s="11">
        <f t="shared" si="31"/>
        <v>14.4</v>
      </c>
      <c r="BT13" s="11">
        <f t="shared" si="32"/>
        <v>15.14</v>
      </c>
      <c r="BU13" s="11">
        <f t="shared" si="33"/>
        <v>55.14</v>
      </c>
      <c r="BV13" s="11">
        <f t="shared" si="34"/>
        <v>55.14</v>
      </c>
      <c r="BW13" s="11">
        <f t="shared" si="35"/>
        <v>14.4</v>
      </c>
      <c r="BX13" s="11">
        <f t="shared" si="36"/>
        <v>15.03</v>
      </c>
      <c r="BY13" s="11">
        <f t="shared" si="37"/>
        <v>54.13</v>
      </c>
      <c r="BZ13" s="11">
        <f t="shared" si="38"/>
        <v>109.27000000000001</v>
      </c>
      <c r="CA13" s="23">
        <v>5.8</v>
      </c>
      <c r="CB13" s="23">
        <v>3.4</v>
      </c>
      <c r="CC13" s="23">
        <v>5.9</v>
      </c>
      <c r="CD13" s="23">
        <v>6.18</v>
      </c>
      <c r="CE13" s="23">
        <v>0</v>
      </c>
      <c r="CF13" s="23">
        <v>5.7</v>
      </c>
      <c r="CG13" s="23">
        <v>3.3</v>
      </c>
      <c r="CH13" s="23">
        <v>5.9</v>
      </c>
      <c r="CI13" s="23">
        <v>6.13</v>
      </c>
      <c r="CJ13" s="23">
        <v>0</v>
      </c>
      <c r="CK13" s="23"/>
      <c r="CL13" s="23"/>
      <c r="CM13" s="23"/>
      <c r="CN13" s="23"/>
      <c r="CO13" s="23"/>
      <c r="CP13" s="28"/>
      <c r="CQ13" s="39">
        <f t="shared" si="39"/>
        <v>5.9</v>
      </c>
      <c r="CR13" s="39">
        <f t="shared" si="40"/>
        <v>6.18</v>
      </c>
      <c r="CS13" s="41">
        <f t="shared" si="41"/>
        <v>21.28</v>
      </c>
      <c r="CT13" s="41">
        <f t="shared" si="42"/>
        <v>5.9</v>
      </c>
      <c r="CU13" s="41">
        <f t="shared" si="43"/>
        <v>6.13</v>
      </c>
      <c r="CV13" s="41">
        <f t="shared" si="44"/>
        <v>21.03</v>
      </c>
      <c r="CW13" s="41">
        <f t="shared" si="45"/>
        <v>21.28</v>
      </c>
      <c r="CX13" s="41" t="str">
        <f t="shared" si="46"/>
        <v/>
      </c>
      <c r="CY13" s="41" t="str">
        <f t="shared" si="47"/>
        <v/>
      </c>
      <c r="CZ13" s="41" t="str">
        <f t="shared" si="48"/>
        <v/>
      </c>
      <c r="DA13" s="41">
        <f t="shared" si="49"/>
        <v>21.28</v>
      </c>
      <c r="DB13" s="52">
        <f t="shared" si="50"/>
        <v>0.18999999999999773</v>
      </c>
      <c r="DC13" s="52" t="str">
        <f t="shared" si="51"/>
        <v/>
      </c>
      <c r="DD13" s="17">
        <v>1.6</v>
      </c>
      <c r="DE13" s="17">
        <v>1</v>
      </c>
      <c r="DF13" s="17">
        <v>1.7</v>
      </c>
      <c r="DG13" s="17">
        <v>1.63</v>
      </c>
      <c r="DH13" s="17">
        <v>0.2</v>
      </c>
      <c r="DI13" s="17">
        <v>14.9</v>
      </c>
      <c r="DJ13" s="17">
        <v>8.6</v>
      </c>
      <c r="DK13" s="17">
        <v>13.3</v>
      </c>
      <c r="DL13" s="17">
        <v>15.04</v>
      </c>
      <c r="DM13" s="17">
        <v>0</v>
      </c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>
        <f t="shared" si="52"/>
        <v>1.7</v>
      </c>
      <c r="DY13" s="41">
        <f t="shared" si="53"/>
        <v>1.63</v>
      </c>
      <c r="DZ13" s="41">
        <f t="shared" si="54"/>
        <v>5.7299999999999995</v>
      </c>
      <c r="EA13" s="41">
        <f t="shared" si="55"/>
        <v>13.3</v>
      </c>
      <c r="EB13" s="41">
        <f t="shared" si="56"/>
        <v>15.04</v>
      </c>
      <c r="EC13" s="41">
        <f t="shared" si="57"/>
        <v>51.839999999999996</v>
      </c>
      <c r="ED13" s="41">
        <f t="shared" si="58"/>
        <v>51.839999999999996</v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>
        <f t="shared" si="65"/>
        <v>51.839999999999996</v>
      </c>
      <c r="EL13" s="18">
        <v>15.2</v>
      </c>
      <c r="EM13" s="18">
        <v>9.5</v>
      </c>
      <c r="EN13" s="18">
        <v>14.4</v>
      </c>
      <c r="EO13" s="18">
        <v>14.7</v>
      </c>
      <c r="EP13" s="18">
        <v>0</v>
      </c>
      <c r="EQ13" s="18">
        <v>15.7</v>
      </c>
      <c r="ER13" s="18">
        <v>9.1</v>
      </c>
      <c r="ES13" s="18">
        <v>14.4</v>
      </c>
      <c r="ET13" s="18">
        <v>14.97</v>
      </c>
      <c r="EU13" s="18">
        <v>0</v>
      </c>
      <c r="EV13" s="18"/>
      <c r="EW13" s="18"/>
      <c r="EX13" s="18"/>
      <c r="EY13" s="18"/>
      <c r="EZ13" s="18"/>
      <c r="FA13" s="18">
        <v>15.3</v>
      </c>
      <c r="FB13" s="18">
        <v>8.8000000000000007</v>
      </c>
      <c r="FC13" s="18">
        <v>14.4</v>
      </c>
      <c r="FD13" s="18">
        <v>14.8</v>
      </c>
      <c r="FE13" s="18">
        <v>0</v>
      </c>
      <c r="FF13" s="11">
        <f t="shared" si="66"/>
        <v>14.4</v>
      </c>
      <c r="FG13" s="11">
        <f t="shared" si="67"/>
        <v>14.7</v>
      </c>
      <c r="FH13" s="11">
        <f t="shared" si="68"/>
        <v>53.8</v>
      </c>
      <c r="FI13" s="11">
        <f t="shared" si="69"/>
        <v>14.4</v>
      </c>
      <c r="FJ13" s="11">
        <f t="shared" si="70"/>
        <v>14.97</v>
      </c>
      <c r="FK13" s="11">
        <f t="shared" si="71"/>
        <v>54.169999999999995</v>
      </c>
      <c r="FL13" s="11">
        <f t="shared" si="72"/>
        <v>54.169999999999995</v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>
        <f t="shared" si="76"/>
        <v>14.4</v>
      </c>
      <c r="FQ13" s="11">
        <f t="shared" si="77"/>
        <v>14.8</v>
      </c>
      <c r="FR13" s="11">
        <f t="shared" si="78"/>
        <v>53.3</v>
      </c>
      <c r="FS13" s="11">
        <f t="shared" si="79"/>
        <v>107.47</v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 t="str">
        <f t="shared" si="80"/>
        <v/>
      </c>
      <c r="GO13" s="41" t="str">
        <f t="shared" si="81"/>
        <v/>
      </c>
      <c r="GP13" s="41" t="str">
        <f t="shared" si="82"/>
        <v/>
      </c>
      <c r="GQ13" s="41" t="str">
        <f t="shared" si="83"/>
        <v/>
      </c>
      <c r="GR13" s="41" t="str">
        <f t="shared" si="84"/>
        <v/>
      </c>
      <c r="GS13" s="41" t="str">
        <f t="shared" si="85"/>
        <v/>
      </c>
      <c r="GT13" s="41" t="str">
        <f t="shared" si="86"/>
        <v/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 t="str">
        <f t="shared" si="93"/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 t="str">
        <f t="shared" si="104"/>
        <v/>
      </c>
      <c r="IG13" s="11" t="str">
        <f t="shared" si="105"/>
        <v/>
      </c>
      <c r="IH13" s="11" t="str">
        <f t="shared" si="106"/>
        <v/>
      </c>
      <c r="II13" s="11" t="str">
        <f t="shared" si="107"/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 t="shared" si="122"/>
        <v/>
      </c>
      <c r="KM13" s="11" t="str">
        <f t="shared" si="123"/>
        <v/>
      </c>
      <c r="KN13" s="11" t="str">
        <f t="shared" si="124"/>
        <v/>
      </c>
      <c r="KO13" s="11" t="str">
        <f t="shared" si="125"/>
        <v/>
      </c>
      <c r="KP13" s="11" t="str">
        <f t="shared" si="126"/>
        <v/>
      </c>
      <c r="KQ13" s="11" t="str">
        <f t="shared" si="127"/>
        <v/>
      </c>
      <c r="KR13" s="11" t="str">
        <f t="shared" si="128"/>
        <v/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 t="str">
        <f t="shared" si="135"/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 t="shared" si="136"/>
        <v/>
      </c>
      <c r="LU13" s="41" t="str">
        <f t="shared" si="137"/>
        <v/>
      </c>
      <c r="LV13" s="41" t="str">
        <f t="shared" si="138"/>
        <v/>
      </c>
      <c r="LW13" s="41" t="str">
        <f t="shared" si="139"/>
        <v/>
      </c>
      <c r="LX13" s="41" t="str">
        <f t="shared" si="140"/>
        <v/>
      </c>
      <c r="LY13" s="41" t="str">
        <f t="shared" si="141"/>
        <v/>
      </c>
      <c r="LZ13" s="41" t="str">
        <f t="shared" si="142"/>
        <v/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 t="str">
        <f t="shared" si="146"/>
        <v/>
      </c>
      <c r="ME13" s="41" t="str">
        <f t="shared" si="147"/>
        <v/>
      </c>
      <c r="MF13" s="41" t="str">
        <f t="shared" si="148"/>
        <v/>
      </c>
      <c r="MG13" s="41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 t="shared" si="164"/>
        <v/>
      </c>
      <c r="OK13" s="41" t="str">
        <f t="shared" si="165"/>
        <v/>
      </c>
      <c r="OL13" s="41" t="str">
        <f t="shared" si="166"/>
        <v/>
      </c>
      <c r="OM13" s="41" t="str">
        <f t="shared" si="167"/>
        <v/>
      </c>
      <c r="ON13" s="41" t="str">
        <f t="shared" si="168"/>
        <v/>
      </c>
      <c r="OO13" s="41" t="str">
        <f t="shared" si="169"/>
        <v/>
      </c>
      <c r="OP13" s="41" t="str">
        <f t="shared" si="170"/>
        <v/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>
        <v>4.0999999999999996</v>
      </c>
      <c r="RO13" s="18">
        <v>2.5</v>
      </c>
      <c r="RP13" s="18">
        <v>5.0999999999999996</v>
      </c>
      <c r="RQ13" s="18">
        <v>4.79</v>
      </c>
      <c r="RR13" s="18">
        <v>0</v>
      </c>
      <c r="RS13" s="18">
        <v>4.3</v>
      </c>
      <c r="RT13" s="18">
        <v>2.7</v>
      </c>
      <c r="RU13" s="18">
        <v>5.0999999999999996</v>
      </c>
      <c r="RV13" s="18">
        <v>4.83</v>
      </c>
      <c r="RW13" s="18">
        <v>0</v>
      </c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>
        <f t="shared" si="206"/>
        <v>5.0999999999999996</v>
      </c>
      <c r="SI13" s="11">
        <f t="shared" si="207"/>
        <v>4.79</v>
      </c>
      <c r="SJ13" s="11">
        <f t="shared" si="208"/>
        <v>16.489999999999998</v>
      </c>
      <c r="SK13" s="11">
        <f t="shared" si="209"/>
        <v>5.0999999999999996</v>
      </c>
      <c r="SL13" s="11">
        <f t="shared" si="210"/>
        <v>4.83</v>
      </c>
      <c r="SM13" s="11">
        <f t="shared" si="211"/>
        <v>16.93</v>
      </c>
      <c r="SN13" s="11">
        <f t="shared" si="212"/>
        <v>16.93</v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>
        <f t="shared" si="219"/>
        <v>16.93</v>
      </c>
      <c r="SV13" s="23">
        <f t="shared" si="220"/>
        <v>10.85</v>
      </c>
      <c r="SW13" s="23">
        <f t="shared" si="221"/>
        <v>6.25</v>
      </c>
      <c r="SX13" s="23">
        <f t="shared" si="222"/>
        <v>10.15</v>
      </c>
      <c r="SY13" s="23">
        <f t="shared" si="223"/>
        <v>10.555</v>
      </c>
      <c r="SZ13" s="23">
        <f t="shared" si="224"/>
        <v>0</v>
      </c>
      <c r="TA13" s="23">
        <f t="shared" si="225"/>
        <v>11.049999999999999</v>
      </c>
      <c r="TB13" s="23">
        <f t="shared" si="226"/>
        <v>6.25</v>
      </c>
      <c r="TC13" s="23">
        <f t="shared" si="227"/>
        <v>10.15</v>
      </c>
      <c r="TD13" s="23">
        <f t="shared" si="228"/>
        <v>10.635</v>
      </c>
      <c r="TE13" s="23">
        <f t="shared" si="229"/>
        <v>0</v>
      </c>
      <c r="TF13" s="23">
        <f t="shared" si="230"/>
        <v>7.65</v>
      </c>
      <c r="TG13" s="23">
        <f t="shared" si="231"/>
        <v>4.7</v>
      </c>
      <c r="TH13" s="23">
        <f t="shared" si="232"/>
        <v>7.2</v>
      </c>
      <c r="TI13" s="23">
        <f t="shared" si="233"/>
        <v>7.5149999999999997</v>
      </c>
      <c r="TJ13" s="23">
        <f t="shared" si="234"/>
        <v>0</v>
      </c>
      <c r="TK13" s="28" t="s">
        <v>57</v>
      </c>
      <c r="TL13" s="41">
        <f t="shared" si="235"/>
        <v>10.15</v>
      </c>
      <c r="TM13" s="41">
        <f t="shared" si="236"/>
        <v>10.555</v>
      </c>
      <c r="TN13" s="41">
        <f t="shared" si="237"/>
        <v>37.805</v>
      </c>
      <c r="TO13" s="41">
        <f t="shared" si="238"/>
        <v>10.15</v>
      </c>
      <c r="TP13" s="41">
        <f t="shared" si="239"/>
        <v>10.635</v>
      </c>
      <c r="TQ13" s="41">
        <f t="shared" si="240"/>
        <v>38.084999999999994</v>
      </c>
      <c r="TR13" s="41">
        <f t="shared" si="241"/>
        <v>38.084999999999994</v>
      </c>
      <c r="TS13" s="41">
        <f t="shared" si="242"/>
        <v>7.2</v>
      </c>
      <c r="TT13" s="41">
        <f t="shared" si="243"/>
        <v>7.5149999999999997</v>
      </c>
      <c r="TU13" s="41">
        <f t="shared" si="244"/>
        <v>27.065000000000001</v>
      </c>
      <c r="TV13" s="41">
        <f t="shared" si="245"/>
        <v>65.149999999999991</v>
      </c>
    </row>
    <row r="14" spans="1:542" x14ac:dyDescent="0.2">
      <c r="A14" s="4" cm="1">
        <f t="array" ref="A14">IF(AND(H14&lt;&gt;"",H14&lt;&gt;"No DD"),SUMPRODUCT((H$4:H$24&lt;&gt;"")*(H$4:H$24&lt;&gt;"No DD")*(E$4:E$24&gt;E14))+1,IF(H14="No DD",SUMPRODUCT((H$4:H$24="No DD")*(E$4:E$24&gt;E14))+1+SUMPRODUCT((H$4:H$24&lt;&gt;"")*(H$4:H$24&lt;&gt;"No DD")),""))</f>
        <v>9</v>
      </c>
      <c r="B14" s="5" t="s">
        <v>153</v>
      </c>
      <c r="C14" s="4" t="s">
        <v>152</v>
      </c>
      <c r="D14" s="4">
        <v>2004</v>
      </c>
      <c r="E14" s="9">
        <f t="shared" si="0"/>
        <v>230.70002208200546</v>
      </c>
      <c r="F14" s="3" t="str">
        <f t="shared" si="1"/>
        <v/>
      </c>
      <c r="G14" s="3" t="str">
        <f t="shared" si="2"/>
        <v>P</v>
      </c>
      <c r="H14" s="37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54.769999999999996</v>
      </c>
      <c r="K14" s="8" t="str">
        <f t="shared" si="5"/>
        <v>2023 Elite Canada</v>
      </c>
      <c r="L14" s="8">
        <f>IF(COUNT(AQ14,AT14,BR14,BU14,CS14,CV14)&gt;1,LARGE((AQ14,AT14,BR14,BU14,CS14,CV14),2),0)</f>
        <v>53.910000000000004</v>
      </c>
      <c r="M14" s="8" t="str">
        <f t="shared" si="6"/>
        <v>2023 Domestic 3rd Trial</v>
      </c>
      <c r="N14" s="8">
        <f>IF(COUNT(AQ14,AT14,BR14,BU14,CS14,CV14)&gt;2,LARGE((AQ14,AT14,BR14,BU14,CS14,CV14),3),0)</f>
        <v>43.65</v>
      </c>
      <c r="O14" s="8" t="str">
        <f t="shared" si="7"/>
        <v>2023 Elite Canada</v>
      </c>
      <c r="P14" s="8">
        <f t="shared" si="8"/>
        <v>54.489999999999995</v>
      </c>
      <c r="Q14" s="8" t="str">
        <f t="shared" si="9"/>
        <v>2023 Domestic 3rd Trial</v>
      </c>
      <c r="R14" s="8">
        <f t="shared" si="10"/>
        <v>14</v>
      </c>
      <c r="S14" s="8" t="str">
        <f t="shared" si="11"/>
        <v>2023 Domestic 3rd Trial</v>
      </c>
      <c r="T14" s="8">
        <f t="shared" si="12"/>
        <v>0</v>
      </c>
      <c r="U14" s="8" t="str">
        <f t="shared" si="13"/>
        <v/>
      </c>
      <c r="V14" s="8">
        <f t="shared" si="14"/>
        <v>9.8800000000000026</v>
      </c>
      <c r="W14" s="11" t="str">
        <f t="shared" si="15"/>
        <v>(Prelim)</v>
      </c>
      <c r="X14" s="8" t="str">
        <f t="shared" si="16"/>
        <v>2023 Pan Am Club Championships (May 14)</v>
      </c>
      <c r="Y14" s="23">
        <v>12.2</v>
      </c>
      <c r="Z14" s="23">
        <v>8.1999999999999993</v>
      </c>
      <c r="AA14" s="23">
        <v>10.7</v>
      </c>
      <c r="AB14" s="23">
        <v>12.55</v>
      </c>
      <c r="AC14" s="23">
        <v>0</v>
      </c>
      <c r="AD14" s="23">
        <v>16</v>
      </c>
      <c r="AE14" s="23">
        <v>9.5</v>
      </c>
      <c r="AF14" s="23">
        <v>13.4</v>
      </c>
      <c r="AG14" s="23">
        <v>15.97</v>
      </c>
      <c r="AH14" s="23">
        <v>0.1</v>
      </c>
      <c r="AI14" s="23">
        <v>14.7</v>
      </c>
      <c r="AJ14" s="23">
        <v>8.9</v>
      </c>
      <c r="AK14" s="23">
        <v>13.4</v>
      </c>
      <c r="AL14" s="23">
        <v>15.87</v>
      </c>
      <c r="AM14" s="23">
        <v>0.1</v>
      </c>
      <c r="AN14" s="28"/>
      <c r="AO14" s="39">
        <f t="shared" si="17"/>
        <v>10.7</v>
      </c>
      <c r="AP14" s="39">
        <f t="shared" si="18"/>
        <v>12.55</v>
      </c>
      <c r="AQ14" s="41">
        <f t="shared" si="19"/>
        <v>43.65</v>
      </c>
      <c r="AR14" s="41">
        <f t="shared" si="20"/>
        <v>13.4</v>
      </c>
      <c r="AS14" s="41">
        <f t="shared" si="21"/>
        <v>15.97</v>
      </c>
      <c r="AT14" s="41">
        <f t="shared" si="22"/>
        <v>54.769999999999996</v>
      </c>
      <c r="AU14" s="41">
        <f t="shared" si="23"/>
        <v>54.769999999999996</v>
      </c>
      <c r="AV14" s="41">
        <f t="shared" si="24"/>
        <v>13.4</v>
      </c>
      <c r="AW14" s="41">
        <f t="shared" si="25"/>
        <v>15.87</v>
      </c>
      <c r="AX14" s="41">
        <f t="shared" si="26"/>
        <v>52.769999999999996</v>
      </c>
      <c r="AY14" s="41">
        <f t="shared" si="27"/>
        <v>107.53999999999999</v>
      </c>
      <c r="AZ14" s="27">
        <v>6.85</v>
      </c>
      <c r="BA14" s="27">
        <v>4.5999999999999996</v>
      </c>
      <c r="BB14" s="27">
        <v>6.35</v>
      </c>
      <c r="BC14" s="27">
        <v>7.1800000000000006</v>
      </c>
      <c r="BD14" s="27">
        <v>0</v>
      </c>
      <c r="BE14" s="27">
        <v>10.9</v>
      </c>
      <c r="BF14" s="27">
        <v>6.65</v>
      </c>
      <c r="BG14" s="27">
        <v>9.4499999999999993</v>
      </c>
      <c r="BH14" s="27">
        <v>11.49</v>
      </c>
      <c r="BI14" s="27">
        <v>0.05</v>
      </c>
      <c r="BJ14" s="27">
        <v>7.35</v>
      </c>
      <c r="BK14" s="27">
        <v>4.45</v>
      </c>
      <c r="BL14" s="27">
        <v>6.7</v>
      </c>
      <c r="BM14" s="27">
        <v>7.9349999999999996</v>
      </c>
      <c r="BN14" s="27">
        <v>0.05</v>
      </c>
      <c r="BO14" s="29" t="s">
        <v>57</v>
      </c>
      <c r="BP14" s="40">
        <f t="shared" si="28"/>
        <v>6.35</v>
      </c>
      <c r="BQ14" s="40">
        <f t="shared" si="29"/>
        <v>7.1800000000000006</v>
      </c>
      <c r="BR14" s="11">
        <f t="shared" si="30"/>
        <v>24.979999999999997</v>
      </c>
      <c r="BS14" s="11">
        <f t="shared" si="31"/>
        <v>9.4499999999999993</v>
      </c>
      <c r="BT14" s="11">
        <f t="shared" si="32"/>
        <v>11.49</v>
      </c>
      <c r="BU14" s="11">
        <f t="shared" si="33"/>
        <v>38.440000000000005</v>
      </c>
      <c r="BV14" s="11">
        <f t="shared" si="34"/>
        <v>38.440000000000005</v>
      </c>
      <c r="BW14" s="11">
        <f t="shared" si="35"/>
        <v>6.7</v>
      </c>
      <c r="BX14" s="11">
        <f t="shared" si="36"/>
        <v>7.9349999999999996</v>
      </c>
      <c r="BY14" s="11">
        <f t="shared" si="37"/>
        <v>26.384999999999998</v>
      </c>
      <c r="BZ14" s="11">
        <f t="shared" si="38"/>
        <v>64.825000000000003</v>
      </c>
      <c r="CA14" s="23">
        <v>11.2</v>
      </c>
      <c r="CB14" s="23">
        <v>7.1</v>
      </c>
      <c r="CC14" s="23">
        <v>10.1</v>
      </c>
      <c r="CD14" s="23">
        <v>13.07</v>
      </c>
      <c r="CE14" s="23">
        <v>0</v>
      </c>
      <c r="CF14" s="23">
        <v>15.3</v>
      </c>
      <c r="CG14" s="23">
        <v>9</v>
      </c>
      <c r="CH14" s="23">
        <v>13.4</v>
      </c>
      <c r="CI14" s="23">
        <v>16.309999999999999</v>
      </c>
      <c r="CJ14" s="23">
        <v>0.1</v>
      </c>
      <c r="CK14" s="23">
        <v>15.8</v>
      </c>
      <c r="CL14" s="23">
        <v>8.5</v>
      </c>
      <c r="CM14" s="23">
        <v>14</v>
      </c>
      <c r="CN14" s="23">
        <v>16.190000000000001</v>
      </c>
      <c r="CO14" s="23">
        <v>0</v>
      </c>
      <c r="CP14" s="28"/>
      <c r="CQ14" s="39">
        <f t="shared" si="39"/>
        <v>10.1</v>
      </c>
      <c r="CR14" s="39">
        <f t="shared" si="40"/>
        <v>13.07</v>
      </c>
      <c r="CS14" s="41">
        <f t="shared" si="41"/>
        <v>41.47</v>
      </c>
      <c r="CT14" s="41">
        <f t="shared" si="42"/>
        <v>13.4</v>
      </c>
      <c r="CU14" s="41">
        <f t="shared" si="43"/>
        <v>16.309999999999999</v>
      </c>
      <c r="CV14" s="41">
        <f t="shared" si="44"/>
        <v>53.910000000000004</v>
      </c>
      <c r="CW14" s="41">
        <f t="shared" si="45"/>
        <v>53.910000000000004</v>
      </c>
      <c r="CX14" s="41">
        <f t="shared" si="46"/>
        <v>14</v>
      </c>
      <c r="CY14" s="41">
        <f t="shared" si="47"/>
        <v>16.190000000000001</v>
      </c>
      <c r="CZ14" s="41">
        <f t="shared" si="48"/>
        <v>54.489999999999995</v>
      </c>
      <c r="DA14" s="41">
        <f t="shared" si="49"/>
        <v>108.4</v>
      </c>
      <c r="DB14" s="52">
        <f t="shared" si="50"/>
        <v>9.8800000000000026</v>
      </c>
      <c r="DC14" s="52" t="str">
        <f t="shared" si="51"/>
        <v/>
      </c>
      <c r="DD14" s="17">
        <v>1.4</v>
      </c>
      <c r="DE14" s="17">
        <v>0.8</v>
      </c>
      <c r="DF14" s="17">
        <v>2</v>
      </c>
      <c r="DG14" s="17">
        <v>1.76</v>
      </c>
      <c r="DH14" s="17">
        <v>0.4</v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>
        <f t="shared" si="52"/>
        <v>2</v>
      </c>
      <c r="DY14" s="41">
        <f t="shared" si="53"/>
        <v>1.76</v>
      </c>
      <c r="DZ14" s="41">
        <f t="shared" si="54"/>
        <v>5.56</v>
      </c>
      <c r="EA14" s="41" t="str">
        <f t="shared" si="55"/>
        <v/>
      </c>
      <c r="EB14" s="41" t="str">
        <f t="shared" si="56"/>
        <v/>
      </c>
      <c r="EC14" s="41" t="str">
        <f t="shared" si="57"/>
        <v/>
      </c>
      <c r="ED14" s="41">
        <f t="shared" si="58"/>
        <v>5.56</v>
      </c>
      <c r="EE14" s="41" t="str">
        <f t="shared" si="59"/>
        <v/>
      </c>
      <c r="EF14" s="41" t="str">
        <f t="shared" si="60"/>
        <v/>
      </c>
      <c r="EG14" s="41" t="str">
        <f t="shared" si="61"/>
        <v/>
      </c>
      <c r="EH14" s="41" t="str">
        <f t="shared" si="62"/>
        <v/>
      </c>
      <c r="EI14" s="41" t="str">
        <f t="shared" si="63"/>
        <v/>
      </c>
      <c r="EJ14" s="41" t="str">
        <f t="shared" si="64"/>
        <v/>
      </c>
      <c r="EK14" s="41">
        <f t="shared" si="65"/>
        <v>5.56</v>
      </c>
      <c r="EL14" s="18">
        <v>13.3</v>
      </c>
      <c r="EM14" s="18">
        <v>9.4</v>
      </c>
      <c r="EN14" s="18">
        <v>12.3</v>
      </c>
      <c r="EO14" s="18">
        <v>15.58</v>
      </c>
      <c r="EP14" s="18">
        <v>0</v>
      </c>
      <c r="EQ14" s="18">
        <v>14.7</v>
      </c>
      <c r="ER14" s="18">
        <v>9.1999999999999993</v>
      </c>
      <c r="ES14" s="18">
        <v>13.8</v>
      </c>
      <c r="ET14" s="18">
        <v>15.83</v>
      </c>
      <c r="EU14" s="18">
        <v>0</v>
      </c>
      <c r="EV14" s="18"/>
      <c r="EW14" s="18"/>
      <c r="EX14" s="18"/>
      <c r="EY14" s="18"/>
      <c r="EZ14" s="18"/>
      <c r="FA14" s="18">
        <v>15.1</v>
      </c>
      <c r="FB14" s="18">
        <v>8.8000000000000007</v>
      </c>
      <c r="FC14" s="18">
        <v>13.8</v>
      </c>
      <c r="FD14" s="18">
        <v>15.76</v>
      </c>
      <c r="FE14" s="18">
        <v>0</v>
      </c>
      <c r="FF14" s="11">
        <f t="shared" si="66"/>
        <v>12.3</v>
      </c>
      <c r="FG14" s="11">
        <f t="shared" si="67"/>
        <v>15.58</v>
      </c>
      <c r="FH14" s="11">
        <f t="shared" si="68"/>
        <v>50.58</v>
      </c>
      <c r="FI14" s="11">
        <f t="shared" si="69"/>
        <v>13.8</v>
      </c>
      <c r="FJ14" s="11">
        <f t="shared" si="70"/>
        <v>15.83</v>
      </c>
      <c r="FK14" s="11">
        <f t="shared" si="71"/>
        <v>53.53</v>
      </c>
      <c r="FL14" s="11">
        <f t="shared" si="72"/>
        <v>53.53</v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>
        <f t="shared" si="76"/>
        <v>13.8</v>
      </c>
      <c r="FQ14" s="11">
        <f t="shared" si="77"/>
        <v>15.76</v>
      </c>
      <c r="FR14" s="11">
        <f t="shared" si="78"/>
        <v>53.46</v>
      </c>
      <c r="FS14" s="11">
        <f t="shared" si="79"/>
        <v>106.99000000000001</v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1" t="str">
        <f t="shared" si="80"/>
        <v/>
      </c>
      <c r="GO14" s="41" t="str">
        <f t="shared" si="81"/>
        <v/>
      </c>
      <c r="GP14" s="41" t="str">
        <f t="shared" si="82"/>
        <v/>
      </c>
      <c r="GQ14" s="41" t="str">
        <f t="shared" si="83"/>
        <v/>
      </c>
      <c r="GR14" s="41" t="str">
        <f t="shared" si="84"/>
        <v/>
      </c>
      <c r="GS14" s="41" t="str">
        <f t="shared" si="85"/>
        <v/>
      </c>
      <c r="GT14" s="41" t="str">
        <f t="shared" si="86"/>
        <v/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 t="str">
        <f t="shared" si="90"/>
        <v/>
      </c>
      <c r="GY14" s="41" t="str">
        <f t="shared" si="91"/>
        <v/>
      </c>
      <c r="GZ14" s="41" t="str">
        <f t="shared" si="92"/>
        <v/>
      </c>
      <c r="HA14" s="41" t="str">
        <f t="shared" si="93"/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 t="shared" si="108"/>
        <v/>
      </c>
      <c r="JE14" s="41" t="str">
        <f t="shared" si="109"/>
        <v/>
      </c>
      <c r="JF14" s="41" t="str">
        <f t="shared" si="110"/>
        <v/>
      </c>
      <c r="JG14" s="41" t="str">
        <f t="shared" si="111"/>
        <v/>
      </c>
      <c r="JH14" s="41" t="str">
        <f t="shared" si="112"/>
        <v/>
      </c>
      <c r="JI14" s="41" t="str">
        <f t="shared" si="113"/>
        <v/>
      </c>
      <c r="JJ14" s="41" t="str">
        <f t="shared" si="114"/>
        <v/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 t="str">
        <f t="shared" si="118"/>
        <v/>
      </c>
      <c r="JO14" s="41" t="str">
        <f t="shared" si="119"/>
        <v/>
      </c>
      <c r="JP14" s="41" t="str">
        <f t="shared" si="120"/>
        <v/>
      </c>
      <c r="JQ14" s="41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 t="shared" si="206"/>
        <v/>
      </c>
      <c r="SI14" s="11" t="str">
        <f t="shared" si="207"/>
        <v/>
      </c>
      <c r="SJ14" s="11" t="str">
        <f t="shared" si="208"/>
        <v/>
      </c>
      <c r="SK14" s="11" t="str">
        <f t="shared" si="209"/>
        <v/>
      </c>
      <c r="SL14" s="11" t="str">
        <f t="shared" si="210"/>
        <v/>
      </c>
      <c r="SM14" s="11" t="str">
        <f t="shared" si="211"/>
        <v/>
      </c>
      <c r="SN14" s="11" t="str">
        <f t="shared" si="212"/>
        <v/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 t="str">
        <f t="shared" si="219"/>
        <v/>
      </c>
      <c r="SV14" s="23">
        <f t="shared" si="220"/>
        <v>9.0249999999999986</v>
      </c>
      <c r="SW14" s="23">
        <f t="shared" si="221"/>
        <v>5.85</v>
      </c>
      <c r="SX14" s="23">
        <f t="shared" si="222"/>
        <v>8.2249999999999996</v>
      </c>
      <c r="SY14" s="23">
        <f t="shared" si="223"/>
        <v>10.125</v>
      </c>
      <c r="SZ14" s="23">
        <f t="shared" si="224"/>
        <v>0</v>
      </c>
      <c r="TA14" s="23">
        <f t="shared" si="225"/>
        <v>13.100000000000001</v>
      </c>
      <c r="TB14" s="23">
        <f t="shared" si="226"/>
        <v>7.8250000000000002</v>
      </c>
      <c r="TC14" s="23">
        <f t="shared" si="227"/>
        <v>11.425000000000001</v>
      </c>
      <c r="TD14" s="23">
        <f t="shared" si="228"/>
        <v>13.899999999999999</v>
      </c>
      <c r="TE14" s="23">
        <f t="shared" si="229"/>
        <v>7.5000000000000011E-2</v>
      </c>
      <c r="TF14" s="23">
        <f t="shared" si="230"/>
        <v>11.574999999999999</v>
      </c>
      <c r="TG14" s="23">
        <f t="shared" si="231"/>
        <v>6.4749999999999996</v>
      </c>
      <c r="TH14" s="23">
        <f t="shared" si="232"/>
        <v>10.35</v>
      </c>
      <c r="TI14" s="23">
        <f t="shared" si="233"/>
        <v>12.0625</v>
      </c>
      <c r="TJ14" s="23">
        <f t="shared" si="234"/>
        <v>2.5000000000000001E-2</v>
      </c>
      <c r="TK14" s="28" t="s">
        <v>57</v>
      </c>
      <c r="TL14" s="41">
        <f t="shared" si="235"/>
        <v>8.2249999999999996</v>
      </c>
      <c r="TM14" s="41">
        <f t="shared" si="236"/>
        <v>10.125</v>
      </c>
      <c r="TN14" s="41">
        <f t="shared" si="237"/>
        <v>33.224999999999994</v>
      </c>
      <c r="TO14" s="41">
        <f t="shared" si="238"/>
        <v>11.425000000000001</v>
      </c>
      <c r="TP14" s="41">
        <f t="shared" si="239"/>
        <v>13.899999999999999</v>
      </c>
      <c r="TQ14" s="41">
        <f t="shared" si="240"/>
        <v>46.174999999999997</v>
      </c>
      <c r="TR14" s="41">
        <f t="shared" si="241"/>
        <v>46.174999999999997</v>
      </c>
      <c r="TS14" s="41">
        <f t="shared" si="242"/>
        <v>10.35</v>
      </c>
      <c r="TT14" s="41">
        <f t="shared" si="243"/>
        <v>12.0625</v>
      </c>
      <c r="TU14" s="41">
        <f t="shared" si="244"/>
        <v>40.4375</v>
      </c>
      <c r="TV14" s="41">
        <f t="shared" si="245"/>
        <v>86.612499999999997</v>
      </c>
    </row>
    <row r="15" spans="1:542" x14ac:dyDescent="0.2">
      <c r="A15" s="4" cm="1">
        <f t="array" ref="A15">IF(AND(H15&lt;&gt;"",H15&lt;&gt;"No DD"),SUMPRODUCT((H$4:H$24&lt;&gt;"")*(H$4:H$24&lt;&gt;"No DD")*(E$4:E$24&gt;E15))+1,IF(H15="No DD",SUMPRODUCT((H$4:H$24="No DD")*(E$4:E$24&gt;E15))+1+SUMPRODUCT((H$4:H$24&lt;&gt;"")*(H$4:H$24&lt;&gt;"No DD")),""))</f>
        <v>10</v>
      </c>
      <c r="B15" s="5" t="s">
        <v>239</v>
      </c>
      <c r="C15" s="4" t="s">
        <v>3</v>
      </c>
      <c r="D15" s="4">
        <v>2005</v>
      </c>
      <c r="E15" s="9">
        <f t="shared" si="0"/>
        <v>226.29002261700543</v>
      </c>
      <c r="F15" s="3" t="str">
        <f t="shared" si="1"/>
        <v/>
      </c>
      <c r="G15" s="3" t="str">
        <f t="shared" si="2"/>
        <v>P</v>
      </c>
      <c r="H15" s="37" t="str">
        <f t="shared" si="3"/>
        <v>No DD</v>
      </c>
      <c r="I15" s="3" t="str">
        <f t="shared" si="4"/>
        <v/>
      </c>
      <c r="J15" s="8">
        <f>IF(COUNT(AQ15,AT15,BR15,BU15,CS15,CV15)&gt;0,LARGE((AQ15,AT15,BR15,BU15,CS15,CV15),1),0)</f>
        <v>54.05</v>
      </c>
      <c r="K15" s="8" t="str">
        <f t="shared" si="5"/>
        <v>2023 Nationals</v>
      </c>
      <c r="L15" s="8">
        <f>IF(COUNT(AQ15,AT15,BR15,BU15,CS15,CV15)&gt;1,LARGE((AQ15,AT15,BR15,BU15,CS15,CV15),2),0)</f>
        <v>53.04</v>
      </c>
      <c r="M15" s="8" t="str">
        <f t="shared" si="6"/>
        <v>2023 Nationals</v>
      </c>
      <c r="N15" s="8">
        <f>IF(COUNT(AQ15,AT15,BR15,BU15,CS15,CV15)&gt;2,LARGE((AQ15,AT15,BR15,BU15,CS15,CV15),3),0)</f>
        <v>51.749999999999993</v>
      </c>
      <c r="O15" s="8" t="str">
        <f t="shared" si="7"/>
        <v>2023 Domestic 3rd Trial</v>
      </c>
      <c r="P15" s="8">
        <f t="shared" si="8"/>
        <v>53.33</v>
      </c>
      <c r="Q15" s="8" t="str">
        <f t="shared" si="9"/>
        <v>2023 Nationals</v>
      </c>
      <c r="R15" s="8">
        <f t="shared" si="10"/>
        <v>14</v>
      </c>
      <c r="S15" s="8" t="str">
        <f t="shared" si="11"/>
        <v>2023 Domestic 3rd Trial</v>
      </c>
      <c r="T15" s="8">
        <f t="shared" si="12"/>
        <v>0</v>
      </c>
      <c r="U15" s="8" t="str">
        <f t="shared" si="13"/>
        <v/>
      </c>
      <c r="V15" s="8">
        <f t="shared" si="14"/>
        <v>0.12000000000001165</v>
      </c>
      <c r="W15" s="11" t="str">
        <f t="shared" si="15"/>
        <v>(Prelim)</v>
      </c>
      <c r="X15" s="8" t="str">
        <f t="shared" si="16"/>
        <v>2023 WAGC (Nov 18)</v>
      </c>
      <c r="Y15" s="23">
        <v>17.8</v>
      </c>
      <c r="Z15" s="23">
        <v>3.9</v>
      </c>
      <c r="AA15" s="23">
        <v>5.6</v>
      </c>
      <c r="AB15" s="23">
        <v>6.37</v>
      </c>
      <c r="AC15" s="23">
        <v>0</v>
      </c>
      <c r="AD15" s="23">
        <v>15.6</v>
      </c>
      <c r="AE15" s="23">
        <v>8.1</v>
      </c>
      <c r="AF15" s="23">
        <v>11.5</v>
      </c>
      <c r="AG15" s="23">
        <v>14.05</v>
      </c>
      <c r="AH15" s="23">
        <v>0</v>
      </c>
      <c r="AI15" s="23">
        <v>12.1</v>
      </c>
      <c r="AJ15" s="23">
        <v>8.8000000000000007</v>
      </c>
      <c r="AK15" s="23">
        <v>12.7</v>
      </c>
      <c r="AL15" s="23">
        <v>15.13</v>
      </c>
      <c r="AM15" s="23">
        <v>0</v>
      </c>
      <c r="AN15" s="28"/>
      <c r="AO15" s="39">
        <f t="shared" si="17"/>
        <v>5.6</v>
      </c>
      <c r="AP15" s="39">
        <f t="shared" si="18"/>
        <v>6.37</v>
      </c>
      <c r="AQ15" s="41">
        <f t="shared" si="19"/>
        <v>33.669999999999995</v>
      </c>
      <c r="AR15" s="41">
        <f t="shared" si="20"/>
        <v>11.5</v>
      </c>
      <c r="AS15" s="41">
        <f t="shared" si="21"/>
        <v>14.05</v>
      </c>
      <c r="AT15" s="41">
        <f t="shared" si="22"/>
        <v>49.25</v>
      </c>
      <c r="AU15" s="41">
        <f t="shared" si="23"/>
        <v>49.25</v>
      </c>
      <c r="AV15" s="41">
        <f t="shared" si="24"/>
        <v>12.7</v>
      </c>
      <c r="AW15" s="41">
        <f t="shared" si="25"/>
        <v>15.13</v>
      </c>
      <c r="AX15" s="41">
        <f t="shared" si="26"/>
        <v>48.73</v>
      </c>
      <c r="AY15" s="41">
        <f t="shared" si="27"/>
        <v>97.97999999999999</v>
      </c>
      <c r="AZ15" s="27">
        <v>15.2</v>
      </c>
      <c r="BA15" s="27">
        <v>9.6</v>
      </c>
      <c r="BB15" s="27">
        <v>13.7</v>
      </c>
      <c r="BC15" s="27">
        <v>15.55</v>
      </c>
      <c r="BD15" s="27">
        <v>0</v>
      </c>
      <c r="BE15" s="27">
        <v>15.2</v>
      </c>
      <c r="BF15" s="27">
        <v>8.9</v>
      </c>
      <c r="BG15" s="27">
        <v>13.7</v>
      </c>
      <c r="BH15" s="27">
        <v>15.24</v>
      </c>
      <c r="BI15" s="27">
        <v>0</v>
      </c>
      <c r="BJ15" s="27">
        <v>15.1</v>
      </c>
      <c r="BK15" s="27">
        <v>9</v>
      </c>
      <c r="BL15" s="27">
        <v>13.7</v>
      </c>
      <c r="BM15" s="27">
        <v>15.53</v>
      </c>
      <c r="BN15" s="27">
        <v>0</v>
      </c>
      <c r="BO15" s="29"/>
      <c r="BP15" s="40">
        <f t="shared" si="28"/>
        <v>13.7</v>
      </c>
      <c r="BQ15" s="40">
        <f t="shared" si="29"/>
        <v>15.55</v>
      </c>
      <c r="BR15" s="11">
        <f t="shared" si="30"/>
        <v>54.05</v>
      </c>
      <c r="BS15" s="11">
        <f t="shared" si="31"/>
        <v>13.7</v>
      </c>
      <c r="BT15" s="11">
        <f t="shared" si="32"/>
        <v>15.24</v>
      </c>
      <c r="BU15" s="11">
        <f t="shared" si="33"/>
        <v>53.04</v>
      </c>
      <c r="BV15" s="11">
        <f t="shared" si="34"/>
        <v>54.05</v>
      </c>
      <c r="BW15" s="11">
        <f t="shared" si="35"/>
        <v>13.7</v>
      </c>
      <c r="BX15" s="11">
        <f t="shared" si="36"/>
        <v>15.53</v>
      </c>
      <c r="BY15" s="11">
        <f t="shared" si="37"/>
        <v>53.33</v>
      </c>
      <c r="BZ15" s="11">
        <f t="shared" si="38"/>
        <v>107.38</v>
      </c>
      <c r="CA15" s="23">
        <v>5.9</v>
      </c>
      <c r="CB15" s="23">
        <v>3.6</v>
      </c>
      <c r="CC15" s="23">
        <v>6.5</v>
      </c>
      <c r="CD15" s="23">
        <v>6.48</v>
      </c>
      <c r="CE15" s="23">
        <v>0</v>
      </c>
      <c r="CF15" s="23">
        <v>13.4</v>
      </c>
      <c r="CG15" s="23">
        <v>9.4</v>
      </c>
      <c r="CH15" s="23">
        <v>14</v>
      </c>
      <c r="CI15" s="23">
        <v>15.15</v>
      </c>
      <c r="CJ15" s="23">
        <v>0.2</v>
      </c>
      <c r="CK15" s="23"/>
      <c r="CL15" s="23"/>
      <c r="CM15" s="23"/>
      <c r="CN15" s="23"/>
      <c r="CO15" s="23"/>
      <c r="CP15" s="28"/>
      <c r="CQ15" s="39">
        <f t="shared" si="39"/>
        <v>6.5</v>
      </c>
      <c r="CR15" s="39">
        <f t="shared" si="40"/>
        <v>6.48</v>
      </c>
      <c r="CS15" s="41">
        <f t="shared" si="41"/>
        <v>22.48</v>
      </c>
      <c r="CT15" s="41">
        <f t="shared" si="42"/>
        <v>14</v>
      </c>
      <c r="CU15" s="41">
        <f t="shared" si="43"/>
        <v>15.15</v>
      </c>
      <c r="CV15" s="41">
        <f t="shared" si="44"/>
        <v>51.749999999999993</v>
      </c>
      <c r="CW15" s="41">
        <f t="shared" si="45"/>
        <v>51.749999999999993</v>
      </c>
      <c r="CX15" s="41" t="str">
        <f t="shared" si="46"/>
        <v/>
      </c>
      <c r="CY15" s="41" t="str">
        <f t="shared" si="47"/>
        <v/>
      </c>
      <c r="CZ15" s="41" t="str">
        <f t="shared" si="48"/>
        <v/>
      </c>
      <c r="DA15" s="41">
        <f t="shared" si="49"/>
        <v>51.749999999999993</v>
      </c>
      <c r="DB15" s="52">
        <f t="shared" si="50"/>
        <v>0.12000000000001165</v>
      </c>
      <c r="DC15" s="52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 t="shared" si="52"/>
        <v/>
      </c>
      <c r="DY15" s="41" t="str">
        <f t="shared" si="53"/>
        <v/>
      </c>
      <c r="DZ15" s="41" t="str">
        <f t="shared" si="54"/>
        <v/>
      </c>
      <c r="EA15" s="41" t="str">
        <f t="shared" si="55"/>
        <v/>
      </c>
      <c r="EB15" s="41" t="str">
        <f t="shared" si="56"/>
        <v/>
      </c>
      <c r="EC15" s="41" t="str">
        <f t="shared" si="57"/>
        <v/>
      </c>
      <c r="ED15" s="41" t="str">
        <f t="shared" si="58"/>
        <v/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 t="str">
        <f t="shared" si="62"/>
        <v/>
      </c>
      <c r="EI15" s="41" t="str">
        <f t="shared" si="63"/>
        <v/>
      </c>
      <c r="EJ15" s="41" t="str">
        <f t="shared" si="64"/>
        <v/>
      </c>
      <c r="EK15" s="41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 t="shared" si="136"/>
        <v/>
      </c>
      <c r="LU15" s="41" t="str">
        <f t="shared" si="137"/>
        <v/>
      </c>
      <c r="LV15" s="41" t="str">
        <f t="shared" si="138"/>
        <v/>
      </c>
      <c r="LW15" s="41" t="str">
        <f t="shared" si="139"/>
        <v/>
      </c>
      <c r="LX15" s="41" t="str">
        <f t="shared" si="140"/>
        <v/>
      </c>
      <c r="LY15" s="41" t="str">
        <f t="shared" si="141"/>
        <v/>
      </c>
      <c r="LZ15" s="41" t="str">
        <f t="shared" si="142"/>
        <v/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 t="shared" si="164"/>
        <v/>
      </c>
      <c r="OK15" s="41" t="str">
        <f t="shared" si="165"/>
        <v/>
      </c>
      <c r="OL15" s="41" t="str">
        <f t="shared" si="166"/>
        <v/>
      </c>
      <c r="OM15" s="41" t="str">
        <f t="shared" si="167"/>
        <v/>
      </c>
      <c r="ON15" s="41" t="str">
        <f t="shared" si="168"/>
        <v/>
      </c>
      <c r="OO15" s="41" t="str">
        <f t="shared" si="169"/>
        <v/>
      </c>
      <c r="OP15" s="41" t="str">
        <f t="shared" si="170"/>
        <v/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 t="shared" si="192"/>
        <v/>
      </c>
      <c r="RA15" s="41" t="str">
        <f t="shared" si="193"/>
        <v/>
      </c>
      <c r="RB15" s="41" t="str">
        <f t="shared" si="194"/>
        <v/>
      </c>
      <c r="RC15" s="41" t="str">
        <f t="shared" si="195"/>
        <v/>
      </c>
      <c r="RD15" s="41" t="str">
        <f t="shared" si="196"/>
        <v/>
      </c>
      <c r="RE15" s="41" t="str">
        <f t="shared" si="197"/>
        <v/>
      </c>
      <c r="RF15" s="41" t="str">
        <f t="shared" si="198"/>
        <v/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 t="str">
        <f t="shared" si="205"/>
        <v/>
      </c>
      <c r="RN15" s="18">
        <v>5.3</v>
      </c>
      <c r="RO15" s="18">
        <v>3.8</v>
      </c>
      <c r="RP15" s="18">
        <v>6.5</v>
      </c>
      <c r="RQ15" s="18">
        <v>6.33</v>
      </c>
      <c r="RR15" s="18">
        <v>0</v>
      </c>
      <c r="RS15" s="18">
        <v>13.3</v>
      </c>
      <c r="RT15" s="18">
        <v>9.3000000000000007</v>
      </c>
      <c r="RU15" s="18">
        <v>14</v>
      </c>
      <c r="RV15" s="18">
        <v>15.27</v>
      </c>
      <c r="RW15" s="18">
        <v>0</v>
      </c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>
        <f t="shared" si="206"/>
        <v>6.5</v>
      </c>
      <c r="SI15" s="11">
        <f t="shared" si="207"/>
        <v>6.33</v>
      </c>
      <c r="SJ15" s="11">
        <f t="shared" si="208"/>
        <v>21.93</v>
      </c>
      <c r="SK15" s="11">
        <f t="shared" si="209"/>
        <v>14</v>
      </c>
      <c r="SL15" s="11">
        <f t="shared" si="210"/>
        <v>15.27</v>
      </c>
      <c r="SM15" s="11">
        <f t="shared" si="211"/>
        <v>51.870000000000005</v>
      </c>
      <c r="SN15" s="11">
        <f t="shared" si="212"/>
        <v>51.870000000000005</v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>
        <f t="shared" si="219"/>
        <v>51.870000000000005</v>
      </c>
      <c r="SV15" s="23">
        <f t="shared" si="220"/>
        <v>10.55</v>
      </c>
      <c r="SW15" s="23">
        <f t="shared" si="221"/>
        <v>6.6</v>
      </c>
      <c r="SX15" s="23">
        <f t="shared" si="222"/>
        <v>10.1</v>
      </c>
      <c r="SY15" s="23">
        <f t="shared" si="223"/>
        <v>11.015000000000001</v>
      </c>
      <c r="SZ15" s="23">
        <f t="shared" si="224"/>
        <v>0</v>
      </c>
      <c r="TA15" s="23">
        <f t="shared" si="225"/>
        <v>14.3</v>
      </c>
      <c r="TB15" s="23">
        <f t="shared" si="226"/>
        <v>9.15</v>
      </c>
      <c r="TC15" s="23">
        <f t="shared" si="227"/>
        <v>13.85</v>
      </c>
      <c r="TD15" s="23">
        <f t="shared" si="228"/>
        <v>15.195</v>
      </c>
      <c r="TE15" s="23">
        <f t="shared" si="229"/>
        <v>0.1</v>
      </c>
      <c r="TF15" s="23">
        <f t="shared" si="230"/>
        <v>7.55</v>
      </c>
      <c r="TG15" s="23">
        <f t="shared" si="231"/>
        <v>4.5</v>
      </c>
      <c r="TH15" s="23">
        <f t="shared" si="232"/>
        <v>6.85</v>
      </c>
      <c r="TI15" s="23">
        <f t="shared" si="233"/>
        <v>7.7649999999999997</v>
      </c>
      <c r="TJ15" s="23">
        <f t="shared" si="234"/>
        <v>0</v>
      </c>
      <c r="TK15" s="28" t="s">
        <v>57</v>
      </c>
      <c r="TL15" s="41">
        <f t="shared" si="235"/>
        <v>10.1</v>
      </c>
      <c r="TM15" s="41">
        <f t="shared" si="236"/>
        <v>11.015000000000001</v>
      </c>
      <c r="TN15" s="41">
        <f t="shared" si="237"/>
        <v>38.265000000000001</v>
      </c>
      <c r="TO15" s="41">
        <f t="shared" si="238"/>
        <v>13.85</v>
      </c>
      <c r="TP15" s="41">
        <f t="shared" si="239"/>
        <v>15.195</v>
      </c>
      <c r="TQ15" s="41">
        <f t="shared" si="240"/>
        <v>52.395000000000003</v>
      </c>
      <c r="TR15" s="41">
        <f t="shared" si="241"/>
        <v>52.395000000000003</v>
      </c>
      <c r="TS15" s="41">
        <f t="shared" si="242"/>
        <v>6.85</v>
      </c>
      <c r="TT15" s="41">
        <f t="shared" si="243"/>
        <v>7.7649999999999997</v>
      </c>
      <c r="TU15" s="41">
        <f t="shared" si="244"/>
        <v>26.664999999999999</v>
      </c>
      <c r="TV15" s="41">
        <f t="shared" si="245"/>
        <v>79.06</v>
      </c>
    </row>
    <row r="16" spans="1:542" x14ac:dyDescent="0.2">
      <c r="A16" s="4" t="str" cm="1">
        <f t="array" ref="A16">IF(AND(H16&lt;&gt;"",H16&lt;&gt;"No DD"),SUMPRODUCT((H$4:H$24&lt;&gt;"")*(H$4:H$24&lt;&gt;"No DD")*(E$4:E$24&gt;E16))+1,IF(H16="No DD",SUMPRODUCT((H$4:H$24="No DD")*(E$4:E$24&gt;E16))+1+SUMPRODUCT((H$4:H$24&lt;&gt;"")*(H$4:H$24&lt;&gt;"No DD")),""))</f>
        <v/>
      </c>
      <c r="B16" s="5" t="s">
        <v>87</v>
      </c>
      <c r="C16" s="4" t="s">
        <v>5</v>
      </c>
      <c r="D16" s="4">
        <v>2003</v>
      </c>
      <c r="E16" s="9">
        <f t="shared" si="0"/>
        <v>223.40002223700523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52.440000000000005</v>
      </c>
      <c r="K16" s="8" t="str">
        <f t="shared" si="5"/>
        <v>2023 Domestic 3rd Trial</v>
      </c>
      <c r="L16" s="8">
        <f>IF(COUNT(AQ16,AT16,BR16,BU16,CS16,CV16)&gt;1,LARGE((AQ16,AT16,BR16,BU16,CS16,CV16),2),0)</f>
        <v>51.69</v>
      </c>
      <c r="M16" s="8" t="str">
        <f t="shared" si="6"/>
        <v>2023 Domestic 3rd Trial</v>
      </c>
      <c r="N16" s="8">
        <f>IF(COUNT(AQ16,AT16,BR16,BU16,CS16,CV16)&gt;2,LARGE((AQ16,AT16,BR16,BU16,CS16,CV16),3),0)</f>
        <v>50.85</v>
      </c>
      <c r="O16" s="8" t="str">
        <f t="shared" si="7"/>
        <v>2023 Elite Canada</v>
      </c>
      <c r="P16" s="8">
        <f t="shared" si="8"/>
        <v>52.790000000000006</v>
      </c>
      <c r="Q16" s="8" t="str">
        <f t="shared" si="9"/>
        <v>2023 Domestic 3rd Trial</v>
      </c>
      <c r="R16" s="8">
        <f t="shared" si="10"/>
        <v>14.6</v>
      </c>
      <c r="S16" s="8" t="str">
        <f t="shared" si="11"/>
        <v>2023 Domestic 3rd Trial</v>
      </c>
      <c r="T16" s="8">
        <f t="shared" si="12"/>
        <v>0</v>
      </c>
      <c r="U16" s="8" t="str">
        <f t="shared" si="13"/>
        <v/>
      </c>
      <c r="V16" s="8">
        <f t="shared" si="14"/>
        <v>1.029999999999994</v>
      </c>
      <c r="W16" s="11" t="str">
        <f t="shared" si="15"/>
        <v>(Prelim)</v>
      </c>
      <c r="X16" s="8" t="str">
        <f t="shared" si="16"/>
        <v>2023 Pan Am Club Championships (May 14)</v>
      </c>
      <c r="Y16" s="23">
        <v>13.5</v>
      </c>
      <c r="Z16" s="23">
        <v>9</v>
      </c>
      <c r="AA16" s="23">
        <v>13.9</v>
      </c>
      <c r="AB16" s="23">
        <v>13.99</v>
      </c>
      <c r="AC16" s="23">
        <v>0</v>
      </c>
      <c r="AD16" s="23">
        <v>13.6</v>
      </c>
      <c r="AE16" s="23">
        <v>9.1999999999999993</v>
      </c>
      <c r="AF16" s="23">
        <v>13.7</v>
      </c>
      <c r="AG16" s="23">
        <v>14.35</v>
      </c>
      <c r="AH16" s="23">
        <v>0</v>
      </c>
      <c r="AI16" s="23">
        <v>14.4</v>
      </c>
      <c r="AJ16" s="23">
        <v>9.4</v>
      </c>
      <c r="AK16" s="23">
        <v>13.7</v>
      </c>
      <c r="AL16" s="23">
        <v>14.64</v>
      </c>
      <c r="AM16" s="23">
        <v>0</v>
      </c>
      <c r="AN16" s="28"/>
      <c r="AO16" s="39">
        <f t="shared" si="17"/>
        <v>13.9</v>
      </c>
      <c r="AP16" s="39">
        <f t="shared" si="18"/>
        <v>13.99</v>
      </c>
      <c r="AQ16" s="41">
        <f t="shared" si="19"/>
        <v>50.39</v>
      </c>
      <c r="AR16" s="41">
        <f t="shared" si="20"/>
        <v>13.7</v>
      </c>
      <c r="AS16" s="41">
        <f t="shared" si="21"/>
        <v>14.35</v>
      </c>
      <c r="AT16" s="41">
        <f t="shared" si="22"/>
        <v>50.85</v>
      </c>
      <c r="AU16" s="41">
        <f t="shared" si="23"/>
        <v>50.85</v>
      </c>
      <c r="AV16" s="41">
        <f t="shared" si="24"/>
        <v>13.7</v>
      </c>
      <c r="AW16" s="41">
        <f t="shared" si="25"/>
        <v>14.64</v>
      </c>
      <c r="AX16" s="41">
        <f t="shared" si="26"/>
        <v>52.14</v>
      </c>
      <c r="AY16" s="41">
        <f t="shared" si="27"/>
        <v>102.99000000000001</v>
      </c>
      <c r="AZ16" s="27">
        <v>0</v>
      </c>
      <c r="BA16" s="27">
        <v>0</v>
      </c>
      <c r="BB16" s="27">
        <v>0</v>
      </c>
      <c r="BC16" s="27">
        <v>0</v>
      </c>
      <c r="BD16" s="27">
        <v>0</v>
      </c>
      <c r="BE16" s="27">
        <v>12.1</v>
      </c>
      <c r="BF16" s="27">
        <v>8.9</v>
      </c>
      <c r="BG16" s="27">
        <v>14.2</v>
      </c>
      <c r="BH16" s="27">
        <v>14.45</v>
      </c>
      <c r="BI16" s="27">
        <v>0</v>
      </c>
      <c r="BJ16" s="27">
        <v>4.2</v>
      </c>
      <c r="BK16" s="27">
        <v>2.7</v>
      </c>
      <c r="BL16" s="27">
        <v>4.9000000000000004</v>
      </c>
      <c r="BM16" s="27">
        <v>4.71</v>
      </c>
      <c r="BN16" s="27">
        <v>0</v>
      </c>
      <c r="BO16" s="29"/>
      <c r="BP16" s="40" t="str">
        <f t="shared" si="28"/>
        <v/>
      </c>
      <c r="BQ16" s="40" t="str">
        <f t="shared" si="29"/>
        <v/>
      </c>
      <c r="BR16" s="11" t="str">
        <f t="shared" si="30"/>
        <v/>
      </c>
      <c r="BS16" s="11">
        <f t="shared" si="31"/>
        <v>14.2</v>
      </c>
      <c r="BT16" s="11">
        <f t="shared" si="32"/>
        <v>14.45</v>
      </c>
      <c r="BU16" s="11">
        <f t="shared" si="33"/>
        <v>49.650000000000006</v>
      </c>
      <c r="BV16" s="11" t="str">
        <f t="shared" si="34"/>
        <v/>
      </c>
      <c r="BW16" s="11">
        <f t="shared" si="35"/>
        <v>4.9000000000000004</v>
      </c>
      <c r="BX16" s="11">
        <f t="shared" si="36"/>
        <v>4.71</v>
      </c>
      <c r="BY16" s="11">
        <f t="shared" si="37"/>
        <v>16.510000000000002</v>
      </c>
      <c r="BZ16" s="11">
        <f t="shared" si="38"/>
        <v>16.510000000000002</v>
      </c>
      <c r="CA16" s="23">
        <v>14.9</v>
      </c>
      <c r="CB16" s="23">
        <v>8.8000000000000007</v>
      </c>
      <c r="CC16" s="23">
        <v>13.5</v>
      </c>
      <c r="CD16" s="23">
        <v>15.24</v>
      </c>
      <c r="CE16" s="23">
        <v>0</v>
      </c>
      <c r="CF16" s="23">
        <v>13</v>
      </c>
      <c r="CG16" s="23">
        <v>8.6999999999999993</v>
      </c>
      <c r="CH16" s="23">
        <v>14.6</v>
      </c>
      <c r="CI16" s="23">
        <v>15.39</v>
      </c>
      <c r="CJ16" s="23">
        <v>0</v>
      </c>
      <c r="CK16" s="23">
        <v>14.4</v>
      </c>
      <c r="CL16" s="23">
        <v>9.1</v>
      </c>
      <c r="CM16" s="23">
        <v>13.7</v>
      </c>
      <c r="CN16" s="23">
        <v>15.59</v>
      </c>
      <c r="CO16" s="23">
        <v>0</v>
      </c>
      <c r="CP16" s="28"/>
      <c r="CQ16" s="39">
        <f t="shared" si="39"/>
        <v>13.5</v>
      </c>
      <c r="CR16" s="39">
        <f t="shared" si="40"/>
        <v>15.24</v>
      </c>
      <c r="CS16" s="41">
        <f t="shared" si="41"/>
        <v>52.440000000000005</v>
      </c>
      <c r="CT16" s="41">
        <f t="shared" si="42"/>
        <v>14.6</v>
      </c>
      <c r="CU16" s="41">
        <f t="shared" si="43"/>
        <v>15.39</v>
      </c>
      <c r="CV16" s="41">
        <f t="shared" si="44"/>
        <v>51.69</v>
      </c>
      <c r="CW16" s="41">
        <f t="shared" si="45"/>
        <v>52.440000000000005</v>
      </c>
      <c r="CX16" s="41">
        <f t="shared" si="46"/>
        <v>13.7</v>
      </c>
      <c r="CY16" s="41">
        <f t="shared" si="47"/>
        <v>15.59</v>
      </c>
      <c r="CZ16" s="41">
        <f t="shared" si="48"/>
        <v>52.790000000000006</v>
      </c>
      <c r="DA16" s="41">
        <f t="shared" si="49"/>
        <v>105.23000000000002</v>
      </c>
      <c r="DB16" s="52">
        <f t="shared" si="50"/>
        <v>1.029999999999994</v>
      </c>
      <c r="DC16" s="52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 t="shared" si="52"/>
        <v/>
      </c>
      <c r="DY16" s="41" t="str">
        <f t="shared" si="53"/>
        <v/>
      </c>
      <c r="DZ16" s="41" t="str">
        <f t="shared" si="54"/>
        <v/>
      </c>
      <c r="EA16" s="41" t="str">
        <f t="shared" si="55"/>
        <v/>
      </c>
      <c r="EB16" s="41" t="str">
        <f t="shared" si="56"/>
        <v/>
      </c>
      <c r="EC16" s="41" t="str">
        <f t="shared" si="57"/>
        <v/>
      </c>
      <c r="ED16" s="41" t="str">
        <f t="shared" si="58"/>
        <v/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 t="str">
        <f t="shared" si="62"/>
        <v/>
      </c>
      <c r="EI16" s="41" t="str">
        <f t="shared" si="63"/>
        <v/>
      </c>
      <c r="EJ16" s="41" t="str">
        <f t="shared" si="64"/>
        <v/>
      </c>
      <c r="EK16" s="41" t="str">
        <f t="shared" si="65"/>
        <v/>
      </c>
      <c r="EL16" s="18">
        <v>13.9</v>
      </c>
      <c r="EM16" s="18">
        <v>9.5</v>
      </c>
      <c r="EN16" s="18">
        <v>13.7</v>
      </c>
      <c r="EO16" s="18">
        <v>14.78</v>
      </c>
      <c r="EP16" s="18">
        <v>0</v>
      </c>
      <c r="EQ16" s="18">
        <v>2.6</v>
      </c>
      <c r="ER16" s="18">
        <v>1.7</v>
      </c>
      <c r="ES16" s="18">
        <v>3.2</v>
      </c>
      <c r="ET16" s="18">
        <v>3.28</v>
      </c>
      <c r="EU16" s="18">
        <v>0</v>
      </c>
      <c r="EV16" s="18"/>
      <c r="EW16" s="18"/>
      <c r="EX16" s="18"/>
      <c r="EY16" s="18"/>
      <c r="EZ16" s="18"/>
      <c r="FA16" s="18">
        <v>5.5</v>
      </c>
      <c r="FB16" s="18">
        <v>3.7</v>
      </c>
      <c r="FC16" s="18">
        <v>5.8</v>
      </c>
      <c r="FD16" s="18">
        <v>6.33</v>
      </c>
      <c r="FE16" s="18">
        <v>0</v>
      </c>
      <c r="FF16" s="11">
        <f t="shared" si="66"/>
        <v>13.7</v>
      </c>
      <c r="FG16" s="11">
        <f t="shared" si="67"/>
        <v>14.78</v>
      </c>
      <c r="FH16" s="11">
        <f t="shared" si="68"/>
        <v>51.879999999999995</v>
      </c>
      <c r="FI16" s="11">
        <f t="shared" si="69"/>
        <v>3.2</v>
      </c>
      <c r="FJ16" s="11">
        <f t="shared" si="70"/>
        <v>3.28</v>
      </c>
      <c r="FK16" s="11">
        <f t="shared" si="71"/>
        <v>10.78</v>
      </c>
      <c r="FL16" s="11">
        <f t="shared" si="72"/>
        <v>51.879999999999995</v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>
        <f t="shared" si="76"/>
        <v>5.8</v>
      </c>
      <c r="FQ16" s="11">
        <f t="shared" si="77"/>
        <v>6.33</v>
      </c>
      <c r="FR16" s="11">
        <f t="shared" si="78"/>
        <v>21.33</v>
      </c>
      <c r="FS16" s="11">
        <f t="shared" si="79"/>
        <v>73.209999999999994</v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7.45</v>
      </c>
      <c r="SW16" s="23">
        <f t="shared" si="221"/>
        <v>4.4000000000000004</v>
      </c>
      <c r="SX16" s="23">
        <f t="shared" si="222"/>
        <v>6.75</v>
      </c>
      <c r="SY16" s="23">
        <f t="shared" si="223"/>
        <v>7.62</v>
      </c>
      <c r="SZ16" s="23">
        <f t="shared" si="224"/>
        <v>0</v>
      </c>
      <c r="TA16" s="23">
        <f t="shared" si="225"/>
        <v>12.55</v>
      </c>
      <c r="TB16" s="23">
        <f t="shared" si="226"/>
        <v>8.8000000000000007</v>
      </c>
      <c r="TC16" s="23">
        <f t="shared" si="227"/>
        <v>14.399999999999999</v>
      </c>
      <c r="TD16" s="23">
        <f t="shared" si="228"/>
        <v>14.92</v>
      </c>
      <c r="TE16" s="23">
        <f t="shared" si="229"/>
        <v>0</v>
      </c>
      <c r="TF16" s="23">
        <f t="shared" si="230"/>
        <v>9.3000000000000007</v>
      </c>
      <c r="TG16" s="23">
        <f t="shared" si="231"/>
        <v>5.9</v>
      </c>
      <c r="TH16" s="23">
        <f t="shared" si="232"/>
        <v>9.3000000000000007</v>
      </c>
      <c r="TI16" s="23">
        <f t="shared" si="233"/>
        <v>10.15</v>
      </c>
      <c r="TJ16" s="23">
        <f t="shared" si="234"/>
        <v>0</v>
      </c>
      <c r="TK16" s="28" t="s">
        <v>57</v>
      </c>
      <c r="TL16" s="41">
        <f t="shared" si="235"/>
        <v>6.75</v>
      </c>
      <c r="TM16" s="41">
        <f t="shared" si="236"/>
        <v>7.62</v>
      </c>
      <c r="TN16" s="41">
        <f t="shared" si="237"/>
        <v>26.220000000000002</v>
      </c>
      <c r="TO16" s="41">
        <f t="shared" si="238"/>
        <v>14.399999999999999</v>
      </c>
      <c r="TP16" s="41">
        <f t="shared" si="239"/>
        <v>14.92</v>
      </c>
      <c r="TQ16" s="41">
        <f t="shared" si="240"/>
        <v>50.67</v>
      </c>
      <c r="TR16" s="41">
        <f t="shared" si="241"/>
        <v>50.67</v>
      </c>
      <c r="TS16" s="41">
        <f t="shared" si="242"/>
        <v>9.3000000000000007</v>
      </c>
      <c r="TT16" s="41">
        <f t="shared" si="243"/>
        <v>10.15</v>
      </c>
      <c r="TU16" s="41">
        <f t="shared" si="244"/>
        <v>34.65</v>
      </c>
      <c r="TV16" s="41">
        <f t="shared" si="245"/>
        <v>85.32</v>
      </c>
    </row>
    <row r="17" spans="1:542" x14ac:dyDescent="0.2">
      <c r="A17" s="4" t="str" cm="1">
        <f t="array" ref="A17">IF(AND(H17&lt;&gt;"",H17&lt;&gt;"No DD"),SUMPRODUCT((H$4:H$24&lt;&gt;"")*(H$4:H$24&lt;&gt;"No DD")*(E$4:E$24&gt;E17))+1,IF(H17="No DD",SUMPRODUCT((H$4:H$24="No DD")*(E$4:E$24&gt;E17))+1+SUMPRODUCT((H$4:H$24&lt;&gt;"")*(H$4:H$24&lt;&gt;"No DD")),""))</f>
        <v/>
      </c>
      <c r="B17" s="5" t="s">
        <v>93</v>
      </c>
      <c r="C17" s="4" t="s">
        <v>8</v>
      </c>
      <c r="D17" s="4">
        <v>2004</v>
      </c>
      <c r="E17" s="9">
        <f t="shared" si="0"/>
        <v>222.35001869900523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52.599999999999994</v>
      </c>
      <c r="K17" s="8" t="str">
        <f t="shared" si="5"/>
        <v>2023 Elite Canada</v>
      </c>
      <c r="L17" s="8">
        <f>IF(COUNT(AQ17,AT17,BR17,BU17,CS17,CV17)&gt;1,LARGE((AQ17,AT17,BR17,BU17,CS17,CV17),2),0)</f>
        <v>50.26</v>
      </c>
      <c r="M17" s="8" t="str">
        <f t="shared" si="6"/>
        <v>2023 Nationals</v>
      </c>
      <c r="N17" s="8">
        <f>IF(COUNT(AQ17,AT17,BR17,BU17,CS17,CV17)&gt;2,LARGE((AQ17,AT17,BR17,BU17,CS17,CV17),3),0)</f>
        <v>16.79</v>
      </c>
      <c r="O17" s="8" t="str">
        <f t="shared" si="7"/>
        <v>2023 Elite Canada</v>
      </c>
      <c r="P17" s="8">
        <f t="shared" si="8"/>
        <v>53.84</v>
      </c>
      <c r="Q17" s="8" t="str">
        <f t="shared" si="9"/>
        <v>2023 Elite Canada</v>
      </c>
      <c r="R17" s="8">
        <f t="shared" si="10"/>
        <v>13.5</v>
      </c>
      <c r="S17" s="8" t="str">
        <f t="shared" si="11"/>
        <v>2023 Elite Canada</v>
      </c>
      <c r="T17" s="8">
        <f t="shared" si="12"/>
        <v>0</v>
      </c>
      <c r="U17" s="8" t="str">
        <f t="shared" si="13"/>
        <v/>
      </c>
      <c r="V17" s="8">
        <f t="shared" si="14"/>
        <v>35.36</v>
      </c>
      <c r="W17" s="11" t="str">
        <f t="shared" si="15"/>
        <v>(Prelim)</v>
      </c>
      <c r="X17" s="8" t="str">
        <f t="shared" si="16"/>
        <v>2022 WAGC (Nov 25)</v>
      </c>
      <c r="Y17" s="23">
        <v>4.8</v>
      </c>
      <c r="Z17" s="23">
        <v>2.9</v>
      </c>
      <c r="AA17" s="23">
        <v>4.4000000000000004</v>
      </c>
      <c r="AB17" s="23">
        <v>4.6900000000000004</v>
      </c>
      <c r="AC17" s="23">
        <v>0</v>
      </c>
      <c r="AD17" s="23">
        <v>14.8</v>
      </c>
      <c r="AE17" s="23">
        <v>9.5</v>
      </c>
      <c r="AF17" s="23">
        <v>13.5</v>
      </c>
      <c r="AG17" s="23">
        <v>14.8</v>
      </c>
      <c r="AH17" s="23">
        <v>0</v>
      </c>
      <c r="AI17" s="23">
        <v>15.5</v>
      </c>
      <c r="AJ17" s="23">
        <v>9.6999999999999993</v>
      </c>
      <c r="AK17" s="23">
        <v>13.5</v>
      </c>
      <c r="AL17" s="23">
        <v>15.14</v>
      </c>
      <c r="AM17" s="23">
        <v>0</v>
      </c>
      <c r="AN17" s="28"/>
      <c r="AO17" s="39">
        <f t="shared" si="17"/>
        <v>4.4000000000000004</v>
      </c>
      <c r="AP17" s="39">
        <f t="shared" si="18"/>
        <v>4.6900000000000004</v>
      </c>
      <c r="AQ17" s="41">
        <f t="shared" si="19"/>
        <v>16.79</v>
      </c>
      <c r="AR17" s="41">
        <f t="shared" si="20"/>
        <v>13.5</v>
      </c>
      <c r="AS17" s="41">
        <f t="shared" si="21"/>
        <v>14.8</v>
      </c>
      <c r="AT17" s="41">
        <f t="shared" si="22"/>
        <v>52.599999999999994</v>
      </c>
      <c r="AU17" s="41">
        <f t="shared" si="23"/>
        <v>52.599999999999994</v>
      </c>
      <c r="AV17" s="41">
        <f t="shared" si="24"/>
        <v>13.5</v>
      </c>
      <c r="AW17" s="41">
        <f t="shared" si="25"/>
        <v>15.14</v>
      </c>
      <c r="AX17" s="41">
        <f t="shared" si="26"/>
        <v>53.84</v>
      </c>
      <c r="AY17" s="41">
        <f t="shared" si="27"/>
        <v>106.44</v>
      </c>
      <c r="AZ17" s="27">
        <v>4.4000000000000004</v>
      </c>
      <c r="BA17" s="27">
        <v>2.6</v>
      </c>
      <c r="BB17" s="27">
        <v>4.2</v>
      </c>
      <c r="BC17" s="27">
        <v>4.66</v>
      </c>
      <c r="BD17" s="27">
        <v>0</v>
      </c>
      <c r="BE17" s="27">
        <v>15.08</v>
      </c>
      <c r="BF17" s="27">
        <v>9.3000000000000007</v>
      </c>
      <c r="BG17" s="27">
        <v>11.7</v>
      </c>
      <c r="BH17" s="27">
        <v>14.18</v>
      </c>
      <c r="BI17" s="27">
        <v>0</v>
      </c>
      <c r="BJ17" s="27">
        <v>4.4000000000000004</v>
      </c>
      <c r="BK17" s="27">
        <v>2.5</v>
      </c>
      <c r="BL17" s="27">
        <v>4.2</v>
      </c>
      <c r="BM17" s="27">
        <v>4.57</v>
      </c>
      <c r="BN17" s="27">
        <v>0</v>
      </c>
      <c r="BO17" s="29"/>
      <c r="BP17" s="40">
        <f t="shared" si="28"/>
        <v>4.2</v>
      </c>
      <c r="BQ17" s="40">
        <f t="shared" si="29"/>
        <v>4.66</v>
      </c>
      <c r="BR17" s="11">
        <f t="shared" si="30"/>
        <v>15.86</v>
      </c>
      <c r="BS17" s="11">
        <f t="shared" si="31"/>
        <v>11.7</v>
      </c>
      <c r="BT17" s="11">
        <f t="shared" si="32"/>
        <v>14.18</v>
      </c>
      <c r="BU17" s="11">
        <f t="shared" si="33"/>
        <v>50.26</v>
      </c>
      <c r="BV17" s="11">
        <f t="shared" si="34"/>
        <v>50.26</v>
      </c>
      <c r="BW17" s="11">
        <f t="shared" si="35"/>
        <v>4.2</v>
      </c>
      <c r="BX17" s="11">
        <f t="shared" si="36"/>
        <v>4.57</v>
      </c>
      <c r="BY17" s="11">
        <f t="shared" si="37"/>
        <v>15.670000000000002</v>
      </c>
      <c r="BZ17" s="11">
        <f t="shared" si="38"/>
        <v>65.930000000000007</v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 t="shared" si="39"/>
        <v/>
      </c>
      <c r="CR17" s="39" t="str">
        <f t="shared" si="40"/>
        <v/>
      </c>
      <c r="CS17" s="41" t="str">
        <f t="shared" si="41"/>
        <v/>
      </c>
      <c r="CT17" s="41" t="str">
        <f t="shared" si="42"/>
        <v/>
      </c>
      <c r="CU17" s="41" t="str">
        <f t="shared" si="43"/>
        <v/>
      </c>
      <c r="CV17" s="41" t="str">
        <f t="shared" si="44"/>
        <v/>
      </c>
      <c r="CW17" s="41" t="str">
        <f t="shared" si="45"/>
        <v/>
      </c>
      <c r="CX17" s="41" t="str">
        <f t="shared" si="46"/>
        <v/>
      </c>
      <c r="CY17" s="41" t="str">
        <f t="shared" si="47"/>
        <v/>
      </c>
      <c r="CZ17" s="41" t="str">
        <f t="shared" si="48"/>
        <v/>
      </c>
      <c r="DA17" s="41" t="str">
        <f t="shared" si="49"/>
        <v/>
      </c>
      <c r="DB17" s="52">
        <f t="shared" si="50"/>
        <v>35.36</v>
      </c>
      <c r="DC17" s="52" t="str">
        <f t="shared" si="51"/>
        <v/>
      </c>
      <c r="DD17" s="17">
        <v>14.4</v>
      </c>
      <c r="DE17" s="17">
        <v>9.5</v>
      </c>
      <c r="DF17" s="17">
        <v>13.5</v>
      </c>
      <c r="DG17" s="17">
        <v>14.75</v>
      </c>
      <c r="DH17" s="17">
        <v>0</v>
      </c>
      <c r="DI17" s="17">
        <v>13.9</v>
      </c>
      <c r="DJ17" s="17">
        <v>9.6</v>
      </c>
      <c r="DK17" s="17">
        <v>13.5</v>
      </c>
      <c r="DL17" s="17">
        <v>14.79</v>
      </c>
      <c r="DM17" s="17">
        <v>0</v>
      </c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>
        <f t="shared" si="52"/>
        <v>13.5</v>
      </c>
      <c r="DY17" s="41">
        <f t="shared" si="53"/>
        <v>14.75</v>
      </c>
      <c r="DZ17" s="41">
        <f t="shared" si="54"/>
        <v>52.15</v>
      </c>
      <c r="EA17" s="41">
        <f t="shared" si="55"/>
        <v>13.5</v>
      </c>
      <c r="EB17" s="41">
        <f t="shared" si="56"/>
        <v>14.79</v>
      </c>
      <c r="EC17" s="41">
        <f t="shared" si="57"/>
        <v>51.79</v>
      </c>
      <c r="ED17" s="41">
        <f t="shared" si="58"/>
        <v>52.15</v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 t="str">
        <f t="shared" si="62"/>
        <v/>
      </c>
      <c r="EI17" s="41" t="str">
        <f t="shared" si="63"/>
        <v/>
      </c>
      <c r="EJ17" s="41" t="str">
        <f t="shared" si="64"/>
        <v/>
      </c>
      <c r="EK17" s="41">
        <f t="shared" si="65"/>
        <v>52.15</v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 t="shared" si="80"/>
        <v/>
      </c>
      <c r="GO17" s="41" t="str">
        <f t="shared" si="81"/>
        <v/>
      </c>
      <c r="GP17" s="41" t="str">
        <f t="shared" si="82"/>
        <v/>
      </c>
      <c r="GQ17" s="41" t="str">
        <f t="shared" si="83"/>
        <v/>
      </c>
      <c r="GR17" s="41" t="str">
        <f t="shared" si="84"/>
        <v/>
      </c>
      <c r="GS17" s="41" t="str">
        <f t="shared" si="85"/>
        <v/>
      </c>
      <c r="GT17" s="41" t="str">
        <f t="shared" si="86"/>
        <v/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2.2000000000000002</v>
      </c>
      <c r="SW17" s="23">
        <f t="shared" si="221"/>
        <v>1.3</v>
      </c>
      <c r="SX17" s="23">
        <f t="shared" si="222"/>
        <v>2.1</v>
      </c>
      <c r="SY17" s="23">
        <f t="shared" si="223"/>
        <v>2.33</v>
      </c>
      <c r="SZ17" s="23">
        <f t="shared" si="224"/>
        <v>0</v>
      </c>
      <c r="TA17" s="23">
        <f t="shared" si="225"/>
        <v>7.54</v>
      </c>
      <c r="TB17" s="23">
        <f t="shared" si="226"/>
        <v>4.6500000000000004</v>
      </c>
      <c r="TC17" s="23">
        <f t="shared" si="227"/>
        <v>5.85</v>
      </c>
      <c r="TD17" s="23">
        <f t="shared" si="228"/>
        <v>7.09</v>
      </c>
      <c r="TE17" s="23">
        <f t="shared" si="229"/>
        <v>0</v>
      </c>
      <c r="TF17" s="23">
        <f t="shared" si="230"/>
        <v>2.2000000000000002</v>
      </c>
      <c r="TG17" s="23">
        <f t="shared" si="231"/>
        <v>1.25</v>
      </c>
      <c r="TH17" s="23">
        <f t="shared" si="232"/>
        <v>2.1</v>
      </c>
      <c r="TI17" s="23">
        <f t="shared" si="233"/>
        <v>2.2850000000000001</v>
      </c>
      <c r="TJ17" s="23">
        <f t="shared" si="234"/>
        <v>0</v>
      </c>
      <c r="TK17" s="28" t="s">
        <v>57</v>
      </c>
      <c r="TL17" s="41">
        <f t="shared" si="235"/>
        <v>2.1</v>
      </c>
      <c r="TM17" s="41">
        <f t="shared" si="236"/>
        <v>2.33</v>
      </c>
      <c r="TN17" s="41">
        <f t="shared" si="237"/>
        <v>7.93</v>
      </c>
      <c r="TO17" s="41">
        <f t="shared" si="238"/>
        <v>5.85</v>
      </c>
      <c r="TP17" s="41">
        <f t="shared" si="239"/>
        <v>7.09</v>
      </c>
      <c r="TQ17" s="41">
        <f t="shared" si="240"/>
        <v>25.13</v>
      </c>
      <c r="TR17" s="41">
        <f t="shared" si="241"/>
        <v>25.13</v>
      </c>
      <c r="TS17" s="41">
        <f t="shared" si="242"/>
        <v>2.1</v>
      </c>
      <c r="TT17" s="41">
        <f t="shared" si="243"/>
        <v>2.2850000000000001</v>
      </c>
      <c r="TU17" s="41">
        <f t="shared" si="244"/>
        <v>7.8350000000000009</v>
      </c>
      <c r="TV17" s="41">
        <f t="shared" si="245"/>
        <v>32.965000000000003</v>
      </c>
    </row>
    <row r="18" spans="1:542" x14ac:dyDescent="0.2">
      <c r="A18" s="4" t="str" cm="1">
        <f t="array" ref="A18">IF(AND(H18&lt;&gt;"",H18&lt;&gt;"No DD"),SUMPRODUCT((H$4:H$24&lt;&gt;"")*(H$4:H$24&lt;&gt;"No DD")*(E$4:E$24&gt;E18))+1,IF(H18="No DD",SUMPRODUCT((H$4:H$24="No DD")*(E$4:E$24&gt;E18))+1+SUMPRODUCT((H$4:H$24&lt;&gt;"")*(H$4:H$24&lt;&gt;"No DD")),""))</f>
        <v/>
      </c>
      <c r="B18" s="5" t="s">
        <v>32</v>
      </c>
      <c r="C18" s="4" t="s">
        <v>8</v>
      </c>
      <c r="D18" s="4">
        <v>1998</v>
      </c>
      <c r="E18" s="9">
        <f t="shared" si="0"/>
        <v>220.49002204900523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IF(COUNT(AQ18,AT18,BR18,BU18,CS18,CV18)&gt;0,LARGE((AQ18,AT18,BR18,BU18,CS18,CV18),1),0)</f>
        <v>52.54</v>
      </c>
      <c r="K18" s="8" t="str">
        <f t="shared" si="5"/>
        <v>2023 Elite Canada</v>
      </c>
      <c r="L18" s="8">
        <f>IF(COUNT(AQ18,AT18,BR18,BU18,CS18,CV18)&gt;1,LARGE((AQ18,AT18,BR18,BU18,CS18,CV18),2),0)</f>
        <v>52.319999999999993</v>
      </c>
      <c r="M18" s="8" t="str">
        <f t="shared" si="6"/>
        <v>2023 Nationals</v>
      </c>
      <c r="N18" s="8">
        <f>IF(COUNT(AQ18,AT18,BR18,BU18,CS18,CV18)&gt;2,LARGE((AQ18,AT18,BR18,BU18,CS18,CV18),3),0)</f>
        <v>52.07</v>
      </c>
      <c r="O18" s="8" t="str">
        <f t="shared" si="7"/>
        <v>2023 Domestic 3rd Trial</v>
      </c>
      <c r="P18" s="8">
        <f t="shared" si="8"/>
        <v>49.76</v>
      </c>
      <c r="Q18" s="8" t="str">
        <f t="shared" si="9"/>
        <v>2023 Elite Canada</v>
      </c>
      <c r="R18" s="8">
        <f t="shared" si="10"/>
        <v>13.8</v>
      </c>
      <c r="S18" s="8" t="str">
        <f t="shared" si="11"/>
        <v>2023 Domestic 3rd Trial</v>
      </c>
      <c r="T18" s="8">
        <f t="shared" si="12"/>
        <v>0</v>
      </c>
      <c r="U18" s="8" t="str">
        <f t="shared" si="13"/>
        <v/>
      </c>
      <c r="V18" s="8" t="str">
        <f t="shared" si="14"/>
        <v/>
      </c>
      <c r="W18" s="11" t="str">
        <f t="shared" si="15"/>
        <v/>
      </c>
      <c r="X18" s="8" t="str">
        <f t="shared" si="16"/>
        <v/>
      </c>
      <c r="Y18" s="23">
        <v>14.5</v>
      </c>
      <c r="Z18" s="23">
        <v>9</v>
      </c>
      <c r="AA18" s="23">
        <v>13.6</v>
      </c>
      <c r="AB18" s="23">
        <v>15.44</v>
      </c>
      <c r="AC18" s="23">
        <v>0</v>
      </c>
      <c r="AD18" s="23">
        <v>12.6</v>
      </c>
      <c r="AE18" s="23">
        <v>9.1999999999999993</v>
      </c>
      <c r="AF18" s="23">
        <v>13.5</v>
      </c>
      <c r="AG18" s="23">
        <v>15.77</v>
      </c>
      <c r="AH18" s="23">
        <v>0.2</v>
      </c>
      <c r="AI18" s="23">
        <v>14.9</v>
      </c>
      <c r="AJ18" s="23">
        <v>8.9</v>
      </c>
      <c r="AK18" s="23">
        <v>12.1</v>
      </c>
      <c r="AL18" s="23">
        <v>15.26</v>
      </c>
      <c r="AM18" s="23">
        <v>1.4</v>
      </c>
      <c r="AN18" s="28"/>
      <c r="AO18" s="39">
        <f t="shared" si="17"/>
        <v>13.6</v>
      </c>
      <c r="AP18" s="39">
        <f t="shared" si="18"/>
        <v>15.44</v>
      </c>
      <c r="AQ18" s="41">
        <f t="shared" si="19"/>
        <v>52.54</v>
      </c>
      <c r="AR18" s="41">
        <f t="shared" si="20"/>
        <v>13.5</v>
      </c>
      <c r="AS18" s="41">
        <f t="shared" si="21"/>
        <v>15.77</v>
      </c>
      <c r="AT18" s="41">
        <f t="shared" si="22"/>
        <v>50.86999999999999</v>
      </c>
      <c r="AU18" s="41">
        <f t="shared" si="23"/>
        <v>52.54</v>
      </c>
      <c r="AV18" s="41">
        <f t="shared" si="24"/>
        <v>12.1</v>
      </c>
      <c r="AW18" s="41">
        <f t="shared" si="25"/>
        <v>15.26</v>
      </c>
      <c r="AX18" s="41">
        <f t="shared" si="26"/>
        <v>49.76</v>
      </c>
      <c r="AY18" s="41">
        <f t="shared" si="27"/>
        <v>102.3</v>
      </c>
      <c r="AZ18" s="27">
        <v>4.5999999999999996</v>
      </c>
      <c r="BA18" s="27">
        <v>3</v>
      </c>
      <c r="BB18" s="27">
        <v>4.2</v>
      </c>
      <c r="BC18" s="27">
        <v>4.9400000000000004</v>
      </c>
      <c r="BD18" s="27">
        <v>0</v>
      </c>
      <c r="BE18" s="27">
        <v>15.1</v>
      </c>
      <c r="BF18" s="27">
        <v>9.1</v>
      </c>
      <c r="BG18" s="27">
        <v>12.6</v>
      </c>
      <c r="BH18" s="27">
        <v>15.52</v>
      </c>
      <c r="BI18" s="27">
        <v>0</v>
      </c>
      <c r="BJ18" s="27">
        <v>3</v>
      </c>
      <c r="BK18" s="27">
        <v>1.5</v>
      </c>
      <c r="BL18" s="27">
        <v>2.7</v>
      </c>
      <c r="BM18" s="27">
        <v>4.04</v>
      </c>
      <c r="BN18" s="27">
        <v>0</v>
      </c>
      <c r="BO18" s="29"/>
      <c r="BP18" s="40">
        <f t="shared" si="28"/>
        <v>4.2</v>
      </c>
      <c r="BQ18" s="40">
        <f t="shared" si="29"/>
        <v>4.9400000000000004</v>
      </c>
      <c r="BR18" s="11">
        <f t="shared" si="30"/>
        <v>16.740000000000002</v>
      </c>
      <c r="BS18" s="11">
        <f t="shared" si="31"/>
        <v>12.6</v>
      </c>
      <c r="BT18" s="11">
        <f t="shared" si="32"/>
        <v>15.52</v>
      </c>
      <c r="BU18" s="11">
        <f t="shared" si="33"/>
        <v>52.319999999999993</v>
      </c>
      <c r="BV18" s="11">
        <f t="shared" si="34"/>
        <v>52.319999999999993</v>
      </c>
      <c r="BW18" s="11">
        <f t="shared" si="35"/>
        <v>2.7</v>
      </c>
      <c r="BX18" s="11">
        <f t="shared" si="36"/>
        <v>4.04</v>
      </c>
      <c r="BY18" s="11">
        <f t="shared" si="37"/>
        <v>11.24</v>
      </c>
      <c r="BZ18" s="11">
        <f t="shared" si="38"/>
        <v>63.559999999999995</v>
      </c>
      <c r="CA18" s="23">
        <v>13.4</v>
      </c>
      <c r="CB18" s="23">
        <v>9.1</v>
      </c>
      <c r="CC18" s="23">
        <v>13.8</v>
      </c>
      <c r="CD18" s="23">
        <v>15.98</v>
      </c>
      <c r="CE18" s="23">
        <v>0.4</v>
      </c>
      <c r="CF18" s="23">
        <v>13.5</v>
      </c>
      <c r="CG18" s="23">
        <v>8.9</v>
      </c>
      <c r="CH18" s="23">
        <v>13.8</v>
      </c>
      <c r="CI18" s="23">
        <v>16.07</v>
      </c>
      <c r="CJ18" s="23">
        <v>0.2</v>
      </c>
      <c r="CK18" s="23"/>
      <c r="CL18" s="23"/>
      <c r="CM18" s="23"/>
      <c r="CN18" s="23"/>
      <c r="CO18" s="23"/>
      <c r="CP18" s="28"/>
      <c r="CQ18" s="39">
        <f t="shared" si="39"/>
        <v>13.8</v>
      </c>
      <c r="CR18" s="39">
        <f t="shared" si="40"/>
        <v>15.98</v>
      </c>
      <c r="CS18" s="41">
        <f t="shared" si="41"/>
        <v>51.88</v>
      </c>
      <c r="CT18" s="41">
        <f t="shared" si="42"/>
        <v>13.8</v>
      </c>
      <c r="CU18" s="41">
        <f t="shared" si="43"/>
        <v>16.07</v>
      </c>
      <c r="CV18" s="41">
        <f t="shared" si="44"/>
        <v>52.07</v>
      </c>
      <c r="CW18" s="41">
        <f t="shared" si="45"/>
        <v>52.07</v>
      </c>
      <c r="CX18" s="41" t="str">
        <f t="shared" si="46"/>
        <v/>
      </c>
      <c r="CY18" s="41" t="str">
        <f t="shared" si="47"/>
        <v/>
      </c>
      <c r="CZ18" s="41" t="str">
        <f t="shared" si="48"/>
        <v/>
      </c>
      <c r="DA18" s="41">
        <f t="shared" si="49"/>
        <v>52.07</v>
      </c>
      <c r="DB18" s="52" t="str">
        <f t="shared" si="50"/>
        <v/>
      </c>
      <c r="DC18" s="52" t="str">
        <f t="shared" si="51"/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1" t="str">
        <f t="shared" si="52"/>
        <v/>
      </c>
      <c r="DY18" s="41" t="str">
        <f t="shared" si="53"/>
        <v/>
      </c>
      <c r="DZ18" s="41" t="str">
        <f t="shared" si="54"/>
        <v/>
      </c>
      <c r="EA18" s="41" t="str">
        <f t="shared" si="55"/>
        <v/>
      </c>
      <c r="EB18" s="41" t="str">
        <f t="shared" si="56"/>
        <v/>
      </c>
      <c r="EC18" s="41" t="str">
        <f t="shared" si="57"/>
        <v/>
      </c>
      <c r="ED18" s="41" t="str">
        <f t="shared" si="58"/>
        <v/>
      </c>
      <c r="EE18" s="41" t="str">
        <f t="shared" si="59"/>
        <v/>
      </c>
      <c r="EF18" s="41" t="str">
        <f t="shared" si="60"/>
        <v/>
      </c>
      <c r="EG18" s="41" t="str">
        <f t="shared" si="61"/>
        <v/>
      </c>
      <c r="EH18" s="41" t="str">
        <f t="shared" si="62"/>
        <v/>
      </c>
      <c r="EI18" s="41" t="str">
        <f t="shared" si="63"/>
        <v/>
      </c>
      <c r="EJ18" s="41" t="str">
        <f t="shared" si="64"/>
        <v/>
      </c>
      <c r="EK18" s="41" t="str">
        <f t="shared" si="65"/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 t="shared" si="66"/>
        <v/>
      </c>
      <c r="FG18" s="11" t="str">
        <f t="shared" si="67"/>
        <v/>
      </c>
      <c r="FH18" s="11" t="str">
        <f t="shared" si="68"/>
        <v/>
      </c>
      <c r="FI18" s="11" t="str">
        <f t="shared" si="69"/>
        <v/>
      </c>
      <c r="FJ18" s="11" t="str">
        <f t="shared" si="70"/>
        <v/>
      </c>
      <c r="FK18" s="11" t="str">
        <f t="shared" si="71"/>
        <v/>
      </c>
      <c r="FL18" s="11" t="str">
        <f t="shared" si="72"/>
        <v/>
      </c>
      <c r="FM18" s="11" t="str">
        <f t="shared" si="73"/>
        <v/>
      </c>
      <c r="FN18" s="11" t="str">
        <f t="shared" si="74"/>
        <v/>
      </c>
      <c r="FO18" s="11" t="str">
        <f t="shared" si="75"/>
        <v/>
      </c>
      <c r="FP18" s="11" t="str">
        <f t="shared" si="76"/>
        <v/>
      </c>
      <c r="FQ18" s="11" t="str">
        <f t="shared" si="77"/>
        <v/>
      </c>
      <c r="FR18" s="11" t="str">
        <f t="shared" si="78"/>
        <v/>
      </c>
      <c r="FS18" s="11" t="str">
        <f t="shared" si="79"/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1" t="str">
        <f t="shared" si="80"/>
        <v/>
      </c>
      <c r="GO18" s="41" t="str">
        <f t="shared" si="81"/>
        <v/>
      </c>
      <c r="GP18" s="41" t="str">
        <f t="shared" si="82"/>
        <v/>
      </c>
      <c r="GQ18" s="41" t="str">
        <f t="shared" si="83"/>
        <v/>
      </c>
      <c r="GR18" s="41" t="str">
        <f t="shared" si="84"/>
        <v/>
      </c>
      <c r="GS18" s="41" t="str">
        <f t="shared" si="85"/>
        <v/>
      </c>
      <c r="GT18" s="41" t="str">
        <f t="shared" si="86"/>
        <v/>
      </c>
      <c r="GU18" s="41" t="str">
        <f t="shared" si="87"/>
        <v/>
      </c>
      <c r="GV18" s="41" t="str">
        <f t="shared" si="88"/>
        <v/>
      </c>
      <c r="GW18" s="41" t="str">
        <f t="shared" si="89"/>
        <v/>
      </c>
      <c r="GX18" s="41" t="str">
        <f t="shared" si="90"/>
        <v/>
      </c>
      <c r="GY18" s="41" t="str">
        <f t="shared" si="91"/>
        <v/>
      </c>
      <c r="GZ18" s="41" t="str">
        <f t="shared" si="92"/>
        <v/>
      </c>
      <c r="HA18" s="41" t="str">
        <f t="shared" si="93"/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 t="shared" si="94"/>
        <v/>
      </c>
      <c r="HW18" s="11" t="str">
        <f t="shared" si="95"/>
        <v/>
      </c>
      <c r="HX18" s="11" t="str">
        <f t="shared" si="96"/>
        <v/>
      </c>
      <c r="HY18" s="11" t="str">
        <f t="shared" si="97"/>
        <v/>
      </c>
      <c r="HZ18" s="11" t="str">
        <f t="shared" si="98"/>
        <v/>
      </c>
      <c r="IA18" s="11" t="str">
        <f t="shared" si="99"/>
        <v/>
      </c>
      <c r="IB18" s="11" t="str">
        <f t="shared" si="100"/>
        <v/>
      </c>
      <c r="IC18" s="11" t="str">
        <f t="shared" si="101"/>
        <v/>
      </c>
      <c r="ID18" s="11" t="str">
        <f t="shared" si="102"/>
        <v/>
      </c>
      <c r="IE18" s="11" t="str">
        <f t="shared" si="103"/>
        <v/>
      </c>
      <c r="IF18" s="11" t="str">
        <f t="shared" si="104"/>
        <v/>
      </c>
      <c r="IG18" s="11" t="str">
        <f t="shared" si="105"/>
        <v/>
      </c>
      <c r="IH18" s="11" t="str">
        <f t="shared" si="106"/>
        <v/>
      </c>
      <c r="II18" s="11" t="str">
        <f t="shared" si="107"/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1" t="str">
        <f t="shared" si="108"/>
        <v/>
      </c>
      <c r="JE18" s="41" t="str">
        <f t="shared" si="109"/>
        <v/>
      </c>
      <c r="JF18" s="41" t="str">
        <f t="shared" si="110"/>
        <v/>
      </c>
      <c r="JG18" s="41" t="str">
        <f t="shared" si="111"/>
        <v/>
      </c>
      <c r="JH18" s="41" t="str">
        <f t="shared" si="112"/>
        <v/>
      </c>
      <c r="JI18" s="41" t="str">
        <f t="shared" si="113"/>
        <v/>
      </c>
      <c r="JJ18" s="41" t="str">
        <f t="shared" si="114"/>
        <v/>
      </c>
      <c r="JK18" s="41" t="str">
        <f t="shared" si="115"/>
        <v/>
      </c>
      <c r="JL18" s="41" t="str">
        <f t="shared" si="116"/>
        <v/>
      </c>
      <c r="JM18" s="41" t="str">
        <f t="shared" si="117"/>
        <v/>
      </c>
      <c r="JN18" s="41" t="str">
        <f t="shared" si="118"/>
        <v/>
      </c>
      <c r="JO18" s="41" t="str">
        <f t="shared" si="119"/>
        <v/>
      </c>
      <c r="JP18" s="41" t="str">
        <f t="shared" si="120"/>
        <v/>
      </c>
      <c r="JQ18" s="41" t="str">
        <f t="shared" si="121"/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 t="shared" si="122"/>
        <v/>
      </c>
      <c r="KM18" s="11" t="str">
        <f t="shared" si="123"/>
        <v/>
      </c>
      <c r="KN18" s="11" t="str">
        <f t="shared" si="124"/>
        <v/>
      </c>
      <c r="KO18" s="11" t="str">
        <f t="shared" si="125"/>
        <v/>
      </c>
      <c r="KP18" s="11" t="str">
        <f t="shared" si="126"/>
        <v/>
      </c>
      <c r="KQ18" s="11" t="str">
        <f t="shared" si="127"/>
        <v/>
      </c>
      <c r="KR18" s="11" t="str">
        <f t="shared" si="128"/>
        <v/>
      </c>
      <c r="KS18" s="11" t="str">
        <f t="shared" si="129"/>
        <v/>
      </c>
      <c r="KT18" s="11" t="str">
        <f t="shared" si="130"/>
        <v/>
      </c>
      <c r="KU18" s="11" t="str">
        <f t="shared" si="131"/>
        <v/>
      </c>
      <c r="KV18" s="11" t="str">
        <f t="shared" si="132"/>
        <v/>
      </c>
      <c r="KW18" s="11" t="str">
        <f t="shared" si="133"/>
        <v/>
      </c>
      <c r="KX18" s="11" t="str">
        <f t="shared" si="134"/>
        <v/>
      </c>
      <c r="KY18" s="11" t="str">
        <f t="shared" si="135"/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1" t="str">
        <f t="shared" si="136"/>
        <v/>
      </c>
      <c r="LU18" s="41" t="str">
        <f t="shared" si="137"/>
        <v/>
      </c>
      <c r="LV18" s="41" t="str">
        <f t="shared" si="138"/>
        <v/>
      </c>
      <c r="LW18" s="41" t="str">
        <f t="shared" si="139"/>
        <v/>
      </c>
      <c r="LX18" s="41" t="str">
        <f t="shared" si="140"/>
        <v/>
      </c>
      <c r="LY18" s="41" t="str">
        <f t="shared" si="141"/>
        <v/>
      </c>
      <c r="LZ18" s="41" t="str">
        <f t="shared" si="142"/>
        <v/>
      </c>
      <c r="MA18" s="41" t="str">
        <f t="shared" si="143"/>
        <v/>
      </c>
      <c r="MB18" s="41" t="str">
        <f t="shared" si="144"/>
        <v/>
      </c>
      <c r="MC18" s="41" t="str">
        <f t="shared" si="145"/>
        <v/>
      </c>
      <c r="MD18" s="41" t="str">
        <f t="shared" si="146"/>
        <v/>
      </c>
      <c r="ME18" s="41" t="str">
        <f t="shared" si="147"/>
        <v/>
      </c>
      <c r="MF18" s="41" t="str">
        <f t="shared" si="148"/>
        <v/>
      </c>
      <c r="MG18" s="41" t="str">
        <f t="shared" si="149"/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 t="shared" si="150"/>
        <v/>
      </c>
      <c r="NC18" s="11" t="str">
        <f t="shared" si="151"/>
        <v/>
      </c>
      <c r="ND18" s="11" t="str">
        <f t="shared" si="152"/>
        <v/>
      </c>
      <c r="NE18" s="11" t="str">
        <f t="shared" si="153"/>
        <v/>
      </c>
      <c r="NF18" s="11" t="str">
        <f t="shared" si="154"/>
        <v/>
      </c>
      <c r="NG18" s="11" t="str">
        <f t="shared" si="155"/>
        <v/>
      </c>
      <c r="NH18" s="11" t="str">
        <f t="shared" si="156"/>
        <v/>
      </c>
      <c r="NI18" s="11" t="str">
        <f t="shared" si="157"/>
        <v/>
      </c>
      <c r="NJ18" s="11" t="str">
        <f t="shared" si="158"/>
        <v/>
      </c>
      <c r="NK18" s="11" t="str">
        <f t="shared" si="159"/>
        <v/>
      </c>
      <c r="NL18" s="11" t="str">
        <f t="shared" si="160"/>
        <v/>
      </c>
      <c r="NM18" s="11" t="str">
        <f t="shared" si="161"/>
        <v/>
      </c>
      <c r="NN18" s="11" t="str">
        <f t="shared" si="162"/>
        <v/>
      </c>
      <c r="NO18" s="11" t="str">
        <f t="shared" si="163"/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1" t="str">
        <f t="shared" si="164"/>
        <v/>
      </c>
      <c r="OK18" s="41" t="str">
        <f t="shared" si="165"/>
        <v/>
      </c>
      <c r="OL18" s="41" t="str">
        <f t="shared" si="166"/>
        <v/>
      </c>
      <c r="OM18" s="41" t="str">
        <f t="shared" si="167"/>
        <v/>
      </c>
      <c r="ON18" s="41" t="str">
        <f t="shared" si="168"/>
        <v/>
      </c>
      <c r="OO18" s="41" t="str">
        <f t="shared" si="169"/>
        <v/>
      </c>
      <c r="OP18" s="41" t="str">
        <f t="shared" si="170"/>
        <v/>
      </c>
      <c r="OQ18" s="41" t="str">
        <f t="shared" si="171"/>
        <v/>
      </c>
      <c r="OR18" s="41" t="str">
        <f t="shared" si="172"/>
        <v/>
      </c>
      <c r="OS18" s="41" t="str">
        <f t="shared" si="173"/>
        <v/>
      </c>
      <c r="OT18" s="41" t="str">
        <f t="shared" si="174"/>
        <v/>
      </c>
      <c r="OU18" s="41" t="str">
        <f t="shared" si="175"/>
        <v/>
      </c>
      <c r="OV18" s="41" t="str">
        <f t="shared" si="176"/>
        <v/>
      </c>
      <c r="OW18" s="41" t="str">
        <f t="shared" si="177"/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 t="shared" si="178"/>
        <v/>
      </c>
      <c r="PS18" s="11" t="str">
        <f t="shared" si="179"/>
        <v/>
      </c>
      <c r="PT18" s="11" t="str">
        <f t="shared" si="180"/>
        <v/>
      </c>
      <c r="PU18" s="11" t="str">
        <f t="shared" si="181"/>
        <v/>
      </c>
      <c r="PV18" s="11" t="str">
        <f t="shared" si="182"/>
        <v/>
      </c>
      <c r="PW18" s="11" t="str">
        <f t="shared" si="183"/>
        <v/>
      </c>
      <c r="PX18" s="11" t="str">
        <f t="shared" si="184"/>
        <v/>
      </c>
      <c r="PY18" s="11" t="str">
        <f t="shared" si="185"/>
        <v/>
      </c>
      <c r="PZ18" s="11" t="str">
        <f t="shared" si="186"/>
        <v/>
      </c>
      <c r="QA18" s="11" t="str">
        <f t="shared" si="187"/>
        <v/>
      </c>
      <c r="QB18" s="11" t="str">
        <f t="shared" si="188"/>
        <v/>
      </c>
      <c r="QC18" s="11" t="str">
        <f t="shared" si="189"/>
        <v/>
      </c>
      <c r="QD18" s="11" t="str">
        <f t="shared" si="190"/>
        <v/>
      </c>
      <c r="QE18" s="11" t="str">
        <f t="shared" si="191"/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1" t="str">
        <f t="shared" si="192"/>
        <v/>
      </c>
      <c r="RA18" s="41" t="str">
        <f t="shared" si="193"/>
        <v/>
      </c>
      <c r="RB18" s="41" t="str">
        <f t="shared" si="194"/>
        <v/>
      </c>
      <c r="RC18" s="41" t="str">
        <f t="shared" si="195"/>
        <v/>
      </c>
      <c r="RD18" s="41" t="str">
        <f t="shared" si="196"/>
        <v/>
      </c>
      <c r="RE18" s="41" t="str">
        <f t="shared" si="197"/>
        <v/>
      </c>
      <c r="RF18" s="41" t="str">
        <f t="shared" si="198"/>
        <v/>
      </c>
      <c r="RG18" s="41" t="str">
        <f t="shared" si="199"/>
        <v/>
      </c>
      <c r="RH18" s="41" t="str">
        <f t="shared" si="200"/>
        <v/>
      </c>
      <c r="RI18" s="41" t="str">
        <f t="shared" si="201"/>
        <v/>
      </c>
      <c r="RJ18" s="41" t="str">
        <f t="shared" si="202"/>
        <v/>
      </c>
      <c r="RK18" s="41" t="str">
        <f t="shared" si="203"/>
        <v/>
      </c>
      <c r="RL18" s="41" t="str">
        <f t="shared" si="204"/>
        <v/>
      </c>
      <c r="RM18" s="41" t="str">
        <f t="shared" si="205"/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 t="shared" si="206"/>
        <v/>
      </c>
      <c r="SI18" s="11" t="str">
        <f t="shared" si="207"/>
        <v/>
      </c>
      <c r="SJ18" s="11" t="str">
        <f t="shared" si="208"/>
        <v/>
      </c>
      <c r="SK18" s="11" t="str">
        <f t="shared" si="209"/>
        <v/>
      </c>
      <c r="SL18" s="11" t="str">
        <f t="shared" si="210"/>
        <v/>
      </c>
      <c r="SM18" s="11" t="str">
        <f t="shared" si="211"/>
        <v/>
      </c>
      <c r="SN18" s="11" t="str">
        <f t="shared" si="212"/>
        <v/>
      </c>
      <c r="SO18" s="11" t="str">
        <f t="shared" si="213"/>
        <v/>
      </c>
      <c r="SP18" s="11" t="str">
        <f t="shared" si="214"/>
        <v/>
      </c>
      <c r="SQ18" s="11" t="str">
        <f t="shared" si="215"/>
        <v/>
      </c>
      <c r="SR18" s="11" t="str">
        <f t="shared" si="216"/>
        <v/>
      </c>
      <c r="SS18" s="11" t="str">
        <f t="shared" si="217"/>
        <v/>
      </c>
      <c r="ST18" s="11" t="str">
        <f t="shared" si="218"/>
        <v/>
      </c>
      <c r="SU18" s="11" t="str">
        <f t="shared" si="219"/>
        <v/>
      </c>
      <c r="SV18" s="23">
        <f t="shared" si="220"/>
        <v>9</v>
      </c>
      <c r="SW18" s="23">
        <f t="shared" si="221"/>
        <v>6.05</v>
      </c>
      <c r="SX18" s="23">
        <f t="shared" si="222"/>
        <v>9</v>
      </c>
      <c r="SY18" s="23">
        <f t="shared" si="223"/>
        <v>10.46</v>
      </c>
      <c r="SZ18" s="23">
        <f t="shared" si="224"/>
        <v>0.2</v>
      </c>
      <c r="TA18" s="23">
        <f t="shared" si="225"/>
        <v>14.3</v>
      </c>
      <c r="TB18" s="23">
        <f t="shared" si="226"/>
        <v>9</v>
      </c>
      <c r="TC18" s="23">
        <f t="shared" si="227"/>
        <v>13.2</v>
      </c>
      <c r="TD18" s="23">
        <f t="shared" si="228"/>
        <v>15.795</v>
      </c>
      <c r="TE18" s="23">
        <f t="shared" si="229"/>
        <v>0.1</v>
      </c>
      <c r="TF18" s="23">
        <f t="shared" si="230"/>
        <v>1.5</v>
      </c>
      <c r="TG18" s="23">
        <f t="shared" si="231"/>
        <v>0.75</v>
      </c>
      <c r="TH18" s="23">
        <f t="shared" si="232"/>
        <v>1.35</v>
      </c>
      <c r="TI18" s="23">
        <f t="shared" si="233"/>
        <v>2.02</v>
      </c>
      <c r="TJ18" s="23">
        <f t="shared" si="234"/>
        <v>0</v>
      </c>
      <c r="TK18" s="28" t="s">
        <v>57</v>
      </c>
      <c r="TL18" s="41">
        <f t="shared" si="235"/>
        <v>9</v>
      </c>
      <c r="TM18" s="41">
        <f t="shared" si="236"/>
        <v>10.46</v>
      </c>
      <c r="TN18" s="41">
        <f t="shared" si="237"/>
        <v>34.31</v>
      </c>
      <c r="TO18" s="41">
        <f t="shared" si="238"/>
        <v>13.2</v>
      </c>
      <c r="TP18" s="41">
        <f t="shared" si="239"/>
        <v>15.795</v>
      </c>
      <c r="TQ18" s="41">
        <f t="shared" si="240"/>
        <v>52.195</v>
      </c>
      <c r="TR18" s="41">
        <f t="shared" si="241"/>
        <v>52.195</v>
      </c>
      <c r="TS18" s="41">
        <f t="shared" si="242"/>
        <v>1.35</v>
      </c>
      <c r="TT18" s="41">
        <f t="shared" si="243"/>
        <v>2.02</v>
      </c>
      <c r="TU18" s="41">
        <f t="shared" si="244"/>
        <v>5.62</v>
      </c>
      <c r="TV18" s="41">
        <f t="shared" si="245"/>
        <v>57.814999999999998</v>
      </c>
    </row>
    <row r="19" spans="1:542" x14ac:dyDescent="0.2">
      <c r="A19" s="4" t="str" cm="1">
        <f t="array" ref="A19">IF(AND(H19&lt;&gt;"",H19&lt;&gt;"No DD"),SUMPRODUCT((H$4:H$24&lt;&gt;"")*(H$4:H$24&lt;&gt;"No DD")*(E$4:E$24&gt;E19))+1,IF(H19="No DD",SUMPRODUCT((H$4:H$24="No DD")*(E$4:E$24&gt;E19))+1+SUMPRODUCT((H$4:H$24&lt;&gt;"")*(H$4:H$24&lt;&gt;"No DD")),""))</f>
        <v/>
      </c>
      <c r="B19" s="5" t="s">
        <v>148</v>
      </c>
      <c r="C19" s="4" t="s">
        <v>5</v>
      </c>
      <c r="D19" s="4">
        <v>2004</v>
      </c>
      <c r="E19" s="9">
        <f t="shared" si="0"/>
        <v>140.01001256300447</v>
      </c>
      <c r="F19" s="3" t="str">
        <f t="shared" si="1"/>
        <v/>
      </c>
      <c r="G19" s="3" t="str">
        <f t="shared" si="2"/>
        <v/>
      </c>
      <c r="H19" s="37" t="str">
        <f t="shared" si="3"/>
        <v/>
      </c>
      <c r="I19" s="3" t="str">
        <f t="shared" si="4"/>
        <v/>
      </c>
      <c r="J19" s="8">
        <f>IF(COUNT(AQ19,AT19,BR19,BU19,CS19,CV19)&gt;0,LARGE((AQ19,AT19,BR19,BU19,CS19,CV19),1),0)</f>
        <v>44.629999999999995</v>
      </c>
      <c r="K19" s="8" t="str">
        <f t="shared" si="5"/>
        <v>2023 Elite Canada</v>
      </c>
      <c r="L19" s="8">
        <f>IF(COUNT(AQ19,AT19,BR19,BU19,CS19,CV19)&gt;1,LARGE((AQ19,AT19,BR19,BU19,CS19,CV19),2),0)</f>
        <v>35.81</v>
      </c>
      <c r="M19" s="8" t="str">
        <f t="shared" si="6"/>
        <v>2023 Nationals</v>
      </c>
      <c r="N19" s="8">
        <f>IF(COUNT(AQ19,AT19,BR19,BU19,CS19,CV19)&gt;2,LARGE((AQ19,AT19,BR19,BU19,CS19,CV19),3),0)</f>
        <v>33.29</v>
      </c>
      <c r="O19" s="8" t="str">
        <f t="shared" si="7"/>
        <v>2023 Nationals</v>
      </c>
      <c r="P19" s="8">
        <f t="shared" si="8"/>
        <v>0</v>
      </c>
      <c r="Q19" s="8" t="str">
        <f t="shared" si="9"/>
        <v/>
      </c>
      <c r="R19" s="8">
        <f t="shared" si="10"/>
        <v>11.9</v>
      </c>
      <c r="S19" s="8" t="str">
        <f t="shared" si="11"/>
        <v>2023 Elite Canada</v>
      </c>
      <c r="T19" s="8">
        <f t="shared" si="12"/>
        <v>0</v>
      </c>
      <c r="U19" s="8" t="str">
        <f t="shared" si="13"/>
        <v/>
      </c>
      <c r="V19" s="8">
        <f t="shared" si="14"/>
        <v>14.380000000000003</v>
      </c>
      <c r="W19" s="11" t="str">
        <f t="shared" si="15"/>
        <v>(Prelim)</v>
      </c>
      <c r="X19" s="8" t="str">
        <f t="shared" si="16"/>
        <v>2023 Pan Am Club Championships (May 14)</v>
      </c>
      <c r="Y19" s="23">
        <v>5.8</v>
      </c>
      <c r="Z19" s="23">
        <v>3.8</v>
      </c>
      <c r="AA19" s="23">
        <v>5.4</v>
      </c>
      <c r="AB19" s="23">
        <v>6.49</v>
      </c>
      <c r="AC19" s="23">
        <v>0.2</v>
      </c>
      <c r="AD19" s="23">
        <v>10.8</v>
      </c>
      <c r="AE19" s="23">
        <v>8.1</v>
      </c>
      <c r="AF19" s="23">
        <v>11.9</v>
      </c>
      <c r="AG19" s="23">
        <v>13.83</v>
      </c>
      <c r="AH19" s="23">
        <v>0</v>
      </c>
      <c r="AI19" s="23"/>
      <c r="AJ19" s="23"/>
      <c r="AK19" s="23"/>
      <c r="AL19" s="23"/>
      <c r="AM19" s="23"/>
      <c r="AN19" s="28"/>
      <c r="AO19" s="39">
        <f t="shared" si="17"/>
        <v>5.4</v>
      </c>
      <c r="AP19" s="39">
        <f t="shared" si="18"/>
        <v>6.49</v>
      </c>
      <c r="AQ19" s="41">
        <f t="shared" si="19"/>
        <v>21.290000000000003</v>
      </c>
      <c r="AR19" s="41">
        <f t="shared" si="20"/>
        <v>11.9</v>
      </c>
      <c r="AS19" s="41">
        <f t="shared" si="21"/>
        <v>13.83</v>
      </c>
      <c r="AT19" s="41">
        <f t="shared" si="22"/>
        <v>44.629999999999995</v>
      </c>
      <c r="AU19" s="41">
        <f t="shared" si="23"/>
        <v>44.629999999999995</v>
      </c>
      <c r="AV19" s="41" t="str">
        <f t="shared" si="24"/>
        <v/>
      </c>
      <c r="AW19" s="41" t="str">
        <f t="shared" si="25"/>
        <v/>
      </c>
      <c r="AX19" s="41" t="str">
        <f t="shared" si="26"/>
        <v/>
      </c>
      <c r="AY19" s="41">
        <f t="shared" si="27"/>
        <v>44.629999999999995</v>
      </c>
      <c r="AZ19" s="27">
        <v>4.25</v>
      </c>
      <c r="BA19" s="27">
        <v>6.7</v>
      </c>
      <c r="BB19" s="27">
        <v>9.4</v>
      </c>
      <c r="BC19" s="27">
        <v>12.94</v>
      </c>
      <c r="BD19" s="27">
        <v>0</v>
      </c>
      <c r="BE19" s="27">
        <v>8.6999999999999993</v>
      </c>
      <c r="BF19" s="27">
        <v>6.6</v>
      </c>
      <c r="BG19" s="27">
        <v>9.4</v>
      </c>
      <c r="BH19" s="27">
        <v>11.11</v>
      </c>
      <c r="BI19" s="27">
        <v>0</v>
      </c>
      <c r="BJ19" s="27"/>
      <c r="BK19" s="27"/>
      <c r="BL19" s="27"/>
      <c r="BM19" s="27"/>
      <c r="BN19" s="27"/>
      <c r="BO19" s="29"/>
      <c r="BP19" s="40">
        <f t="shared" si="28"/>
        <v>9.4</v>
      </c>
      <c r="BQ19" s="40">
        <f t="shared" si="29"/>
        <v>12.94</v>
      </c>
      <c r="BR19" s="11">
        <f t="shared" si="30"/>
        <v>33.29</v>
      </c>
      <c r="BS19" s="11">
        <f t="shared" si="31"/>
        <v>9.4</v>
      </c>
      <c r="BT19" s="11">
        <f t="shared" si="32"/>
        <v>11.11</v>
      </c>
      <c r="BU19" s="11">
        <f t="shared" si="33"/>
        <v>35.81</v>
      </c>
      <c r="BV19" s="11">
        <f t="shared" si="34"/>
        <v>35.81</v>
      </c>
      <c r="BW19" s="11" t="str">
        <f t="shared" si="35"/>
        <v/>
      </c>
      <c r="BX19" s="11" t="str">
        <f t="shared" si="36"/>
        <v/>
      </c>
      <c r="BY19" s="11" t="str">
        <f t="shared" si="37"/>
        <v/>
      </c>
      <c r="BZ19" s="11">
        <f t="shared" si="38"/>
        <v>35.81</v>
      </c>
      <c r="CA19" s="23"/>
      <c r="CB19" s="23"/>
      <c r="CC19" s="23"/>
      <c r="CD19" s="23"/>
      <c r="CE19" s="23"/>
      <c r="CF19" s="23"/>
      <c r="CG19" s="23"/>
      <c r="CH19" s="23"/>
      <c r="CI19" s="23"/>
      <c r="CJ19" s="23"/>
      <c r="CK19" s="23"/>
      <c r="CL19" s="23"/>
      <c r="CM19" s="23"/>
      <c r="CN19" s="23"/>
      <c r="CO19" s="23"/>
      <c r="CP19" s="28"/>
      <c r="CQ19" s="39" t="str">
        <f t="shared" si="39"/>
        <v/>
      </c>
      <c r="CR19" s="39" t="str">
        <f t="shared" si="40"/>
        <v/>
      </c>
      <c r="CS19" s="41" t="str">
        <f t="shared" si="41"/>
        <v/>
      </c>
      <c r="CT19" s="41" t="str">
        <f t="shared" si="42"/>
        <v/>
      </c>
      <c r="CU19" s="41" t="str">
        <f t="shared" si="43"/>
        <v/>
      </c>
      <c r="CV19" s="41" t="str">
        <f t="shared" si="44"/>
        <v/>
      </c>
      <c r="CW19" s="41" t="str">
        <f t="shared" si="45"/>
        <v/>
      </c>
      <c r="CX19" s="41" t="str">
        <f t="shared" si="46"/>
        <v/>
      </c>
      <c r="CY19" s="41" t="str">
        <f t="shared" si="47"/>
        <v/>
      </c>
      <c r="CZ19" s="41" t="str">
        <f t="shared" si="48"/>
        <v/>
      </c>
      <c r="DA19" s="41" t="str">
        <f t="shared" si="49"/>
        <v/>
      </c>
      <c r="DB19" s="52">
        <f t="shared" si="50"/>
        <v>14.380000000000003</v>
      </c>
      <c r="DC19" s="52" t="str">
        <f t="shared" si="51"/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1" t="str">
        <f t="shared" si="52"/>
        <v/>
      </c>
      <c r="DY19" s="41" t="str">
        <f t="shared" si="53"/>
        <v/>
      </c>
      <c r="DZ19" s="41" t="str">
        <f t="shared" si="54"/>
        <v/>
      </c>
      <c r="EA19" s="41" t="str">
        <f t="shared" si="55"/>
        <v/>
      </c>
      <c r="EB19" s="41" t="str">
        <f t="shared" si="56"/>
        <v/>
      </c>
      <c r="EC19" s="41" t="str">
        <f t="shared" si="57"/>
        <v/>
      </c>
      <c r="ED19" s="41" t="str">
        <f t="shared" si="58"/>
        <v/>
      </c>
      <c r="EE19" s="41" t="str">
        <f t="shared" si="59"/>
        <v/>
      </c>
      <c r="EF19" s="41" t="str">
        <f t="shared" si="60"/>
        <v/>
      </c>
      <c r="EG19" s="41" t="str">
        <f t="shared" si="61"/>
        <v/>
      </c>
      <c r="EH19" s="41" t="str">
        <f t="shared" si="62"/>
        <v/>
      </c>
      <c r="EI19" s="41" t="str">
        <f t="shared" si="63"/>
        <v/>
      </c>
      <c r="EJ19" s="41" t="str">
        <f t="shared" si="64"/>
        <v/>
      </c>
      <c r="EK19" s="41" t="str">
        <f t="shared" si="65"/>
        <v/>
      </c>
      <c r="EL19" s="18">
        <v>11.6</v>
      </c>
      <c r="EM19" s="18">
        <v>8.6</v>
      </c>
      <c r="EN19" s="18">
        <v>10.5</v>
      </c>
      <c r="EO19" s="18">
        <v>15.95</v>
      </c>
      <c r="EP19" s="18">
        <v>0</v>
      </c>
      <c r="EQ19" s="18">
        <v>11.5</v>
      </c>
      <c r="ER19" s="18">
        <v>9.4</v>
      </c>
      <c r="ES19" s="18">
        <v>11.6</v>
      </c>
      <c r="ET19" s="18">
        <v>15.17</v>
      </c>
      <c r="EU19" s="18">
        <v>0</v>
      </c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>
        <f t="shared" si="66"/>
        <v>10.5</v>
      </c>
      <c r="FG19" s="11">
        <f t="shared" si="67"/>
        <v>15.95</v>
      </c>
      <c r="FH19" s="11">
        <f t="shared" si="68"/>
        <v>46.65</v>
      </c>
      <c r="FI19" s="11">
        <f t="shared" si="69"/>
        <v>11.6</v>
      </c>
      <c r="FJ19" s="11">
        <f t="shared" si="70"/>
        <v>15.17</v>
      </c>
      <c r="FK19" s="11">
        <f t="shared" si="71"/>
        <v>47.67</v>
      </c>
      <c r="FL19" s="11">
        <f t="shared" si="72"/>
        <v>47.67</v>
      </c>
      <c r="FM19" s="11" t="str">
        <f t="shared" si="73"/>
        <v/>
      </c>
      <c r="FN19" s="11" t="str">
        <f t="shared" si="74"/>
        <v/>
      </c>
      <c r="FO19" s="11" t="str">
        <f t="shared" si="75"/>
        <v/>
      </c>
      <c r="FP19" s="11" t="str">
        <f t="shared" si="76"/>
        <v/>
      </c>
      <c r="FQ19" s="11" t="str">
        <f t="shared" si="77"/>
        <v/>
      </c>
      <c r="FR19" s="11" t="str">
        <f t="shared" si="78"/>
        <v/>
      </c>
      <c r="FS19" s="11">
        <f t="shared" si="79"/>
        <v>47.67</v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1" t="str">
        <f t="shared" si="80"/>
        <v/>
      </c>
      <c r="GO19" s="41" t="str">
        <f t="shared" si="81"/>
        <v/>
      </c>
      <c r="GP19" s="41" t="str">
        <f t="shared" si="82"/>
        <v/>
      </c>
      <c r="GQ19" s="41" t="str">
        <f t="shared" si="83"/>
        <v/>
      </c>
      <c r="GR19" s="41" t="str">
        <f t="shared" si="84"/>
        <v/>
      </c>
      <c r="GS19" s="41" t="str">
        <f t="shared" si="85"/>
        <v/>
      </c>
      <c r="GT19" s="41" t="str">
        <f t="shared" si="86"/>
        <v/>
      </c>
      <c r="GU19" s="41" t="str">
        <f t="shared" si="87"/>
        <v/>
      </c>
      <c r="GV19" s="41" t="str">
        <f t="shared" si="88"/>
        <v/>
      </c>
      <c r="GW19" s="41" t="str">
        <f t="shared" si="89"/>
        <v/>
      </c>
      <c r="GX19" s="41" t="str">
        <f t="shared" si="90"/>
        <v/>
      </c>
      <c r="GY19" s="41" t="str">
        <f t="shared" si="91"/>
        <v/>
      </c>
      <c r="GZ19" s="41" t="str">
        <f t="shared" si="92"/>
        <v/>
      </c>
      <c r="HA19" s="41" t="str">
        <f t="shared" si="93"/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 t="shared" si="94"/>
        <v/>
      </c>
      <c r="HW19" s="11" t="str">
        <f t="shared" si="95"/>
        <v/>
      </c>
      <c r="HX19" s="11" t="str">
        <f t="shared" si="96"/>
        <v/>
      </c>
      <c r="HY19" s="11" t="str">
        <f t="shared" si="97"/>
        <v/>
      </c>
      <c r="HZ19" s="11" t="str">
        <f t="shared" si="98"/>
        <v/>
      </c>
      <c r="IA19" s="11" t="str">
        <f t="shared" si="99"/>
        <v/>
      </c>
      <c r="IB19" s="11" t="str">
        <f t="shared" si="100"/>
        <v/>
      </c>
      <c r="IC19" s="11" t="str">
        <f t="shared" si="101"/>
        <v/>
      </c>
      <c r="ID19" s="11" t="str">
        <f t="shared" si="102"/>
        <v/>
      </c>
      <c r="IE19" s="11" t="str">
        <f t="shared" si="103"/>
        <v/>
      </c>
      <c r="IF19" s="11" t="str">
        <f t="shared" si="104"/>
        <v/>
      </c>
      <c r="IG19" s="11" t="str">
        <f t="shared" si="105"/>
        <v/>
      </c>
      <c r="IH19" s="11" t="str">
        <f t="shared" si="106"/>
        <v/>
      </c>
      <c r="II19" s="11" t="str">
        <f t="shared" si="107"/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1" t="str">
        <f t="shared" si="108"/>
        <v/>
      </c>
      <c r="JE19" s="41" t="str">
        <f t="shared" si="109"/>
        <v/>
      </c>
      <c r="JF19" s="41" t="str">
        <f t="shared" si="110"/>
        <v/>
      </c>
      <c r="JG19" s="41" t="str">
        <f t="shared" si="111"/>
        <v/>
      </c>
      <c r="JH19" s="41" t="str">
        <f t="shared" si="112"/>
        <v/>
      </c>
      <c r="JI19" s="41" t="str">
        <f t="shared" si="113"/>
        <v/>
      </c>
      <c r="JJ19" s="41" t="str">
        <f t="shared" si="114"/>
        <v/>
      </c>
      <c r="JK19" s="41" t="str">
        <f t="shared" si="115"/>
        <v/>
      </c>
      <c r="JL19" s="41" t="str">
        <f t="shared" si="116"/>
        <v/>
      </c>
      <c r="JM19" s="41" t="str">
        <f t="shared" si="117"/>
        <v/>
      </c>
      <c r="JN19" s="41" t="str">
        <f t="shared" si="118"/>
        <v/>
      </c>
      <c r="JO19" s="41" t="str">
        <f t="shared" si="119"/>
        <v/>
      </c>
      <c r="JP19" s="41" t="str">
        <f t="shared" si="120"/>
        <v/>
      </c>
      <c r="JQ19" s="41" t="str">
        <f t="shared" si="121"/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 t="shared" si="122"/>
        <v/>
      </c>
      <c r="KM19" s="11" t="str">
        <f t="shared" si="123"/>
        <v/>
      </c>
      <c r="KN19" s="11" t="str">
        <f t="shared" si="124"/>
        <v/>
      </c>
      <c r="KO19" s="11" t="str">
        <f t="shared" si="125"/>
        <v/>
      </c>
      <c r="KP19" s="11" t="str">
        <f t="shared" si="126"/>
        <v/>
      </c>
      <c r="KQ19" s="11" t="str">
        <f t="shared" si="127"/>
        <v/>
      </c>
      <c r="KR19" s="11" t="str">
        <f t="shared" si="128"/>
        <v/>
      </c>
      <c r="KS19" s="11" t="str">
        <f t="shared" si="129"/>
        <v/>
      </c>
      <c r="KT19" s="11" t="str">
        <f t="shared" si="130"/>
        <v/>
      </c>
      <c r="KU19" s="11" t="str">
        <f t="shared" si="131"/>
        <v/>
      </c>
      <c r="KV19" s="11" t="str">
        <f t="shared" si="132"/>
        <v/>
      </c>
      <c r="KW19" s="11" t="str">
        <f t="shared" si="133"/>
        <v/>
      </c>
      <c r="KX19" s="11" t="str">
        <f t="shared" si="134"/>
        <v/>
      </c>
      <c r="KY19" s="11" t="str">
        <f t="shared" si="135"/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1" t="str">
        <f t="shared" si="136"/>
        <v/>
      </c>
      <c r="LU19" s="41" t="str">
        <f t="shared" si="137"/>
        <v/>
      </c>
      <c r="LV19" s="41" t="str">
        <f t="shared" si="138"/>
        <v/>
      </c>
      <c r="LW19" s="41" t="str">
        <f t="shared" si="139"/>
        <v/>
      </c>
      <c r="LX19" s="41" t="str">
        <f t="shared" si="140"/>
        <v/>
      </c>
      <c r="LY19" s="41" t="str">
        <f t="shared" si="141"/>
        <v/>
      </c>
      <c r="LZ19" s="41" t="str">
        <f t="shared" si="142"/>
        <v/>
      </c>
      <c r="MA19" s="41" t="str">
        <f t="shared" si="143"/>
        <v/>
      </c>
      <c r="MB19" s="41" t="str">
        <f t="shared" si="144"/>
        <v/>
      </c>
      <c r="MC19" s="41" t="str">
        <f t="shared" si="145"/>
        <v/>
      </c>
      <c r="MD19" s="41" t="str">
        <f t="shared" si="146"/>
        <v/>
      </c>
      <c r="ME19" s="41" t="str">
        <f t="shared" si="147"/>
        <v/>
      </c>
      <c r="MF19" s="41" t="str">
        <f t="shared" si="148"/>
        <v/>
      </c>
      <c r="MG19" s="41" t="str">
        <f t="shared" si="149"/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 t="shared" si="150"/>
        <v/>
      </c>
      <c r="NC19" s="11" t="str">
        <f t="shared" si="151"/>
        <v/>
      </c>
      <c r="ND19" s="11" t="str">
        <f t="shared" si="152"/>
        <v/>
      </c>
      <c r="NE19" s="11" t="str">
        <f t="shared" si="153"/>
        <v/>
      </c>
      <c r="NF19" s="11" t="str">
        <f t="shared" si="154"/>
        <v/>
      </c>
      <c r="NG19" s="11" t="str">
        <f t="shared" si="155"/>
        <v/>
      </c>
      <c r="NH19" s="11" t="str">
        <f t="shared" si="156"/>
        <v/>
      </c>
      <c r="NI19" s="11" t="str">
        <f t="shared" si="157"/>
        <v/>
      </c>
      <c r="NJ19" s="11" t="str">
        <f t="shared" si="158"/>
        <v/>
      </c>
      <c r="NK19" s="11" t="str">
        <f t="shared" si="159"/>
        <v/>
      </c>
      <c r="NL19" s="11" t="str">
        <f t="shared" si="160"/>
        <v/>
      </c>
      <c r="NM19" s="11" t="str">
        <f t="shared" si="161"/>
        <v/>
      </c>
      <c r="NN19" s="11" t="str">
        <f t="shared" si="162"/>
        <v/>
      </c>
      <c r="NO19" s="11" t="str">
        <f t="shared" si="163"/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1" t="str">
        <f t="shared" si="164"/>
        <v/>
      </c>
      <c r="OK19" s="41" t="str">
        <f t="shared" si="165"/>
        <v/>
      </c>
      <c r="OL19" s="41" t="str">
        <f t="shared" si="166"/>
        <v/>
      </c>
      <c r="OM19" s="41" t="str">
        <f t="shared" si="167"/>
        <v/>
      </c>
      <c r="ON19" s="41" t="str">
        <f t="shared" si="168"/>
        <v/>
      </c>
      <c r="OO19" s="41" t="str">
        <f t="shared" si="169"/>
        <v/>
      </c>
      <c r="OP19" s="41" t="str">
        <f t="shared" si="170"/>
        <v/>
      </c>
      <c r="OQ19" s="41" t="str">
        <f t="shared" si="171"/>
        <v/>
      </c>
      <c r="OR19" s="41" t="str">
        <f t="shared" si="172"/>
        <v/>
      </c>
      <c r="OS19" s="41" t="str">
        <f t="shared" si="173"/>
        <v/>
      </c>
      <c r="OT19" s="41" t="str">
        <f t="shared" si="174"/>
        <v/>
      </c>
      <c r="OU19" s="41" t="str">
        <f t="shared" si="175"/>
        <v/>
      </c>
      <c r="OV19" s="41" t="str">
        <f t="shared" si="176"/>
        <v/>
      </c>
      <c r="OW19" s="41" t="str">
        <f t="shared" si="177"/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 t="shared" si="178"/>
        <v/>
      </c>
      <c r="PS19" s="11" t="str">
        <f t="shared" si="179"/>
        <v/>
      </c>
      <c r="PT19" s="11" t="str">
        <f t="shared" si="180"/>
        <v/>
      </c>
      <c r="PU19" s="11" t="str">
        <f t="shared" si="181"/>
        <v/>
      </c>
      <c r="PV19" s="11" t="str">
        <f t="shared" si="182"/>
        <v/>
      </c>
      <c r="PW19" s="11" t="str">
        <f t="shared" si="183"/>
        <v/>
      </c>
      <c r="PX19" s="11" t="str">
        <f t="shared" si="184"/>
        <v/>
      </c>
      <c r="PY19" s="11" t="str">
        <f t="shared" si="185"/>
        <v/>
      </c>
      <c r="PZ19" s="11" t="str">
        <f t="shared" si="186"/>
        <v/>
      </c>
      <c r="QA19" s="11" t="str">
        <f t="shared" si="187"/>
        <v/>
      </c>
      <c r="QB19" s="11" t="str">
        <f t="shared" si="188"/>
        <v/>
      </c>
      <c r="QC19" s="11" t="str">
        <f t="shared" si="189"/>
        <v/>
      </c>
      <c r="QD19" s="11" t="str">
        <f t="shared" si="190"/>
        <v/>
      </c>
      <c r="QE19" s="11" t="str">
        <f t="shared" si="191"/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1" t="str">
        <f t="shared" si="192"/>
        <v/>
      </c>
      <c r="RA19" s="41" t="str">
        <f t="shared" si="193"/>
        <v/>
      </c>
      <c r="RB19" s="41" t="str">
        <f t="shared" si="194"/>
        <v/>
      </c>
      <c r="RC19" s="41" t="str">
        <f t="shared" si="195"/>
        <v/>
      </c>
      <c r="RD19" s="41" t="str">
        <f t="shared" si="196"/>
        <v/>
      </c>
      <c r="RE19" s="41" t="str">
        <f t="shared" si="197"/>
        <v/>
      </c>
      <c r="RF19" s="41" t="str">
        <f t="shared" si="198"/>
        <v/>
      </c>
      <c r="RG19" s="41" t="str">
        <f t="shared" si="199"/>
        <v/>
      </c>
      <c r="RH19" s="41" t="str">
        <f t="shared" si="200"/>
        <v/>
      </c>
      <c r="RI19" s="41" t="str">
        <f t="shared" si="201"/>
        <v/>
      </c>
      <c r="RJ19" s="41" t="str">
        <f t="shared" si="202"/>
        <v/>
      </c>
      <c r="RK19" s="41" t="str">
        <f t="shared" si="203"/>
        <v/>
      </c>
      <c r="RL19" s="41" t="str">
        <f t="shared" si="204"/>
        <v/>
      </c>
      <c r="RM19" s="41" t="str">
        <f t="shared" si="205"/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 t="shared" si="206"/>
        <v/>
      </c>
      <c r="SI19" s="11" t="str">
        <f t="shared" si="207"/>
        <v/>
      </c>
      <c r="SJ19" s="11" t="str">
        <f t="shared" si="208"/>
        <v/>
      </c>
      <c r="SK19" s="11" t="str">
        <f t="shared" si="209"/>
        <v/>
      </c>
      <c r="SL19" s="11" t="str">
        <f t="shared" si="210"/>
        <v/>
      </c>
      <c r="SM19" s="11" t="str">
        <f t="shared" si="211"/>
        <v/>
      </c>
      <c r="SN19" s="11" t="str">
        <f t="shared" si="212"/>
        <v/>
      </c>
      <c r="SO19" s="11" t="str">
        <f t="shared" si="213"/>
        <v/>
      </c>
      <c r="SP19" s="11" t="str">
        <f t="shared" si="214"/>
        <v/>
      </c>
      <c r="SQ19" s="11" t="str">
        <f t="shared" si="215"/>
        <v/>
      </c>
      <c r="SR19" s="11" t="str">
        <f t="shared" si="216"/>
        <v/>
      </c>
      <c r="SS19" s="11" t="str">
        <f t="shared" si="217"/>
        <v/>
      </c>
      <c r="ST19" s="11" t="str">
        <f t="shared" si="218"/>
        <v/>
      </c>
      <c r="SU19" s="11" t="str">
        <f t="shared" si="219"/>
        <v/>
      </c>
      <c r="SV19" s="23">
        <f t="shared" si="220"/>
        <v>2.125</v>
      </c>
      <c r="SW19" s="23">
        <f t="shared" si="221"/>
        <v>3.35</v>
      </c>
      <c r="SX19" s="23">
        <f t="shared" si="222"/>
        <v>4.7</v>
      </c>
      <c r="SY19" s="23">
        <f t="shared" si="223"/>
        <v>6.47</v>
      </c>
      <c r="SZ19" s="23">
        <f t="shared" si="224"/>
        <v>0</v>
      </c>
      <c r="TA19" s="23">
        <f t="shared" si="225"/>
        <v>4.3499999999999996</v>
      </c>
      <c r="TB19" s="23">
        <f t="shared" si="226"/>
        <v>3.3</v>
      </c>
      <c r="TC19" s="23">
        <f t="shared" si="227"/>
        <v>4.7</v>
      </c>
      <c r="TD19" s="23">
        <f t="shared" si="228"/>
        <v>5.5549999999999997</v>
      </c>
      <c r="TE19" s="23">
        <f t="shared" si="229"/>
        <v>0</v>
      </c>
      <c r="TF19" s="23">
        <f t="shared" si="230"/>
        <v>0</v>
      </c>
      <c r="TG19" s="23">
        <f t="shared" si="231"/>
        <v>0</v>
      </c>
      <c r="TH19" s="23">
        <f t="shared" si="232"/>
        <v>0</v>
      </c>
      <c r="TI19" s="23">
        <f t="shared" si="233"/>
        <v>0</v>
      </c>
      <c r="TJ19" s="23">
        <f t="shared" si="234"/>
        <v>0</v>
      </c>
      <c r="TK19" s="28" t="s">
        <v>57</v>
      </c>
      <c r="TL19" s="41">
        <f t="shared" si="235"/>
        <v>4.7</v>
      </c>
      <c r="TM19" s="41">
        <f t="shared" si="236"/>
        <v>6.47</v>
      </c>
      <c r="TN19" s="41">
        <f t="shared" si="237"/>
        <v>16.645</v>
      </c>
      <c r="TO19" s="41">
        <f t="shared" si="238"/>
        <v>4.7</v>
      </c>
      <c r="TP19" s="41">
        <f t="shared" si="239"/>
        <v>5.5549999999999997</v>
      </c>
      <c r="TQ19" s="41">
        <f t="shared" si="240"/>
        <v>17.905000000000001</v>
      </c>
      <c r="TR19" s="41">
        <f t="shared" si="241"/>
        <v>17.905000000000001</v>
      </c>
      <c r="TS19" s="41" t="str">
        <f t="shared" si="242"/>
        <v/>
      </c>
      <c r="TT19" s="41" t="str">
        <f t="shared" si="243"/>
        <v/>
      </c>
      <c r="TU19" s="41" t="str">
        <f t="shared" si="244"/>
        <v/>
      </c>
      <c r="TV19" s="41">
        <f t="shared" si="245"/>
        <v>17.905000000000001</v>
      </c>
    </row>
    <row r="20" spans="1:542" x14ac:dyDescent="0.2">
      <c r="A20" s="4" t="str" cm="1">
        <f t="array" ref="A20">IF(AND(H20&lt;&gt;"",H20&lt;&gt;"No DD"),SUMPRODUCT((H$4:H$24&lt;&gt;"")*(H$4:H$24&lt;&gt;"No DD")*(E$4:E$24&gt;E20))+1,IF(H20="No DD",SUMPRODUCT((H$4:H$24="No DD")*(E$4:E$24&gt;E20))+1+SUMPRODUCT((H$4:H$24&lt;&gt;"")*(H$4:H$24&lt;&gt;"No DD")),""))</f>
        <v/>
      </c>
      <c r="B20" s="5" t="s">
        <v>77</v>
      </c>
      <c r="C20" s="4" t="s">
        <v>76</v>
      </c>
      <c r="D20" s="4">
        <v>2001</v>
      </c>
      <c r="E20" s="9">
        <f t="shared" si="0"/>
        <v>107.16001071600367</v>
      </c>
      <c r="F20" s="3" t="str">
        <f t="shared" si="1"/>
        <v/>
      </c>
      <c r="G20" s="3" t="str">
        <f t="shared" si="2"/>
        <v/>
      </c>
      <c r="H20" s="37" t="str">
        <f t="shared" si="3"/>
        <v/>
      </c>
      <c r="I20" s="3" t="str">
        <f t="shared" si="4"/>
        <v/>
      </c>
      <c r="J20" s="8">
        <f>IF(COUNT(AQ20,AT20,BR20,BU20,CS20,CV20)&gt;0,LARGE((AQ20,AT20,BR20,BU20,CS20,CV20),1),0)</f>
        <v>36.51</v>
      </c>
      <c r="K20" s="8" t="str">
        <f t="shared" si="5"/>
        <v>2023 Nationals</v>
      </c>
      <c r="L20" s="8">
        <f>IF(COUNT(AQ20,AT20,BR20,BU20,CS20,CV20)&gt;1,LARGE((AQ20,AT20,BR20,BU20,CS20,CV20),2),0)</f>
        <v>32.42</v>
      </c>
      <c r="M20" s="8" t="str">
        <f t="shared" si="6"/>
        <v>2023 Domestic 3rd Trial</v>
      </c>
      <c r="N20" s="8">
        <f>IF(COUNT(AQ20,AT20,BR20,BU20,CS20,CV20)&gt;2,LARGE((AQ20,AT20,BR20,BU20,CS20,CV20),3),0)</f>
        <v>28.33</v>
      </c>
      <c r="O20" s="8" t="str">
        <f t="shared" si="7"/>
        <v>2023 Elite Canada</v>
      </c>
      <c r="P20" s="8">
        <f t="shared" si="8"/>
        <v>0</v>
      </c>
      <c r="Q20" s="8" t="str">
        <f t="shared" si="9"/>
        <v/>
      </c>
      <c r="R20" s="8">
        <f t="shared" si="10"/>
        <v>9.9</v>
      </c>
      <c r="S20" s="8" t="str">
        <f t="shared" si="11"/>
        <v>2023 Nationals</v>
      </c>
      <c r="T20" s="8">
        <f t="shared" si="12"/>
        <v>0</v>
      </c>
      <c r="U20" s="8" t="str">
        <f t="shared" si="13"/>
        <v/>
      </c>
      <c r="V20" s="8" t="str">
        <f t="shared" si="14"/>
        <v/>
      </c>
      <c r="W20" s="11" t="str">
        <f t="shared" si="15"/>
        <v/>
      </c>
      <c r="X20" s="8" t="str">
        <f t="shared" si="16"/>
        <v/>
      </c>
      <c r="Y20" s="23">
        <v>7.3</v>
      </c>
      <c r="Z20" s="23">
        <v>4.8</v>
      </c>
      <c r="AA20" s="23">
        <v>8.1999999999999993</v>
      </c>
      <c r="AB20" s="23">
        <v>8.0299999999999994</v>
      </c>
      <c r="AC20" s="23">
        <v>0</v>
      </c>
      <c r="AD20" s="23">
        <v>18.8</v>
      </c>
      <c r="AE20" s="23">
        <v>2</v>
      </c>
      <c r="AF20" s="23">
        <v>3.8</v>
      </c>
      <c r="AG20" s="23">
        <v>3.29</v>
      </c>
      <c r="AH20" s="23">
        <v>0</v>
      </c>
      <c r="AI20" s="23"/>
      <c r="AJ20" s="23"/>
      <c r="AK20" s="23"/>
      <c r="AL20" s="23"/>
      <c r="AM20" s="23"/>
      <c r="AN20" s="28"/>
      <c r="AO20" s="39">
        <f t="shared" si="17"/>
        <v>8.1999999999999993</v>
      </c>
      <c r="AP20" s="39">
        <f t="shared" si="18"/>
        <v>8.0299999999999994</v>
      </c>
      <c r="AQ20" s="41">
        <f t="shared" si="19"/>
        <v>28.33</v>
      </c>
      <c r="AR20" s="41">
        <f t="shared" si="20"/>
        <v>3.8</v>
      </c>
      <c r="AS20" s="41">
        <f t="shared" si="21"/>
        <v>3.29</v>
      </c>
      <c r="AT20" s="41">
        <f t="shared" si="22"/>
        <v>27.89</v>
      </c>
      <c r="AU20" s="41">
        <f t="shared" si="23"/>
        <v>28.33</v>
      </c>
      <c r="AV20" s="41" t="str">
        <f t="shared" si="24"/>
        <v/>
      </c>
      <c r="AW20" s="41" t="str">
        <f t="shared" si="25"/>
        <v/>
      </c>
      <c r="AX20" s="41" t="str">
        <f t="shared" si="26"/>
        <v/>
      </c>
      <c r="AY20" s="41">
        <f t="shared" si="27"/>
        <v>28.33</v>
      </c>
      <c r="AZ20" s="27">
        <v>10.199999999999999</v>
      </c>
      <c r="BA20" s="27">
        <v>5.9</v>
      </c>
      <c r="BB20" s="27">
        <v>9.9</v>
      </c>
      <c r="BC20" s="27">
        <v>10.51</v>
      </c>
      <c r="BD20" s="27">
        <v>0</v>
      </c>
      <c r="BE20" s="27">
        <v>7.5</v>
      </c>
      <c r="BF20" s="27">
        <v>4.5</v>
      </c>
      <c r="BG20" s="27">
        <v>7.8</v>
      </c>
      <c r="BH20" s="27">
        <v>7.7</v>
      </c>
      <c r="BI20" s="27">
        <v>0</v>
      </c>
      <c r="BJ20" s="27"/>
      <c r="BK20" s="27"/>
      <c r="BL20" s="27"/>
      <c r="BM20" s="27"/>
      <c r="BN20" s="27"/>
      <c r="BO20" s="29"/>
      <c r="BP20" s="40">
        <f t="shared" si="28"/>
        <v>9.9</v>
      </c>
      <c r="BQ20" s="40">
        <f t="shared" si="29"/>
        <v>10.51</v>
      </c>
      <c r="BR20" s="11">
        <f t="shared" si="30"/>
        <v>36.51</v>
      </c>
      <c r="BS20" s="11">
        <f t="shared" si="31"/>
        <v>7.8</v>
      </c>
      <c r="BT20" s="11">
        <f t="shared" si="32"/>
        <v>7.7</v>
      </c>
      <c r="BU20" s="11">
        <f t="shared" si="33"/>
        <v>27.5</v>
      </c>
      <c r="BV20" s="11">
        <f t="shared" si="34"/>
        <v>36.51</v>
      </c>
      <c r="BW20" s="11" t="str">
        <f t="shared" si="35"/>
        <v/>
      </c>
      <c r="BX20" s="11" t="str">
        <f t="shared" si="36"/>
        <v/>
      </c>
      <c r="BY20" s="11" t="str">
        <f t="shared" si="37"/>
        <v/>
      </c>
      <c r="BZ20" s="11">
        <f t="shared" si="38"/>
        <v>36.51</v>
      </c>
      <c r="CA20" s="23">
        <v>8.75</v>
      </c>
      <c r="CB20" s="23">
        <v>5.35</v>
      </c>
      <c r="CC20" s="23">
        <v>9.0500000000000007</v>
      </c>
      <c r="CD20" s="23">
        <v>9.27</v>
      </c>
      <c r="CE20" s="23">
        <v>0</v>
      </c>
      <c r="CF20" s="23">
        <v>13.15</v>
      </c>
      <c r="CG20" s="23">
        <v>3.25</v>
      </c>
      <c r="CH20" s="23">
        <v>5.8</v>
      </c>
      <c r="CI20" s="23">
        <v>5.4950000000000001</v>
      </c>
      <c r="CJ20" s="23">
        <v>0</v>
      </c>
      <c r="CK20" s="23">
        <v>0</v>
      </c>
      <c r="CL20" s="23">
        <v>0</v>
      </c>
      <c r="CM20" s="23">
        <v>0</v>
      </c>
      <c r="CN20" s="23">
        <v>0</v>
      </c>
      <c r="CO20" s="23">
        <v>0</v>
      </c>
      <c r="CP20" s="28" t="s">
        <v>57</v>
      </c>
      <c r="CQ20" s="39">
        <f t="shared" si="39"/>
        <v>9.0500000000000007</v>
      </c>
      <c r="CR20" s="39">
        <f t="shared" si="40"/>
        <v>9.27</v>
      </c>
      <c r="CS20" s="41">
        <f t="shared" si="41"/>
        <v>32.42</v>
      </c>
      <c r="CT20" s="41">
        <f t="shared" si="42"/>
        <v>5.8</v>
      </c>
      <c r="CU20" s="41">
        <f t="shared" si="43"/>
        <v>5.4950000000000001</v>
      </c>
      <c r="CV20" s="41">
        <f t="shared" si="44"/>
        <v>27.695</v>
      </c>
      <c r="CW20" s="41">
        <f t="shared" si="45"/>
        <v>32.42</v>
      </c>
      <c r="CX20" s="41" t="str">
        <f t="shared" si="46"/>
        <v/>
      </c>
      <c r="CY20" s="41" t="str">
        <f t="shared" si="47"/>
        <v/>
      </c>
      <c r="CZ20" s="41" t="str">
        <f t="shared" si="48"/>
        <v/>
      </c>
      <c r="DA20" s="41">
        <f t="shared" si="49"/>
        <v>32.42</v>
      </c>
      <c r="DB20" s="52" t="str">
        <f t="shared" si="50"/>
        <v/>
      </c>
      <c r="DC20" s="52" t="str">
        <f t="shared" si="51"/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1" t="str">
        <f t="shared" si="52"/>
        <v/>
      </c>
      <c r="DY20" s="41" t="str">
        <f t="shared" si="53"/>
        <v/>
      </c>
      <c r="DZ20" s="41" t="str">
        <f t="shared" si="54"/>
        <v/>
      </c>
      <c r="EA20" s="41" t="str">
        <f t="shared" si="55"/>
        <v/>
      </c>
      <c r="EB20" s="41" t="str">
        <f t="shared" si="56"/>
        <v/>
      </c>
      <c r="EC20" s="41" t="str">
        <f t="shared" si="57"/>
        <v/>
      </c>
      <c r="ED20" s="41" t="str">
        <f t="shared" si="58"/>
        <v/>
      </c>
      <c r="EE20" s="41" t="str">
        <f t="shared" si="59"/>
        <v/>
      </c>
      <c r="EF20" s="41" t="str">
        <f t="shared" si="60"/>
        <v/>
      </c>
      <c r="EG20" s="41" t="str">
        <f t="shared" si="61"/>
        <v/>
      </c>
      <c r="EH20" s="41" t="str">
        <f t="shared" si="62"/>
        <v/>
      </c>
      <c r="EI20" s="41" t="str">
        <f t="shared" si="63"/>
        <v/>
      </c>
      <c r="EJ20" s="41" t="str">
        <f t="shared" si="64"/>
        <v/>
      </c>
      <c r="EK20" s="41" t="str">
        <f t="shared" si="65"/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 t="shared" si="66"/>
        <v/>
      </c>
      <c r="FG20" s="11" t="str">
        <f t="shared" si="67"/>
        <v/>
      </c>
      <c r="FH20" s="11" t="str">
        <f t="shared" si="68"/>
        <v/>
      </c>
      <c r="FI20" s="11" t="str">
        <f t="shared" si="69"/>
        <v/>
      </c>
      <c r="FJ20" s="11" t="str">
        <f t="shared" si="70"/>
        <v/>
      </c>
      <c r="FK20" s="11" t="str">
        <f t="shared" si="71"/>
        <v/>
      </c>
      <c r="FL20" s="11" t="str">
        <f t="shared" si="72"/>
        <v/>
      </c>
      <c r="FM20" s="11" t="str">
        <f t="shared" si="73"/>
        <v/>
      </c>
      <c r="FN20" s="11" t="str">
        <f t="shared" si="74"/>
        <v/>
      </c>
      <c r="FO20" s="11" t="str">
        <f t="shared" si="75"/>
        <v/>
      </c>
      <c r="FP20" s="11" t="str">
        <f t="shared" si="76"/>
        <v/>
      </c>
      <c r="FQ20" s="11" t="str">
        <f t="shared" si="77"/>
        <v/>
      </c>
      <c r="FR20" s="11" t="str">
        <f t="shared" si="78"/>
        <v/>
      </c>
      <c r="FS20" s="11" t="str">
        <f t="shared" si="79"/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1" t="str">
        <f t="shared" si="80"/>
        <v/>
      </c>
      <c r="GO20" s="41" t="str">
        <f t="shared" si="81"/>
        <v/>
      </c>
      <c r="GP20" s="41" t="str">
        <f t="shared" si="82"/>
        <v/>
      </c>
      <c r="GQ20" s="41" t="str">
        <f t="shared" si="83"/>
        <v/>
      </c>
      <c r="GR20" s="41" t="str">
        <f t="shared" si="84"/>
        <v/>
      </c>
      <c r="GS20" s="41" t="str">
        <f t="shared" si="85"/>
        <v/>
      </c>
      <c r="GT20" s="41" t="str">
        <f t="shared" si="86"/>
        <v/>
      </c>
      <c r="GU20" s="41" t="str">
        <f t="shared" si="87"/>
        <v/>
      </c>
      <c r="GV20" s="41" t="str">
        <f t="shared" si="88"/>
        <v/>
      </c>
      <c r="GW20" s="41" t="str">
        <f t="shared" si="89"/>
        <v/>
      </c>
      <c r="GX20" s="41" t="str">
        <f t="shared" si="90"/>
        <v/>
      </c>
      <c r="GY20" s="41" t="str">
        <f t="shared" si="91"/>
        <v/>
      </c>
      <c r="GZ20" s="41" t="str">
        <f t="shared" si="92"/>
        <v/>
      </c>
      <c r="HA20" s="41" t="str">
        <f t="shared" si="93"/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 t="shared" si="94"/>
        <v/>
      </c>
      <c r="HW20" s="11" t="str">
        <f t="shared" si="95"/>
        <v/>
      </c>
      <c r="HX20" s="11" t="str">
        <f t="shared" si="96"/>
        <v/>
      </c>
      <c r="HY20" s="11" t="str">
        <f t="shared" si="97"/>
        <v/>
      </c>
      <c r="HZ20" s="11" t="str">
        <f t="shared" si="98"/>
        <v/>
      </c>
      <c r="IA20" s="11" t="str">
        <f t="shared" si="99"/>
        <v/>
      </c>
      <c r="IB20" s="11" t="str">
        <f t="shared" si="100"/>
        <v/>
      </c>
      <c r="IC20" s="11" t="str">
        <f t="shared" si="101"/>
        <v/>
      </c>
      <c r="ID20" s="11" t="str">
        <f t="shared" si="102"/>
        <v/>
      </c>
      <c r="IE20" s="11" t="str">
        <f t="shared" si="103"/>
        <v/>
      </c>
      <c r="IF20" s="11" t="str">
        <f t="shared" si="104"/>
        <v/>
      </c>
      <c r="IG20" s="11" t="str">
        <f t="shared" si="105"/>
        <v/>
      </c>
      <c r="IH20" s="11" t="str">
        <f t="shared" si="106"/>
        <v/>
      </c>
      <c r="II20" s="11" t="str">
        <f t="shared" si="107"/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1" t="str">
        <f t="shared" si="108"/>
        <v/>
      </c>
      <c r="JE20" s="41" t="str">
        <f t="shared" si="109"/>
        <v/>
      </c>
      <c r="JF20" s="41" t="str">
        <f t="shared" si="110"/>
        <v/>
      </c>
      <c r="JG20" s="41" t="str">
        <f t="shared" si="111"/>
        <v/>
      </c>
      <c r="JH20" s="41" t="str">
        <f t="shared" si="112"/>
        <v/>
      </c>
      <c r="JI20" s="41" t="str">
        <f t="shared" si="113"/>
        <v/>
      </c>
      <c r="JJ20" s="41" t="str">
        <f t="shared" si="114"/>
        <v/>
      </c>
      <c r="JK20" s="41" t="str">
        <f t="shared" si="115"/>
        <v/>
      </c>
      <c r="JL20" s="41" t="str">
        <f t="shared" si="116"/>
        <v/>
      </c>
      <c r="JM20" s="41" t="str">
        <f t="shared" si="117"/>
        <v/>
      </c>
      <c r="JN20" s="41" t="str">
        <f t="shared" si="118"/>
        <v/>
      </c>
      <c r="JO20" s="41" t="str">
        <f t="shared" si="119"/>
        <v/>
      </c>
      <c r="JP20" s="41" t="str">
        <f t="shared" si="120"/>
        <v/>
      </c>
      <c r="JQ20" s="41" t="str">
        <f t="shared" si="121"/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 t="shared" si="122"/>
        <v/>
      </c>
      <c r="KM20" s="11" t="str">
        <f t="shared" si="123"/>
        <v/>
      </c>
      <c r="KN20" s="11" t="str">
        <f t="shared" si="124"/>
        <v/>
      </c>
      <c r="KO20" s="11" t="str">
        <f t="shared" si="125"/>
        <v/>
      </c>
      <c r="KP20" s="11" t="str">
        <f t="shared" si="126"/>
        <v/>
      </c>
      <c r="KQ20" s="11" t="str">
        <f t="shared" si="127"/>
        <v/>
      </c>
      <c r="KR20" s="11" t="str">
        <f t="shared" si="128"/>
        <v/>
      </c>
      <c r="KS20" s="11" t="str">
        <f t="shared" si="129"/>
        <v/>
      </c>
      <c r="KT20" s="11" t="str">
        <f t="shared" si="130"/>
        <v/>
      </c>
      <c r="KU20" s="11" t="str">
        <f t="shared" si="131"/>
        <v/>
      </c>
      <c r="KV20" s="11" t="str">
        <f t="shared" si="132"/>
        <v/>
      </c>
      <c r="KW20" s="11" t="str">
        <f t="shared" si="133"/>
        <v/>
      </c>
      <c r="KX20" s="11" t="str">
        <f t="shared" si="134"/>
        <v/>
      </c>
      <c r="KY20" s="11" t="str">
        <f t="shared" si="135"/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1" t="str">
        <f t="shared" si="136"/>
        <v/>
      </c>
      <c r="LU20" s="41" t="str">
        <f t="shared" si="137"/>
        <v/>
      </c>
      <c r="LV20" s="41" t="str">
        <f t="shared" si="138"/>
        <v/>
      </c>
      <c r="LW20" s="41" t="str">
        <f t="shared" si="139"/>
        <v/>
      </c>
      <c r="LX20" s="41" t="str">
        <f t="shared" si="140"/>
        <v/>
      </c>
      <c r="LY20" s="41" t="str">
        <f t="shared" si="141"/>
        <v/>
      </c>
      <c r="LZ20" s="41" t="str">
        <f t="shared" si="142"/>
        <v/>
      </c>
      <c r="MA20" s="41" t="str">
        <f t="shared" si="143"/>
        <v/>
      </c>
      <c r="MB20" s="41" t="str">
        <f t="shared" si="144"/>
        <v/>
      </c>
      <c r="MC20" s="41" t="str">
        <f t="shared" si="145"/>
        <v/>
      </c>
      <c r="MD20" s="41" t="str">
        <f t="shared" si="146"/>
        <v/>
      </c>
      <c r="ME20" s="41" t="str">
        <f t="shared" si="147"/>
        <v/>
      </c>
      <c r="MF20" s="41" t="str">
        <f t="shared" si="148"/>
        <v/>
      </c>
      <c r="MG20" s="41" t="str">
        <f t="shared" si="149"/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 t="shared" si="150"/>
        <v/>
      </c>
      <c r="NC20" s="11" t="str">
        <f t="shared" si="151"/>
        <v/>
      </c>
      <c r="ND20" s="11" t="str">
        <f t="shared" si="152"/>
        <v/>
      </c>
      <c r="NE20" s="11" t="str">
        <f t="shared" si="153"/>
        <v/>
      </c>
      <c r="NF20" s="11" t="str">
        <f t="shared" si="154"/>
        <v/>
      </c>
      <c r="NG20" s="11" t="str">
        <f t="shared" si="155"/>
        <v/>
      </c>
      <c r="NH20" s="11" t="str">
        <f t="shared" si="156"/>
        <v/>
      </c>
      <c r="NI20" s="11" t="str">
        <f t="shared" si="157"/>
        <v/>
      </c>
      <c r="NJ20" s="11" t="str">
        <f t="shared" si="158"/>
        <v/>
      </c>
      <c r="NK20" s="11" t="str">
        <f t="shared" si="159"/>
        <v/>
      </c>
      <c r="NL20" s="11" t="str">
        <f t="shared" si="160"/>
        <v/>
      </c>
      <c r="NM20" s="11" t="str">
        <f t="shared" si="161"/>
        <v/>
      </c>
      <c r="NN20" s="11" t="str">
        <f t="shared" si="162"/>
        <v/>
      </c>
      <c r="NO20" s="11" t="str">
        <f t="shared" si="163"/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1" t="str">
        <f t="shared" si="164"/>
        <v/>
      </c>
      <c r="OK20" s="41" t="str">
        <f t="shared" si="165"/>
        <v/>
      </c>
      <c r="OL20" s="41" t="str">
        <f t="shared" si="166"/>
        <v/>
      </c>
      <c r="OM20" s="41" t="str">
        <f t="shared" si="167"/>
        <v/>
      </c>
      <c r="ON20" s="41" t="str">
        <f t="shared" si="168"/>
        <v/>
      </c>
      <c r="OO20" s="41" t="str">
        <f t="shared" si="169"/>
        <v/>
      </c>
      <c r="OP20" s="41" t="str">
        <f t="shared" si="170"/>
        <v/>
      </c>
      <c r="OQ20" s="41" t="str">
        <f t="shared" si="171"/>
        <v/>
      </c>
      <c r="OR20" s="41" t="str">
        <f t="shared" si="172"/>
        <v/>
      </c>
      <c r="OS20" s="41" t="str">
        <f t="shared" si="173"/>
        <v/>
      </c>
      <c r="OT20" s="41" t="str">
        <f t="shared" si="174"/>
        <v/>
      </c>
      <c r="OU20" s="41" t="str">
        <f t="shared" si="175"/>
        <v/>
      </c>
      <c r="OV20" s="41" t="str">
        <f t="shared" si="176"/>
        <v/>
      </c>
      <c r="OW20" s="41" t="str">
        <f t="shared" si="177"/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 t="shared" si="178"/>
        <v/>
      </c>
      <c r="PS20" s="11" t="str">
        <f t="shared" si="179"/>
        <v/>
      </c>
      <c r="PT20" s="11" t="str">
        <f t="shared" si="180"/>
        <v/>
      </c>
      <c r="PU20" s="11" t="str">
        <f t="shared" si="181"/>
        <v/>
      </c>
      <c r="PV20" s="11" t="str">
        <f t="shared" si="182"/>
        <v/>
      </c>
      <c r="PW20" s="11" t="str">
        <f t="shared" si="183"/>
        <v/>
      </c>
      <c r="PX20" s="11" t="str">
        <f t="shared" si="184"/>
        <v/>
      </c>
      <c r="PY20" s="11" t="str">
        <f t="shared" si="185"/>
        <v/>
      </c>
      <c r="PZ20" s="11" t="str">
        <f t="shared" si="186"/>
        <v/>
      </c>
      <c r="QA20" s="11" t="str">
        <f t="shared" si="187"/>
        <v/>
      </c>
      <c r="QB20" s="11" t="str">
        <f t="shared" si="188"/>
        <v/>
      </c>
      <c r="QC20" s="11" t="str">
        <f t="shared" si="189"/>
        <v/>
      </c>
      <c r="QD20" s="11" t="str">
        <f t="shared" si="190"/>
        <v/>
      </c>
      <c r="QE20" s="11" t="str">
        <f t="shared" si="191"/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1" t="str">
        <f t="shared" si="192"/>
        <v/>
      </c>
      <c r="RA20" s="41" t="str">
        <f t="shared" si="193"/>
        <v/>
      </c>
      <c r="RB20" s="41" t="str">
        <f t="shared" si="194"/>
        <v/>
      </c>
      <c r="RC20" s="41" t="str">
        <f t="shared" si="195"/>
        <v/>
      </c>
      <c r="RD20" s="41" t="str">
        <f t="shared" si="196"/>
        <v/>
      </c>
      <c r="RE20" s="41" t="str">
        <f t="shared" si="197"/>
        <v/>
      </c>
      <c r="RF20" s="41" t="str">
        <f t="shared" si="198"/>
        <v/>
      </c>
      <c r="RG20" s="41" t="str">
        <f t="shared" si="199"/>
        <v/>
      </c>
      <c r="RH20" s="41" t="str">
        <f t="shared" si="200"/>
        <v/>
      </c>
      <c r="RI20" s="41" t="str">
        <f t="shared" si="201"/>
        <v/>
      </c>
      <c r="RJ20" s="41" t="str">
        <f t="shared" si="202"/>
        <v/>
      </c>
      <c r="RK20" s="41" t="str">
        <f t="shared" si="203"/>
        <v/>
      </c>
      <c r="RL20" s="41" t="str">
        <f t="shared" si="204"/>
        <v/>
      </c>
      <c r="RM20" s="41" t="str">
        <f t="shared" si="205"/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 t="shared" si="206"/>
        <v/>
      </c>
      <c r="SI20" s="11" t="str">
        <f t="shared" si="207"/>
        <v/>
      </c>
      <c r="SJ20" s="11" t="str">
        <f t="shared" si="208"/>
        <v/>
      </c>
      <c r="SK20" s="11" t="str">
        <f t="shared" si="209"/>
        <v/>
      </c>
      <c r="SL20" s="11" t="str">
        <f t="shared" si="210"/>
        <v/>
      </c>
      <c r="SM20" s="11" t="str">
        <f t="shared" si="211"/>
        <v/>
      </c>
      <c r="SN20" s="11" t="str">
        <f t="shared" si="212"/>
        <v/>
      </c>
      <c r="SO20" s="11" t="str">
        <f t="shared" si="213"/>
        <v/>
      </c>
      <c r="SP20" s="11" t="str">
        <f t="shared" si="214"/>
        <v/>
      </c>
      <c r="SQ20" s="11" t="str">
        <f t="shared" si="215"/>
        <v/>
      </c>
      <c r="SR20" s="11" t="str">
        <f t="shared" si="216"/>
        <v/>
      </c>
      <c r="SS20" s="11" t="str">
        <f t="shared" si="217"/>
        <v/>
      </c>
      <c r="ST20" s="11" t="str">
        <f t="shared" si="218"/>
        <v/>
      </c>
      <c r="SU20" s="11" t="str">
        <f t="shared" si="219"/>
        <v/>
      </c>
      <c r="SV20" s="23">
        <f t="shared" si="220"/>
        <v>8.75</v>
      </c>
      <c r="SW20" s="23">
        <f t="shared" si="221"/>
        <v>5.35</v>
      </c>
      <c r="SX20" s="23">
        <f t="shared" si="222"/>
        <v>9.0500000000000007</v>
      </c>
      <c r="SY20" s="23">
        <f t="shared" si="223"/>
        <v>9.27</v>
      </c>
      <c r="SZ20" s="23">
        <f t="shared" si="224"/>
        <v>0</v>
      </c>
      <c r="TA20" s="23">
        <f t="shared" si="225"/>
        <v>13.15</v>
      </c>
      <c r="TB20" s="23">
        <f t="shared" si="226"/>
        <v>3.25</v>
      </c>
      <c r="TC20" s="23">
        <f t="shared" si="227"/>
        <v>5.8</v>
      </c>
      <c r="TD20" s="23">
        <f t="shared" si="228"/>
        <v>5.4950000000000001</v>
      </c>
      <c r="TE20" s="23">
        <f t="shared" si="229"/>
        <v>0</v>
      </c>
      <c r="TF20" s="23">
        <f t="shared" si="230"/>
        <v>0</v>
      </c>
      <c r="TG20" s="23">
        <f t="shared" si="231"/>
        <v>0</v>
      </c>
      <c r="TH20" s="23">
        <f t="shared" si="232"/>
        <v>0</v>
      </c>
      <c r="TI20" s="23">
        <f t="shared" si="233"/>
        <v>0</v>
      </c>
      <c r="TJ20" s="23">
        <f t="shared" si="234"/>
        <v>0</v>
      </c>
      <c r="TK20" s="28" t="s">
        <v>57</v>
      </c>
      <c r="TL20" s="41">
        <f t="shared" si="235"/>
        <v>9.0500000000000007</v>
      </c>
      <c r="TM20" s="41">
        <f t="shared" si="236"/>
        <v>9.27</v>
      </c>
      <c r="TN20" s="41">
        <f t="shared" si="237"/>
        <v>32.42</v>
      </c>
      <c r="TO20" s="41">
        <f t="shared" si="238"/>
        <v>5.8</v>
      </c>
      <c r="TP20" s="41">
        <f t="shared" si="239"/>
        <v>5.4950000000000001</v>
      </c>
      <c r="TQ20" s="41">
        <f t="shared" si="240"/>
        <v>27.695</v>
      </c>
      <c r="TR20" s="41">
        <f t="shared" si="241"/>
        <v>32.42</v>
      </c>
      <c r="TS20" s="41" t="str">
        <f t="shared" si="242"/>
        <v/>
      </c>
      <c r="TT20" s="41" t="str">
        <f t="shared" si="243"/>
        <v/>
      </c>
      <c r="TU20" s="41" t="str">
        <f t="shared" si="244"/>
        <v/>
      </c>
      <c r="TV20" s="41">
        <f t="shared" si="245"/>
        <v>32.42</v>
      </c>
    </row>
    <row r="21" spans="1:542" x14ac:dyDescent="0.2">
      <c r="A21" s="4" t="str" cm="1">
        <f t="array" ref="A21">IF(AND(H21&lt;&gt;"",H21&lt;&gt;"No DD"),SUMPRODUCT((H$4:H$24&lt;&gt;"")*(H$4:H$24&lt;&gt;"No DD")*(E$4:E$24&gt;E21))+1,IF(H21="No DD",SUMPRODUCT((H$4:H$24="No DD")*(E$4:E$24&gt;E21))+1+SUMPRODUCT((H$4:H$24&lt;&gt;"")*(H$4:H$24&lt;&gt;"No DD")),""))</f>
        <v/>
      </c>
      <c r="B21" s="5" t="s">
        <v>238</v>
      </c>
      <c r="C21" s="4" t="s">
        <v>6</v>
      </c>
      <c r="D21" s="4">
        <v>2001</v>
      </c>
      <c r="E21" s="9">
        <f t="shared" si="0"/>
        <v>106.27001062700531</v>
      </c>
      <c r="F21" s="3" t="str">
        <f t="shared" si="1"/>
        <v/>
      </c>
      <c r="G21" s="3" t="str">
        <f t="shared" si="2"/>
        <v/>
      </c>
      <c r="H21" s="37" t="str">
        <f t="shared" si="3"/>
        <v/>
      </c>
      <c r="I21" s="3" t="str">
        <f t="shared" si="4"/>
        <v/>
      </c>
      <c r="J21" s="8">
        <f>IF(COUNT(AQ21,AT21,BR21,BU21,CS21,CV21)&gt;0,LARGE((AQ21,AT21,BR21,BU21,CS21,CV21),1),0)</f>
        <v>53.19</v>
      </c>
      <c r="K21" s="8" t="str">
        <f t="shared" si="5"/>
        <v>2023 Domestic 3rd Trial</v>
      </c>
      <c r="L21" s="8">
        <f>IF(COUNT(AQ21,AT21,BR21,BU21,CS21,CV21)&gt;1,LARGE((AQ21,AT21,BR21,BU21,CS21,CV21),2),0)</f>
        <v>21.62</v>
      </c>
      <c r="M21" s="8" t="str">
        <f t="shared" si="6"/>
        <v>2023 Domestic 3rd Trial</v>
      </c>
      <c r="N21" s="8">
        <f>IF(COUNT(AQ21,AT21,BR21,BU21,CS21,CV21)&gt;2,LARGE((AQ21,AT21,BR21,BU21,CS21,CV21),3),0)</f>
        <v>0</v>
      </c>
      <c r="O21" s="8" t="str">
        <f t="shared" si="7"/>
        <v/>
      </c>
      <c r="P21" s="8">
        <f t="shared" si="8"/>
        <v>16.66</v>
      </c>
      <c r="Q21" s="8" t="str">
        <f t="shared" si="9"/>
        <v>2023 Domestic 3rd Trial</v>
      </c>
      <c r="R21" s="8">
        <f t="shared" si="10"/>
        <v>14.8</v>
      </c>
      <c r="S21" s="8" t="str">
        <f t="shared" si="11"/>
        <v>2023 Domestic 3rd Trial</v>
      </c>
      <c r="T21" s="8">
        <f t="shared" si="12"/>
        <v>0</v>
      </c>
      <c r="U21" s="8" t="str">
        <f t="shared" si="13"/>
        <v/>
      </c>
      <c r="V21" s="8" t="str">
        <f t="shared" si="14"/>
        <v/>
      </c>
      <c r="W21" s="11" t="str">
        <f t="shared" si="15"/>
        <v/>
      </c>
      <c r="X21" s="8" t="str">
        <f t="shared" si="16"/>
        <v/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3"/>
      <c r="AJ21" s="23"/>
      <c r="AK21" s="23"/>
      <c r="AL21" s="23"/>
      <c r="AM21" s="23"/>
      <c r="AN21" s="28"/>
      <c r="AO21" s="39" t="str">
        <f t="shared" si="17"/>
        <v/>
      </c>
      <c r="AP21" s="39" t="str">
        <f t="shared" si="18"/>
        <v/>
      </c>
      <c r="AQ21" s="41" t="str">
        <f t="shared" si="19"/>
        <v/>
      </c>
      <c r="AR21" s="41" t="str">
        <f t="shared" si="20"/>
        <v/>
      </c>
      <c r="AS21" s="41" t="str">
        <f t="shared" si="21"/>
        <v/>
      </c>
      <c r="AT21" s="41" t="str">
        <f t="shared" si="22"/>
        <v/>
      </c>
      <c r="AU21" s="41" t="str">
        <f t="shared" si="23"/>
        <v/>
      </c>
      <c r="AV21" s="41" t="str">
        <f t="shared" si="24"/>
        <v/>
      </c>
      <c r="AW21" s="41" t="str">
        <f t="shared" si="25"/>
        <v/>
      </c>
      <c r="AX21" s="41" t="str">
        <f t="shared" si="26"/>
        <v/>
      </c>
      <c r="AY21" s="41" t="str">
        <f t="shared" si="27"/>
        <v/>
      </c>
      <c r="AZ21" s="27"/>
      <c r="BA21" s="27"/>
      <c r="BB21" s="27"/>
      <c r="BC21" s="27"/>
      <c r="BD21" s="27"/>
      <c r="BE21" s="27"/>
      <c r="BF21" s="27"/>
      <c r="BG21" s="27"/>
      <c r="BH21" s="27"/>
      <c r="BI21" s="27"/>
      <c r="BJ21" s="27"/>
      <c r="BK21" s="27"/>
      <c r="BL21" s="27"/>
      <c r="BM21" s="27"/>
      <c r="BN21" s="27"/>
      <c r="BO21" s="29"/>
      <c r="BP21" s="40" t="str">
        <f t="shared" si="28"/>
        <v/>
      </c>
      <c r="BQ21" s="40" t="str">
        <f t="shared" si="29"/>
        <v/>
      </c>
      <c r="BR21" s="11" t="str">
        <f t="shared" si="30"/>
        <v/>
      </c>
      <c r="BS21" s="11" t="str">
        <f t="shared" si="31"/>
        <v/>
      </c>
      <c r="BT21" s="11" t="str">
        <f t="shared" si="32"/>
        <v/>
      </c>
      <c r="BU21" s="11" t="str">
        <f t="shared" si="33"/>
        <v/>
      </c>
      <c r="BV21" s="11" t="str">
        <f t="shared" si="34"/>
        <v/>
      </c>
      <c r="BW21" s="11" t="str">
        <f t="shared" si="35"/>
        <v/>
      </c>
      <c r="BX21" s="11" t="str">
        <f t="shared" si="36"/>
        <v/>
      </c>
      <c r="BY21" s="11" t="str">
        <f t="shared" si="37"/>
        <v/>
      </c>
      <c r="BZ21" s="11" t="str">
        <f t="shared" si="38"/>
        <v/>
      </c>
      <c r="CA21" s="23">
        <v>5.2</v>
      </c>
      <c r="CB21" s="23">
        <v>3.6</v>
      </c>
      <c r="CC21" s="23">
        <v>6.3</v>
      </c>
      <c r="CD21" s="23">
        <v>6.52</v>
      </c>
      <c r="CE21" s="23">
        <v>0</v>
      </c>
      <c r="CF21" s="23">
        <v>13.1</v>
      </c>
      <c r="CG21" s="23">
        <v>9.6999999999999993</v>
      </c>
      <c r="CH21" s="23">
        <v>14.8</v>
      </c>
      <c r="CI21" s="23">
        <v>15.59</v>
      </c>
      <c r="CJ21" s="23">
        <v>0</v>
      </c>
      <c r="CK21" s="23">
        <v>3.8</v>
      </c>
      <c r="CL21" s="23">
        <v>3</v>
      </c>
      <c r="CM21" s="23">
        <v>4.9000000000000004</v>
      </c>
      <c r="CN21" s="23">
        <v>4.96</v>
      </c>
      <c r="CO21" s="23">
        <v>0</v>
      </c>
      <c r="CP21" s="28"/>
      <c r="CQ21" s="39">
        <f t="shared" si="39"/>
        <v>6.3</v>
      </c>
      <c r="CR21" s="39">
        <f t="shared" si="40"/>
        <v>6.52</v>
      </c>
      <c r="CS21" s="41">
        <f t="shared" si="41"/>
        <v>21.62</v>
      </c>
      <c r="CT21" s="41">
        <f t="shared" si="42"/>
        <v>14.8</v>
      </c>
      <c r="CU21" s="41">
        <f t="shared" si="43"/>
        <v>15.59</v>
      </c>
      <c r="CV21" s="41">
        <f t="shared" si="44"/>
        <v>53.19</v>
      </c>
      <c r="CW21" s="41">
        <f t="shared" si="45"/>
        <v>53.19</v>
      </c>
      <c r="CX21" s="41">
        <f t="shared" si="46"/>
        <v>4.9000000000000004</v>
      </c>
      <c r="CY21" s="41">
        <f t="shared" si="47"/>
        <v>4.96</v>
      </c>
      <c r="CZ21" s="41">
        <f t="shared" si="48"/>
        <v>16.66</v>
      </c>
      <c r="DA21" s="41">
        <f t="shared" si="49"/>
        <v>69.849999999999994</v>
      </c>
      <c r="DB21" s="52" t="str">
        <f t="shared" si="50"/>
        <v/>
      </c>
      <c r="DC21" s="52" t="str">
        <f t="shared" si="51"/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1" t="str">
        <f t="shared" si="52"/>
        <v/>
      </c>
      <c r="DY21" s="41" t="str">
        <f t="shared" si="53"/>
        <v/>
      </c>
      <c r="DZ21" s="41" t="str">
        <f t="shared" si="54"/>
        <v/>
      </c>
      <c r="EA21" s="41" t="str">
        <f t="shared" si="55"/>
        <v/>
      </c>
      <c r="EB21" s="41" t="str">
        <f t="shared" si="56"/>
        <v/>
      </c>
      <c r="EC21" s="41" t="str">
        <f t="shared" si="57"/>
        <v/>
      </c>
      <c r="ED21" s="41" t="str">
        <f t="shared" si="58"/>
        <v/>
      </c>
      <c r="EE21" s="41" t="str">
        <f t="shared" si="59"/>
        <v/>
      </c>
      <c r="EF21" s="41" t="str">
        <f t="shared" si="60"/>
        <v/>
      </c>
      <c r="EG21" s="41" t="str">
        <f t="shared" si="61"/>
        <v/>
      </c>
      <c r="EH21" s="41" t="str">
        <f t="shared" si="62"/>
        <v/>
      </c>
      <c r="EI21" s="41" t="str">
        <f t="shared" si="63"/>
        <v/>
      </c>
      <c r="EJ21" s="41" t="str">
        <f t="shared" si="64"/>
        <v/>
      </c>
      <c r="EK21" s="41" t="str">
        <f t="shared" si="65"/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 t="shared" si="66"/>
        <v/>
      </c>
      <c r="FG21" s="11" t="str">
        <f t="shared" si="67"/>
        <v/>
      </c>
      <c r="FH21" s="11" t="str">
        <f t="shared" si="68"/>
        <v/>
      </c>
      <c r="FI21" s="11" t="str">
        <f t="shared" si="69"/>
        <v/>
      </c>
      <c r="FJ21" s="11" t="str">
        <f t="shared" si="70"/>
        <v/>
      </c>
      <c r="FK21" s="11" t="str">
        <f t="shared" si="71"/>
        <v/>
      </c>
      <c r="FL21" s="11" t="str">
        <f t="shared" si="72"/>
        <v/>
      </c>
      <c r="FM21" s="11" t="str">
        <f t="shared" si="73"/>
        <v/>
      </c>
      <c r="FN21" s="11" t="str">
        <f t="shared" si="74"/>
        <v/>
      </c>
      <c r="FO21" s="11" t="str">
        <f t="shared" si="75"/>
        <v/>
      </c>
      <c r="FP21" s="11" t="str">
        <f t="shared" si="76"/>
        <v/>
      </c>
      <c r="FQ21" s="11" t="str">
        <f t="shared" si="77"/>
        <v/>
      </c>
      <c r="FR21" s="11" t="str">
        <f t="shared" si="78"/>
        <v/>
      </c>
      <c r="FS21" s="11" t="str">
        <f t="shared" si="79"/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1" t="str">
        <f t="shared" si="80"/>
        <v/>
      </c>
      <c r="GO21" s="41" t="str">
        <f t="shared" si="81"/>
        <v/>
      </c>
      <c r="GP21" s="41" t="str">
        <f t="shared" si="82"/>
        <v/>
      </c>
      <c r="GQ21" s="41" t="str">
        <f t="shared" si="83"/>
        <v/>
      </c>
      <c r="GR21" s="41" t="str">
        <f t="shared" si="84"/>
        <v/>
      </c>
      <c r="GS21" s="41" t="str">
        <f t="shared" si="85"/>
        <v/>
      </c>
      <c r="GT21" s="41" t="str">
        <f t="shared" si="86"/>
        <v/>
      </c>
      <c r="GU21" s="41" t="str">
        <f t="shared" si="87"/>
        <v/>
      </c>
      <c r="GV21" s="41" t="str">
        <f t="shared" si="88"/>
        <v/>
      </c>
      <c r="GW21" s="41" t="str">
        <f t="shared" si="89"/>
        <v/>
      </c>
      <c r="GX21" s="41" t="str">
        <f t="shared" si="90"/>
        <v/>
      </c>
      <c r="GY21" s="41" t="str">
        <f t="shared" si="91"/>
        <v/>
      </c>
      <c r="GZ21" s="41" t="str">
        <f t="shared" si="92"/>
        <v/>
      </c>
      <c r="HA21" s="41" t="str">
        <f t="shared" si="93"/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 t="shared" si="94"/>
        <v/>
      </c>
      <c r="HW21" s="11" t="str">
        <f t="shared" si="95"/>
        <v/>
      </c>
      <c r="HX21" s="11" t="str">
        <f t="shared" si="96"/>
        <v/>
      </c>
      <c r="HY21" s="11" t="str">
        <f t="shared" si="97"/>
        <v/>
      </c>
      <c r="HZ21" s="11" t="str">
        <f t="shared" si="98"/>
        <v/>
      </c>
      <c r="IA21" s="11" t="str">
        <f t="shared" si="99"/>
        <v/>
      </c>
      <c r="IB21" s="11" t="str">
        <f t="shared" si="100"/>
        <v/>
      </c>
      <c r="IC21" s="11" t="str">
        <f t="shared" si="101"/>
        <v/>
      </c>
      <c r="ID21" s="11" t="str">
        <f t="shared" si="102"/>
        <v/>
      </c>
      <c r="IE21" s="11" t="str">
        <f t="shared" si="103"/>
        <v/>
      </c>
      <c r="IF21" s="11" t="str">
        <f t="shared" si="104"/>
        <v/>
      </c>
      <c r="IG21" s="11" t="str">
        <f t="shared" si="105"/>
        <v/>
      </c>
      <c r="IH21" s="11" t="str">
        <f t="shared" si="106"/>
        <v/>
      </c>
      <c r="II21" s="11" t="str">
        <f t="shared" si="107"/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1" t="str">
        <f t="shared" si="108"/>
        <v/>
      </c>
      <c r="JE21" s="41" t="str">
        <f t="shared" si="109"/>
        <v/>
      </c>
      <c r="JF21" s="41" t="str">
        <f t="shared" si="110"/>
        <v/>
      </c>
      <c r="JG21" s="41" t="str">
        <f t="shared" si="111"/>
        <v/>
      </c>
      <c r="JH21" s="41" t="str">
        <f t="shared" si="112"/>
        <v/>
      </c>
      <c r="JI21" s="41" t="str">
        <f t="shared" si="113"/>
        <v/>
      </c>
      <c r="JJ21" s="41" t="str">
        <f t="shared" si="114"/>
        <v/>
      </c>
      <c r="JK21" s="41" t="str">
        <f t="shared" si="115"/>
        <v/>
      </c>
      <c r="JL21" s="41" t="str">
        <f t="shared" si="116"/>
        <v/>
      </c>
      <c r="JM21" s="41" t="str">
        <f t="shared" si="117"/>
        <v/>
      </c>
      <c r="JN21" s="41" t="str">
        <f t="shared" si="118"/>
        <v/>
      </c>
      <c r="JO21" s="41" t="str">
        <f t="shared" si="119"/>
        <v/>
      </c>
      <c r="JP21" s="41" t="str">
        <f t="shared" si="120"/>
        <v/>
      </c>
      <c r="JQ21" s="41" t="str">
        <f t="shared" si="121"/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 t="shared" si="122"/>
        <v/>
      </c>
      <c r="KM21" s="11" t="str">
        <f t="shared" si="123"/>
        <v/>
      </c>
      <c r="KN21" s="11" t="str">
        <f t="shared" si="124"/>
        <v/>
      </c>
      <c r="KO21" s="11" t="str">
        <f t="shared" si="125"/>
        <v/>
      </c>
      <c r="KP21" s="11" t="str">
        <f t="shared" si="126"/>
        <v/>
      </c>
      <c r="KQ21" s="11" t="str">
        <f t="shared" si="127"/>
        <v/>
      </c>
      <c r="KR21" s="11" t="str">
        <f t="shared" si="128"/>
        <v/>
      </c>
      <c r="KS21" s="11" t="str">
        <f t="shared" si="129"/>
        <v/>
      </c>
      <c r="KT21" s="11" t="str">
        <f t="shared" si="130"/>
        <v/>
      </c>
      <c r="KU21" s="11" t="str">
        <f t="shared" si="131"/>
        <v/>
      </c>
      <c r="KV21" s="11" t="str">
        <f t="shared" si="132"/>
        <v/>
      </c>
      <c r="KW21" s="11" t="str">
        <f t="shared" si="133"/>
        <v/>
      </c>
      <c r="KX21" s="11" t="str">
        <f t="shared" si="134"/>
        <v/>
      </c>
      <c r="KY21" s="11" t="str">
        <f t="shared" si="135"/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1" t="str">
        <f t="shared" si="136"/>
        <v/>
      </c>
      <c r="LU21" s="41" t="str">
        <f t="shared" si="137"/>
        <v/>
      </c>
      <c r="LV21" s="41" t="str">
        <f t="shared" si="138"/>
        <v/>
      </c>
      <c r="LW21" s="41" t="str">
        <f t="shared" si="139"/>
        <v/>
      </c>
      <c r="LX21" s="41" t="str">
        <f t="shared" si="140"/>
        <v/>
      </c>
      <c r="LY21" s="41" t="str">
        <f t="shared" si="141"/>
        <v/>
      </c>
      <c r="LZ21" s="41" t="str">
        <f t="shared" si="142"/>
        <v/>
      </c>
      <c r="MA21" s="41" t="str">
        <f t="shared" si="143"/>
        <v/>
      </c>
      <c r="MB21" s="41" t="str">
        <f t="shared" si="144"/>
        <v/>
      </c>
      <c r="MC21" s="41" t="str">
        <f t="shared" si="145"/>
        <v/>
      </c>
      <c r="MD21" s="41" t="str">
        <f t="shared" si="146"/>
        <v/>
      </c>
      <c r="ME21" s="41" t="str">
        <f t="shared" si="147"/>
        <v/>
      </c>
      <c r="MF21" s="41" t="str">
        <f t="shared" si="148"/>
        <v/>
      </c>
      <c r="MG21" s="41" t="str">
        <f t="shared" si="149"/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 t="shared" si="150"/>
        <v/>
      </c>
      <c r="NC21" s="11" t="str">
        <f t="shared" si="151"/>
        <v/>
      </c>
      <c r="ND21" s="11" t="str">
        <f t="shared" si="152"/>
        <v/>
      </c>
      <c r="NE21" s="11" t="str">
        <f t="shared" si="153"/>
        <v/>
      </c>
      <c r="NF21" s="11" t="str">
        <f t="shared" si="154"/>
        <v/>
      </c>
      <c r="NG21" s="11" t="str">
        <f t="shared" si="155"/>
        <v/>
      </c>
      <c r="NH21" s="11" t="str">
        <f t="shared" si="156"/>
        <v/>
      </c>
      <c r="NI21" s="11" t="str">
        <f t="shared" si="157"/>
        <v/>
      </c>
      <c r="NJ21" s="11" t="str">
        <f t="shared" si="158"/>
        <v/>
      </c>
      <c r="NK21" s="11" t="str">
        <f t="shared" si="159"/>
        <v/>
      </c>
      <c r="NL21" s="11" t="str">
        <f t="shared" si="160"/>
        <v/>
      </c>
      <c r="NM21" s="11" t="str">
        <f t="shared" si="161"/>
        <v/>
      </c>
      <c r="NN21" s="11" t="str">
        <f t="shared" si="162"/>
        <v/>
      </c>
      <c r="NO21" s="11" t="str">
        <f t="shared" si="163"/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1" t="str">
        <f t="shared" si="164"/>
        <v/>
      </c>
      <c r="OK21" s="41" t="str">
        <f t="shared" si="165"/>
        <v/>
      </c>
      <c r="OL21" s="41" t="str">
        <f t="shared" si="166"/>
        <v/>
      </c>
      <c r="OM21" s="41" t="str">
        <f t="shared" si="167"/>
        <v/>
      </c>
      <c r="ON21" s="41" t="str">
        <f t="shared" si="168"/>
        <v/>
      </c>
      <c r="OO21" s="41" t="str">
        <f t="shared" si="169"/>
        <v/>
      </c>
      <c r="OP21" s="41" t="str">
        <f t="shared" si="170"/>
        <v/>
      </c>
      <c r="OQ21" s="41" t="str">
        <f t="shared" si="171"/>
        <v/>
      </c>
      <c r="OR21" s="41" t="str">
        <f t="shared" si="172"/>
        <v/>
      </c>
      <c r="OS21" s="41" t="str">
        <f t="shared" si="173"/>
        <v/>
      </c>
      <c r="OT21" s="41" t="str">
        <f t="shared" si="174"/>
        <v/>
      </c>
      <c r="OU21" s="41" t="str">
        <f t="shared" si="175"/>
        <v/>
      </c>
      <c r="OV21" s="41" t="str">
        <f t="shared" si="176"/>
        <v/>
      </c>
      <c r="OW21" s="41" t="str">
        <f t="shared" si="177"/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 t="shared" si="178"/>
        <v/>
      </c>
      <c r="PS21" s="11" t="str">
        <f t="shared" si="179"/>
        <v/>
      </c>
      <c r="PT21" s="11" t="str">
        <f t="shared" si="180"/>
        <v/>
      </c>
      <c r="PU21" s="11" t="str">
        <f t="shared" si="181"/>
        <v/>
      </c>
      <c r="PV21" s="11" t="str">
        <f t="shared" si="182"/>
        <v/>
      </c>
      <c r="PW21" s="11" t="str">
        <f t="shared" si="183"/>
        <v/>
      </c>
      <c r="PX21" s="11" t="str">
        <f t="shared" si="184"/>
        <v/>
      </c>
      <c r="PY21" s="11" t="str">
        <f t="shared" si="185"/>
        <v/>
      </c>
      <c r="PZ21" s="11" t="str">
        <f t="shared" si="186"/>
        <v/>
      </c>
      <c r="QA21" s="11" t="str">
        <f t="shared" si="187"/>
        <v/>
      </c>
      <c r="QB21" s="11" t="str">
        <f t="shared" si="188"/>
        <v/>
      </c>
      <c r="QC21" s="11" t="str">
        <f t="shared" si="189"/>
        <v/>
      </c>
      <c r="QD21" s="11" t="str">
        <f t="shared" si="190"/>
        <v/>
      </c>
      <c r="QE21" s="11" t="str">
        <f t="shared" si="191"/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1" t="str">
        <f t="shared" si="192"/>
        <v/>
      </c>
      <c r="RA21" s="41" t="str">
        <f t="shared" si="193"/>
        <v/>
      </c>
      <c r="RB21" s="41" t="str">
        <f t="shared" si="194"/>
        <v/>
      </c>
      <c r="RC21" s="41" t="str">
        <f t="shared" si="195"/>
        <v/>
      </c>
      <c r="RD21" s="41" t="str">
        <f t="shared" si="196"/>
        <v/>
      </c>
      <c r="RE21" s="41" t="str">
        <f t="shared" si="197"/>
        <v/>
      </c>
      <c r="RF21" s="41" t="str">
        <f t="shared" si="198"/>
        <v/>
      </c>
      <c r="RG21" s="41" t="str">
        <f t="shared" si="199"/>
        <v/>
      </c>
      <c r="RH21" s="41" t="str">
        <f t="shared" si="200"/>
        <v/>
      </c>
      <c r="RI21" s="41" t="str">
        <f t="shared" si="201"/>
        <v/>
      </c>
      <c r="RJ21" s="41" t="str">
        <f t="shared" si="202"/>
        <v/>
      </c>
      <c r="RK21" s="41" t="str">
        <f t="shared" si="203"/>
        <v/>
      </c>
      <c r="RL21" s="41" t="str">
        <f t="shared" si="204"/>
        <v/>
      </c>
      <c r="RM21" s="41" t="str">
        <f t="shared" si="205"/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 t="shared" si="206"/>
        <v/>
      </c>
      <c r="SI21" s="11" t="str">
        <f t="shared" si="207"/>
        <v/>
      </c>
      <c r="SJ21" s="11" t="str">
        <f t="shared" si="208"/>
        <v/>
      </c>
      <c r="SK21" s="11" t="str">
        <f t="shared" si="209"/>
        <v/>
      </c>
      <c r="SL21" s="11" t="str">
        <f t="shared" si="210"/>
        <v/>
      </c>
      <c r="SM21" s="11" t="str">
        <f t="shared" si="211"/>
        <v/>
      </c>
      <c r="SN21" s="11" t="str">
        <f t="shared" si="212"/>
        <v/>
      </c>
      <c r="SO21" s="11" t="str">
        <f t="shared" si="213"/>
        <v/>
      </c>
      <c r="SP21" s="11" t="str">
        <f t="shared" si="214"/>
        <v/>
      </c>
      <c r="SQ21" s="11" t="str">
        <f t="shared" si="215"/>
        <v/>
      </c>
      <c r="SR21" s="11" t="str">
        <f t="shared" si="216"/>
        <v/>
      </c>
      <c r="SS21" s="11" t="str">
        <f t="shared" si="217"/>
        <v/>
      </c>
      <c r="ST21" s="11" t="str">
        <f t="shared" si="218"/>
        <v/>
      </c>
      <c r="SU21" s="11" t="str">
        <f t="shared" si="219"/>
        <v/>
      </c>
      <c r="SV21" s="23">
        <f t="shared" si="220"/>
        <v>2.6</v>
      </c>
      <c r="SW21" s="23">
        <f t="shared" si="221"/>
        <v>1.8</v>
      </c>
      <c r="SX21" s="23">
        <f t="shared" si="222"/>
        <v>3.15</v>
      </c>
      <c r="SY21" s="23">
        <f t="shared" si="223"/>
        <v>3.26</v>
      </c>
      <c r="SZ21" s="23">
        <f t="shared" si="224"/>
        <v>0</v>
      </c>
      <c r="TA21" s="23">
        <f t="shared" si="225"/>
        <v>6.55</v>
      </c>
      <c r="TB21" s="23">
        <f t="shared" si="226"/>
        <v>4.8499999999999996</v>
      </c>
      <c r="TC21" s="23">
        <f t="shared" si="227"/>
        <v>7.4</v>
      </c>
      <c r="TD21" s="23">
        <f t="shared" si="228"/>
        <v>7.7949999999999999</v>
      </c>
      <c r="TE21" s="23">
        <f t="shared" si="229"/>
        <v>0</v>
      </c>
      <c r="TF21" s="23">
        <f t="shared" si="230"/>
        <v>1.9</v>
      </c>
      <c r="TG21" s="23">
        <f t="shared" si="231"/>
        <v>1.5</v>
      </c>
      <c r="TH21" s="23">
        <f t="shared" si="232"/>
        <v>2.4500000000000002</v>
      </c>
      <c r="TI21" s="23">
        <f t="shared" si="233"/>
        <v>2.48</v>
      </c>
      <c r="TJ21" s="23">
        <f t="shared" si="234"/>
        <v>0</v>
      </c>
      <c r="TK21" s="28" t="s">
        <v>57</v>
      </c>
      <c r="TL21" s="41">
        <f t="shared" si="235"/>
        <v>3.15</v>
      </c>
      <c r="TM21" s="41">
        <f t="shared" si="236"/>
        <v>3.26</v>
      </c>
      <c r="TN21" s="41">
        <f t="shared" si="237"/>
        <v>10.81</v>
      </c>
      <c r="TO21" s="41">
        <f t="shared" si="238"/>
        <v>7.4</v>
      </c>
      <c r="TP21" s="41">
        <f t="shared" si="239"/>
        <v>7.7949999999999999</v>
      </c>
      <c r="TQ21" s="41">
        <f t="shared" si="240"/>
        <v>26.594999999999999</v>
      </c>
      <c r="TR21" s="41">
        <f t="shared" si="241"/>
        <v>26.594999999999999</v>
      </c>
      <c r="TS21" s="41">
        <f t="shared" si="242"/>
        <v>2.4500000000000002</v>
      </c>
      <c r="TT21" s="41">
        <f t="shared" si="243"/>
        <v>2.48</v>
      </c>
      <c r="TU21" s="41">
        <f t="shared" si="244"/>
        <v>8.33</v>
      </c>
      <c r="TV21" s="41">
        <f t="shared" si="245"/>
        <v>34.924999999999997</v>
      </c>
    </row>
    <row r="22" spans="1:542" x14ac:dyDescent="0.2">
      <c r="A22" s="4" t="str" cm="1">
        <f t="array" ref="A22">IF(AND(H22&lt;&gt;"",H22&lt;&gt;"No DD"),SUMPRODUCT((H$4:H$24&lt;&gt;"")*(H$4:H$24&lt;&gt;"No DD")*(E$4:E$24&gt;E22))+1,IF(H22="No DD",SUMPRODUCT((H$4:H$24="No DD")*(E$4:E$24&gt;E22))+1+SUMPRODUCT((H$4:H$24&lt;&gt;"")*(H$4:H$24&lt;&gt;"No DD")),""))</f>
        <v/>
      </c>
      <c r="B22" s="5" t="s">
        <v>154</v>
      </c>
      <c r="C22" s="4" t="s">
        <v>5</v>
      </c>
      <c r="D22" s="4">
        <v>1993</v>
      </c>
      <c r="E22" s="9">
        <f t="shared" si="0"/>
        <v>62.73000627300339</v>
      </c>
      <c r="F22" s="3" t="str">
        <f t="shared" si="1"/>
        <v/>
      </c>
      <c r="G22" s="3" t="str">
        <f t="shared" si="2"/>
        <v/>
      </c>
      <c r="H22" s="37" t="str">
        <f t="shared" si="3"/>
        <v/>
      </c>
      <c r="I22" s="3" t="str">
        <f t="shared" si="4"/>
        <v/>
      </c>
      <c r="J22" s="8">
        <f>IF(COUNT(AQ22,AT22,BR22,BU22,CS22,CV22)&gt;0,LARGE((AQ22,AT22,BR22,BU22,CS22,CV22),1),0)</f>
        <v>33.92</v>
      </c>
      <c r="K22" s="8" t="str">
        <f t="shared" si="5"/>
        <v>2023 Elite Canada</v>
      </c>
      <c r="L22" s="8">
        <f>IF(COUNT(AQ22,AT22,BR22,BU22,CS22,CV22)&gt;1,LARGE((AQ22,AT22,BR22,BU22,CS22,CV22),2),0)</f>
        <v>15.63</v>
      </c>
      <c r="M22" s="8" t="str">
        <f t="shared" si="6"/>
        <v>2023 Elite Canada</v>
      </c>
      <c r="N22" s="8">
        <f>IF(COUNT(AQ22,AT22,BR22,BU22,CS22,CV22)&gt;2,LARGE((AQ22,AT22,BR22,BU22,CS22,CV22),3),0)</f>
        <v>5.58</v>
      </c>
      <c r="O22" s="8" t="str">
        <f t="shared" si="7"/>
        <v>2023 Nationals</v>
      </c>
      <c r="P22" s="8">
        <f t="shared" si="8"/>
        <v>0</v>
      </c>
      <c r="Q22" s="8" t="str">
        <f t="shared" si="9"/>
        <v/>
      </c>
      <c r="R22" s="8">
        <f t="shared" si="10"/>
        <v>7.6</v>
      </c>
      <c r="S22" s="8" t="str">
        <f t="shared" si="11"/>
        <v>2023 Elite Canada</v>
      </c>
      <c r="T22" s="8">
        <f t="shared" si="12"/>
        <v>0</v>
      </c>
      <c r="U22" s="8" t="str">
        <f t="shared" si="13"/>
        <v/>
      </c>
      <c r="V22" s="8" t="str">
        <f t="shared" si="14"/>
        <v/>
      </c>
      <c r="W22" s="11" t="str">
        <f t="shared" si="15"/>
        <v/>
      </c>
      <c r="X22" s="8" t="str">
        <f t="shared" si="16"/>
        <v/>
      </c>
      <c r="Y22" s="23">
        <v>4.3</v>
      </c>
      <c r="Z22" s="23">
        <v>3</v>
      </c>
      <c r="AA22" s="23">
        <v>3.5</v>
      </c>
      <c r="AB22" s="23">
        <v>4.83</v>
      </c>
      <c r="AC22" s="23">
        <v>0</v>
      </c>
      <c r="AD22" s="23">
        <v>9.6</v>
      </c>
      <c r="AE22" s="23">
        <v>6.3</v>
      </c>
      <c r="AF22" s="23">
        <v>7.6</v>
      </c>
      <c r="AG22" s="23">
        <v>10.42</v>
      </c>
      <c r="AH22" s="23">
        <v>0</v>
      </c>
      <c r="AI22" s="23"/>
      <c r="AJ22" s="23"/>
      <c r="AK22" s="23"/>
      <c r="AL22" s="23"/>
      <c r="AM22" s="23"/>
      <c r="AN22" s="28"/>
      <c r="AO22" s="39">
        <f t="shared" si="17"/>
        <v>3.5</v>
      </c>
      <c r="AP22" s="39">
        <f t="shared" si="18"/>
        <v>4.83</v>
      </c>
      <c r="AQ22" s="41">
        <f t="shared" si="19"/>
        <v>15.63</v>
      </c>
      <c r="AR22" s="41">
        <f t="shared" si="20"/>
        <v>7.6</v>
      </c>
      <c r="AS22" s="41">
        <f t="shared" si="21"/>
        <v>10.42</v>
      </c>
      <c r="AT22" s="41">
        <f t="shared" si="22"/>
        <v>33.92</v>
      </c>
      <c r="AU22" s="41">
        <f t="shared" si="23"/>
        <v>33.92</v>
      </c>
      <c r="AV22" s="41" t="str">
        <f t="shared" si="24"/>
        <v/>
      </c>
      <c r="AW22" s="41" t="str">
        <f t="shared" si="25"/>
        <v/>
      </c>
      <c r="AX22" s="41" t="str">
        <f t="shared" si="26"/>
        <v/>
      </c>
      <c r="AY22" s="41">
        <f t="shared" si="27"/>
        <v>33.92</v>
      </c>
      <c r="AZ22" s="27">
        <v>1.2</v>
      </c>
      <c r="BA22" s="27">
        <v>1</v>
      </c>
      <c r="BB22" s="27">
        <v>1.7</v>
      </c>
      <c r="BC22" s="27">
        <v>1.65</v>
      </c>
      <c r="BD22" s="27">
        <v>0</v>
      </c>
      <c r="BE22" s="27">
        <v>1.2</v>
      </c>
      <c r="BF22" s="27">
        <v>1</v>
      </c>
      <c r="BG22" s="27">
        <v>1.7</v>
      </c>
      <c r="BH22" s="27">
        <v>1.68</v>
      </c>
      <c r="BI22" s="27">
        <v>0</v>
      </c>
      <c r="BJ22" s="27"/>
      <c r="BK22" s="27"/>
      <c r="BL22" s="27"/>
      <c r="BM22" s="27"/>
      <c r="BN22" s="27"/>
      <c r="BO22" s="29"/>
      <c r="BP22" s="40">
        <f t="shared" si="28"/>
        <v>1.7</v>
      </c>
      <c r="BQ22" s="40">
        <f t="shared" si="29"/>
        <v>1.65</v>
      </c>
      <c r="BR22" s="11">
        <f t="shared" si="30"/>
        <v>5.5500000000000007</v>
      </c>
      <c r="BS22" s="11">
        <f t="shared" si="31"/>
        <v>1.7</v>
      </c>
      <c r="BT22" s="11">
        <f t="shared" si="32"/>
        <v>1.68</v>
      </c>
      <c r="BU22" s="11">
        <f t="shared" si="33"/>
        <v>5.58</v>
      </c>
      <c r="BV22" s="11">
        <f t="shared" si="34"/>
        <v>5.58</v>
      </c>
      <c r="BW22" s="11" t="str">
        <f t="shared" si="35"/>
        <v/>
      </c>
      <c r="BX22" s="11" t="str">
        <f t="shared" si="36"/>
        <v/>
      </c>
      <c r="BY22" s="11" t="str">
        <f t="shared" si="37"/>
        <v/>
      </c>
      <c r="BZ22" s="11">
        <f t="shared" si="38"/>
        <v>5.58</v>
      </c>
      <c r="CA22" s="23"/>
      <c r="CB22" s="23"/>
      <c r="CC22" s="23"/>
      <c r="CD22" s="23"/>
      <c r="CE22" s="23"/>
      <c r="CF22" s="23"/>
      <c r="CG22" s="23"/>
      <c r="CH22" s="23"/>
      <c r="CI22" s="23"/>
      <c r="CJ22" s="23"/>
      <c r="CK22" s="23"/>
      <c r="CL22" s="23"/>
      <c r="CM22" s="23"/>
      <c r="CN22" s="23"/>
      <c r="CO22" s="23"/>
      <c r="CP22" s="28"/>
      <c r="CQ22" s="39" t="str">
        <f t="shared" si="39"/>
        <v/>
      </c>
      <c r="CR22" s="39" t="str">
        <f t="shared" si="40"/>
        <v/>
      </c>
      <c r="CS22" s="41" t="str">
        <f t="shared" si="41"/>
        <v/>
      </c>
      <c r="CT22" s="41" t="str">
        <f t="shared" si="42"/>
        <v/>
      </c>
      <c r="CU22" s="41" t="str">
        <f t="shared" si="43"/>
        <v/>
      </c>
      <c r="CV22" s="41" t="str">
        <f t="shared" si="44"/>
        <v/>
      </c>
      <c r="CW22" s="41" t="str">
        <f t="shared" si="45"/>
        <v/>
      </c>
      <c r="CX22" s="41" t="str">
        <f t="shared" si="46"/>
        <v/>
      </c>
      <c r="CY22" s="41" t="str">
        <f t="shared" si="47"/>
        <v/>
      </c>
      <c r="CZ22" s="41" t="str">
        <f t="shared" si="48"/>
        <v/>
      </c>
      <c r="DA22" s="41" t="str">
        <f t="shared" si="49"/>
        <v/>
      </c>
      <c r="DB22" s="52" t="str">
        <f t="shared" si="50"/>
        <v/>
      </c>
      <c r="DC22" s="52" t="str">
        <f t="shared" si="51"/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1" t="str">
        <f t="shared" si="52"/>
        <v/>
      </c>
      <c r="DY22" s="41" t="str">
        <f t="shared" si="53"/>
        <v/>
      </c>
      <c r="DZ22" s="41" t="str">
        <f t="shared" si="54"/>
        <v/>
      </c>
      <c r="EA22" s="41" t="str">
        <f t="shared" si="55"/>
        <v/>
      </c>
      <c r="EB22" s="41" t="str">
        <f t="shared" si="56"/>
        <v/>
      </c>
      <c r="EC22" s="41" t="str">
        <f t="shared" si="57"/>
        <v/>
      </c>
      <c r="ED22" s="41" t="str">
        <f t="shared" si="58"/>
        <v/>
      </c>
      <c r="EE22" s="41" t="str">
        <f t="shared" si="59"/>
        <v/>
      </c>
      <c r="EF22" s="41" t="str">
        <f t="shared" si="60"/>
        <v/>
      </c>
      <c r="EG22" s="41" t="str">
        <f t="shared" si="61"/>
        <v/>
      </c>
      <c r="EH22" s="41" t="str">
        <f t="shared" si="62"/>
        <v/>
      </c>
      <c r="EI22" s="41" t="str">
        <f t="shared" si="63"/>
        <v/>
      </c>
      <c r="EJ22" s="41" t="str">
        <f t="shared" si="64"/>
        <v/>
      </c>
      <c r="EK22" s="41" t="str">
        <f t="shared" si="65"/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 t="shared" si="66"/>
        <v/>
      </c>
      <c r="FG22" s="11" t="str">
        <f t="shared" si="67"/>
        <v/>
      </c>
      <c r="FH22" s="11" t="str">
        <f t="shared" si="68"/>
        <v/>
      </c>
      <c r="FI22" s="11" t="str">
        <f t="shared" si="69"/>
        <v/>
      </c>
      <c r="FJ22" s="11" t="str">
        <f t="shared" si="70"/>
        <v/>
      </c>
      <c r="FK22" s="11" t="str">
        <f t="shared" si="71"/>
        <v/>
      </c>
      <c r="FL22" s="11" t="str">
        <f t="shared" si="72"/>
        <v/>
      </c>
      <c r="FM22" s="11" t="str">
        <f t="shared" si="73"/>
        <v/>
      </c>
      <c r="FN22" s="11" t="str">
        <f t="shared" si="74"/>
        <v/>
      </c>
      <c r="FO22" s="11" t="str">
        <f t="shared" si="75"/>
        <v/>
      </c>
      <c r="FP22" s="11" t="str">
        <f t="shared" si="76"/>
        <v/>
      </c>
      <c r="FQ22" s="11" t="str">
        <f t="shared" si="77"/>
        <v/>
      </c>
      <c r="FR22" s="11" t="str">
        <f t="shared" si="78"/>
        <v/>
      </c>
      <c r="FS22" s="11" t="str">
        <f t="shared" si="79"/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1" t="str">
        <f t="shared" si="80"/>
        <v/>
      </c>
      <c r="GO22" s="41" t="str">
        <f t="shared" si="81"/>
        <v/>
      </c>
      <c r="GP22" s="41" t="str">
        <f t="shared" si="82"/>
        <v/>
      </c>
      <c r="GQ22" s="41" t="str">
        <f t="shared" si="83"/>
        <v/>
      </c>
      <c r="GR22" s="41" t="str">
        <f t="shared" si="84"/>
        <v/>
      </c>
      <c r="GS22" s="41" t="str">
        <f t="shared" si="85"/>
        <v/>
      </c>
      <c r="GT22" s="41" t="str">
        <f t="shared" si="86"/>
        <v/>
      </c>
      <c r="GU22" s="41" t="str">
        <f t="shared" si="87"/>
        <v/>
      </c>
      <c r="GV22" s="41" t="str">
        <f t="shared" si="88"/>
        <v/>
      </c>
      <c r="GW22" s="41" t="str">
        <f t="shared" si="89"/>
        <v/>
      </c>
      <c r="GX22" s="41" t="str">
        <f t="shared" si="90"/>
        <v/>
      </c>
      <c r="GY22" s="41" t="str">
        <f t="shared" si="91"/>
        <v/>
      </c>
      <c r="GZ22" s="41" t="str">
        <f t="shared" si="92"/>
        <v/>
      </c>
      <c r="HA22" s="41" t="str">
        <f t="shared" si="93"/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 t="shared" si="94"/>
        <v/>
      </c>
      <c r="HW22" s="11" t="str">
        <f t="shared" si="95"/>
        <v/>
      </c>
      <c r="HX22" s="11" t="str">
        <f t="shared" si="96"/>
        <v/>
      </c>
      <c r="HY22" s="11" t="str">
        <f t="shared" si="97"/>
        <v/>
      </c>
      <c r="HZ22" s="11" t="str">
        <f t="shared" si="98"/>
        <v/>
      </c>
      <c r="IA22" s="11" t="str">
        <f t="shared" si="99"/>
        <v/>
      </c>
      <c r="IB22" s="11" t="str">
        <f t="shared" si="100"/>
        <v/>
      </c>
      <c r="IC22" s="11" t="str">
        <f t="shared" si="101"/>
        <v/>
      </c>
      <c r="ID22" s="11" t="str">
        <f t="shared" si="102"/>
        <v/>
      </c>
      <c r="IE22" s="11" t="str">
        <f t="shared" si="103"/>
        <v/>
      </c>
      <c r="IF22" s="11" t="str">
        <f t="shared" si="104"/>
        <v/>
      </c>
      <c r="IG22" s="11" t="str">
        <f t="shared" si="105"/>
        <v/>
      </c>
      <c r="IH22" s="11" t="str">
        <f t="shared" si="106"/>
        <v/>
      </c>
      <c r="II22" s="11" t="str">
        <f t="shared" si="107"/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1" t="str">
        <f t="shared" si="108"/>
        <v/>
      </c>
      <c r="JE22" s="41" t="str">
        <f t="shared" si="109"/>
        <v/>
      </c>
      <c r="JF22" s="41" t="str">
        <f t="shared" si="110"/>
        <v/>
      </c>
      <c r="JG22" s="41" t="str">
        <f t="shared" si="111"/>
        <v/>
      </c>
      <c r="JH22" s="41" t="str">
        <f t="shared" si="112"/>
        <v/>
      </c>
      <c r="JI22" s="41" t="str">
        <f t="shared" si="113"/>
        <v/>
      </c>
      <c r="JJ22" s="41" t="str">
        <f t="shared" si="114"/>
        <v/>
      </c>
      <c r="JK22" s="41" t="str">
        <f t="shared" si="115"/>
        <v/>
      </c>
      <c r="JL22" s="41" t="str">
        <f t="shared" si="116"/>
        <v/>
      </c>
      <c r="JM22" s="41" t="str">
        <f t="shared" si="117"/>
        <v/>
      </c>
      <c r="JN22" s="41" t="str">
        <f t="shared" si="118"/>
        <v/>
      </c>
      <c r="JO22" s="41" t="str">
        <f t="shared" si="119"/>
        <v/>
      </c>
      <c r="JP22" s="41" t="str">
        <f t="shared" si="120"/>
        <v/>
      </c>
      <c r="JQ22" s="41" t="str">
        <f t="shared" si="121"/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 t="shared" si="122"/>
        <v/>
      </c>
      <c r="KM22" s="11" t="str">
        <f t="shared" si="123"/>
        <v/>
      </c>
      <c r="KN22" s="11" t="str">
        <f t="shared" si="124"/>
        <v/>
      </c>
      <c r="KO22" s="11" t="str">
        <f t="shared" si="125"/>
        <v/>
      </c>
      <c r="KP22" s="11" t="str">
        <f t="shared" si="126"/>
        <v/>
      </c>
      <c r="KQ22" s="11" t="str">
        <f t="shared" si="127"/>
        <v/>
      </c>
      <c r="KR22" s="11" t="str">
        <f t="shared" si="128"/>
        <v/>
      </c>
      <c r="KS22" s="11" t="str">
        <f t="shared" si="129"/>
        <v/>
      </c>
      <c r="KT22" s="11" t="str">
        <f t="shared" si="130"/>
        <v/>
      </c>
      <c r="KU22" s="11" t="str">
        <f t="shared" si="131"/>
        <v/>
      </c>
      <c r="KV22" s="11" t="str">
        <f t="shared" si="132"/>
        <v/>
      </c>
      <c r="KW22" s="11" t="str">
        <f t="shared" si="133"/>
        <v/>
      </c>
      <c r="KX22" s="11" t="str">
        <f t="shared" si="134"/>
        <v/>
      </c>
      <c r="KY22" s="11" t="str">
        <f t="shared" si="135"/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1" t="str">
        <f t="shared" si="136"/>
        <v/>
      </c>
      <c r="LU22" s="41" t="str">
        <f t="shared" si="137"/>
        <v/>
      </c>
      <c r="LV22" s="41" t="str">
        <f t="shared" si="138"/>
        <v/>
      </c>
      <c r="LW22" s="41" t="str">
        <f t="shared" si="139"/>
        <v/>
      </c>
      <c r="LX22" s="41" t="str">
        <f t="shared" si="140"/>
        <v/>
      </c>
      <c r="LY22" s="41" t="str">
        <f t="shared" si="141"/>
        <v/>
      </c>
      <c r="LZ22" s="41" t="str">
        <f t="shared" si="142"/>
        <v/>
      </c>
      <c r="MA22" s="41" t="str">
        <f t="shared" si="143"/>
        <v/>
      </c>
      <c r="MB22" s="41" t="str">
        <f t="shared" si="144"/>
        <v/>
      </c>
      <c r="MC22" s="41" t="str">
        <f t="shared" si="145"/>
        <v/>
      </c>
      <c r="MD22" s="41" t="str">
        <f t="shared" si="146"/>
        <v/>
      </c>
      <c r="ME22" s="41" t="str">
        <f t="shared" si="147"/>
        <v/>
      </c>
      <c r="MF22" s="41" t="str">
        <f t="shared" si="148"/>
        <v/>
      </c>
      <c r="MG22" s="41" t="str">
        <f t="shared" si="149"/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 t="shared" si="150"/>
        <v/>
      </c>
      <c r="NC22" s="11" t="str">
        <f t="shared" si="151"/>
        <v/>
      </c>
      <c r="ND22" s="11" t="str">
        <f t="shared" si="152"/>
        <v/>
      </c>
      <c r="NE22" s="11" t="str">
        <f t="shared" si="153"/>
        <v/>
      </c>
      <c r="NF22" s="11" t="str">
        <f t="shared" si="154"/>
        <v/>
      </c>
      <c r="NG22" s="11" t="str">
        <f t="shared" si="155"/>
        <v/>
      </c>
      <c r="NH22" s="11" t="str">
        <f t="shared" si="156"/>
        <v/>
      </c>
      <c r="NI22" s="11" t="str">
        <f t="shared" si="157"/>
        <v/>
      </c>
      <c r="NJ22" s="11" t="str">
        <f t="shared" si="158"/>
        <v/>
      </c>
      <c r="NK22" s="11" t="str">
        <f t="shared" si="159"/>
        <v/>
      </c>
      <c r="NL22" s="11" t="str">
        <f t="shared" si="160"/>
        <v/>
      </c>
      <c r="NM22" s="11" t="str">
        <f t="shared" si="161"/>
        <v/>
      </c>
      <c r="NN22" s="11" t="str">
        <f t="shared" si="162"/>
        <v/>
      </c>
      <c r="NO22" s="11" t="str">
        <f t="shared" si="163"/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1" t="str">
        <f t="shared" si="164"/>
        <v/>
      </c>
      <c r="OK22" s="41" t="str">
        <f t="shared" si="165"/>
        <v/>
      </c>
      <c r="OL22" s="41" t="str">
        <f t="shared" si="166"/>
        <v/>
      </c>
      <c r="OM22" s="41" t="str">
        <f t="shared" si="167"/>
        <v/>
      </c>
      <c r="ON22" s="41" t="str">
        <f t="shared" si="168"/>
        <v/>
      </c>
      <c r="OO22" s="41" t="str">
        <f t="shared" si="169"/>
        <v/>
      </c>
      <c r="OP22" s="41" t="str">
        <f t="shared" si="170"/>
        <v/>
      </c>
      <c r="OQ22" s="41" t="str">
        <f t="shared" si="171"/>
        <v/>
      </c>
      <c r="OR22" s="41" t="str">
        <f t="shared" si="172"/>
        <v/>
      </c>
      <c r="OS22" s="41" t="str">
        <f t="shared" si="173"/>
        <v/>
      </c>
      <c r="OT22" s="41" t="str">
        <f t="shared" si="174"/>
        <v/>
      </c>
      <c r="OU22" s="41" t="str">
        <f t="shared" si="175"/>
        <v/>
      </c>
      <c r="OV22" s="41" t="str">
        <f t="shared" si="176"/>
        <v/>
      </c>
      <c r="OW22" s="41" t="str">
        <f t="shared" si="177"/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 t="shared" si="178"/>
        <v/>
      </c>
      <c r="PS22" s="11" t="str">
        <f t="shared" si="179"/>
        <v/>
      </c>
      <c r="PT22" s="11" t="str">
        <f t="shared" si="180"/>
        <v/>
      </c>
      <c r="PU22" s="11" t="str">
        <f t="shared" si="181"/>
        <v/>
      </c>
      <c r="PV22" s="11" t="str">
        <f t="shared" si="182"/>
        <v/>
      </c>
      <c r="PW22" s="11" t="str">
        <f t="shared" si="183"/>
        <v/>
      </c>
      <c r="PX22" s="11" t="str">
        <f t="shared" si="184"/>
        <v/>
      </c>
      <c r="PY22" s="11" t="str">
        <f t="shared" si="185"/>
        <v/>
      </c>
      <c r="PZ22" s="11" t="str">
        <f t="shared" si="186"/>
        <v/>
      </c>
      <c r="QA22" s="11" t="str">
        <f t="shared" si="187"/>
        <v/>
      </c>
      <c r="QB22" s="11" t="str">
        <f t="shared" si="188"/>
        <v/>
      </c>
      <c r="QC22" s="11" t="str">
        <f t="shared" si="189"/>
        <v/>
      </c>
      <c r="QD22" s="11" t="str">
        <f t="shared" si="190"/>
        <v/>
      </c>
      <c r="QE22" s="11" t="str">
        <f t="shared" si="191"/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1" t="str">
        <f t="shared" si="192"/>
        <v/>
      </c>
      <c r="RA22" s="41" t="str">
        <f t="shared" si="193"/>
        <v/>
      </c>
      <c r="RB22" s="41" t="str">
        <f t="shared" si="194"/>
        <v/>
      </c>
      <c r="RC22" s="41" t="str">
        <f t="shared" si="195"/>
        <v/>
      </c>
      <c r="RD22" s="41" t="str">
        <f t="shared" si="196"/>
        <v/>
      </c>
      <c r="RE22" s="41" t="str">
        <f t="shared" si="197"/>
        <v/>
      </c>
      <c r="RF22" s="41" t="str">
        <f t="shared" si="198"/>
        <v/>
      </c>
      <c r="RG22" s="41" t="str">
        <f t="shared" si="199"/>
        <v/>
      </c>
      <c r="RH22" s="41" t="str">
        <f t="shared" si="200"/>
        <v/>
      </c>
      <c r="RI22" s="41" t="str">
        <f t="shared" si="201"/>
        <v/>
      </c>
      <c r="RJ22" s="41" t="str">
        <f t="shared" si="202"/>
        <v/>
      </c>
      <c r="RK22" s="41" t="str">
        <f t="shared" si="203"/>
        <v/>
      </c>
      <c r="RL22" s="41" t="str">
        <f t="shared" si="204"/>
        <v/>
      </c>
      <c r="RM22" s="41" t="str">
        <f t="shared" si="205"/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 t="shared" si="206"/>
        <v/>
      </c>
      <c r="SI22" s="11" t="str">
        <f t="shared" si="207"/>
        <v/>
      </c>
      <c r="SJ22" s="11" t="str">
        <f t="shared" si="208"/>
        <v/>
      </c>
      <c r="SK22" s="11" t="str">
        <f t="shared" si="209"/>
        <v/>
      </c>
      <c r="SL22" s="11" t="str">
        <f t="shared" si="210"/>
        <v/>
      </c>
      <c r="SM22" s="11" t="str">
        <f t="shared" si="211"/>
        <v/>
      </c>
      <c r="SN22" s="11" t="str">
        <f t="shared" si="212"/>
        <v/>
      </c>
      <c r="SO22" s="11" t="str">
        <f t="shared" si="213"/>
        <v/>
      </c>
      <c r="SP22" s="11" t="str">
        <f t="shared" si="214"/>
        <v/>
      </c>
      <c r="SQ22" s="11" t="str">
        <f t="shared" si="215"/>
        <v/>
      </c>
      <c r="SR22" s="11" t="str">
        <f t="shared" si="216"/>
        <v/>
      </c>
      <c r="SS22" s="11" t="str">
        <f t="shared" si="217"/>
        <v/>
      </c>
      <c r="ST22" s="11" t="str">
        <f t="shared" si="218"/>
        <v/>
      </c>
      <c r="SU22" s="11" t="str">
        <f t="shared" si="219"/>
        <v/>
      </c>
      <c r="SV22" s="23">
        <f t="shared" si="220"/>
        <v>0.6</v>
      </c>
      <c r="SW22" s="23">
        <f t="shared" si="221"/>
        <v>0.5</v>
      </c>
      <c r="SX22" s="23">
        <f t="shared" si="222"/>
        <v>0.85</v>
      </c>
      <c r="SY22" s="23">
        <f t="shared" si="223"/>
        <v>0.82499999999999996</v>
      </c>
      <c r="SZ22" s="23">
        <f t="shared" si="224"/>
        <v>0</v>
      </c>
      <c r="TA22" s="23">
        <f t="shared" si="225"/>
        <v>0.6</v>
      </c>
      <c r="TB22" s="23">
        <f t="shared" si="226"/>
        <v>0.5</v>
      </c>
      <c r="TC22" s="23">
        <f t="shared" si="227"/>
        <v>0.85</v>
      </c>
      <c r="TD22" s="23">
        <f t="shared" si="228"/>
        <v>0.84</v>
      </c>
      <c r="TE22" s="23">
        <f t="shared" si="229"/>
        <v>0</v>
      </c>
      <c r="TF22" s="23">
        <f t="shared" si="230"/>
        <v>0</v>
      </c>
      <c r="TG22" s="23">
        <f t="shared" si="231"/>
        <v>0</v>
      </c>
      <c r="TH22" s="23">
        <f t="shared" si="232"/>
        <v>0</v>
      </c>
      <c r="TI22" s="23">
        <f t="shared" si="233"/>
        <v>0</v>
      </c>
      <c r="TJ22" s="23">
        <f t="shared" si="234"/>
        <v>0</v>
      </c>
      <c r="TK22" s="28" t="s">
        <v>57</v>
      </c>
      <c r="TL22" s="41">
        <f t="shared" si="235"/>
        <v>0.85</v>
      </c>
      <c r="TM22" s="41">
        <f t="shared" si="236"/>
        <v>0.82499999999999996</v>
      </c>
      <c r="TN22" s="41">
        <f t="shared" si="237"/>
        <v>2.7750000000000004</v>
      </c>
      <c r="TO22" s="41">
        <f t="shared" si="238"/>
        <v>0.85</v>
      </c>
      <c r="TP22" s="41">
        <f t="shared" si="239"/>
        <v>0.84</v>
      </c>
      <c r="TQ22" s="41">
        <f t="shared" si="240"/>
        <v>2.79</v>
      </c>
      <c r="TR22" s="41">
        <f t="shared" si="241"/>
        <v>2.79</v>
      </c>
      <c r="TS22" s="41" t="str">
        <f t="shared" si="242"/>
        <v/>
      </c>
      <c r="TT22" s="41" t="str">
        <f t="shared" si="243"/>
        <v/>
      </c>
      <c r="TU22" s="41" t="str">
        <f t="shared" si="244"/>
        <v/>
      </c>
      <c r="TV22" s="41">
        <f t="shared" si="245"/>
        <v>2.79</v>
      </c>
    </row>
    <row r="23" spans="1:542" x14ac:dyDescent="0.2">
      <c r="A23" s="4" t="str" cm="1">
        <f t="array" ref="A23">IF(AND(H23&lt;&gt;"",H23&lt;&gt;"No DD"),SUMPRODUCT((H$4:H$24&lt;&gt;"")*(H$4:H$24&lt;&gt;"No DD")*(E$4:E$24&gt;E23))+1,IF(H23="No DD",SUMPRODUCT((H$4:H$24="No DD")*(E$4:E$24&gt;E23))+1+SUMPRODUCT((H$4:H$24&lt;&gt;"")*(H$4:H$24&lt;&gt;"No DD")),""))</f>
        <v/>
      </c>
      <c r="B23" s="5" t="s">
        <v>69</v>
      </c>
      <c r="C23" s="4" t="s">
        <v>5</v>
      </c>
      <c r="D23" s="4">
        <v>1991</v>
      </c>
      <c r="E23" s="9">
        <f t="shared" si="0"/>
        <v>18.550001855001085</v>
      </c>
      <c r="F23" s="3" t="str">
        <f t="shared" si="1"/>
        <v/>
      </c>
      <c r="G23" s="3" t="str">
        <f t="shared" si="2"/>
        <v/>
      </c>
      <c r="H23" s="37" t="str">
        <f t="shared" si="3"/>
        <v/>
      </c>
      <c r="I23" s="3" t="str">
        <f t="shared" si="4"/>
        <v/>
      </c>
      <c r="J23" s="8">
        <f>IF(COUNT(AQ23,AT23,BR23,BU23,CS23,CV23)&gt;0,LARGE((AQ23,AT23,BR23,BU23,CS23,CV23),1),0)</f>
        <v>10.8</v>
      </c>
      <c r="K23" s="8" t="str">
        <f t="shared" si="5"/>
        <v>2023 Nationals</v>
      </c>
      <c r="L23" s="8">
        <f>IF(COUNT(AQ23,AT23,BR23,BU23,CS23,CV23)&gt;1,LARGE((AQ23,AT23,BR23,BU23,CS23,CV23),2),0)</f>
        <v>5.65</v>
      </c>
      <c r="M23" s="8" t="str">
        <f t="shared" si="6"/>
        <v>2023 Nationals</v>
      </c>
      <c r="N23" s="8">
        <f>IF(COUNT(AQ23,AT23,BR23,BU23,CS23,CV23)&gt;2,LARGE((AQ23,AT23,BR23,BU23,CS23,CV23),3),0)</f>
        <v>0</v>
      </c>
      <c r="O23" s="8" t="str">
        <f t="shared" si="7"/>
        <v/>
      </c>
      <c r="P23" s="8">
        <f t="shared" si="8"/>
        <v>0</v>
      </c>
      <c r="Q23" s="8" t="str">
        <f t="shared" si="9"/>
        <v/>
      </c>
      <c r="R23" s="8">
        <f t="shared" si="10"/>
        <v>2.1</v>
      </c>
      <c r="S23" s="8" t="str">
        <f t="shared" si="11"/>
        <v>2023 Nationals</v>
      </c>
      <c r="T23" s="8">
        <f t="shared" si="12"/>
        <v>0</v>
      </c>
      <c r="U23" s="8" t="str">
        <f t="shared" si="13"/>
        <v/>
      </c>
      <c r="V23" s="8" t="str">
        <f t="shared" si="14"/>
        <v/>
      </c>
      <c r="W23" s="11" t="str">
        <f t="shared" si="15"/>
        <v/>
      </c>
      <c r="X23" s="8" t="str">
        <f t="shared" si="16"/>
        <v/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3"/>
      <c r="AJ23" s="23"/>
      <c r="AK23" s="23"/>
      <c r="AL23" s="23"/>
      <c r="AM23" s="23"/>
      <c r="AN23" s="28"/>
      <c r="AO23" s="39" t="str">
        <f t="shared" si="17"/>
        <v/>
      </c>
      <c r="AP23" s="39" t="str">
        <f t="shared" si="18"/>
        <v/>
      </c>
      <c r="AQ23" s="41" t="str">
        <f t="shared" si="19"/>
        <v/>
      </c>
      <c r="AR23" s="41" t="str">
        <f t="shared" si="20"/>
        <v/>
      </c>
      <c r="AS23" s="41" t="str">
        <f t="shared" si="21"/>
        <v/>
      </c>
      <c r="AT23" s="41" t="str">
        <f t="shared" si="22"/>
        <v/>
      </c>
      <c r="AU23" s="41" t="str">
        <f t="shared" si="23"/>
        <v/>
      </c>
      <c r="AV23" s="41" t="str">
        <f t="shared" si="24"/>
        <v/>
      </c>
      <c r="AW23" s="41" t="str">
        <f t="shared" si="25"/>
        <v/>
      </c>
      <c r="AX23" s="41" t="str">
        <f t="shared" si="26"/>
        <v/>
      </c>
      <c r="AY23" s="41" t="str">
        <f t="shared" si="27"/>
        <v/>
      </c>
      <c r="AZ23" s="27">
        <v>3.4</v>
      </c>
      <c r="BA23" s="27">
        <v>1.8</v>
      </c>
      <c r="BB23" s="27">
        <v>2.1</v>
      </c>
      <c r="BC23" s="27">
        <v>3.5</v>
      </c>
      <c r="BD23" s="27">
        <v>0</v>
      </c>
      <c r="BE23" s="27">
        <v>1.4</v>
      </c>
      <c r="BF23" s="27">
        <v>1</v>
      </c>
      <c r="BG23" s="27">
        <v>1.5</v>
      </c>
      <c r="BH23" s="27">
        <v>1.75</v>
      </c>
      <c r="BI23" s="27">
        <v>0</v>
      </c>
      <c r="BJ23" s="27"/>
      <c r="BK23" s="27"/>
      <c r="BL23" s="27"/>
      <c r="BM23" s="27"/>
      <c r="BN23" s="27"/>
      <c r="BO23" s="29"/>
      <c r="BP23" s="40">
        <f t="shared" si="28"/>
        <v>2.1</v>
      </c>
      <c r="BQ23" s="40">
        <f t="shared" si="29"/>
        <v>3.5</v>
      </c>
      <c r="BR23" s="11">
        <f t="shared" si="30"/>
        <v>10.8</v>
      </c>
      <c r="BS23" s="11">
        <f t="shared" si="31"/>
        <v>1.5</v>
      </c>
      <c r="BT23" s="11">
        <f t="shared" si="32"/>
        <v>1.75</v>
      </c>
      <c r="BU23" s="11">
        <f t="shared" si="33"/>
        <v>5.65</v>
      </c>
      <c r="BV23" s="11">
        <f t="shared" si="34"/>
        <v>10.8</v>
      </c>
      <c r="BW23" s="11" t="str">
        <f t="shared" si="35"/>
        <v/>
      </c>
      <c r="BX23" s="11" t="str">
        <f t="shared" si="36"/>
        <v/>
      </c>
      <c r="BY23" s="11" t="str">
        <f t="shared" si="37"/>
        <v/>
      </c>
      <c r="BZ23" s="11">
        <f t="shared" si="38"/>
        <v>10.8</v>
      </c>
      <c r="CA23" s="23"/>
      <c r="CB23" s="23"/>
      <c r="CC23" s="23"/>
      <c r="CD23" s="23"/>
      <c r="CE23" s="23"/>
      <c r="CF23" s="23"/>
      <c r="CG23" s="23"/>
      <c r="CH23" s="23"/>
      <c r="CI23" s="23"/>
      <c r="CJ23" s="23"/>
      <c r="CK23" s="23"/>
      <c r="CL23" s="23"/>
      <c r="CM23" s="23"/>
      <c r="CN23" s="23"/>
      <c r="CO23" s="23"/>
      <c r="CP23" s="28"/>
      <c r="CQ23" s="39" t="str">
        <f t="shared" si="39"/>
        <v/>
      </c>
      <c r="CR23" s="39" t="str">
        <f t="shared" si="40"/>
        <v/>
      </c>
      <c r="CS23" s="41" t="str">
        <f t="shared" si="41"/>
        <v/>
      </c>
      <c r="CT23" s="41" t="str">
        <f t="shared" si="42"/>
        <v/>
      </c>
      <c r="CU23" s="41" t="str">
        <f t="shared" si="43"/>
        <v/>
      </c>
      <c r="CV23" s="41" t="str">
        <f t="shared" si="44"/>
        <v/>
      </c>
      <c r="CW23" s="41" t="str">
        <f t="shared" si="45"/>
        <v/>
      </c>
      <c r="CX23" s="41" t="str">
        <f t="shared" si="46"/>
        <v/>
      </c>
      <c r="CY23" s="41" t="str">
        <f t="shared" si="47"/>
        <v/>
      </c>
      <c r="CZ23" s="41" t="str">
        <f t="shared" si="48"/>
        <v/>
      </c>
      <c r="DA23" s="41" t="str">
        <f t="shared" si="49"/>
        <v/>
      </c>
      <c r="DB23" s="52" t="str">
        <f t="shared" si="50"/>
        <v/>
      </c>
      <c r="DC23" s="52" t="str">
        <f t="shared" si="51"/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1" t="str">
        <f t="shared" si="52"/>
        <v/>
      </c>
      <c r="DY23" s="41" t="str">
        <f t="shared" si="53"/>
        <v/>
      </c>
      <c r="DZ23" s="41" t="str">
        <f t="shared" si="54"/>
        <v/>
      </c>
      <c r="EA23" s="41" t="str">
        <f t="shared" si="55"/>
        <v/>
      </c>
      <c r="EB23" s="41" t="str">
        <f t="shared" si="56"/>
        <v/>
      </c>
      <c r="EC23" s="41" t="str">
        <f t="shared" si="57"/>
        <v/>
      </c>
      <c r="ED23" s="41" t="str">
        <f t="shared" si="58"/>
        <v/>
      </c>
      <c r="EE23" s="41" t="str">
        <f t="shared" si="59"/>
        <v/>
      </c>
      <c r="EF23" s="41" t="str">
        <f t="shared" si="60"/>
        <v/>
      </c>
      <c r="EG23" s="41" t="str">
        <f t="shared" si="61"/>
        <v/>
      </c>
      <c r="EH23" s="41" t="str">
        <f t="shared" si="62"/>
        <v/>
      </c>
      <c r="EI23" s="41" t="str">
        <f t="shared" si="63"/>
        <v/>
      </c>
      <c r="EJ23" s="41" t="str">
        <f t="shared" si="64"/>
        <v/>
      </c>
      <c r="EK23" s="41" t="str">
        <f t="shared" si="65"/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 t="shared" si="66"/>
        <v/>
      </c>
      <c r="FG23" s="11" t="str">
        <f t="shared" si="67"/>
        <v/>
      </c>
      <c r="FH23" s="11" t="str">
        <f t="shared" si="68"/>
        <v/>
      </c>
      <c r="FI23" s="11" t="str">
        <f t="shared" si="69"/>
        <v/>
      </c>
      <c r="FJ23" s="11" t="str">
        <f t="shared" si="70"/>
        <v/>
      </c>
      <c r="FK23" s="11" t="str">
        <f t="shared" si="71"/>
        <v/>
      </c>
      <c r="FL23" s="11" t="str">
        <f t="shared" si="72"/>
        <v/>
      </c>
      <c r="FM23" s="11" t="str">
        <f t="shared" si="73"/>
        <v/>
      </c>
      <c r="FN23" s="11" t="str">
        <f t="shared" si="74"/>
        <v/>
      </c>
      <c r="FO23" s="11" t="str">
        <f t="shared" si="75"/>
        <v/>
      </c>
      <c r="FP23" s="11" t="str">
        <f t="shared" si="76"/>
        <v/>
      </c>
      <c r="FQ23" s="11" t="str">
        <f t="shared" si="77"/>
        <v/>
      </c>
      <c r="FR23" s="11" t="str">
        <f t="shared" si="78"/>
        <v/>
      </c>
      <c r="FS23" s="11" t="str">
        <f t="shared" si="79"/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1" t="str">
        <f t="shared" si="80"/>
        <v/>
      </c>
      <c r="GO23" s="41" t="str">
        <f t="shared" si="81"/>
        <v/>
      </c>
      <c r="GP23" s="41" t="str">
        <f t="shared" si="82"/>
        <v/>
      </c>
      <c r="GQ23" s="41" t="str">
        <f t="shared" si="83"/>
        <v/>
      </c>
      <c r="GR23" s="41" t="str">
        <f t="shared" si="84"/>
        <v/>
      </c>
      <c r="GS23" s="41" t="str">
        <f t="shared" si="85"/>
        <v/>
      </c>
      <c r="GT23" s="41" t="str">
        <f t="shared" si="86"/>
        <v/>
      </c>
      <c r="GU23" s="41" t="str">
        <f t="shared" si="87"/>
        <v/>
      </c>
      <c r="GV23" s="41" t="str">
        <f t="shared" si="88"/>
        <v/>
      </c>
      <c r="GW23" s="41" t="str">
        <f t="shared" si="89"/>
        <v/>
      </c>
      <c r="GX23" s="41" t="str">
        <f t="shared" si="90"/>
        <v/>
      </c>
      <c r="GY23" s="41" t="str">
        <f t="shared" si="91"/>
        <v/>
      </c>
      <c r="GZ23" s="41" t="str">
        <f t="shared" si="92"/>
        <v/>
      </c>
      <c r="HA23" s="41" t="str">
        <f t="shared" si="93"/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 t="shared" si="94"/>
        <v/>
      </c>
      <c r="HW23" s="11" t="str">
        <f t="shared" si="95"/>
        <v/>
      </c>
      <c r="HX23" s="11" t="str">
        <f t="shared" si="96"/>
        <v/>
      </c>
      <c r="HY23" s="11" t="str">
        <f t="shared" si="97"/>
        <v/>
      </c>
      <c r="HZ23" s="11" t="str">
        <f t="shared" si="98"/>
        <v/>
      </c>
      <c r="IA23" s="11" t="str">
        <f t="shared" si="99"/>
        <v/>
      </c>
      <c r="IB23" s="11" t="str">
        <f t="shared" si="100"/>
        <v/>
      </c>
      <c r="IC23" s="11" t="str">
        <f t="shared" si="101"/>
        <v/>
      </c>
      <c r="ID23" s="11" t="str">
        <f t="shared" si="102"/>
        <v/>
      </c>
      <c r="IE23" s="11" t="str">
        <f t="shared" si="103"/>
        <v/>
      </c>
      <c r="IF23" s="11" t="str">
        <f t="shared" si="104"/>
        <v/>
      </c>
      <c r="IG23" s="11" t="str">
        <f t="shared" si="105"/>
        <v/>
      </c>
      <c r="IH23" s="11" t="str">
        <f t="shared" si="106"/>
        <v/>
      </c>
      <c r="II23" s="11" t="str">
        <f t="shared" si="107"/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1" t="str">
        <f t="shared" si="108"/>
        <v/>
      </c>
      <c r="JE23" s="41" t="str">
        <f t="shared" si="109"/>
        <v/>
      </c>
      <c r="JF23" s="41" t="str">
        <f t="shared" si="110"/>
        <v/>
      </c>
      <c r="JG23" s="41" t="str">
        <f t="shared" si="111"/>
        <v/>
      </c>
      <c r="JH23" s="41" t="str">
        <f t="shared" si="112"/>
        <v/>
      </c>
      <c r="JI23" s="41" t="str">
        <f t="shared" si="113"/>
        <v/>
      </c>
      <c r="JJ23" s="41" t="str">
        <f t="shared" si="114"/>
        <v/>
      </c>
      <c r="JK23" s="41" t="str">
        <f t="shared" si="115"/>
        <v/>
      </c>
      <c r="JL23" s="41" t="str">
        <f t="shared" si="116"/>
        <v/>
      </c>
      <c r="JM23" s="41" t="str">
        <f t="shared" si="117"/>
        <v/>
      </c>
      <c r="JN23" s="41" t="str">
        <f t="shared" si="118"/>
        <v/>
      </c>
      <c r="JO23" s="41" t="str">
        <f t="shared" si="119"/>
        <v/>
      </c>
      <c r="JP23" s="41" t="str">
        <f t="shared" si="120"/>
        <v/>
      </c>
      <c r="JQ23" s="41" t="str">
        <f t="shared" si="121"/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 t="shared" si="122"/>
        <v/>
      </c>
      <c r="KM23" s="11" t="str">
        <f t="shared" si="123"/>
        <v/>
      </c>
      <c r="KN23" s="11" t="str">
        <f t="shared" si="124"/>
        <v/>
      </c>
      <c r="KO23" s="11" t="str">
        <f t="shared" si="125"/>
        <v/>
      </c>
      <c r="KP23" s="11" t="str">
        <f t="shared" si="126"/>
        <v/>
      </c>
      <c r="KQ23" s="11" t="str">
        <f t="shared" si="127"/>
        <v/>
      </c>
      <c r="KR23" s="11" t="str">
        <f t="shared" si="128"/>
        <v/>
      </c>
      <c r="KS23" s="11" t="str">
        <f t="shared" si="129"/>
        <v/>
      </c>
      <c r="KT23" s="11" t="str">
        <f t="shared" si="130"/>
        <v/>
      </c>
      <c r="KU23" s="11" t="str">
        <f t="shared" si="131"/>
        <v/>
      </c>
      <c r="KV23" s="11" t="str">
        <f t="shared" si="132"/>
        <v/>
      </c>
      <c r="KW23" s="11" t="str">
        <f t="shared" si="133"/>
        <v/>
      </c>
      <c r="KX23" s="11" t="str">
        <f t="shared" si="134"/>
        <v/>
      </c>
      <c r="KY23" s="11" t="str">
        <f t="shared" si="135"/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1" t="str">
        <f t="shared" si="136"/>
        <v/>
      </c>
      <c r="LU23" s="41" t="str">
        <f t="shared" si="137"/>
        <v/>
      </c>
      <c r="LV23" s="41" t="str">
        <f t="shared" si="138"/>
        <v/>
      </c>
      <c r="LW23" s="41" t="str">
        <f t="shared" si="139"/>
        <v/>
      </c>
      <c r="LX23" s="41" t="str">
        <f t="shared" si="140"/>
        <v/>
      </c>
      <c r="LY23" s="41" t="str">
        <f t="shared" si="141"/>
        <v/>
      </c>
      <c r="LZ23" s="41" t="str">
        <f t="shared" si="142"/>
        <v/>
      </c>
      <c r="MA23" s="41" t="str">
        <f t="shared" si="143"/>
        <v/>
      </c>
      <c r="MB23" s="41" t="str">
        <f t="shared" si="144"/>
        <v/>
      </c>
      <c r="MC23" s="41" t="str">
        <f t="shared" si="145"/>
        <v/>
      </c>
      <c r="MD23" s="41" t="str">
        <f t="shared" si="146"/>
        <v/>
      </c>
      <c r="ME23" s="41" t="str">
        <f t="shared" si="147"/>
        <v/>
      </c>
      <c r="MF23" s="41" t="str">
        <f t="shared" si="148"/>
        <v/>
      </c>
      <c r="MG23" s="41" t="str">
        <f t="shared" si="149"/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 t="shared" si="150"/>
        <v/>
      </c>
      <c r="NC23" s="11" t="str">
        <f t="shared" si="151"/>
        <v/>
      </c>
      <c r="ND23" s="11" t="str">
        <f t="shared" si="152"/>
        <v/>
      </c>
      <c r="NE23" s="11" t="str">
        <f t="shared" si="153"/>
        <v/>
      </c>
      <c r="NF23" s="11" t="str">
        <f t="shared" si="154"/>
        <v/>
      </c>
      <c r="NG23" s="11" t="str">
        <f t="shared" si="155"/>
        <v/>
      </c>
      <c r="NH23" s="11" t="str">
        <f t="shared" si="156"/>
        <v/>
      </c>
      <c r="NI23" s="11" t="str">
        <f t="shared" si="157"/>
        <v/>
      </c>
      <c r="NJ23" s="11" t="str">
        <f t="shared" si="158"/>
        <v/>
      </c>
      <c r="NK23" s="11" t="str">
        <f t="shared" si="159"/>
        <v/>
      </c>
      <c r="NL23" s="11" t="str">
        <f t="shared" si="160"/>
        <v/>
      </c>
      <c r="NM23" s="11" t="str">
        <f t="shared" si="161"/>
        <v/>
      </c>
      <c r="NN23" s="11" t="str">
        <f t="shared" si="162"/>
        <v/>
      </c>
      <c r="NO23" s="11" t="str">
        <f t="shared" si="163"/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1" t="str">
        <f t="shared" si="164"/>
        <v/>
      </c>
      <c r="OK23" s="41" t="str">
        <f t="shared" si="165"/>
        <v/>
      </c>
      <c r="OL23" s="41" t="str">
        <f t="shared" si="166"/>
        <v/>
      </c>
      <c r="OM23" s="41" t="str">
        <f t="shared" si="167"/>
        <v/>
      </c>
      <c r="ON23" s="41" t="str">
        <f t="shared" si="168"/>
        <v/>
      </c>
      <c r="OO23" s="41" t="str">
        <f t="shared" si="169"/>
        <v/>
      </c>
      <c r="OP23" s="41" t="str">
        <f t="shared" si="170"/>
        <v/>
      </c>
      <c r="OQ23" s="41" t="str">
        <f t="shared" si="171"/>
        <v/>
      </c>
      <c r="OR23" s="41" t="str">
        <f t="shared" si="172"/>
        <v/>
      </c>
      <c r="OS23" s="41" t="str">
        <f t="shared" si="173"/>
        <v/>
      </c>
      <c r="OT23" s="41" t="str">
        <f t="shared" si="174"/>
        <v/>
      </c>
      <c r="OU23" s="41" t="str">
        <f t="shared" si="175"/>
        <v/>
      </c>
      <c r="OV23" s="41" t="str">
        <f t="shared" si="176"/>
        <v/>
      </c>
      <c r="OW23" s="41" t="str">
        <f t="shared" si="177"/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 t="shared" si="178"/>
        <v/>
      </c>
      <c r="PS23" s="11" t="str">
        <f t="shared" si="179"/>
        <v/>
      </c>
      <c r="PT23" s="11" t="str">
        <f t="shared" si="180"/>
        <v/>
      </c>
      <c r="PU23" s="11" t="str">
        <f t="shared" si="181"/>
        <v/>
      </c>
      <c r="PV23" s="11" t="str">
        <f t="shared" si="182"/>
        <v/>
      </c>
      <c r="PW23" s="11" t="str">
        <f t="shared" si="183"/>
        <v/>
      </c>
      <c r="PX23" s="11" t="str">
        <f t="shared" si="184"/>
        <v/>
      </c>
      <c r="PY23" s="11" t="str">
        <f t="shared" si="185"/>
        <v/>
      </c>
      <c r="PZ23" s="11" t="str">
        <f t="shared" si="186"/>
        <v/>
      </c>
      <c r="QA23" s="11" t="str">
        <f t="shared" si="187"/>
        <v/>
      </c>
      <c r="QB23" s="11" t="str">
        <f t="shared" si="188"/>
        <v/>
      </c>
      <c r="QC23" s="11" t="str">
        <f t="shared" si="189"/>
        <v/>
      </c>
      <c r="QD23" s="11" t="str">
        <f t="shared" si="190"/>
        <v/>
      </c>
      <c r="QE23" s="11" t="str">
        <f t="shared" si="191"/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1" t="str">
        <f t="shared" si="192"/>
        <v/>
      </c>
      <c r="RA23" s="41" t="str">
        <f t="shared" si="193"/>
        <v/>
      </c>
      <c r="RB23" s="41" t="str">
        <f t="shared" si="194"/>
        <v/>
      </c>
      <c r="RC23" s="41" t="str">
        <f t="shared" si="195"/>
        <v/>
      </c>
      <c r="RD23" s="41" t="str">
        <f t="shared" si="196"/>
        <v/>
      </c>
      <c r="RE23" s="41" t="str">
        <f t="shared" si="197"/>
        <v/>
      </c>
      <c r="RF23" s="41" t="str">
        <f t="shared" si="198"/>
        <v/>
      </c>
      <c r="RG23" s="41" t="str">
        <f t="shared" si="199"/>
        <v/>
      </c>
      <c r="RH23" s="41" t="str">
        <f t="shared" si="200"/>
        <v/>
      </c>
      <c r="RI23" s="41" t="str">
        <f t="shared" si="201"/>
        <v/>
      </c>
      <c r="RJ23" s="41" t="str">
        <f t="shared" si="202"/>
        <v/>
      </c>
      <c r="RK23" s="41" t="str">
        <f t="shared" si="203"/>
        <v/>
      </c>
      <c r="RL23" s="41" t="str">
        <f t="shared" si="204"/>
        <v/>
      </c>
      <c r="RM23" s="41" t="str">
        <f t="shared" si="205"/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 t="shared" si="206"/>
        <v/>
      </c>
      <c r="SI23" s="11" t="str">
        <f t="shared" si="207"/>
        <v/>
      </c>
      <c r="SJ23" s="11" t="str">
        <f t="shared" si="208"/>
        <v/>
      </c>
      <c r="SK23" s="11" t="str">
        <f t="shared" si="209"/>
        <v/>
      </c>
      <c r="SL23" s="11" t="str">
        <f t="shared" si="210"/>
        <v/>
      </c>
      <c r="SM23" s="11" t="str">
        <f t="shared" si="211"/>
        <v/>
      </c>
      <c r="SN23" s="11" t="str">
        <f t="shared" si="212"/>
        <v/>
      </c>
      <c r="SO23" s="11" t="str">
        <f t="shared" si="213"/>
        <v/>
      </c>
      <c r="SP23" s="11" t="str">
        <f t="shared" si="214"/>
        <v/>
      </c>
      <c r="SQ23" s="11" t="str">
        <f t="shared" si="215"/>
        <v/>
      </c>
      <c r="SR23" s="11" t="str">
        <f t="shared" si="216"/>
        <v/>
      </c>
      <c r="SS23" s="11" t="str">
        <f t="shared" si="217"/>
        <v/>
      </c>
      <c r="ST23" s="11" t="str">
        <f t="shared" si="218"/>
        <v/>
      </c>
      <c r="SU23" s="11" t="str">
        <f t="shared" si="219"/>
        <v/>
      </c>
      <c r="SV23" s="23">
        <f t="shared" si="220"/>
        <v>1.7</v>
      </c>
      <c r="SW23" s="23">
        <f t="shared" si="221"/>
        <v>0.9</v>
      </c>
      <c r="SX23" s="23">
        <f t="shared" si="222"/>
        <v>1.05</v>
      </c>
      <c r="SY23" s="23">
        <f t="shared" si="223"/>
        <v>1.75</v>
      </c>
      <c r="SZ23" s="23">
        <f t="shared" si="224"/>
        <v>0</v>
      </c>
      <c r="TA23" s="23">
        <f t="shared" si="225"/>
        <v>0.7</v>
      </c>
      <c r="TB23" s="23">
        <f t="shared" si="226"/>
        <v>0.5</v>
      </c>
      <c r="TC23" s="23">
        <f t="shared" si="227"/>
        <v>0.75</v>
      </c>
      <c r="TD23" s="23">
        <f t="shared" si="228"/>
        <v>0.875</v>
      </c>
      <c r="TE23" s="23">
        <f t="shared" si="229"/>
        <v>0</v>
      </c>
      <c r="TF23" s="23">
        <f t="shared" si="230"/>
        <v>0</v>
      </c>
      <c r="TG23" s="23">
        <f t="shared" si="231"/>
        <v>0</v>
      </c>
      <c r="TH23" s="23">
        <f t="shared" si="232"/>
        <v>0</v>
      </c>
      <c r="TI23" s="23">
        <f t="shared" si="233"/>
        <v>0</v>
      </c>
      <c r="TJ23" s="23">
        <f t="shared" si="234"/>
        <v>0</v>
      </c>
      <c r="TK23" s="28" t="s">
        <v>57</v>
      </c>
      <c r="TL23" s="41">
        <f t="shared" si="235"/>
        <v>1.05</v>
      </c>
      <c r="TM23" s="41">
        <f t="shared" si="236"/>
        <v>1.75</v>
      </c>
      <c r="TN23" s="41">
        <f t="shared" si="237"/>
        <v>5.4</v>
      </c>
      <c r="TO23" s="41">
        <f t="shared" si="238"/>
        <v>0.75</v>
      </c>
      <c r="TP23" s="41">
        <f t="shared" si="239"/>
        <v>0.875</v>
      </c>
      <c r="TQ23" s="41">
        <f t="shared" si="240"/>
        <v>2.8250000000000002</v>
      </c>
      <c r="TR23" s="41">
        <f t="shared" si="241"/>
        <v>5.4</v>
      </c>
      <c r="TS23" s="41" t="str">
        <f t="shared" si="242"/>
        <v/>
      </c>
      <c r="TT23" s="41" t="str">
        <f t="shared" si="243"/>
        <v/>
      </c>
      <c r="TU23" s="41" t="str">
        <f t="shared" si="244"/>
        <v/>
      </c>
      <c r="TV23" s="41">
        <f t="shared" si="245"/>
        <v>5.4</v>
      </c>
    </row>
    <row r="24" spans="1:542" x14ac:dyDescent="0.2">
      <c r="B24" s="5"/>
      <c r="D24" s="1"/>
    </row>
    <row r="25" spans="1:542" x14ac:dyDescent="0.2">
      <c r="G25" s="37"/>
      <c r="I25" s="37"/>
    </row>
    <row r="26" spans="1:542" x14ac:dyDescent="0.2">
      <c r="B26" s="24" t="s">
        <v>54</v>
      </c>
      <c r="C26" s="5"/>
      <c r="G26" s="3"/>
      <c r="AR26" s="42"/>
      <c r="AS26" s="42"/>
      <c r="AT26" s="42"/>
      <c r="AV26" s="33"/>
      <c r="AW26" s="33"/>
      <c r="AY26" s="43">
        <v>15.4</v>
      </c>
      <c r="BS26" s="42"/>
      <c r="BT26" s="42"/>
      <c r="BU26" s="42"/>
      <c r="BW26" s="33"/>
      <c r="BX26" s="33"/>
      <c r="BZ26" s="43">
        <v>15.4</v>
      </c>
      <c r="CT26" s="42"/>
      <c r="CU26" s="42"/>
      <c r="CV26" s="42"/>
      <c r="CX26" s="33"/>
      <c r="CY26" s="33"/>
      <c r="DA26" s="43">
        <v>15.4</v>
      </c>
      <c r="DX26" s="5"/>
      <c r="DY26" s="5"/>
      <c r="EH26" s="2"/>
      <c r="EI26" s="2"/>
      <c r="EK26" s="43">
        <v>15.4</v>
      </c>
      <c r="FF26" s="5"/>
      <c r="FG26" s="5"/>
      <c r="FP26" s="2"/>
      <c r="FQ26" s="2"/>
      <c r="FS26" s="43">
        <v>15.4</v>
      </c>
      <c r="GN26" s="5"/>
      <c r="GO26" s="5"/>
      <c r="GX26" s="2"/>
      <c r="GY26" s="2"/>
      <c r="HA26" s="43">
        <v>15.4</v>
      </c>
      <c r="HV26" s="5"/>
      <c r="HW26" s="5"/>
      <c r="IF26" s="2"/>
      <c r="IG26" s="2"/>
      <c r="II26" s="43">
        <v>15.4</v>
      </c>
      <c r="JD26" s="5"/>
      <c r="JE26" s="5"/>
      <c r="JN26" s="2"/>
      <c r="JO26" s="2"/>
      <c r="JQ26" s="43">
        <v>15.4</v>
      </c>
      <c r="KL26" s="5"/>
      <c r="KM26" s="5"/>
      <c r="KV26" s="2"/>
      <c r="KW26" s="2"/>
      <c r="KY26" s="43">
        <v>15.4</v>
      </c>
      <c r="LT26" s="5"/>
      <c r="LU26" s="5"/>
      <c r="MD26" s="2"/>
      <c r="ME26" s="2"/>
      <c r="MG26" s="43">
        <v>15.4</v>
      </c>
      <c r="NB26" s="5"/>
      <c r="NC26" s="5"/>
      <c r="NL26" s="2"/>
      <c r="NM26" s="2"/>
      <c r="NO26" s="43">
        <v>15.4</v>
      </c>
      <c r="OJ26" s="5"/>
      <c r="OK26" s="5"/>
      <c r="OT26" s="2"/>
      <c r="OU26" s="2"/>
      <c r="OW26" s="43">
        <v>15.4</v>
      </c>
      <c r="PR26" s="5"/>
      <c r="PS26" s="5"/>
      <c r="QB26" s="2"/>
      <c r="QC26" s="2"/>
      <c r="QE26" s="43">
        <v>15.4</v>
      </c>
      <c r="QZ26" s="5"/>
      <c r="RA26" s="5"/>
      <c r="RJ26" s="2"/>
      <c r="RK26" s="2"/>
      <c r="RM26" s="43">
        <v>15.4</v>
      </c>
      <c r="SH26" s="5"/>
      <c r="SI26" s="5"/>
      <c r="SR26" s="2"/>
      <c r="SS26" s="2"/>
      <c r="SU26" s="43">
        <v>15.4</v>
      </c>
    </row>
    <row r="27" spans="1:542" x14ac:dyDescent="0.2">
      <c r="B27" s="31" t="s">
        <v>53</v>
      </c>
      <c r="C27" s="5"/>
      <c r="X27" s="2"/>
      <c r="AR27" s="42"/>
      <c r="AS27" s="42"/>
      <c r="AT27" s="42"/>
      <c r="AV27" s="33"/>
      <c r="AW27" s="33"/>
      <c r="AY27" s="44">
        <v>16</v>
      </c>
      <c r="BS27" s="42"/>
      <c r="BT27" s="42"/>
      <c r="BU27" s="42"/>
      <c r="BW27" s="33"/>
      <c r="BX27" s="33"/>
      <c r="BZ27" s="44">
        <v>16</v>
      </c>
      <c r="CT27" s="42"/>
      <c r="CU27" s="42"/>
      <c r="CV27" s="42"/>
      <c r="CX27" s="33"/>
      <c r="CY27" s="33"/>
      <c r="DA27" s="44">
        <v>16</v>
      </c>
      <c r="DX27" s="5"/>
      <c r="DY27" s="5"/>
      <c r="EH27" s="2"/>
      <c r="EI27" s="2"/>
      <c r="EK27" s="44">
        <v>16</v>
      </c>
      <c r="FF27" s="5"/>
      <c r="FG27" s="5"/>
      <c r="FP27" s="2"/>
      <c r="FQ27" s="2"/>
      <c r="FS27" s="44">
        <v>16</v>
      </c>
      <c r="GN27" s="5"/>
      <c r="GO27" s="5"/>
      <c r="GX27" s="2"/>
      <c r="GY27" s="2"/>
      <c r="HA27" s="44">
        <v>16</v>
      </c>
      <c r="HV27" s="5"/>
      <c r="HW27" s="5"/>
      <c r="IF27" s="2"/>
      <c r="IG27" s="2"/>
      <c r="II27" s="44">
        <v>16</v>
      </c>
      <c r="JD27" s="5"/>
      <c r="JE27" s="5"/>
      <c r="JN27" s="2"/>
      <c r="JO27" s="2"/>
      <c r="JQ27" s="44">
        <v>16</v>
      </c>
      <c r="KL27" s="5"/>
      <c r="KM27" s="5"/>
      <c r="KV27" s="2"/>
      <c r="KW27" s="2"/>
      <c r="KY27" s="44">
        <v>16</v>
      </c>
      <c r="LT27" s="5"/>
      <c r="LU27" s="5"/>
      <c r="MD27" s="2"/>
      <c r="ME27" s="2"/>
      <c r="MG27" s="44">
        <v>16</v>
      </c>
      <c r="NB27" s="5"/>
      <c r="NC27" s="5"/>
      <c r="NL27" s="2"/>
      <c r="NM27" s="2"/>
      <c r="NO27" s="44">
        <v>16</v>
      </c>
      <c r="OJ27" s="5"/>
      <c r="OK27" s="5"/>
      <c r="OT27" s="2"/>
      <c r="OU27" s="2"/>
      <c r="OW27" s="44">
        <v>16</v>
      </c>
      <c r="PR27" s="5"/>
      <c r="PS27" s="5"/>
      <c r="QB27" s="2"/>
      <c r="QC27" s="2"/>
      <c r="QE27" s="44">
        <v>16</v>
      </c>
      <c r="QZ27" s="5"/>
      <c r="RA27" s="5"/>
      <c r="RJ27" s="2"/>
      <c r="RK27" s="2"/>
      <c r="RM27" s="44">
        <v>16</v>
      </c>
      <c r="SH27" s="5"/>
      <c r="SI27" s="5"/>
      <c r="SR27" s="2"/>
      <c r="SS27" s="2"/>
      <c r="SU27" s="44">
        <v>16</v>
      </c>
    </row>
    <row r="28" spans="1:542" x14ac:dyDescent="0.2">
      <c r="A28" s="5"/>
      <c r="B28" s="32" t="s">
        <v>67</v>
      </c>
      <c r="C28" s="5"/>
      <c r="E28" s="2"/>
      <c r="AR28" s="42"/>
      <c r="AS28" s="42"/>
      <c r="AT28" s="42"/>
      <c r="AU28" s="33"/>
      <c r="AV28" s="33"/>
      <c r="AW28" s="33"/>
      <c r="AX28" s="33"/>
      <c r="AY28" s="45">
        <v>16.2</v>
      </c>
      <c r="BS28" s="42"/>
      <c r="BT28" s="42"/>
      <c r="BU28" s="42"/>
      <c r="BW28" s="33"/>
      <c r="BX28" s="33"/>
      <c r="BZ28" s="45">
        <v>16.2</v>
      </c>
      <c r="CT28" s="42"/>
      <c r="CU28" s="42"/>
      <c r="CV28" s="42"/>
      <c r="CW28" s="33"/>
      <c r="CX28" s="33"/>
      <c r="CY28" s="33"/>
      <c r="CZ28" s="33"/>
      <c r="DA28" s="45">
        <v>16.2</v>
      </c>
      <c r="DX28" s="5"/>
      <c r="DY28" s="5"/>
      <c r="EH28" s="2"/>
      <c r="EI28" s="2"/>
      <c r="EK28" s="45">
        <v>16.2</v>
      </c>
      <c r="FF28" s="5"/>
      <c r="FG28" s="5"/>
      <c r="FP28" s="2"/>
      <c r="FQ28" s="2"/>
      <c r="FS28" s="45">
        <v>16.2</v>
      </c>
      <c r="GN28" s="5"/>
      <c r="GO28" s="5"/>
      <c r="GX28" s="2"/>
      <c r="GY28" s="2"/>
      <c r="HA28" s="45">
        <v>16.2</v>
      </c>
      <c r="HV28" s="5"/>
      <c r="HW28" s="5"/>
      <c r="IF28" s="2"/>
      <c r="IG28" s="2"/>
      <c r="II28" s="45">
        <v>16.2</v>
      </c>
      <c r="JD28" s="5"/>
      <c r="JE28" s="5"/>
      <c r="JN28" s="2"/>
      <c r="JO28" s="2"/>
      <c r="JQ28" s="45">
        <v>16.2</v>
      </c>
      <c r="KL28" s="5"/>
      <c r="KM28" s="5"/>
      <c r="KV28" s="2"/>
      <c r="KW28" s="2"/>
      <c r="KY28" s="45">
        <v>16.2</v>
      </c>
      <c r="LT28" s="5"/>
      <c r="LU28" s="5"/>
      <c r="MD28" s="2"/>
      <c r="ME28" s="2"/>
      <c r="MG28" s="45">
        <v>16.2</v>
      </c>
      <c r="NB28" s="5"/>
      <c r="NC28" s="5"/>
      <c r="NL28" s="2"/>
      <c r="NM28" s="2"/>
      <c r="NO28" s="45">
        <v>16.2</v>
      </c>
      <c r="OJ28" s="5"/>
      <c r="OK28" s="5"/>
      <c r="OT28" s="2"/>
      <c r="OU28" s="2"/>
      <c r="OW28" s="45">
        <v>16.2</v>
      </c>
      <c r="PR28" s="5"/>
      <c r="PS28" s="5"/>
      <c r="QB28" s="2"/>
      <c r="QC28" s="2"/>
      <c r="QE28" s="45">
        <v>16.2</v>
      </c>
      <c r="QZ28" s="5"/>
      <c r="RA28" s="5"/>
      <c r="RJ28" s="2"/>
      <c r="RK28" s="2"/>
      <c r="RM28" s="45">
        <v>16.2</v>
      </c>
      <c r="SH28" s="5"/>
      <c r="SI28" s="5"/>
      <c r="SR28" s="2"/>
      <c r="SS28" s="2"/>
      <c r="SU28" s="45">
        <v>16.2</v>
      </c>
    </row>
    <row r="29" spans="1:542" x14ac:dyDescent="0.2">
      <c r="A29" s="5"/>
      <c r="B29" s="36" t="s">
        <v>80</v>
      </c>
      <c r="C29" s="5"/>
      <c r="E29" s="2"/>
      <c r="AR29" s="42"/>
      <c r="AS29" s="42"/>
      <c r="AT29" s="42"/>
      <c r="AU29" s="33"/>
      <c r="AV29" s="33"/>
      <c r="AW29" s="33"/>
      <c r="AX29" s="33"/>
      <c r="AY29" s="46">
        <v>17.100000000000001</v>
      </c>
      <c r="BS29" s="42"/>
      <c r="BT29" s="42"/>
      <c r="BU29" s="42"/>
      <c r="BW29" s="33"/>
      <c r="BX29" s="33"/>
      <c r="BZ29" s="46">
        <v>17.100000000000001</v>
      </c>
      <c r="CT29" s="42"/>
      <c r="CU29" s="42"/>
      <c r="CV29" s="42"/>
      <c r="CW29" s="33"/>
      <c r="CX29" s="33"/>
      <c r="CY29" s="33"/>
      <c r="CZ29" s="33"/>
      <c r="DA29" s="46">
        <v>17.100000000000001</v>
      </c>
      <c r="DX29" s="5"/>
      <c r="DY29" s="5"/>
      <c r="EH29" s="2"/>
      <c r="EI29" s="2"/>
      <c r="EK29" s="46">
        <v>17.100000000000001</v>
      </c>
      <c r="FF29" s="5"/>
      <c r="FG29" s="5"/>
      <c r="FP29" s="2"/>
      <c r="FQ29" s="2"/>
      <c r="FS29" s="46">
        <v>17.100000000000001</v>
      </c>
      <c r="GN29" s="5"/>
      <c r="GO29" s="5"/>
      <c r="GX29" s="2"/>
      <c r="GY29" s="2"/>
      <c r="HA29" s="46">
        <v>17.100000000000001</v>
      </c>
      <c r="HV29" s="5"/>
      <c r="HW29" s="5"/>
      <c r="IF29" s="2"/>
      <c r="IG29" s="2"/>
      <c r="II29" s="46">
        <v>17.100000000000001</v>
      </c>
      <c r="JD29" s="5"/>
      <c r="JE29" s="5"/>
      <c r="JN29" s="2"/>
      <c r="JO29" s="2"/>
      <c r="JQ29" s="46">
        <v>17.100000000000001</v>
      </c>
      <c r="KL29" s="5"/>
      <c r="KM29" s="5"/>
      <c r="KV29" s="2"/>
      <c r="KW29" s="2"/>
      <c r="KY29" s="46">
        <v>17.100000000000001</v>
      </c>
      <c r="LT29" s="5"/>
      <c r="LU29" s="5"/>
      <c r="MD29" s="2"/>
      <c r="ME29" s="2"/>
      <c r="MG29" s="46">
        <v>17.100000000000001</v>
      </c>
      <c r="NB29" s="5"/>
      <c r="NC29" s="5"/>
      <c r="NL29" s="2"/>
      <c r="NM29" s="2"/>
      <c r="NO29" s="46">
        <v>17.100000000000001</v>
      </c>
      <c r="OJ29" s="5"/>
      <c r="OK29" s="5"/>
      <c r="OT29" s="2"/>
      <c r="OU29" s="2"/>
      <c r="OW29" s="46">
        <v>17.100000000000001</v>
      </c>
      <c r="PR29" s="5"/>
      <c r="PS29" s="5"/>
      <c r="QB29" s="2"/>
      <c r="QC29" s="2"/>
      <c r="QE29" s="46">
        <v>17.100000000000001</v>
      </c>
      <c r="QZ29" s="5"/>
      <c r="RA29" s="5"/>
      <c r="RJ29" s="2"/>
      <c r="RK29" s="2"/>
      <c r="RM29" s="46">
        <v>17.100000000000001</v>
      </c>
      <c r="SH29" s="5"/>
      <c r="SI29" s="5"/>
      <c r="SR29" s="2"/>
      <c r="SS29" s="2"/>
      <c r="SU29" s="46">
        <v>17.100000000000001</v>
      </c>
    </row>
    <row r="30" spans="1:542" x14ac:dyDescent="0.2">
      <c r="A30" s="5"/>
      <c r="B30" s="35" t="s">
        <v>51</v>
      </c>
      <c r="C30" s="5"/>
      <c r="P30" s="2"/>
      <c r="AR30" s="42"/>
      <c r="AS30" s="42"/>
      <c r="AT30" s="42"/>
      <c r="AU30" s="33"/>
      <c r="AV30" s="33"/>
      <c r="AW30" s="33"/>
      <c r="AX30" s="33"/>
      <c r="AY30" s="47">
        <v>54</v>
      </c>
      <c r="BS30" s="42"/>
      <c r="BT30" s="42"/>
      <c r="BU30" s="42"/>
      <c r="BW30" s="33"/>
      <c r="BX30" s="33"/>
      <c r="BZ30" s="47">
        <v>54</v>
      </c>
      <c r="CT30" s="42"/>
      <c r="CU30" s="42"/>
      <c r="CV30" s="42"/>
      <c r="CW30" s="33"/>
      <c r="CX30" s="33"/>
      <c r="CY30" s="33"/>
      <c r="CZ30" s="33"/>
      <c r="DA30" s="47">
        <v>54</v>
      </c>
      <c r="DX30" s="5"/>
      <c r="DY30" s="5"/>
      <c r="EH30" s="2"/>
      <c r="EI30" s="2"/>
      <c r="EK30" s="47">
        <v>54</v>
      </c>
      <c r="FF30" s="5"/>
      <c r="FG30" s="5"/>
      <c r="FP30" s="2"/>
      <c r="FQ30" s="2"/>
      <c r="FS30" s="47">
        <v>54</v>
      </c>
      <c r="GN30" s="5"/>
      <c r="GO30" s="5"/>
      <c r="GX30" s="2"/>
      <c r="GY30" s="2"/>
      <c r="HA30" s="47">
        <v>54</v>
      </c>
      <c r="HV30" s="5"/>
      <c r="HW30" s="5"/>
      <c r="IF30" s="2"/>
      <c r="IG30" s="2"/>
      <c r="II30" s="47">
        <v>54</v>
      </c>
      <c r="JD30" s="5"/>
      <c r="JE30" s="5"/>
      <c r="JN30" s="2"/>
      <c r="JO30" s="2"/>
      <c r="JQ30" s="47">
        <v>54</v>
      </c>
      <c r="KL30" s="5"/>
      <c r="KM30" s="5"/>
      <c r="KV30" s="2"/>
      <c r="KW30" s="2"/>
      <c r="KY30" s="47">
        <v>54</v>
      </c>
      <c r="LT30" s="5"/>
      <c r="LU30" s="5"/>
      <c r="MD30" s="2"/>
      <c r="ME30" s="2"/>
      <c r="MG30" s="47">
        <v>54</v>
      </c>
      <c r="NB30" s="5"/>
      <c r="NC30" s="5"/>
      <c r="NL30" s="2"/>
      <c r="NM30" s="2"/>
      <c r="NO30" s="47">
        <v>54</v>
      </c>
      <c r="OJ30" s="5"/>
      <c r="OK30" s="5"/>
      <c r="OT30" s="2"/>
      <c r="OU30" s="2"/>
      <c r="OW30" s="47">
        <v>54</v>
      </c>
      <c r="PR30" s="5"/>
      <c r="PS30" s="5"/>
      <c r="QB30" s="2"/>
      <c r="QC30" s="2"/>
      <c r="QE30" s="47">
        <v>54</v>
      </c>
      <c r="QZ30" s="5"/>
      <c r="RA30" s="5"/>
      <c r="RJ30" s="2"/>
      <c r="RK30" s="2"/>
      <c r="RM30" s="47">
        <v>54</v>
      </c>
      <c r="SH30" s="5"/>
      <c r="SI30" s="5"/>
      <c r="SR30" s="2"/>
      <c r="SS30" s="2"/>
      <c r="SU30" s="47">
        <v>54</v>
      </c>
    </row>
    <row r="31" spans="1:542" x14ac:dyDescent="0.2">
      <c r="A31" s="5"/>
      <c r="B31" s="25" t="s">
        <v>52</v>
      </c>
      <c r="C31" s="5"/>
      <c r="P31" s="2"/>
      <c r="AR31" s="42"/>
      <c r="AS31" s="42"/>
      <c r="AT31" s="42"/>
      <c r="AU31" s="33"/>
      <c r="AV31" s="33"/>
      <c r="AW31" s="33"/>
      <c r="AX31" s="33"/>
      <c r="AY31" s="48">
        <v>56</v>
      </c>
      <c r="BS31" s="42"/>
      <c r="BT31" s="42"/>
      <c r="BU31" s="42"/>
      <c r="BW31" s="33"/>
      <c r="BX31" s="33"/>
      <c r="BZ31" s="48">
        <v>56</v>
      </c>
      <c r="CT31" s="42"/>
      <c r="CU31" s="42"/>
      <c r="CV31" s="42"/>
      <c r="CW31" s="33"/>
      <c r="CX31" s="33"/>
      <c r="CY31" s="33"/>
      <c r="CZ31" s="33"/>
      <c r="DA31" s="48">
        <v>56</v>
      </c>
      <c r="DX31" s="5"/>
      <c r="DY31" s="5"/>
      <c r="EH31" s="2"/>
      <c r="EI31" s="2"/>
      <c r="EK31" s="48">
        <v>56</v>
      </c>
      <c r="FF31" s="5"/>
      <c r="FG31" s="5"/>
      <c r="FP31" s="2"/>
      <c r="FQ31" s="2"/>
      <c r="FS31" s="48">
        <v>56</v>
      </c>
      <c r="GN31" s="5"/>
      <c r="GO31" s="5"/>
      <c r="GX31" s="2"/>
      <c r="GY31" s="2"/>
      <c r="HA31" s="48">
        <v>56</v>
      </c>
      <c r="HV31" s="5"/>
      <c r="HW31" s="5"/>
      <c r="IF31" s="2"/>
      <c r="IG31" s="2"/>
      <c r="II31" s="48">
        <v>56</v>
      </c>
      <c r="JD31" s="5"/>
      <c r="JE31" s="5"/>
      <c r="JN31" s="2"/>
      <c r="JO31" s="2"/>
      <c r="JQ31" s="48">
        <v>56</v>
      </c>
      <c r="KL31" s="5"/>
      <c r="KM31" s="5"/>
      <c r="KV31" s="2"/>
      <c r="KW31" s="2"/>
      <c r="KY31" s="48">
        <v>56</v>
      </c>
      <c r="LT31" s="5"/>
      <c r="LU31" s="5"/>
      <c r="MD31" s="2"/>
      <c r="ME31" s="2"/>
      <c r="MG31" s="48">
        <v>56</v>
      </c>
      <c r="NB31" s="5"/>
      <c r="NC31" s="5"/>
      <c r="NL31" s="2"/>
      <c r="NM31" s="2"/>
      <c r="NO31" s="48">
        <v>56</v>
      </c>
      <c r="OJ31" s="5"/>
      <c r="OK31" s="5"/>
      <c r="OT31" s="2"/>
      <c r="OU31" s="2"/>
      <c r="OW31" s="48">
        <v>56</v>
      </c>
      <c r="PR31" s="5"/>
      <c r="PS31" s="5"/>
      <c r="QB31" s="2"/>
      <c r="QC31" s="2"/>
      <c r="QE31" s="48">
        <v>56</v>
      </c>
      <c r="QZ31" s="5"/>
      <c r="RA31" s="5"/>
      <c r="RJ31" s="2"/>
      <c r="RK31" s="2"/>
      <c r="RM31" s="48">
        <v>56</v>
      </c>
      <c r="SH31" s="5"/>
      <c r="SI31" s="5"/>
      <c r="SR31" s="2"/>
      <c r="SS31" s="2"/>
      <c r="SU31" s="48">
        <v>56</v>
      </c>
    </row>
    <row r="32" spans="1:542" x14ac:dyDescent="0.2">
      <c r="A32" s="5"/>
      <c r="B32" s="34" t="s">
        <v>66</v>
      </c>
      <c r="C32" s="5"/>
      <c r="AR32" s="42"/>
      <c r="AS32" s="42"/>
      <c r="AT32" s="42"/>
      <c r="AU32" s="33"/>
      <c r="AV32" s="33"/>
      <c r="AW32" s="33"/>
      <c r="AX32" s="33"/>
      <c r="AY32" s="49">
        <v>57</v>
      </c>
      <c r="BS32" s="42"/>
      <c r="BT32" s="42"/>
      <c r="BU32" s="42"/>
      <c r="BW32" s="33"/>
      <c r="BX32" s="33"/>
      <c r="BZ32" s="49">
        <v>57</v>
      </c>
      <c r="CT32" s="42"/>
      <c r="CU32" s="42"/>
      <c r="CV32" s="42"/>
      <c r="CW32" s="33"/>
      <c r="CX32" s="33"/>
      <c r="CY32" s="33"/>
      <c r="CZ32" s="33"/>
      <c r="DA32" s="49">
        <v>57</v>
      </c>
      <c r="DX32" s="5"/>
      <c r="DY32" s="5"/>
      <c r="EH32" s="2"/>
      <c r="EI32" s="2"/>
      <c r="EJ32" s="38"/>
      <c r="EK32" s="49">
        <v>57</v>
      </c>
      <c r="FF32" s="5"/>
      <c r="FG32" s="5"/>
      <c r="FP32" s="2"/>
      <c r="FQ32" s="2"/>
      <c r="FR32" s="38"/>
      <c r="FS32" s="49">
        <v>57</v>
      </c>
      <c r="GN32" s="5"/>
      <c r="GO32" s="5"/>
      <c r="GX32" s="2"/>
      <c r="GY32" s="2"/>
      <c r="GZ32" s="38"/>
      <c r="HA32" s="49">
        <v>57</v>
      </c>
      <c r="HV32" s="5"/>
      <c r="HW32" s="5"/>
      <c r="IF32" s="2"/>
      <c r="IG32" s="2"/>
      <c r="IH32" s="38"/>
      <c r="II32" s="49">
        <v>57</v>
      </c>
      <c r="JD32" s="5"/>
      <c r="JE32" s="5"/>
      <c r="JN32" s="2"/>
      <c r="JO32" s="2"/>
      <c r="JP32" s="38"/>
      <c r="JQ32" s="49">
        <v>57</v>
      </c>
      <c r="KL32" s="5"/>
      <c r="KM32" s="5"/>
      <c r="KV32" s="2"/>
      <c r="KW32" s="2"/>
      <c r="KX32" s="38"/>
      <c r="KY32" s="49">
        <v>57</v>
      </c>
      <c r="LT32" s="5"/>
      <c r="LU32" s="5"/>
      <c r="MD32" s="2"/>
      <c r="ME32" s="2"/>
      <c r="MF32" s="38"/>
      <c r="MG32" s="49">
        <v>57</v>
      </c>
      <c r="NB32" s="5"/>
      <c r="NC32" s="5"/>
      <c r="NL32" s="2"/>
      <c r="NM32" s="2"/>
      <c r="NN32" s="38"/>
      <c r="NO32" s="49">
        <v>57</v>
      </c>
      <c r="OJ32" s="5"/>
      <c r="OK32" s="5"/>
      <c r="OT32" s="2"/>
      <c r="OU32" s="2"/>
      <c r="OV32" s="38"/>
      <c r="OW32" s="49">
        <v>57</v>
      </c>
      <c r="PR32" s="5"/>
      <c r="PS32" s="5"/>
      <c r="QB32" s="2"/>
      <c r="QC32" s="2"/>
      <c r="QD32" s="38"/>
      <c r="QE32" s="49">
        <v>57</v>
      </c>
      <c r="QZ32" s="5"/>
      <c r="RA32" s="5"/>
      <c r="RJ32" s="2"/>
      <c r="RK32" s="2"/>
      <c r="RL32" s="38"/>
      <c r="RM32" s="49">
        <v>57</v>
      </c>
      <c r="SH32" s="5"/>
      <c r="SI32" s="5"/>
      <c r="SR32" s="2"/>
      <c r="SS32" s="2"/>
      <c r="ST32" s="38"/>
      <c r="SU32" s="49">
        <v>57</v>
      </c>
    </row>
    <row r="33" spans="1:515" x14ac:dyDescent="0.2">
      <c r="A33" s="5"/>
      <c r="B33" s="26" t="s">
        <v>35</v>
      </c>
      <c r="C33" s="5"/>
      <c r="P33" s="2"/>
      <c r="AR33" s="42"/>
      <c r="AS33" s="42"/>
      <c r="AT33" s="42"/>
      <c r="AU33" s="33"/>
      <c r="AV33" s="42"/>
      <c r="AW33" s="42"/>
      <c r="AX33" s="33"/>
      <c r="AY33" s="50">
        <v>59</v>
      </c>
      <c r="BS33" s="42"/>
      <c r="BT33" s="42"/>
      <c r="BU33" s="42"/>
      <c r="BW33" s="42"/>
      <c r="BX33" s="33"/>
      <c r="BZ33" s="50">
        <v>59</v>
      </c>
      <c r="CT33" s="42"/>
      <c r="CU33" s="42"/>
      <c r="CV33" s="42"/>
      <c r="CW33" s="33"/>
      <c r="CX33" s="42"/>
      <c r="CY33" s="33"/>
      <c r="CZ33" s="33"/>
      <c r="DA33" s="50">
        <v>59</v>
      </c>
      <c r="DX33" s="5"/>
      <c r="DY33" s="5"/>
      <c r="EH33" s="42"/>
      <c r="EI33" s="2"/>
      <c r="EK33" s="50">
        <v>59</v>
      </c>
      <c r="FF33" s="5"/>
      <c r="FG33" s="5"/>
      <c r="FP33" s="42"/>
      <c r="FQ33" s="2"/>
      <c r="FS33" s="50">
        <v>59</v>
      </c>
      <c r="GN33" s="5"/>
      <c r="GO33" s="5"/>
      <c r="GX33" s="2"/>
      <c r="GY33" s="2"/>
      <c r="HA33" s="50">
        <v>59</v>
      </c>
      <c r="HV33" s="5"/>
      <c r="HW33" s="5"/>
      <c r="IF33" s="42"/>
      <c r="IG33" s="2"/>
      <c r="II33" s="50">
        <v>59</v>
      </c>
      <c r="JD33" s="5"/>
      <c r="JE33" s="5"/>
      <c r="JN33" s="2"/>
      <c r="JO33" s="2"/>
      <c r="JQ33" s="50">
        <v>59</v>
      </c>
      <c r="KL33" s="5"/>
      <c r="KM33" s="5"/>
      <c r="KV33" s="2"/>
      <c r="KW33" s="2"/>
      <c r="KY33" s="50">
        <v>59</v>
      </c>
      <c r="LT33" s="5"/>
      <c r="LU33" s="5"/>
      <c r="MD33" s="2"/>
      <c r="ME33" s="2"/>
      <c r="MG33" s="50">
        <v>59</v>
      </c>
      <c r="NB33" s="5"/>
      <c r="NC33" s="5"/>
      <c r="NL33" s="2"/>
      <c r="NM33" s="2"/>
      <c r="NO33" s="50">
        <v>59</v>
      </c>
      <c r="OJ33" s="5"/>
      <c r="OK33" s="5"/>
      <c r="OT33" s="2"/>
      <c r="OU33" s="2"/>
      <c r="OW33" s="50">
        <v>59</v>
      </c>
      <c r="PR33" s="5"/>
      <c r="PS33" s="5"/>
      <c r="QB33" s="2"/>
      <c r="QC33" s="2"/>
      <c r="QE33" s="50">
        <v>59</v>
      </c>
      <c r="QZ33" s="5"/>
      <c r="RA33" s="5"/>
      <c r="RJ33" s="2"/>
      <c r="RK33" s="2"/>
      <c r="RM33" s="50">
        <v>59</v>
      </c>
      <c r="SH33" s="5"/>
      <c r="SI33" s="5"/>
      <c r="SR33" s="2"/>
      <c r="SS33" s="2"/>
      <c r="SU33" s="50">
        <v>59</v>
      </c>
    </row>
    <row r="34" spans="1:515" x14ac:dyDescent="0.2">
      <c r="B34" s="30" t="s">
        <v>58</v>
      </c>
      <c r="C34" s="2"/>
      <c r="AU34" s="33"/>
      <c r="AX34" s="33"/>
      <c r="CW34" s="33"/>
      <c r="CZ34" s="33"/>
    </row>
    <row r="35" spans="1:515" x14ac:dyDescent="0.2">
      <c r="A35" s="5"/>
      <c r="B35" s="5"/>
      <c r="C35" s="20"/>
      <c r="AQ35" s="33"/>
      <c r="AR35" s="33"/>
      <c r="AS35" s="33"/>
      <c r="AT35" s="33"/>
      <c r="AU35" s="33"/>
      <c r="AX35" s="33"/>
      <c r="CS35" s="33"/>
      <c r="CT35" s="33"/>
      <c r="CU35" s="33"/>
      <c r="CV35" s="33"/>
      <c r="CW35" s="33"/>
      <c r="CZ35" s="33"/>
    </row>
    <row r="36" spans="1:515" ht="17" x14ac:dyDescent="0.2">
      <c r="A36" s="5"/>
      <c r="B36" s="5"/>
      <c r="C36" s="20"/>
      <c r="V36" s="10"/>
      <c r="W36" s="10"/>
      <c r="AQ36" s="33"/>
      <c r="AR36" s="33"/>
      <c r="AS36" s="33"/>
      <c r="AT36" s="33"/>
      <c r="AU36" s="33"/>
      <c r="AX36" s="33"/>
      <c r="CS36" s="33"/>
      <c r="CT36" s="33"/>
      <c r="CU36" s="33"/>
      <c r="CV36" s="33"/>
      <c r="CW36" s="33"/>
      <c r="CZ36" s="33"/>
    </row>
    <row r="37" spans="1:515" ht="17" x14ac:dyDescent="0.2">
      <c r="A37" s="5"/>
      <c r="B37" s="5"/>
      <c r="C37" s="20"/>
      <c r="V37" s="10"/>
      <c r="AQ37" s="33"/>
      <c r="AR37" s="33"/>
      <c r="AS37" s="33"/>
      <c r="AT37" s="33"/>
      <c r="AU37" s="33"/>
      <c r="AX37" s="33"/>
      <c r="CS37" s="33"/>
      <c r="CT37" s="33"/>
      <c r="CU37" s="33"/>
      <c r="CV37" s="33"/>
      <c r="CW37" s="33"/>
      <c r="CZ37" s="33"/>
    </row>
    <row r="38" spans="1:515" ht="17" x14ac:dyDescent="0.2">
      <c r="V38" s="10"/>
      <c r="W38" s="10"/>
      <c r="AQ38" s="33"/>
      <c r="AR38" s="33"/>
      <c r="AS38" s="33"/>
      <c r="AT38" s="33"/>
      <c r="AU38" s="33"/>
      <c r="AX38" s="33"/>
      <c r="CS38" s="33"/>
      <c r="CT38" s="33"/>
      <c r="CU38" s="33"/>
      <c r="CV38" s="33"/>
      <c r="CW38" s="33"/>
      <c r="CZ38" s="33"/>
    </row>
    <row r="39" spans="1:515" ht="17" x14ac:dyDescent="0.2">
      <c r="V39" s="10"/>
      <c r="W39" s="10"/>
      <c r="AQ39" s="33"/>
      <c r="AR39" s="33"/>
      <c r="AS39" s="33"/>
      <c r="AT39" s="33"/>
      <c r="AU39" s="33"/>
      <c r="AX39" s="33"/>
      <c r="CS39" s="33"/>
      <c r="CT39" s="33"/>
      <c r="CU39" s="33"/>
      <c r="CV39" s="33"/>
      <c r="CW39" s="33"/>
      <c r="CZ39" s="33"/>
    </row>
    <row r="40" spans="1:515" ht="17" x14ac:dyDescent="0.2">
      <c r="V40" s="10"/>
      <c r="W40" s="10"/>
      <c r="AQ40" s="33"/>
      <c r="AR40" s="33"/>
      <c r="AS40" s="33"/>
      <c r="AT40" s="33"/>
      <c r="AU40" s="33"/>
      <c r="AX40" s="33"/>
      <c r="CS40" s="33"/>
      <c r="CT40" s="33"/>
      <c r="CU40" s="33"/>
      <c r="CV40" s="33"/>
      <c r="CW40" s="33"/>
      <c r="CZ40" s="33"/>
    </row>
    <row r="41" spans="1:515" ht="17" x14ac:dyDescent="0.2">
      <c r="V41" s="10"/>
      <c r="W41" s="10"/>
      <c r="X41" s="10"/>
    </row>
    <row r="42" spans="1:515" ht="17" x14ac:dyDescent="0.2">
      <c r="V42" s="10"/>
      <c r="W42" s="10"/>
      <c r="X42" s="10"/>
    </row>
    <row r="43" spans="1:515" ht="17" x14ac:dyDescent="0.2">
      <c r="V43" s="10"/>
      <c r="W43" s="10"/>
      <c r="X43" s="10"/>
    </row>
    <row r="44" spans="1:515" ht="17" x14ac:dyDescent="0.2">
      <c r="V44" s="10"/>
      <c r="W44" s="10"/>
      <c r="X44" s="10"/>
    </row>
    <row r="45" spans="1:515" ht="17" x14ac:dyDescent="0.2">
      <c r="V45" s="10"/>
      <c r="W45" s="10"/>
      <c r="X45" s="10"/>
    </row>
    <row r="46" spans="1:515" ht="17" x14ac:dyDescent="0.2">
      <c r="V46" s="10"/>
      <c r="W46" s="10"/>
      <c r="X46" s="10"/>
    </row>
    <row r="47" spans="1:515" ht="17" x14ac:dyDescent="0.2">
      <c r="V47" s="10"/>
      <c r="W47" s="10"/>
      <c r="X47" s="10"/>
    </row>
    <row r="48" spans="1:515" ht="17" x14ac:dyDescent="0.2">
      <c r="V48" s="10"/>
      <c r="W48" s="10"/>
      <c r="X48" s="10"/>
    </row>
    <row r="49" spans="22:24" ht="17" x14ac:dyDescent="0.2">
      <c r="V49" s="10"/>
      <c r="W49" s="10"/>
      <c r="X49" s="10"/>
    </row>
    <row r="50" spans="22:24" ht="17" x14ac:dyDescent="0.2">
      <c r="V50" s="10"/>
      <c r="W50" s="10"/>
      <c r="X50" s="10"/>
    </row>
    <row r="51" spans="22:24" ht="17" x14ac:dyDescent="0.2">
      <c r="V51" s="10"/>
      <c r="W51" s="10"/>
      <c r="X51" s="10"/>
    </row>
    <row r="52" spans="22:24" ht="17" x14ac:dyDescent="0.2">
      <c r="V52" s="10"/>
      <c r="W52" s="10"/>
      <c r="X52" s="10"/>
    </row>
    <row r="53" spans="22:24" ht="17" x14ac:dyDescent="0.2">
      <c r="V53" s="10"/>
      <c r="W53" s="10"/>
      <c r="X53" s="10"/>
    </row>
    <row r="54" spans="22:24" ht="17" x14ac:dyDescent="0.2">
      <c r="V54" s="10"/>
      <c r="W54" s="10"/>
      <c r="X54" s="10"/>
    </row>
    <row r="55" spans="22:24" ht="17" x14ac:dyDescent="0.2">
      <c r="V55" s="10"/>
      <c r="W55" s="10"/>
      <c r="X55" s="10"/>
    </row>
  </sheetData>
  <sheetProtection sheet="1" formatCells="0" formatColumns="0" formatRows="0"/>
  <autoFilter ref="A1:TV18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23">
      <sortCondition descending="1" ref="F1:F24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IJ1:JQ1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HB1:II1"/>
    <mergeCell ref="FT2:FX2"/>
    <mergeCell ref="FY2:GC2"/>
    <mergeCell ref="GD2:GH2"/>
    <mergeCell ref="GI2:GM2"/>
    <mergeCell ref="HG2:HK2"/>
    <mergeCell ref="HL2:HP2"/>
    <mergeCell ref="HQ2:HU2"/>
    <mergeCell ref="FT1:HA1"/>
    <mergeCell ref="HB2:HF2"/>
    <mergeCell ref="EL1:FS1"/>
    <mergeCell ref="EL2:EP2"/>
    <mergeCell ref="EQ2:EU2"/>
    <mergeCell ref="EV2:EZ2"/>
    <mergeCell ref="FA2:FE2"/>
    <mergeCell ref="DI2:DM2"/>
    <mergeCell ref="DD1:EK1"/>
    <mergeCell ref="BJ2:BN2"/>
    <mergeCell ref="DD2:DH2"/>
    <mergeCell ref="DB1:DC1"/>
    <mergeCell ref="DN2:DR2"/>
    <mergeCell ref="DS2:DW2"/>
    <mergeCell ref="CA1:DA1"/>
    <mergeCell ref="CA2:CE2"/>
    <mergeCell ref="M1:M3"/>
    <mergeCell ref="I1:I3"/>
    <mergeCell ref="N1:N3"/>
    <mergeCell ref="O1:O3"/>
    <mergeCell ref="BE2:BI2"/>
    <mergeCell ref="CF2:CJ2"/>
    <mergeCell ref="CK2:CO2"/>
    <mergeCell ref="AZ1:BZ1"/>
    <mergeCell ref="AZ2:BD2"/>
    <mergeCell ref="A1:A3"/>
    <mergeCell ref="B1:B3"/>
    <mergeCell ref="C1:C3"/>
    <mergeCell ref="E1:E3"/>
    <mergeCell ref="F1:F3"/>
    <mergeCell ref="D1:D3"/>
    <mergeCell ref="Q1:Q3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G1:G3"/>
    <mergeCell ref="H1:H3"/>
    <mergeCell ref="J1:J3"/>
    <mergeCell ref="L1:L3"/>
    <mergeCell ref="P1:P3"/>
    <mergeCell ref="K1:K3"/>
  </mergeCells>
  <conditionalFormatting sqref="H1:H1048576">
    <cfRule type="containsText" dxfId="590" priority="229" operator="containsText" text="No DD">
      <formula>NOT(ISERROR(SEARCH("No DD",H1)))</formula>
    </cfRule>
    <cfRule type="containsText" dxfId="589" priority="230" operator="containsText" text="Merit">
      <formula>NOT(ISERROR(SEARCH("Merit",H1)))</formula>
    </cfRule>
    <cfRule type="containsText" dxfId="588" priority="231" operator="containsText" text="Excellence">
      <formula>NOT(ISERROR(SEARCH("Excellence",H1)))</formula>
    </cfRule>
    <cfRule type="containsText" dxfId="587" priority="232" operator="containsText" text="Worlds Team">
      <formula>NOT(ISERROR(SEARCH("Worlds Team",H1)))</formula>
    </cfRule>
    <cfRule type="containsText" dxfId="586" priority="233" operator="containsText" text="National Team">
      <formula>NOT(ISERROR(SEARCH("National Team",H1)))</formula>
    </cfRule>
  </conditionalFormatting>
  <conditionalFormatting sqref="Y4:AY23">
    <cfRule type="expression" dxfId="585" priority="51275" stopIfTrue="1">
      <formula>IF($AN4&lt;&gt;"",1,0)</formula>
    </cfRule>
  </conditionalFormatting>
  <conditionalFormatting sqref="AZ4:BZ23">
    <cfRule type="expression" dxfId="584" priority="210" stopIfTrue="1">
      <formula>IF($BO4&lt;&gt;"",1,0)</formula>
    </cfRule>
  </conditionalFormatting>
  <conditionalFormatting sqref="CA4:DA23">
    <cfRule type="expression" dxfId="583" priority="206" stopIfTrue="1">
      <formula>IF($CP4&lt;&gt;"",1,0)</formula>
    </cfRule>
  </conditionalFormatting>
  <conditionalFormatting sqref="BW34:BW1048576 BP1:BP1048576 BS1:BS1048576 BW1:BW32">
    <cfRule type="cellIs" dxfId="582" priority="52632" operator="between">
      <formula>$BZ$29</formula>
      <formula>1000</formula>
    </cfRule>
    <cfRule type="cellIs" dxfId="581" priority="52633" operator="between">
      <formula>$BZ$28</formula>
      <formula>$BZ$29</formula>
    </cfRule>
    <cfRule type="cellIs" dxfId="580" priority="52634" operator="between">
      <formula>$BZ$27</formula>
      <formula>$BZ$28</formula>
    </cfRule>
    <cfRule type="cellIs" dxfId="579" priority="52635" operator="between">
      <formula>$BZ$26</formula>
      <formula>$BZ$27</formula>
    </cfRule>
  </conditionalFormatting>
  <conditionalFormatting sqref="CX34:CX1048576 CQ1:CQ1048576 CT1:CT1048576 CX1:CX32">
    <cfRule type="cellIs" dxfId="578" priority="51509" operator="between">
      <formula>$DA$29</formula>
      <formula>1000</formula>
    </cfRule>
    <cfRule type="cellIs" dxfId="577" priority="51510" operator="between">
      <formula>$DA$28</formula>
      <formula>$DA$29</formula>
    </cfRule>
    <cfRule type="cellIs" dxfId="576" priority="51511" operator="between">
      <formula>$DA$27</formula>
      <formula>$DA$28</formula>
    </cfRule>
    <cfRule type="cellIs" dxfId="575" priority="51512" operator="between">
      <formula>$DA$26</formula>
      <formula>$DA$27</formula>
    </cfRule>
  </conditionalFormatting>
  <conditionalFormatting sqref="EH34:EH1048576 DX1:DX1048576 EA1:EA1048576 EE1:EE1048576 EH1:EH32">
    <cfRule type="cellIs" dxfId="574" priority="52660" operator="between">
      <formula>$EK$29</formula>
      <formula>1000</formula>
    </cfRule>
    <cfRule type="cellIs" dxfId="573" priority="52661" operator="between">
      <formula>$EK$28</formula>
      <formula>$EK$29</formula>
    </cfRule>
    <cfRule type="cellIs" dxfId="572" priority="52662" operator="between">
      <formula>$EK$27</formula>
      <formula>$EK$28</formula>
    </cfRule>
    <cfRule type="cellIs" dxfId="571" priority="52663" operator="between">
      <formula>$EK$26</formula>
      <formula>$EK$27</formula>
    </cfRule>
  </conditionalFormatting>
  <conditionalFormatting sqref="FP34:FP1048576 FF1:FF1048576 FI1:FI1048576 FM1:FM1048576 FP1:FP32">
    <cfRule type="cellIs" dxfId="570" priority="190" operator="between">
      <formula>$FS$29</formula>
      <formula>1000</formula>
    </cfRule>
    <cfRule type="cellIs" dxfId="569" priority="191" operator="between">
      <formula>$FS$28</formula>
      <formula>$FS$29</formula>
    </cfRule>
    <cfRule type="cellIs" dxfId="568" priority="192" operator="between">
      <formula>$FS$27</formula>
      <formula>$FS$28</formula>
    </cfRule>
    <cfRule type="cellIs" dxfId="567" priority="193" operator="between">
      <formula>$FS$26</formula>
      <formula>$FS$27</formula>
    </cfRule>
  </conditionalFormatting>
  <conditionalFormatting sqref="IF34:IF1048576 HV1:HV1048576 HY1:HY1048576 IC1:IC1048576 IF1:IF32">
    <cfRule type="cellIs" dxfId="566" priority="158" operator="between">
      <formula>$II$29</formula>
      <formula>1000</formula>
    </cfRule>
    <cfRule type="cellIs" dxfId="565" priority="159" operator="between">
      <formula>$II$28</formula>
      <formula>$II$29</formula>
    </cfRule>
    <cfRule type="cellIs" dxfId="564" priority="160" operator="between">
      <formula>$II$27</formula>
      <formula>$II$28</formula>
    </cfRule>
    <cfRule type="cellIs" dxfId="563" priority="161" operator="between">
      <formula>$II$26</formula>
      <formula>$II$27</formula>
    </cfRule>
  </conditionalFormatting>
  <conditionalFormatting sqref="AW33 AO1:AO1048576 AR1:AR1048576 AV1:AV1048576">
    <cfRule type="cellIs" dxfId="562" priority="22" operator="between">
      <formula>$AY$29</formula>
      <formula>1000</formula>
    </cfRule>
    <cfRule type="cellIs" dxfId="561" priority="23" operator="between">
      <formula>$AY$28</formula>
      <formula>$AY$29</formula>
    </cfRule>
    <cfRule type="cellIs" dxfId="560" priority="24" operator="between">
      <formula>$AY$27</formula>
      <formula>$AY$28</formula>
    </cfRule>
    <cfRule type="cellIs" dxfId="559" priority="25" operator="between">
      <formula>$AY$26</formula>
      <formula>$AY$27</formula>
    </cfRule>
  </conditionalFormatting>
  <conditionalFormatting sqref="BW33">
    <cfRule type="cellIs" dxfId="558" priority="18" operator="between">
      <formula>$AY$29</formula>
      <formula>1000</formula>
    </cfRule>
    <cfRule type="cellIs" dxfId="557" priority="19" operator="between">
      <formula>$AY$28</formula>
      <formula>$AY$29</formula>
    </cfRule>
    <cfRule type="cellIs" dxfId="556" priority="20" operator="between">
      <formula>$AY$27</formula>
      <formula>$AY$28</formula>
    </cfRule>
    <cfRule type="cellIs" dxfId="555" priority="21" operator="between">
      <formula>$AY$26</formula>
      <formula>$AY$27</formula>
    </cfRule>
  </conditionalFormatting>
  <conditionalFormatting sqref="CX33">
    <cfRule type="cellIs" dxfId="554" priority="14" operator="between">
      <formula>$AY$29</formula>
      <formula>1000</formula>
    </cfRule>
    <cfRule type="cellIs" dxfId="553" priority="15" operator="between">
      <formula>$AY$28</formula>
      <formula>$AY$29</formula>
    </cfRule>
    <cfRule type="cellIs" dxfId="552" priority="16" operator="between">
      <formula>$AY$27</formula>
      <formula>$AY$28</formula>
    </cfRule>
    <cfRule type="cellIs" dxfId="551" priority="17" operator="between">
      <formula>$AY$26</formula>
      <formula>$AY$27</formula>
    </cfRule>
  </conditionalFormatting>
  <conditionalFormatting sqref="EH33">
    <cfRule type="cellIs" dxfId="550" priority="10" operator="between">
      <formula>$AY$29</formula>
      <formula>1000</formula>
    </cfRule>
    <cfRule type="cellIs" dxfId="549" priority="11" operator="between">
      <formula>$AY$28</formula>
      <formula>$AY$29</formula>
    </cfRule>
    <cfRule type="cellIs" dxfId="548" priority="12" operator="between">
      <formula>$AY$27</formula>
      <formula>$AY$28</formula>
    </cfRule>
    <cfRule type="cellIs" dxfId="547" priority="13" operator="between">
      <formula>$AY$26</formula>
      <formula>$AY$27</formula>
    </cfRule>
  </conditionalFormatting>
  <conditionalFormatting sqref="FP33">
    <cfRule type="cellIs" dxfId="546" priority="6" operator="between">
      <formula>$AY$29</formula>
      <formula>1000</formula>
    </cfRule>
    <cfRule type="cellIs" dxfId="545" priority="7" operator="between">
      <formula>$AY$28</formula>
      <formula>$AY$29</formula>
    </cfRule>
    <cfRule type="cellIs" dxfId="544" priority="8" operator="between">
      <formula>$AY$27</formula>
      <formula>$AY$28</formula>
    </cfRule>
    <cfRule type="cellIs" dxfId="543" priority="9" operator="between">
      <formula>$AY$26</formula>
      <formula>$AY$27</formula>
    </cfRule>
  </conditionalFormatting>
  <conditionalFormatting sqref="IF33">
    <cfRule type="cellIs" dxfId="542" priority="2" operator="between">
      <formula>$AY$29</formula>
      <formula>1000</formula>
    </cfRule>
    <cfRule type="cellIs" dxfId="541" priority="3" operator="between">
      <formula>$AY$28</formula>
      <formula>$AY$29</formula>
    </cfRule>
    <cfRule type="cellIs" dxfId="540" priority="4" operator="between">
      <formula>$AY$27</formula>
      <formula>$AY$28</formula>
    </cfRule>
    <cfRule type="cellIs" dxfId="539" priority="5" operator="between">
      <formula>$AY$26</formula>
      <formula>$AY$27</formula>
    </cfRule>
  </conditionalFormatting>
  <conditionalFormatting sqref="K1:K1048576 M1:M1048576 O1:O1048576 Q1:Q1048576 S1:S1048576 U1:U1048576">
    <cfRule type="expression" dxfId="538" priority="52651" stopIfTrue="1">
      <formula>IF(K1=$CA$1,1,0)</formula>
    </cfRule>
    <cfRule type="expression" dxfId="537" priority="52652">
      <formula>IF(K1=$AZ$1,1,0)</formula>
    </cfRule>
    <cfRule type="expression" dxfId="536" priority="52653">
      <formula>IF(K1=$Y$1,1,0)</formula>
    </cfRule>
  </conditionalFormatting>
  <conditionalFormatting sqref="CV1:CV1048576 AT1:AT1048576">
    <cfRule type="cellIs" dxfId="535" priority="81977" operator="between">
      <formula>AY$33</formula>
      <formula>1000</formula>
    </cfRule>
    <cfRule type="cellIs" dxfId="534" priority="81978" operator="between">
      <formula>AY$32</formula>
      <formula>AY$33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533" priority="81989" operator="between">
      <formula>EK$33</formula>
      <formula>1000</formula>
    </cfRule>
    <cfRule type="cellIs" dxfId="532" priority="81990" operator="between">
      <formula>EK$32</formula>
      <formula>EK$33</formula>
    </cfRule>
  </conditionalFormatting>
  <conditionalFormatting sqref="AQ1:AQ1048576 AT1:AT1048576 AX1:AX1048576">
    <cfRule type="cellIs" dxfId="531" priority="82061" operator="between">
      <formula>$AY$33</formula>
      <formula>1000</formula>
    </cfRule>
    <cfRule type="cellIs" dxfId="530" priority="82062" operator="between">
      <formula>$AY$32</formula>
      <formula>$AY$33</formula>
    </cfRule>
    <cfRule type="cellIs" dxfId="529" priority="82063" operator="between">
      <formula>$AY$31</formula>
      <formula>$AY$32</formula>
    </cfRule>
    <cfRule type="cellIs" dxfId="528" priority="82064" operator="between">
      <formula>$AY$30</formula>
      <formula>$AY$31</formula>
    </cfRule>
  </conditionalFormatting>
  <conditionalFormatting sqref="BR1:BR1048576 BU1:BU1048576 BY1:BY1048576">
    <cfRule type="cellIs" dxfId="527" priority="82097" operator="between">
      <formula>$BZ$33</formula>
      <formula>1000</formula>
    </cfRule>
    <cfRule type="cellIs" dxfId="526" priority="82098" operator="between">
      <formula>$BZ$32</formula>
      <formula>$BZ$33</formula>
    </cfRule>
    <cfRule type="cellIs" dxfId="525" priority="82099" operator="between">
      <formula>$BZ$31</formula>
      <formula>$BZ$32</formula>
    </cfRule>
    <cfRule type="cellIs" dxfId="524" priority="82100" operator="between">
      <formula>$BZ$30</formula>
      <formula>$BZ$31</formula>
    </cfRule>
  </conditionalFormatting>
  <conditionalFormatting sqref="CS1:CS1048576 CV1:CV1048576 CZ1:CZ1048576">
    <cfRule type="cellIs" dxfId="523" priority="82133" operator="between">
      <formula>$DA$33</formula>
      <formula>1000</formula>
    </cfRule>
    <cfRule type="cellIs" dxfId="522" priority="82134" operator="between">
      <formula>$DA$32</formula>
      <formula>$DA$33</formula>
    </cfRule>
    <cfRule type="cellIs" dxfId="521" priority="82135" operator="between">
      <formula>$DA$31</formula>
      <formula>$DA$32</formula>
    </cfRule>
    <cfRule type="cellIs" dxfId="520" priority="82136" operator="between">
      <formula>$DA$30</formula>
      <formula>$DA$31</formula>
    </cfRule>
  </conditionalFormatting>
  <conditionalFormatting sqref="NB1:NB1048576 NE1:NE1048576 NI1:NI1048576 NL1:NL1048576">
    <cfRule type="cellIs" dxfId="519" priority="82169" operator="between">
      <formula>$NO$26</formula>
      <formula>$NO$27</formula>
    </cfRule>
  </conditionalFormatting>
  <conditionalFormatting sqref="DZ1:DZ1048576 EC1:EC1048576 EG1:EG1048576 EJ1:EJ1048576">
    <cfRule type="cellIs" dxfId="518" priority="82181" operator="between">
      <formula>$EK$33</formula>
      <formula>1000</formula>
    </cfRule>
    <cfRule type="cellIs" dxfId="517" priority="82182" operator="between">
      <formula>$EK$32</formula>
      <formula>$EK$33</formula>
    </cfRule>
    <cfRule type="cellIs" dxfId="516" priority="82183" operator="between">
      <formula>$EK$31</formula>
      <formula>$EK$32</formula>
    </cfRule>
    <cfRule type="cellIs" dxfId="515" priority="82184" operator="between">
      <formula>$EK$30</formula>
      <formula>$EK$31</formula>
    </cfRule>
  </conditionalFormatting>
  <conditionalFormatting sqref="FH1:FH1048576 FK1:FK1048576 FO1:FO1048576 FR1:FR1048576">
    <cfRule type="cellIs" dxfId="514" priority="82229" operator="between">
      <formula>$FS$33</formula>
      <formula>1000</formula>
    </cfRule>
    <cfRule type="cellIs" dxfId="513" priority="82230" operator="between">
      <formula>$FS$32</formula>
      <formula>$FS$33</formula>
    </cfRule>
    <cfRule type="cellIs" dxfId="512" priority="82231" operator="between">
      <formula>$FS$31</formula>
      <formula>$FS$32</formula>
    </cfRule>
    <cfRule type="cellIs" dxfId="511" priority="82232" operator="between">
      <formula>$FS$30</formula>
      <formula>$FS$31</formula>
    </cfRule>
  </conditionalFormatting>
  <conditionalFormatting sqref="GN1:GN1048576 GQ1:GQ1048576 GU1:GU1048576 GX1:GX1048576">
    <cfRule type="cellIs" dxfId="510" priority="82277" operator="between">
      <formula>$HA$29</formula>
      <formula>1000</formula>
    </cfRule>
    <cfRule type="cellIs" dxfId="509" priority="82278" operator="between">
      <formula>$HA$28</formula>
      <formula>$HA$29</formula>
    </cfRule>
    <cfRule type="cellIs" dxfId="508" priority="82279" operator="between">
      <formula>$HA$27</formula>
      <formula>$HA$28</formula>
    </cfRule>
    <cfRule type="cellIs" dxfId="507" priority="82280" operator="between">
      <formula>$HA$26</formula>
      <formula>$HA$27</formula>
    </cfRule>
  </conditionalFormatting>
  <conditionalFormatting sqref="GP1:GP1048576 GS1:GS1048576 GW1:GW1048576 GZ1:GZ1048576">
    <cfRule type="cellIs" dxfId="506" priority="82325" operator="between">
      <formula>$HA$33</formula>
      <formula>1000</formula>
    </cfRule>
    <cfRule type="cellIs" dxfId="505" priority="82326" operator="between">
      <formula>$HA$32</formula>
      <formula>$HA$33</formula>
    </cfRule>
    <cfRule type="cellIs" dxfId="504" priority="82327" operator="between">
      <formula>$HA$31</formula>
      <formula>$HA$32</formula>
    </cfRule>
    <cfRule type="cellIs" dxfId="503" priority="82328" operator="between">
      <formula>$HA$30</formula>
      <formula>$HA$31</formula>
    </cfRule>
  </conditionalFormatting>
  <conditionalFormatting sqref="HX1:HX1048576 IA1:IA1048576 IE1:IE1048576 IH1:IH1048576">
    <cfRule type="cellIs" dxfId="502" priority="82373" operator="between">
      <formula>$II$33</formula>
      <formula>1000</formula>
    </cfRule>
    <cfRule type="cellIs" dxfId="501" priority="82374" operator="between">
      <formula>$II$32</formula>
      <formula>$II$33</formula>
    </cfRule>
    <cfRule type="cellIs" dxfId="500" priority="82375" operator="between">
      <formula>$II$31</formula>
      <formula>$II$32</formula>
    </cfRule>
    <cfRule type="cellIs" dxfId="499" priority="82376" operator="between">
      <formula>$II$30</formula>
      <formula>$II$31</formula>
    </cfRule>
  </conditionalFormatting>
  <conditionalFormatting sqref="JD1:JD1048576 JG1:JG1048576 JK1:JK1048576 JN1:JN1048576">
    <cfRule type="cellIs" dxfId="498" priority="82421" operator="between">
      <formula>$JQ$29</formula>
      <formula>1000</formula>
    </cfRule>
    <cfRule type="cellIs" dxfId="497" priority="82422" operator="between">
      <formula>$JQ$28</formula>
      <formula>$JQ$29</formula>
    </cfRule>
    <cfRule type="cellIs" dxfId="496" priority="82423" operator="between">
      <formula>$JQ$27</formula>
      <formula>$JQ$28</formula>
    </cfRule>
    <cfRule type="cellIs" dxfId="495" priority="82424" operator="between">
      <formula>$JQ$26</formula>
      <formula>$JQ$27</formula>
    </cfRule>
  </conditionalFormatting>
  <conditionalFormatting sqref="JF1:JF1048576 JI1:JI1048576 JM1:JM1048576 JP1:JP1048576">
    <cfRule type="cellIs" dxfId="494" priority="82469" operator="between">
      <formula>$JQ$33</formula>
      <formula>1000</formula>
    </cfRule>
    <cfRule type="cellIs" dxfId="493" priority="82470" operator="between">
      <formula>$JQ$32</formula>
      <formula>$JQ$33</formula>
    </cfRule>
    <cfRule type="cellIs" dxfId="492" priority="82471" operator="between">
      <formula>$JQ$31</formula>
      <formula>$JQ$32</formula>
    </cfRule>
    <cfRule type="cellIs" dxfId="491" priority="82472" operator="between">
      <formula>$JQ$30</formula>
      <formula>$JQ$31</formula>
    </cfRule>
  </conditionalFormatting>
  <conditionalFormatting sqref="KL1:KL1048576 KO1:KO1048576 KS1:KS1048576 KV1:KV1048576">
    <cfRule type="cellIs" dxfId="490" priority="82517" operator="between">
      <formula>$KY$29</formula>
      <formula>1000</formula>
    </cfRule>
    <cfRule type="cellIs" dxfId="489" priority="82518" operator="between">
      <formula>$KY$28</formula>
      <formula>$KY$29</formula>
    </cfRule>
    <cfRule type="cellIs" dxfId="488" priority="82519" operator="between">
      <formula>$KY$27</formula>
      <formula>$KY$28</formula>
    </cfRule>
    <cfRule type="cellIs" dxfId="487" priority="82520" operator="between">
      <formula>$KY$26</formula>
      <formula>$KY$27</formula>
    </cfRule>
  </conditionalFormatting>
  <conditionalFormatting sqref="KN1:KN1048576 KQ1:KQ1048576 KU1:KU1048576 KX1:KX1048576">
    <cfRule type="cellIs" dxfId="486" priority="82565" operator="between">
      <formula>$KY$33</formula>
      <formula>1000</formula>
    </cfRule>
    <cfRule type="cellIs" dxfId="485" priority="82566" operator="between">
      <formula>$KY$32</formula>
      <formula>$KY$33</formula>
    </cfRule>
    <cfRule type="cellIs" dxfId="484" priority="82567" operator="between">
      <formula>$KY$31</formula>
      <formula>$KY$32</formula>
    </cfRule>
    <cfRule type="cellIs" dxfId="483" priority="82568" operator="between">
      <formula>$KY$30</formula>
      <formula>$KY$31</formula>
    </cfRule>
  </conditionalFormatting>
  <conditionalFormatting sqref="LT1:LT1048576 LW1:LW1048576 MA1:MA1048576 MD1:MD1048576">
    <cfRule type="cellIs" dxfId="482" priority="82613" operator="between">
      <formula>$MG$29</formula>
      <formula>1000</formula>
    </cfRule>
    <cfRule type="cellIs" dxfId="481" priority="82614" operator="between">
      <formula>$MG$28</formula>
      <formula>$MG$29</formula>
    </cfRule>
    <cfRule type="cellIs" dxfId="480" priority="82615" operator="between">
      <formula>$MG$27</formula>
      <formula>$MG$28</formula>
    </cfRule>
    <cfRule type="cellIs" dxfId="479" priority="82616" operator="between">
      <formula>$MG$26</formula>
      <formula>$MG$27</formula>
    </cfRule>
  </conditionalFormatting>
  <conditionalFormatting sqref="LV1:LV1048576 LY1:LY1048576 MC1:MC1048576 MF1:MF1048576">
    <cfRule type="cellIs" dxfId="478" priority="82661" operator="between">
      <formula>$MG$33</formula>
      <formula>1000</formula>
    </cfRule>
    <cfRule type="cellIs" dxfId="477" priority="82662" operator="between">
      <formula>$MG$32</formula>
      <formula>$MG$33</formula>
    </cfRule>
    <cfRule type="cellIs" dxfId="476" priority="82663" operator="between">
      <formula>$MG$31</formula>
      <formula>$MG$32</formula>
    </cfRule>
    <cfRule type="cellIs" dxfId="475" priority="82664" operator="between">
      <formula>$MG$30</formula>
      <formula>$MG$31</formula>
    </cfRule>
  </conditionalFormatting>
  <conditionalFormatting sqref="NB1:NB1048576 NE1:NE1048576 NI1:NI1048576">
    <cfRule type="cellIs" dxfId="474" priority="82709" operator="between">
      <formula>$NO$29</formula>
      <formula>1000</formula>
    </cfRule>
    <cfRule type="cellIs" dxfId="473" priority="82710" operator="between">
      <formula>$NO$28</formula>
      <formula>$NO$29</formula>
    </cfRule>
    <cfRule type="cellIs" dxfId="472" priority="82711" operator="between">
      <formula>$NO$27</formula>
      <formula>$NO$28</formula>
    </cfRule>
  </conditionalFormatting>
  <conditionalFormatting sqref="ND1:ND1048576 NG1:NG1048576 NK1:NK1048576 NN1:NN1048576">
    <cfRule type="cellIs" dxfId="471" priority="82736" operator="between">
      <formula>$NO$33</formula>
      <formula>1000</formula>
    </cfRule>
    <cfRule type="cellIs" dxfId="470" priority="82737" operator="between">
      <formula>$NO$32</formula>
      <formula>$NO$33</formula>
    </cfRule>
    <cfRule type="cellIs" dxfId="469" priority="82738" operator="between">
      <formula>$NO$31</formula>
      <formula>$NO$32</formula>
    </cfRule>
    <cfRule type="cellIs" dxfId="468" priority="82739" operator="between">
      <formula>$NO$30</formula>
      <formula>$NO$31</formula>
    </cfRule>
  </conditionalFormatting>
  <conditionalFormatting sqref="OJ1:OJ1048576 OM1:OM1048576 OQ1:OQ1048576 OT1:OT1048576">
    <cfRule type="cellIs" dxfId="467" priority="82784" operator="between">
      <formula>$OW$29</formula>
      <formula>1000</formula>
    </cfRule>
    <cfRule type="cellIs" dxfId="466" priority="82785" operator="between">
      <formula>$OW$28</formula>
      <formula>$OW$29</formula>
    </cfRule>
    <cfRule type="cellIs" dxfId="465" priority="82786" operator="between">
      <formula>$OW$27</formula>
      <formula>$OW$28</formula>
    </cfRule>
    <cfRule type="cellIs" dxfId="464" priority="82787" operator="between">
      <formula>$OW$26</formula>
      <formula>$OW$27</formula>
    </cfRule>
  </conditionalFormatting>
  <conditionalFormatting sqref="OL1:OL1048576 OO1:OO1048576 OS1:OS1048576 OV1:OV1048576">
    <cfRule type="cellIs" dxfId="463" priority="82832" operator="between">
      <formula>$OW$33</formula>
      <formula>1000</formula>
    </cfRule>
    <cfRule type="cellIs" dxfId="462" priority="82833" operator="between">
      <formula>$OW$32</formula>
      <formula>$OW$33</formula>
    </cfRule>
    <cfRule type="cellIs" dxfId="461" priority="82834" operator="between">
      <formula>$OW$31</formula>
      <formula>$OW$32</formula>
    </cfRule>
    <cfRule type="cellIs" dxfId="460" priority="82835" operator="between">
      <formula>$OW$30</formula>
      <formula>$OW$31</formula>
    </cfRule>
  </conditionalFormatting>
  <conditionalFormatting sqref="PR1:PR1048576 PU1:PU1048576 PY1:PY1048576 QB1:QB1048576">
    <cfRule type="cellIs" dxfId="459" priority="82880" operator="between">
      <formula>$QE$29</formula>
      <formula>1000</formula>
    </cfRule>
    <cfRule type="cellIs" dxfId="458" priority="82881" operator="between">
      <formula>$QE$28</formula>
      <formula>$QE$29</formula>
    </cfRule>
    <cfRule type="cellIs" dxfId="457" priority="82882" operator="between">
      <formula>$QE$27</formula>
      <formula>$QE$28</formula>
    </cfRule>
    <cfRule type="cellIs" dxfId="456" priority="82883" operator="between">
      <formula>$QE$26</formula>
      <formula>$QE$27</formula>
    </cfRule>
  </conditionalFormatting>
  <conditionalFormatting sqref="PT1:PT1048576 PW1:PW1048576 QA1:QA1048576 QD1:QD1048576">
    <cfRule type="cellIs" dxfId="455" priority="82928" operator="between">
      <formula>$QE$33</formula>
      <formula>1000</formula>
    </cfRule>
    <cfRule type="cellIs" dxfId="454" priority="82929" operator="between">
      <formula>$QE$32</formula>
      <formula>$QE$33</formula>
    </cfRule>
    <cfRule type="cellIs" dxfId="453" priority="82930" operator="between">
      <formula>$QE$31</formula>
      <formula>$QE$32</formula>
    </cfRule>
    <cfRule type="cellIs" dxfId="452" priority="82931" operator="between">
      <formula>$QE$30</formula>
      <formula>$QE$31</formula>
    </cfRule>
  </conditionalFormatting>
  <conditionalFormatting sqref="QZ1:QZ1048576 RC1:RC1048576 RG1:RG1048576 RJ1:RJ1048576">
    <cfRule type="cellIs" dxfId="451" priority="82976" operator="between">
      <formula>$RM$29</formula>
      <formula>1000</formula>
    </cfRule>
    <cfRule type="cellIs" dxfId="450" priority="82977" operator="between">
      <formula>$RM$28</formula>
      <formula>$RM$29</formula>
    </cfRule>
    <cfRule type="cellIs" dxfId="449" priority="82978" operator="between">
      <formula>$RM$27</formula>
      <formula>$RM$28</formula>
    </cfRule>
    <cfRule type="cellIs" dxfId="448" priority="82979" operator="between">
      <formula>$RM$26</formula>
      <formula>$RM$27</formula>
    </cfRule>
  </conditionalFormatting>
  <conditionalFormatting sqref="RB1:RB1048576 RE1:RE1048576 RI1:RI1048576 RL1:RL1048576">
    <cfRule type="cellIs" dxfId="447" priority="83024" operator="between">
      <formula>$RM$33</formula>
      <formula>1000</formula>
    </cfRule>
    <cfRule type="cellIs" dxfId="446" priority="83025" operator="between">
      <formula>$RM$32</formula>
      <formula>$RM$33</formula>
    </cfRule>
    <cfRule type="cellIs" dxfId="445" priority="83026" operator="between">
      <formula>$RM$31</formula>
      <formula>$RM$32</formula>
    </cfRule>
    <cfRule type="cellIs" dxfId="444" priority="83027" operator="between">
      <formula>$RM$30</formula>
      <formula>$RM$31</formula>
    </cfRule>
  </conditionalFormatting>
  <conditionalFormatting sqref="SH1:SH1048576 SK1:SK1048576 SO1:SO1048576 SR1:SR1048576">
    <cfRule type="cellIs" dxfId="443" priority="83072" operator="between">
      <formula>$SU$29</formula>
      <formula>1000</formula>
    </cfRule>
    <cfRule type="cellIs" dxfId="442" priority="83073" operator="between">
      <formula>$SU$28</formula>
      <formula>$SU$29</formula>
    </cfRule>
    <cfRule type="cellIs" dxfId="441" priority="83074" operator="between">
      <formula>$SU$27</formula>
      <formula>$SU$28</formula>
    </cfRule>
    <cfRule type="cellIs" dxfId="440" priority="83075" operator="between">
      <formula>$SU$26</formula>
      <formula>$SU$27</formula>
    </cfRule>
  </conditionalFormatting>
  <conditionalFormatting sqref="SJ1:SJ1048576 SM1:SM1048576 SQ1:SQ1048576 ST1:ST1048576">
    <cfRule type="cellIs" dxfId="439" priority="83120" operator="between">
      <formula>$SU$33</formula>
      <formula>1000</formula>
    </cfRule>
    <cfRule type="cellIs" dxfId="438" priority="83121" operator="between">
      <formula>$SU$32</formula>
      <formula>$SU$33</formula>
    </cfRule>
    <cfRule type="cellIs" dxfId="437" priority="83122" operator="between">
      <formula>$SU$31</formula>
      <formula>$SU$32</formula>
    </cfRule>
    <cfRule type="cellIs" dxfId="436" priority="83123" operator="between">
      <formula>$SU$30</formula>
      <formula>$SU$31</formula>
    </cfRule>
  </conditionalFormatting>
  <conditionalFormatting sqref="A4:A1048576">
    <cfRule type="expression" dxfId="435" priority="1">
      <formula>AND(G4&lt;&gt;"",F4="")</formula>
    </cfRule>
    <cfRule type="expression" dxfId="434" priority="37563">
      <formula>IF(A4&gt;8,1,0)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49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2" width="13" customWidth="1"/>
    <col min="13" max="13" width="27" bestFit="1" customWidth="1"/>
    <col min="14" max="14" width="13" customWidth="1"/>
    <col min="15" max="15" width="27" customWidth="1"/>
    <col min="17" max="17" width="27" bestFit="1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7" customWidth="1"/>
    <col min="52" max="67" width="10.83203125" hidden="1" customWidth="1"/>
    <col min="68" max="78" width="10.83203125" style="37" customWidth="1"/>
    <col min="79" max="94" width="10.83203125" hidden="1" customWidth="1"/>
    <col min="95" max="105" width="10.83203125" style="37" customWidth="1"/>
    <col min="106" max="107" width="12.83203125" style="37" customWidth="1"/>
    <col min="108" max="127" width="10.83203125" hidden="1" customWidth="1"/>
    <col min="128" max="140" width="10.83203125" customWidth="1"/>
    <col min="141" max="141" width="10.83203125" style="37" customWidth="1"/>
    <col min="142" max="161" width="10.83203125" hidden="1" customWidth="1"/>
    <col min="162" max="174" width="10.83203125" customWidth="1"/>
    <col min="175" max="175" width="10.83203125" style="37" customWidth="1"/>
    <col min="176" max="195" width="10.83203125" hidden="1" customWidth="1"/>
    <col min="196" max="208" width="10.83203125" customWidth="1"/>
    <col min="209" max="209" width="10.83203125" style="37" customWidth="1"/>
    <col min="210" max="229" width="10.83203125" hidden="1" customWidth="1"/>
    <col min="230" max="242" width="10.83203125" customWidth="1"/>
    <col min="243" max="243" width="10.83203125" style="37" customWidth="1"/>
    <col min="244" max="263" width="10.83203125" hidden="1" customWidth="1"/>
    <col min="264" max="276" width="10.83203125" customWidth="1"/>
    <col min="277" max="277" width="10.83203125" style="37" customWidth="1"/>
    <col min="278" max="297" width="10.83203125" hidden="1" customWidth="1"/>
    <col min="298" max="311" width="10.83203125" customWidth="1"/>
    <col min="312" max="331" width="10.83203125" hidden="1" customWidth="1"/>
    <col min="332" max="345" width="10.83203125" customWidth="1"/>
    <col min="346" max="365" width="10.83203125" hidden="1" customWidth="1"/>
    <col min="366" max="379" width="10.83203125" customWidth="1"/>
    <col min="380" max="399" width="10.83203125" hidden="1" customWidth="1"/>
    <col min="400" max="413" width="10.83203125" customWidth="1"/>
    <col min="414" max="433" width="10.83203125" hidden="1" customWidth="1"/>
    <col min="434" max="447" width="10.83203125" customWidth="1"/>
    <col min="448" max="467" width="10.83203125" hidden="1" customWidth="1"/>
    <col min="468" max="481" width="10.83203125" customWidth="1"/>
    <col min="482" max="501" width="10.83203125" hidden="1" customWidth="1"/>
    <col min="502" max="515" width="10.83203125" customWidth="1"/>
    <col min="516" max="542" width="10.83203125" hidden="1" customWidth="1"/>
  </cols>
  <sheetData>
    <row r="1" spans="1:542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6" t="s">
        <v>11</v>
      </c>
      <c r="H1" s="66" t="s">
        <v>12</v>
      </c>
      <c r="I1" s="66" t="s">
        <v>89</v>
      </c>
      <c r="J1" s="72" t="s">
        <v>101</v>
      </c>
      <c r="K1" s="68" t="s">
        <v>33</v>
      </c>
      <c r="L1" s="72" t="s">
        <v>102</v>
      </c>
      <c r="M1" s="68" t="s">
        <v>33</v>
      </c>
      <c r="N1" s="72" t="s">
        <v>126</v>
      </c>
      <c r="O1" s="68" t="s">
        <v>33</v>
      </c>
      <c r="P1" s="68" t="s">
        <v>13</v>
      </c>
      <c r="Q1" s="68" t="s">
        <v>33</v>
      </c>
      <c r="R1" s="68" t="s">
        <v>103</v>
      </c>
      <c r="S1" s="68" t="s">
        <v>33</v>
      </c>
      <c r="T1" s="72" t="s">
        <v>104</v>
      </c>
      <c r="U1" s="68" t="s">
        <v>33</v>
      </c>
      <c r="V1" s="71" t="s">
        <v>14</v>
      </c>
      <c r="W1" s="68" t="s">
        <v>34</v>
      </c>
      <c r="X1" s="68" t="s">
        <v>33</v>
      </c>
      <c r="Y1" s="69" t="s">
        <v>183</v>
      </c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69"/>
      <c r="AY1" s="69"/>
      <c r="AZ1" s="74" t="s">
        <v>220</v>
      </c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237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75" t="s">
        <v>14</v>
      </c>
      <c r="DC1" s="75"/>
      <c r="DD1" s="69" t="s">
        <v>176</v>
      </c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69"/>
      <c r="EJ1" s="69"/>
      <c r="EK1" s="69"/>
      <c r="EL1" s="74" t="s">
        <v>181</v>
      </c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74"/>
      <c r="FM1" s="74"/>
      <c r="FN1" s="74"/>
      <c r="FO1" s="74"/>
      <c r="FP1" s="74"/>
      <c r="FQ1" s="74"/>
      <c r="FR1" s="74"/>
      <c r="FS1" s="74"/>
      <c r="FT1" s="69" t="s">
        <v>245</v>
      </c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69"/>
      <c r="GU1" s="69"/>
      <c r="GV1" s="69"/>
      <c r="GW1" s="69"/>
      <c r="GX1" s="69"/>
      <c r="GY1" s="69"/>
      <c r="GZ1" s="69"/>
      <c r="HA1" s="69"/>
      <c r="HB1" s="74" t="s">
        <v>206</v>
      </c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74"/>
      <c r="IC1" s="74"/>
      <c r="ID1" s="74"/>
      <c r="IE1" s="74"/>
      <c r="IF1" s="74"/>
      <c r="IG1" s="74"/>
      <c r="IH1" s="74"/>
      <c r="II1" s="74"/>
      <c r="IJ1" s="69" t="s">
        <v>213</v>
      </c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69"/>
      <c r="JK1" s="69"/>
      <c r="JL1" s="69"/>
      <c r="JM1" s="69"/>
      <c r="JN1" s="69"/>
      <c r="JO1" s="69"/>
      <c r="JP1" s="69"/>
      <c r="JQ1" s="69"/>
      <c r="JR1" s="74" t="s">
        <v>219</v>
      </c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74"/>
      <c r="KS1" s="74"/>
      <c r="KT1" s="74"/>
      <c r="KU1" s="74"/>
      <c r="KV1" s="74"/>
      <c r="KW1" s="74"/>
      <c r="KX1" s="74"/>
      <c r="KY1" s="74"/>
      <c r="KZ1" s="69" t="s">
        <v>232</v>
      </c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74" t="s">
        <v>243</v>
      </c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69" t="s">
        <v>244</v>
      </c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74" t="s">
        <v>248</v>
      </c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74"/>
      <c r="QF1" s="69" t="s">
        <v>251</v>
      </c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  <c r="RH1" s="69"/>
      <c r="RI1" s="69"/>
      <c r="RJ1" s="69"/>
      <c r="RK1" s="69"/>
      <c r="RL1" s="69"/>
      <c r="RM1" s="69"/>
      <c r="RN1" s="74" t="s">
        <v>253</v>
      </c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74"/>
      <c r="SO1" s="74"/>
      <c r="SP1" s="74"/>
      <c r="SQ1" s="74"/>
      <c r="SR1" s="74"/>
      <c r="SS1" s="74"/>
      <c r="ST1" s="74"/>
      <c r="SU1" s="74"/>
      <c r="SV1" s="69" t="s">
        <v>68</v>
      </c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  <c r="TO1" s="69"/>
      <c r="TP1" s="69"/>
      <c r="TQ1" s="69"/>
      <c r="TR1" s="69"/>
      <c r="TS1" s="69"/>
      <c r="TT1" s="69"/>
      <c r="TU1" s="69"/>
      <c r="TV1" s="69"/>
    </row>
    <row r="2" spans="1:542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2"/>
      <c r="O2" s="68"/>
      <c r="P2" s="68"/>
      <c r="Q2" s="68"/>
      <c r="R2" s="68"/>
      <c r="S2" s="68"/>
      <c r="T2" s="72"/>
      <c r="U2" s="68"/>
      <c r="V2" s="71"/>
      <c r="W2" s="68"/>
      <c r="X2" s="68"/>
      <c r="Y2" s="70" t="s">
        <v>19</v>
      </c>
      <c r="Z2" s="70"/>
      <c r="AA2" s="70"/>
      <c r="AB2" s="70"/>
      <c r="AC2" s="70"/>
      <c r="AD2" s="70" t="s">
        <v>20</v>
      </c>
      <c r="AE2" s="70"/>
      <c r="AF2" s="70"/>
      <c r="AG2" s="70"/>
      <c r="AH2" s="70"/>
      <c r="AI2" s="70" t="s">
        <v>23</v>
      </c>
      <c r="AJ2" s="70"/>
      <c r="AK2" s="70"/>
      <c r="AL2" s="70"/>
      <c r="AM2" s="70"/>
      <c r="AN2" s="14"/>
      <c r="AO2" s="14" t="s">
        <v>105</v>
      </c>
      <c r="AP2" s="14" t="s">
        <v>106</v>
      </c>
      <c r="AQ2" s="14" t="s">
        <v>21</v>
      </c>
      <c r="AR2" s="14" t="s">
        <v>81</v>
      </c>
      <c r="AS2" s="14" t="s">
        <v>107</v>
      </c>
      <c r="AT2" s="14" t="s">
        <v>22</v>
      </c>
      <c r="AU2" s="14" t="s">
        <v>24</v>
      </c>
      <c r="AV2" s="14" t="s">
        <v>108</v>
      </c>
      <c r="AW2" s="14" t="s">
        <v>109</v>
      </c>
      <c r="AX2" s="14" t="s">
        <v>23</v>
      </c>
      <c r="AY2" s="14" t="s">
        <v>18</v>
      </c>
      <c r="AZ2" s="73" t="s">
        <v>19</v>
      </c>
      <c r="BA2" s="73"/>
      <c r="BB2" s="73"/>
      <c r="BC2" s="73"/>
      <c r="BD2" s="73"/>
      <c r="BE2" s="73" t="s">
        <v>20</v>
      </c>
      <c r="BF2" s="73"/>
      <c r="BG2" s="73"/>
      <c r="BH2" s="73"/>
      <c r="BI2" s="73"/>
      <c r="BJ2" s="73" t="s">
        <v>23</v>
      </c>
      <c r="BK2" s="73"/>
      <c r="BL2" s="73"/>
      <c r="BM2" s="73"/>
      <c r="BN2" s="73"/>
      <c r="BO2" s="13"/>
      <c r="BP2" s="13" t="s">
        <v>105</v>
      </c>
      <c r="BQ2" s="13" t="s">
        <v>106</v>
      </c>
      <c r="BR2" s="13" t="s">
        <v>21</v>
      </c>
      <c r="BS2" s="13" t="s">
        <v>81</v>
      </c>
      <c r="BT2" s="13" t="s">
        <v>107</v>
      </c>
      <c r="BU2" s="13" t="s">
        <v>22</v>
      </c>
      <c r="BV2" s="13" t="s">
        <v>24</v>
      </c>
      <c r="BW2" s="13" t="s">
        <v>108</v>
      </c>
      <c r="BX2" s="13" t="s">
        <v>109</v>
      </c>
      <c r="BY2" s="13" t="s">
        <v>23</v>
      </c>
      <c r="BZ2" s="13" t="s">
        <v>18</v>
      </c>
      <c r="CA2" s="70" t="s">
        <v>19</v>
      </c>
      <c r="CB2" s="70"/>
      <c r="CC2" s="70"/>
      <c r="CD2" s="70"/>
      <c r="CE2" s="70"/>
      <c r="CF2" s="70" t="s">
        <v>20</v>
      </c>
      <c r="CG2" s="70"/>
      <c r="CH2" s="70"/>
      <c r="CI2" s="70"/>
      <c r="CJ2" s="70"/>
      <c r="CK2" s="70" t="s">
        <v>23</v>
      </c>
      <c r="CL2" s="70"/>
      <c r="CM2" s="70"/>
      <c r="CN2" s="70"/>
      <c r="CO2" s="70"/>
      <c r="CP2" s="14"/>
      <c r="CQ2" s="14" t="s">
        <v>105</v>
      </c>
      <c r="CR2" s="14" t="s">
        <v>106</v>
      </c>
      <c r="CS2" s="14" t="s">
        <v>21</v>
      </c>
      <c r="CT2" s="14" t="s">
        <v>81</v>
      </c>
      <c r="CU2" s="14" t="s">
        <v>107</v>
      </c>
      <c r="CV2" s="14" t="s">
        <v>22</v>
      </c>
      <c r="CW2" s="14" t="s">
        <v>24</v>
      </c>
      <c r="CX2" s="14" t="s">
        <v>108</v>
      </c>
      <c r="CY2" s="14" t="s">
        <v>109</v>
      </c>
      <c r="CZ2" s="14" t="s">
        <v>23</v>
      </c>
      <c r="DA2" s="14" t="s">
        <v>18</v>
      </c>
      <c r="DB2" s="51" t="s">
        <v>24</v>
      </c>
      <c r="DC2" s="51" t="s">
        <v>23</v>
      </c>
      <c r="DD2" s="70" t="s">
        <v>19</v>
      </c>
      <c r="DE2" s="70"/>
      <c r="DF2" s="70"/>
      <c r="DG2" s="70"/>
      <c r="DH2" s="70"/>
      <c r="DI2" s="70" t="s">
        <v>20</v>
      </c>
      <c r="DJ2" s="70"/>
      <c r="DK2" s="70"/>
      <c r="DL2" s="70"/>
      <c r="DM2" s="70"/>
      <c r="DN2" s="70" t="s">
        <v>110</v>
      </c>
      <c r="DO2" s="70"/>
      <c r="DP2" s="70"/>
      <c r="DQ2" s="70"/>
      <c r="DR2" s="70"/>
      <c r="DS2" s="70" t="s">
        <v>23</v>
      </c>
      <c r="DT2" s="70"/>
      <c r="DU2" s="70"/>
      <c r="DV2" s="70"/>
      <c r="DW2" s="70"/>
      <c r="DX2" s="14" t="s">
        <v>105</v>
      </c>
      <c r="DY2" s="14" t="s">
        <v>106</v>
      </c>
      <c r="DZ2" s="14" t="s">
        <v>21</v>
      </c>
      <c r="EA2" s="14" t="s">
        <v>81</v>
      </c>
      <c r="EB2" s="14" t="s">
        <v>107</v>
      </c>
      <c r="EC2" s="14" t="s">
        <v>22</v>
      </c>
      <c r="ED2" s="14" t="s">
        <v>24</v>
      </c>
      <c r="EE2" s="14" t="s">
        <v>111</v>
      </c>
      <c r="EF2" s="14" t="s">
        <v>112</v>
      </c>
      <c r="EG2" s="14" t="s">
        <v>110</v>
      </c>
      <c r="EH2" s="14" t="s">
        <v>108</v>
      </c>
      <c r="EI2" s="14" t="s">
        <v>109</v>
      </c>
      <c r="EJ2" s="14" t="s">
        <v>23</v>
      </c>
      <c r="EK2" s="14" t="s">
        <v>18</v>
      </c>
      <c r="EL2" s="73" t="s">
        <v>19</v>
      </c>
      <c r="EM2" s="73"/>
      <c r="EN2" s="73"/>
      <c r="EO2" s="73"/>
      <c r="EP2" s="73"/>
      <c r="EQ2" s="73" t="s">
        <v>20</v>
      </c>
      <c r="ER2" s="73"/>
      <c r="ES2" s="73"/>
      <c r="ET2" s="73"/>
      <c r="EU2" s="73"/>
      <c r="EV2" s="73" t="s">
        <v>110</v>
      </c>
      <c r="EW2" s="73"/>
      <c r="EX2" s="73"/>
      <c r="EY2" s="73"/>
      <c r="EZ2" s="73"/>
      <c r="FA2" s="73" t="s">
        <v>23</v>
      </c>
      <c r="FB2" s="73"/>
      <c r="FC2" s="73"/>
      <c r="FD2" s="73"/>
      <c r="FE2" s="73"/>
      <c r="FF2" s="13" t="s">
        <v>105</v>
      </c>
      <c r="FG2" s="13" t="s">
        <v>106</v>
      </c>
      <c r="FH2" s="13" t="s">
        <v>21</v>
      </c>
      <c r="FI2" s="13" t="s">
        <v>81</v>
      </c>
      <c r="FJ2" s="13" t="s">
        <v>107</v>
      </c>
      <c r="FK2" s="13" t="s">
        <v>22</v>
      </c>
      <c r="FL2" s="13" t="s">
        <v>24</v>
      </c>
      <c r="FM2" s="13" t="s">
        <v>111</v>
      </c>
      <c r="FN2" s="13" t="s">
        <v>112</v>
      </c>
      <c r="FO2" s="13" t="s">
        <v>110</v>
      </c>
      <c r="FP2" s="13" t="s">
        <v>108</v>
      </c>
      <c r="FQ2" s="13" t="s">
        <v>109</v>
      </c>
      <c r="FR2" s="13" t="s">
        <v>23</v>
      </c>
      <c r="FS2" s="13" t="s">
        <v>18</v>
      </c>
      <c r="FT2" s="70" t="s">
        <v>19</v>
      </c>
      <c r="FU2" s="70"/>
      <c r="FV2" s="70"/>
      <c r="FW2" s="70"/>
      <c r="FX2" s="70"/>
      <c r="FY2" s="70" t="s">
        <v>20</v>
      </c>
      <c r="FZ2" s="70"/>
      <c r="GA2" s="70"/>
      <c r="GB2" s="70"/>
      <c r="GC2" s="70"/>
      <c r="GD2" s="70" t="s">
        <v>110</v>
      </c>
      <c r="GE2" s="70"/>
      <c r="GF2" s="70"/>
      <c r="GG2" s="70"/>
      <c r="GH2" s="70"/>
      <c r="GI2" s="70" t="s">
        <v>23</v>
      </c>
      <c r="GJ2" s="70"/>
      <c r="GK2" s="70"/>
      <c r="GL2" s="70"/>
      <c r="GM2" s="70"/>
      <c r="GN2" s="14" t="s">
        <v>105</v>
      </c>
      <c r="GO2" s="14" t="s">
        <v>106</v>
      </c>
      <c r="GP2" s="14" t="s">
        <v>21</v>
      </c>
      <c r="GQ2" s="14" t="s">
        <v>81</v>
      </c>
      <c r="GR2" s="14" t="s">
        <v>107</v>
      </c>
      <c r="GS2" s="14" t="s">
        <v>22</v>
      </c>
      <c r="GT2" s="14" t="s">
        <v>24</v>
      </c>
      <c r="GU2" s="14" t="s">
        <v>111</v>
      </c>
      <c r="GV2" s="14" t="s">
        <v>112</v>
      </c>
      <c r="GW2" s="14" t="s">
        <v>110</v>
      </c>
      <c r="GX2" s="14" t="s">
        <v>108</v>
      </c>
      <c r="GY2" s="14" t="s">
        <v>109</v>
      </c>
      <c r="GZ2" s="14" t="s">
        <v>23</v>
      </c>
      <c r="HA2" s="14" t="s">
        <v>18</v>
      </c>
      <c r="HB2" s="73" t="s">
        <v>19</v>
      </c>
      <c r="HC2" s="73"/>
      <c r="HD2" s="73"/>
      <c r="HE2" s="73"/>
      <c r="HF2" s="73"/>
      <c r="HG2" s="73" t="s">
        <v>20</v>
      </c>
      <c r="HH2" s="73"/>
      <c r="HI2" s="73"/>
      <c r="HJ2" s="73"/>
      <c r="HK2" s="73"/>
      <c r="HL2" s="73" t="s">
        <v>110</v>
      </c>
      <c r="HM2" s="73"/>
      <c r="HN2" s="73"/>
      <c r="HO2" s="73"/>
      <c r="HP2" s="73"/>
      <c r="HQ2" s="73" t="s">
        <v>23</v>
      </c>
      <c r="HR2" s="73"/>
      <c r="HS2" s="73"/>
      <c r="HT2" s="73"/>
      <c r="HU2" s="73"/>
      <c r="HV2" s="13" t="s">
        <v>105</v>
      </c>
      <c r="HW2" s="13" t="s">
        <v>106</v>
      </c>
      <c r="HX2" s="13" t="s">
        <v>21</v>
      </c>
      <c r="HY2" s="13" t="s">
        <v>81</v>
      </c>
      <c r="HZ2" s="13" t="s">
        <v>107</v>
      </c>
      <c r="IA2" s="13" t="s">
        <v>22</v>
      </c>
      <c r="IB2" s="13" t="s">
        <v>24</v>
      </c>
      <c r="IC2" s="13" t="s">
        <v>111</v>
      </c>
      <c r="ID2" s="13" t="s">
        <v>112</v>
      </c>
      <c r="IE2" s="13" t="s">
        <v>110</v>
      </c>
      <c r="IF2" s="13" t="s">
        <v>108</v>
      </c>
      <c r="IG2" s="13" t="s">
        <v>109</v>
      </c>
      <c r="IH2" s="13" t="s">
        <v>23</v>
      </c>
      <c r="II2" s="13" t="s">
        <v>18</v>
      </c>
      <c r="IJ2" s="70" t="s">
        <v>19</v>
      </c>
      <c r="IK2" s="70"/>
      <c r="IL2" s="70"/>
      <c r="IM2" s="70"/>
      <c r="IN2" s="70"/>
      <c r="IO2" s="70" t="s">
        <v>20</v>
      </c>
      <c r="IP2" s="70"/>
      <c r="IQ2" s="70"/>
      <c r="IR2" s="70"/>
      <c r="IS2" s="70"/>
      <c r="IT2" s="70" t="s">
        <v>110</v>
      </c>
      <c r="IU2" s="70"/>
      <c r="IV2" s="70"/>
      <c r="IW2" s="70"/>
      <c r="IX2" s="70"/>
      <c r="IY2" s="70" t="s">
        <v>23</v>
      </c>
      <c r="IZ2" s="70"/>
      <c r="JA2" s="70"/>
      <c r="JB2" s="70"/>
      <c r="JC2" s="70"/>
      <c r="JD2" s="14" t="s">
        <v>105</v>
      </c>
      <c r="JE2" s="14" t="s">
        <v>106</v>
      </c>
      <c r="JF2" s="14" t="s">
        <v>21</v>
      </c>
      <c r="JG2" s="14" t="s">
        <v>81</v>
      </c>
      <c r="JH2" s="14" t="s">
        <v>107</v>
      </c>
      <c r="JI2" s="14" t="s">
        <v>22</v>
      </c>
      <c r="JJ2" s="14" t="s">
        <v>24</v>
      </c>
      <c r="JK2" s="14" t="s">
        <v>111</v>
      </c>
      <c r="JL2" s="14" t="s">
        <v>112</v>
      </c>
      <c r="JM2" s="14" t="s">
        <v>110</v>
      </c>
      <c r="JN2" s="14" t="s">
        <v>108</v>
      </c>
      <c r="JO2" s="14" t="s">
        <v>109</v>
      </c>
      <c r="JP2" s="14" t="s">
        <v>23</v>
      </c>
      <c r="JQ2" s="14" t="s">
        <v>18</v>
      </c>
      <c r="JR2" s="73" t="s">
        <v>19</v>
      </c>
      <c r="JS2" s="73"/>
      <c r="JT2" s="73"/>
      <c r="JU2" s="73"/>
      <c r="JV2" s="73"/>
      <c r="JW2" s="73" t="s">
        <v>20</v>
      </c>
      <c r="JX2" s="73"/>
      <c r="JY2" s="73"/>
      <c r="JZ2" s="73"/>
      <c r="KA2" s="73"/>
      <c r="KB2" s="73" t="s">
        <v>110</v>
      </c>
      <c r="KC2" s="73"/>
      <c r="KD2" s="73"/>
      <c r="KE2" s="73"/>
      <c r="KF2" s="73"/>
      <c r="KG2" s="73" t="s">
        <v>23</v>
      </c>
      <c r="KH2" s="73"/>
      <c r="KI2" s="73"/>
      <c r="KJ2" s="73"/>
      <c r="KK2" s="73"/>
      <c r="KL2" s="13" t="s">
        <v>105</v>
      </c>
      <c r="KM2" s="13" t="s">
        <v>106</v>
      </c>
      <c r="KN2" s="13" t="s">
        <v>21</v>
      </c>
      <c r="KO2" s="13" t="s">
        <v>81</v>
      </c>
      <c r="KP2" s="13" t="s">
        <v>107</v>
      </c>
      <c r="KQ2" s="13" t="s">
        <v>22</v>
      </c>
      <c r="KR2" s="13" t="s">
        <v>24</v>
      </c>
      <c r="KS2" s="13" t="s">
        <v>111</v>
      </c>
      <c r="KT2" s="13" t="s">
        <v>112</v>
      </c>
      <c r="KU2" s="13" t="s">
        <v>110</v>
      </c>
      <c r="KV2" s="13" t="s">
        <v>108</v>
      </c>
      <c r="KW2" s="13" t="s">
        <v>109</v>
      </c>
      <c r="KX2" s="13" t="s">
        <v>23</v>
      </c>
      <c r="KY2" s="13" t="s">
        <v>18</v>
      </c>
      <c r="KZ2" s="70" t="s">
        <v>19</v>
      </c>
      <c r="LA2" s="70"/>
      <c r="LB2" s="70"/>
      <c r="LC2" s="70"/>
      <c r="LD2" s="70"/>
      <c r="LE2" s="70" t="s">
        <v>20</v>
      </c>
      <c r="LF2" s="70"/>
      <c r="LG2" s="70"/>
      <c r="LH2" s="70"/>
      <c r="LI2" s="70"/>
      <c r="LJ2" s="70" t="s">
        <v>110</v>
      </c>
      <c r="LK2" s="70"/>
      <c r="LL2" s="70"/>
      <c r="LM2" s="70"/>
      <c r="LN2" s="70"/>
      <c r="LO2" s="70" t="s">
        <v>23</v>
      </c>
      <c r="LP2" s="70"/>
      <c r="LQ2" s="70"/>
      <c r="LR2" s="70"/>
      <c r="LS2" s="70"/>
      <c r="LT2" s="14" t="s">
        <v>105</v>
      </c>
      <c r="LU2" s="14" t="s">
        <v>106</v>
      </c>
      <c r="LV2" s="14" t="s">
        <v>21</v>
      </c>
      <c r="LW2" s="14" t="s">
        <v>81</v>
      </c>
      <c r="LX2" s="14" t="s">
        <v>107</v>
      </c>
      <c r="LY2" s="14" t="s">
        <v>22</v>
      </c>
      <c r="LZ2" s="14" t="s">
        <v>24</v>
      </c>
      <c r="MA2" s="14" t="s">
        <v>111</v>
      </c>
      <c r="MB2" s="14" t="s">
        <v>112</v>
      </c>
      <c r="MC2" s="14" t="s">
        <v>110</v>
      </c>
      <c r="MD2" s="14" t="s">
        <v>108</v>
      </c>
      <c r="ME2" s="14" t="s">
        <v>109</v>
      </c>
      <c r="MF2" s="14" t="s">
        <v>23</v>
      </c>
      <c r="MG2" s="14" t="s">
        <v>18</v>
      </c>
      <c r="MH2" s="73" t="s">
        <v>19</v>
      </c>
      <c r="MI2" s="73"/>
      <c r="MJ2" s="73"/>
      <c r="MK2" s="73"/>
      <c r="ML2" s="73"/>
      <c r="MM2" s="73" t="s">
        <v>20</v>
      </c>
      <c r="MN2" s="73"/>
      <c r="MO2" s="73"/>
      <c r="MP2" s="73"/>
      <c r="MQ2" s="73"/>
      <c r="MR2" s="73" t="s">
        <v>110</v>
      </c>
      <c r="MS2" s="73"/>
      <c r="MT2" s="73"/>
      <c r="MU2" s="73"/>
      <c r="MV2" s="73"/>
      <c r="MW2" s="73" t="s">
        <v>23</v>
      </c>
      <c r="MX2" s="73"/>
      <c r="MY2" s="73"/>
      <c r="MZ2" s="73"/>
      <c r="NA2" s="73"/>
      <c r="NB2" s="13" t="s">
        <v>105</v>
      </c>
      <c r="NC2" s="13" t="s">
        <v>106</v>
      </c>
      <c r="ND2" s="13" t="s">
        <v>21</v>
      </c>
      <c r="NE2" s="13" t="s">
        <v>81</v>
      </c>
      <c r="NF2" s="13" t="s">
        <v>107</v>
      </c>
      <c r="NG2" s="13" t="s">
        <v>22</v>
      </c>
      <c r="NH2" s="13" t="s">
        <v>24</v>
      </c>
      <c r="NI2" s="13" t="s">
        <v>111</v>
      </c>
      <c r="NJ2" s="13" t="s">
        <v>112</v>
      </c>
      <c r="NK2" s="13" t="s">
        <v>110</v>
      </c>
      <c r="NL2" s="13" t="s">
        <v>108</v>
      </c>
      <c r="NM2" s="13" t="s">
        <v>109</v>
      </c>
      <c r="NN2" s="13" t="s">
        <v>23</v>
      </c>
      <c r="NO2" s="13" t="s">
        <v>18</v>
      </c>
      <c r="NP2" s="70" t="s">
        <v>19</v>
      </c>
      <c r="NQ2" s="70"/>
      <c r="NR2" s="70"/>
      <c r="NS2" s="70"/>
      <c r="NT2" s="70"/>
      <c r="NU2" s="70" t="s">
        <v>20</v>
      </c>
      <c r="NV2" s="70"/>
      <c r="NW2" s="70"/>
      <c r="NX2" s="70"/>
      <c r="NY2" s="70"/>
      <c r="NZ2" s="70" t="s">
        <v>110</v>
      </c>
      <c r="OA2" s="70"/>
      <c r="OB2" s="70"/>
      <c r="OC2" s="70"/>
      <c r="OD2" s="70"/>
      <c r="OE2" s="70" t="s">
        <v>23</v>
      </c>
      <c r="OF2" s="70"/>
      <c r="OG2" s="70"/>
      <c r="OH2" s="70"/>
      <c r="OI2" s="70"/>
      <c r="OJ2" s="14" t="s">
        <v>105</v>
      </c>
      <c r="OK2" s="14" t="s">
        <v>106</v>
      </c>
      <c r="OL2" s="14" t="s">
        <v>21</v>
      </c>
      <c r="OM2" s="14" t="s">
        <v>81</v>
      </c>
      <c r="ON2" s="14" t="s">
        <v>107</v>
      </c>
      <c r="OO2" s="14" t="s">
        <v>22</v>
      </c>
      <c r="OP2" s="14" t="s">
        <v>24</v>
      </c>
      <c r="OQ2" s="14" t="s">
        <v>111</v>
      </c>
      <c r="OR2" s="14" t="s">
        <v>112</v>
      </c>
      <c r="OS2" s="14" t="s">
        <v>110</v>
      </c>
      <c r="OT2" s="14" t="s">
        <v>108</v>
      </c>
      <c r="OU2" s="14" t="s">
        <v>109</v>
      </c>
      <c r="OV2" s="14" t="s">
        <v>23</v>
      </c>
      <c r="OW2" s="14" t="s">
        <v>18</v>
      </c>
      <c r="OX2" s="73" t="s">
        <v>19</v>
      </c>
      <c r="OY2" s="73"/>
      <c r="OZ2" s="73"/>
      <c r="PA2" s="73"/>
      <c r="PB2" s="73"/>
      <c r="PC2" s="73" t="s">
        <v>20</v>
      </c>
      <c r="PD2" s="73"/>
      <c r="PE2" s="73"/>
      <c r="PF2" s="73"/>
      <c r="PG2" s="73"/>
      <c r="PH2" s="73" t="s">
        <v>110</v>
      </c>
      <c r="PI2" s="73"/>
      <c r="PJ2" s="73"/>
      <c r="PK2" s="73"/>
      <c r="PL2" s="73"/>
      <c r="PM2" s="73" t="s">
        <v>23</v>
      </c>
      <c r="PN2" s="73"/>
      <c r="PO2" s="73"/>
      <c r="PP2" s="73"/>
      <c r="PQ2" s="73"/>
      <c r="PR2" s="13" t="s">
        <v>105</v>
      </c>
      <c r="PS2" s="13" t="s">
        <v>106</v>
      </c>
      <c r="PT2" s="13" t="s">
        <v>21</v>
      </c>
      <c r="PU2" s="13" t="s">
        <v>81</v>
      </c>
      <c r="PV2" s="13" t="s">
        <v>107</v>
      </c>
      <c r="PW2" s="13" t="s">
        <v>22</v>
      </c>
      <c r="PX2" s="13" t="s">
        <v>24</v>
      </c>
      <c r="PY2" s="13" t="s">
        <v>111</v>
      </c>
      <c r="PZ2" s="13" t="s">
        <v>112</v>
      </c>
      <c r="QA2" s="13" t="s">
        <v>110</v>
      </c>
      <c r="QB2" s="13" t="s">
        <v>108</v>
      </c>
      <c r="QC2" s="13" t="s">
        <v>109</v>
      </c>
      <c r="QD2" s="13" t="s">
        <v>23</v>
      </c>
      <c r="QE2" s="13" t="s">
        <v>18</v>
      </c>
      <c r="QF2" s="70" t="s">
        <v>19</v>
      </c>
      <c r="QG2" s="70"/>
      <c r="QH2" s="70"/>
      <c r="QI2" s="70"/>
      <c r="QJ2" s="70"/>
      <c r="QK2" s="70" t="s">
        <v>20</v>
      </c>
      <c r="QL2" s="70"/>
      <c r="QM2" s="70"/>
      <c r="QN2" s="70"/>
      <c r="QO2" s="70"/>
      <c r="QP2" s="70" t="s">
        <v>110</v>
      </c>
      <c r="QQ2" s="70"/>
      <c r="QR2" s="70"/>
      <c r="QS2" s="70"/>
      <c r="QT2" s="70"/>
      <c r="QU2" s="70" t="s">
        <v>23</v>
      </c>
      <c r="QV2" s="70"/>
      <c r="QW2" s="70"/>
      <c r="QX2" s="70"/>
      <c r="QY2" s="70"/>
      <c r="QZ2" s="14" t="s">
        <v>105</v>
      </c>
      <c r="RA2" s="14" t="s">
        <v>106</v>
      </c>
      <c r="RB2" s="14" t="s">
        <v>21</v>
      </c>
      <c r="RC2" s="14" t="s">
        <v>81</v>
      </c>
      <c r="RD2" s="14" t="s">
        <v>107</v>
      </c>
      <c r="RE2" s="14" t="s">
        <v>22</v>
      </c>
      <c r="RF2" s="14" t="s">
        <v>24</v>
      </c>
      <c r="RG2" s="14" t="s">
        <v>111</v>
      </c>
      <c r="RH2" s="14" t="s">
        <v>112</v>
      </c>
      <c r="RI2" s="14" t="s">
        <v>110</v>
      </c>
      <c r="RJ2" s="14" t="s">
        <v>108</v>
      </c>
      <c r="RK2" s="14" t="s">
        <v>109</v>
      </c>
      <c r="RL2" s="14" t="s">
        <v>23</v>
      </c>
      <c r="RM2" s="14" t="s">
        <v>18</v>
      </c>
      <c r="RN2" s="73" t="s">
        <v>19</v>
      </c>
      <c r="RO2" s="73"/>
      <c r="RP2" s="73"/>
      <c r="RQ2" s="73"/>
      <c r="RR2" s="73"/>
      <c r="RS2" s="73" t="s">
        <v>20</v>
      </c>
      <c r="RT2" s="73"/>
      <c r="RU2" s="73"/>
      <c r="RV2" s="73"/>
      <c r="RW2" s="73"/>
      <c r="RX2" s="73" t="s">
        <v>110</v>
      </c>
      <c r="RY2" s="73"/>
      <c r="RZ2" s="73"/>
      <c r="SA2" s="73"/>
      <c r="SB2" s="73"/>
      <c r="SC2" s="73" t="s">
        <v>23</v>
      </c>
      <c r="SD2" s="73"/>
      <c r="SE2" s="73"/>
      <c r="SF2" s="73"/>
      <c r="SG2" s="73"/>
      <c r="SH2" s="13" t="s">
        <v>105</v>
      </c>
      <c r="SI2" s="13" t="s">
        <v>106</v>
      </c>
      <c r="SJ2" s="13" t="s">
        <v>21</v>
      </c>
      <c r="SK2" s="13" t="s">
        <v>81</v>
      </c>
      <c r="SL2" s="13" t="s">
        <v>107</v>
      </c>
      <c r="SM2" s="13" t="s">
        <v>22</v>
      </c>
      <c r="SN2" s="13" t="s">
        <v>24</v>
      </c>
      <c r="SO2" s="13" t="s">
        <v>111</v>
      </c>
      <c r="SP2" s="13" t="s">
        <v>112</v>
      </c>
      <c r="SQ2" s="13" t="s">
        <v>110</v>
      </c>
      <c r="SR2" s="13" t="s">
        <v>108</v>
      </c>
      <c r="SS2" s="13" t="s">
        <v>109</v>
      </c>
      <c r="ST2" s="13" t="s">
        <v>23</v>
      </c>
      <c r="SU2" s="13" t="s">
        <v>18</v>
      </c>
      <c r="SV2" s="70" t="s">
        <v>19</v>
      </c>
      <c r="SW2" s="70"/>
      <c r="SX2" s="70"/>
      <c r="SY2" s="70"/>
      <c r="SZ2" s="70"/>
      <c r="TA2" s="70" t="s">
        <v>20</v>
      </c>
      <c r="TB2" s="70"/>
      <c r="TC2" s="70"/>
      <c r="TD2" s="70"/>
      <c r="TE2" s="70"/>
      <c r="TF2" s="70" t="s">
        <v>23</v>
      </c>
      <c r="TG2" s="70"/>
      <c r="TH2" s="70"/>
      <c r="TI2" s="70"/>
      <c r="TJ2" s="70"/>
      <c r="TK2" s="14"/>
      <c r="TL2" s="14" t="s">
        <v>105</v>
      </c>
      <c r="TM2" s="14" t="s">
        <v>106</v>
      </c>
      <c r="TN2" s="14" t="s">
        <v>21</v>
      </c>
      <c r="TO2" s="14" t="s">
        <v>81</v>
      </c>
      <c r="TP2" s="14" t="s">
        <v>107</v>
      </c>
      <c r="TQ2" s="14" t="s">
        <v>22</v>
      </c>
      <c r="TR2" s="14" t="s">
        <v>24</v>
      </c>
      <c r="TS2" s="14" t="s">
        <v>108</v>
      </c>
      <c r="TT2" s="14" t="s">
        <v>109</v>
      </c>
      <c r="TU2" s="14" t="s">
        <v>23</v>
      </c>
      <c r="TV2" s="14" t="s">
        <v>18</v>
      </c>
    </row>
    <row r="3" spans="1:542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2"/>
      <c r="O3" s="68"/>
      <c r="P3" s="68"/>
      <c r="Q3" s="68"/>
      <c r="R3" s="68"/>
      <c r="S3" s="68"/>
      <c r="T3" s="72"/>
      <c r="U3" s="68"/>
      <c r="V3" s="71"/>
      <c r="W3" s="68"/>
      <c r="X3" s="68"/>
      <c r="Y3" s="14" t="s">
        <v>15</v>
      </c>
      <c r="Z3" s="14" t="s">
        <v>16</v>
      </c>
      <c r="AA3" s="14" t="s">
        <v>10</v>
      </c>
      <c r="AB3" s="14" t="s">
        <v>17</v>
      </c>
      <c r="AC3" s="14" t="s">
        <v>30</v>
      </c>
      <c r="AD3" s="14" t="s">
        <v>15</v>
      </c>
      <c r="AE3" s="14" t="s">
        <v>16</v>
      </c>
      <c r="AF3" s="14" t="s">
        <v>10</v>
      </c>
      <c r="AG3" s="14" t="s">
        <v>17</v>
      </c>
      <c r="AH3" s="14" t="s">
        <v>30</v>
      </c>
      <c r="AI3" s="14" t="s">
        <v>15</v>
      </c>
      <c r="AJ3" s="14" t="s">
        <v>16</v>
      </c>
      <c r="AK3" s="14" t="s">
        <v>10</v>
      </c>
      <c r="AL3" s="14" t="s">
        <v>17</v>
      </c>
      <c r="AM3" s="14" t="s">
        <v>30</v>
      </c>
      <c r="AN3" s="14" t="s">
        <v>56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15</v>
      </c>
      <c r="BA3" s="13" t="s">
        <v>16</v>
      </c>
      <c r="BB3" s="13" t="s">
        <v>10</v>
      </c>
      <c r="BC3" s="13" t="s">
        <v>17</v>
      </c>
      <c r="BD3" s="13" t="s">
        <v>30</v>
      </c>
      <c r="BE3" s="13" t="s">
        <v>15</v>
      </c>
      <c r="BF3" s="13" t="s">
        <v>16</v>
      </c>
      <c r="BG3" s="13" t="s">
        <v>10</v>
      </c>
      <c r="BH3" s="13" t="s">
        <v>17</v>
      </c>
      <c r="BI3" s="13" t="s">
        <v>30</v>
      </c>
      <c r="BJ3" s="13" t="s">
        <v>15</v>
      </c>
      <c r="BK3" s="13" t="s">
        <v>16</v>
      </c>
      <c r="BL3" s="13" t="s">
        <v>10</v>
      </c>
      <c r="BM3" s="13" t="s">
        <v>17</v>
      </c>
      <c r="BN3" s="13" t="s">
        <v>30</v>
      </c>
      <c r="BO3" s="13" t="s">
        <v>56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16</v>
      </c>
      <c r="CC3" s="14" t="s">
        <v>10</v>
      </c>
      <c r="CD3" s="14" t="s">
        <v>17</v>
      </c>
      <c r="CE3" s="14" t="s">
        <v>30</v>
      </c>
      <c r="CF3" s="14" t="s">
        <v>15</v>
      </c>
      <c r="CG3" s="14" t="s">
        <v>16</v>
      </c>
      <c r="CH3" s="14" t="s">
        <v>10</v>
      </c>
      <c r="CI3" s="14" t="s">
        <v>17</v>
      </c>
      <c r="CJ3" s="14" t="s">
        <v>30</v>
      </c>
      <c r="CK3" s="14" t="s">
        <v>15</v>
      </c>
      <c r="CL3" s="14" t="s">
        <v>16</v>
      </c>
      <c r="CM3" s="14" t="s">
        <v>10</v>
      </c>
      <c r="CN3" s="14" t="s">
        <v>17</v>
      </c>
      <c r="CO3" s="14" t="s">
        <v>30</v>
      </c>
      <c r="CP3" s="14" t="s">
        <v>56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51"/>
      <c r="DC3" s="51"/>
      <c r="DD3" s="14" t="s">
        <v>15</v>
      </c>
      <c r="DE3" s="14" t="s">
        <v>16</v>
      </c>
      <c r="DF3" s="14" t="s">
        <v>10</v>
      </c>
      <c r="DG3" s="14" t="s">
        <v>17</v>
      </c>
      <c r="DH3" s="14" t="s">
        <v>30</v>
      </c>
      <c r="DI3" s="14" t="s">
        <v>15</v>
      </c>
      <c r="DJ3" s="14" t="s">
        <v>16</v>
      </c>
      <c r="DK3" s="14" t="s">
        <v>10</v>
      </c>
      <c r="DL3" s="14" t="s">
        <v>17</v>
      </c>
      <c r="DM3" s="14" t="s">
        <v>30</v>
      </c>
      <c r="DN3" s="14" t="s">
        <v>15</v>
      </c>
      <c r="DO3" s="14" t="s">
        <v>16</v>
      </c>
      <c r="DP3" s="14" t="s">
        <v>10</v>
      </c>
      <c r="DQ3" s="14" t="s">
        <v>17</v>
      </c>
      <c r="DR3" s="14" t="s">
        <v>30</v>
      </c>
      <c r="DS3" s="14" t="s">
        <v>15</v>
      </c>
      <c r="DT3" s="14" t="s">
        <v>16</v>
      </c>
      <c r="DU3" s="14" t="s">
        <v>10</v>
      </c>
      <c r="DV3" s="14" t="s">
        <v>17</v>
      </c>
      <c r="DW3" s="14" t="s">
        <v>30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15</v>
      </c>
      <c r="EM3" s="13" t="s">
        <v>16</v>
      </c>
      <c r="EN3" s="13" t="s">
        <v>10</v>
      </c>
      <c r="EO3" s="13" t="s">
        <v>17</v>
      </c>
      <c r="EP3" s="13" t="s">
        <v>30</v>
      </c>
      <c r="EQ3" s="13" t="s">
        <v>15</v>
      </c>
      <c r="ER3" s="13" t="s">
        <v>16</v>
      </c>
      <c r="ES3" s="13" t="s">
        <v>10</v>
      </c>
      <c r="ET3" s="13" t="s">
        <v>17</v>
      </c>
      <c r="EU3" s="13" t="s">
        <v>30</v>
      </c>
      <c r="EV3" s="13" t="s">
        <v>15</v>
      </c>
      <c r="EW3" s="13" t="s">
        <v>16</v>
      </c>
      <c r="EX3" s="13" t="s">
        <v>10</v>
      </c>
      <c r="EY3" s="13" t="s">
        <v>17</v>
      </c>
      <c r="EZ3" s="13" t="s">
        <v>30</v>
      </c>
      <c r="FA3" s="13" t="s">
        <v>15</v>
      </c>
      <c r="FB3" s="13" t="s">
        <v>16</v>
      </c>
      <c r="FC3" s="13" t="s">
        <v>10</v>
      </c>
      <c r="FD3" s="13" t="s">
        <v>17</v>
      </c>
      <c r="FE3" s="13" t="s">
        <v>30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15</v>
      </c>
      <c r="FU3" s="14" t="s">
        <v>16</v>
      </c>
      <c r="FV3" s="14" t="s">
        <v>10</v>
      </c>
      <c r="FW3" s="14" t="s">
        <v>17</v>
      </c>
      <c r="FX3" s="14" t="s">
        <v>30</v>
      </c>
      <c r="FY3" s="14" t="s">
        <v>15</v>
      </c>
      <c r="FZ3" s="14" t="s">
        <v>16</v>
      </c>
      <c r="GA3" s="14" t="s">
        <v>10</v>
      </c>
      <c r="GB3" s="14" t="s">
        <v>17</v>
      </c>
      <c r="GC3" s="14" t="s">
        <v>30</v>
      </c>
      <c r="GD3" s="14" t="s">
        <v>15</v>
      </c>
      <c r="GE3" s="14" t="s">
        <v>16</v>
      </c>
      <c r="GF3" s="14" t="s">
        <v>10</v>
      </c>
      <c r="GG3" s="14" t="s">
        <v>17</v>
      </c>
      <c r="GH3" s="14" t="s">
        <v>30</v>
      </c>
      <c r="GI3" s="14" t="s">
        <v>15</v>
      </c>
      <c r="GJ3" s="14" t="s">
        <v>16</v>
      </c>
      <c r="GK3" s="14" t="s">
        <v>10</v>
      </c>
      <c r="GL3" s="14" t="s">
        <v>17</v>
      </c>
      <c r="GM3" s="14" t="s">
        <v>30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15</v>
      </c>
      <c r="HC3" s="13" t="s">
        <v>16</v>
      </c>
      <c r="HD3" s="13" t="s">
        <v>10</v>
      </c>
      <c r="HE3" s="13" t="s">
        <v>17</v>
      </c>
      <c r="HF3" s="13" t="s">
        <v>30</v>
      </c>
      <c r="HG3" s="13" t="s">
        <v>15</v>
      </c>
      <c r="HH3" s="13" t="s">
        <v>16</v>
      </c>
      <c r="HI3" s="13" t="s">
        <v>10</v>
      </c>
      <c r="HJ3" s="13" t="s">
        <v>17</v>
      </c>
      <c r="HK3" s="13" t="s">
        <v>30</v>
      </c>
      <c r="HL3" s="13" t="s">
        <v>15</v>
      </c>
      <c r="HM3" s="13" t="s">
        <v>16</v>
      </c>
      <c r="HN3" s="13" t="s">
        <v>10</v>
      </c>
      <c r="HO3" s="13" t="s">
        <v>17</v>
      </c>
      <c r="HP3" s="13" t="s">
        <v>30</v>
      </c>
      <c r="HQ3" s="13" t="s">
        <v>15</v>
      </c>
      <c r="HR3" s="13" t="s">
        <v>16</v>
      </c>
      <c r="HS3" s="13" t="s">
        <v>10</v>
      </c>
      <c r="HT3" s="13" t="s">
        <v>17</v>
      </c>
      <c r="HU3" s="13" t="s">
        <v>30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15</v>
      </c>
      <c r="IK3" s="14" t="s">
        <v>16</v>
      </c>
      <c r="IL3" s="14" t="s">
        <v>10</v>
      </c>
      <c r="IM3" s="14" t="s">
        <v>17</v>
      </c>
      <c r="IN3" s="14" t="s">
        <v>30</v>
      </c>
      <c r="IO3" s="14" t="s">
        <v>15</v>
      </c>
      <c r="IP3" s="14" t="s">
        <v>16</v>
      </c>
      <c r="IQ3" s="14" t="s">
        <v>10</v>
      </c>
      <c r="IR3" s="14" t="s">
        <v>17</v>
      </c>
      <c r="IS3" s="14" t="s">
        <v>30</v>
      </c>
      <c r="IT3" s="14" t="s">
        <v>15</v>
      </c>
      <c r="IU3" s="14" t="s">
        <v>16</v>
      </c>
      <c r="IV3" s="14" t="s">
        <v>10</v>
      </c>
      <c r="IW3" s="14" t="s">
        <v>17</v>
      </c>
      <c r="IX3" s="14" t="s">
        <v>30</v>
      </c>
      <c r="IY3" s="14" t="s">
        <v>15</v>
      </c>
      <c r="IZ3" s="14" t="s">
        <v>16</v>
      </c>
      <c r="JA3" s="14" t="s">
        <v>10</v>
      </c>
      <c r="JB3" s="14" t="s">
        <v>17</v>
      </c>
      <c r="JC3" s="14" t="s">
        <v>30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15</v>
      </c>
      <c r="JS3" s="13" t="s">
        <v>16</v>
      </c>
      <c r="JT3" s="13" t="s">
        <v>10</v>
      </c>
      <c r="JU3" s="13" t="s">
        <v>17</v>
      </c>
      <c r="JV3" s="13" t="s">
        <v>30</v>
      </c>
      <c r="JW3" s="13" t="s">
        <v>15</v>
      </c>
      <c r="JX3" s="13" t="s">
        <v>16</v>
      </c>
      <c r="JY3" s="13" t="s">
        <v>10</v>
      </c>
      <c r="JZ3" s="13" t="s">
        <v>17</v>
      </c>
      <c r="KA3" s="13" t="s">
        <v>30</v>
      </c>
      <c r="KB3" s="13" t="s">
        <v>15</v>
      </c>
      <c r="KC3" s="13" t="s">
        <v>16</v>
      </c>
      <c r="KD3" s="13" t="s">
        <v>10</v>
      </c>
      <c r="KE3" s="13" t="s">
        <v>17</v>
      </c>
      <c r="KF3" s="13" t="s">
        <v>30</v>
      </c>
      <c r="KG3" s="13" t="s">
        <v>15</v>
      </c>
      <c r="KH3" s="13" t="s">
        <v>16</v>
      </c>
      <c r="KI3" s="13" t="s">
        <v>10</v>
      </c>
      <c r="KJ3" s="13" t="s">
        <v>17</v>
      </c>
      <c r="KK3" s="13" t="s">
        <v>30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15</v>
      </c>
      <c r="LA3" s="14" t="s">
        <v>16</v>
      </c>
      <c r="LB3" s="14" t="s">
        <v>10</v>
      </c>
      <c r="LC3" s="14" t="s">
        <v>17</v>
      </c>
      <c r="LD3" s="14" t="s">
        <v>30</v>
      </c>
      <c r="LE3" s="14" t="s">
        <v>15</v>
      </c>
      <c r="LF3" s="14" t="s">
        <v>16</v>
      </c>
      <c r="LG3" s="14" t="s">
        <v>10</v>
      </c>
      <c r="LH3" s="14" t="s">
        <v>17</v>
      </c>
      <c r="LI3" s="14" t="s">
        <v>30</v>
      </c>
      <c r="LJ3" s="14" t="s">
        <v>15</v>
      </c>
      <c r="LK3" s="14" t="s">
        <v>16</v>
      </c>
      <c r="LL3" s="14" t="s">
        <v>10</v>
      </c>
      <c r="LM3" s="14" t="s">
        <v>17</v>
      </c>
      <c r="LN3" s="14" t="s">
        <v>30</v>
      </c>
      <c r="LO3" s="14" t="s">
        <v>15</v>
      </c>
      <c r="LP3" s="14" t="s">
        <v>16</v>
      </c>
      <c r="LQ3" s="14" t="s">
        <v>10</v>
      </c>
      <c r="LR3" s="14" t="s">
        <v>17</v>
      </c>
      <c r="LS3" s="14" t="s">
        <v>30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15</v>
      </c>
      <c r="MI3" s="13" t="s">
        <v>16</v>
      </c>
      <c r="MJ3" s="13" t="s">
        <v>10</v>
      </c>
      <c r="MK3" s="13" t="s">
        <v>17</v>
      </c>
      <c r="ML3" s="13" t="s">
        <v>30</v>
      </c>
      <c r="MM3" s="13" t="s">
        <v>15</v>
      </c>
      <c r="MN3" s="13" t="s">
        <v>16</v>
      </c>
      <c r="MO3" s="13" t="s">
        <v>10</v>
      </c>
      <c r="MP3" s="13" t="s">
        <v>17</v>
      </c>
      <c r="MQ3" s="13" t="s">
        <v>30</v>
      </c>
      <c r="MR3" s="13" t="s">
        <v>15</v>
      </c>
      <c r="MS3" s="13" t="s">
        <v>16</v>
      </c>
      <c r="MT3" s="13" t="s">
        <v>10</v>
      </c>
      <c r="MU3" s="13" t="s">
        <v>17</v>
      </c>
      <c r="MV3" s="13" t="s">
        <v>30</v>
      </c>
      <c r="MW3" s="13" t="s">
        <v>15</v>
      </c>
      <c r="MX3" s="13" t="s">
        <v>16</v>
      </c>
      <c r="MY3" s="13" t="s">
        <v>10</v>
      </c>
      <c r="MZ3" s="13" t="s">
        <v>17</v>
      </c>
      <c r="NA3" s="13" t="s">
        <v>30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15</v>
      </c>
      <c r="NQ3" s="14" t="s">
        <v>16</v>
      </c>
      <c r="NR3" s="14" t="s">
        <v>10</v>
      </c>
      <c r="NS3" s="14" t="s">
        <v>17</v>
      </c>
      <c r="NT3" s="14" t="s">
        <v>30</v>
      </c>
      <c r="NU3" s="14" t="s">
        <v>15</v>
      </c>
      <c r="NV3" s="14" t="s">
        <v>16</v>
      </c>
      <c r="NW3" s="14" t="s">
        <v>10</v>
      </c>
      <c r="NX3" s="14" t="s">
        <v>17</v>
      </c>
      <c r="NY3" s="14" t="s">
        <v>30</v>
      </c>
      <c r="NZ3" s="14" t="s">
        <v>15</v>
      </c>
      <c r="OA3" s="14" t="s">
        <v>16</v>
      </c>
      <c r="OB3" s="14" t="s">
        <v>10</v>
      </c>
      <c r="OC3" s="14" t="s">
        <v>17</v>
      </c>
      <c r="OD3" s="14" t="s">
        <v>30</v>
      </c>
      <c r="OE3" s="14" t="s">
        <v>15</v>
      </c>
      <c r="OF3" s="14" t="s">
        <v>16</v>
      </c>
      <c r="OG3" s="14" t="s">
        <v>10</v>
      </c>
      <c r="OH3" s="14" t="s">
        <v>17</v>
      </c>
      <c r="OI3" s="14" t="s">
        <v>30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15</v>
      </c>
      <c r="OY3" s="13" t="s">
        <v>16</v>
      </c>
      <c r="OZ3" s="13" t="s">
        <v>10</v>
      </c>
      <c r="PA3" s="13" t="s">
        <v>17</v>
      </c>
      <c r="PB3" s="13" t="s">
        <v>30</v>
      </c>
      <c r="PC3" s="13" t="s">
        <v>15</v>
      </c>
      <c r="PD3" s="13" t="s">
        <v>16</v>
      </c>
      <c r="PE3" s="13" t="s">
        <v>10</v>
      </c>
      <c r="PF3" s="13" t="s">
        <v>17</v>
      </c>
      <c r="PG3" s="13" t="s">
        <v>30</v>
      </c>
      <c r="PH3" s="13" t="s">
        <v>15</v>
      </c>
      <c r="PI3" s="13" t="s">
        <v>16</v>
      </c>
      <c r="PJ3" s="13" t="s">
        <v>10</v>
      </c>
      <c r="PK3" s="13" t="s">
        <v>17</v>
      </c>
      <c r="PL3" s="13" t="s">
        <v>30</v>
      </c>
      <c r="PM3" s="13" t="s">
        <v>15</v>
      </c>
      <c r="PN3" s="13" t="s">
        <v>16</v>
      </c>
      <c r="PO3" s="13" t="s">
        <v>10</v>
      </c>
      <c r="PP3" s="13" t="s">
        <v>17</v>
      </c>
      <c r="PQ3" s="13" t="s">
        <v>30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15</v>
      </c>
      <c r="QG3" s="14" t="s">
        <v>16</v>
      </c>
      <c r="QH3" s="14" t="s">
        <v>10</v>
      </c>
      <c r="QI3" s="14" t="s">
        <v>17</v>
      </c>
      <c r="QJ3" s="14" t="s">
        <v>30</v>
      </c>
      <c r="QK3" s="14" t="s">
        <v>15</v>
      </c>
      <c r="QL3" s="14" t="s">
        <v>16</v>
      </c>
      <c r="QM3" s="14" t="s">
        <v>10</v>
      </c>
      <c r="QN3" s="14" t="s">
        <v>17</v>
      </c>
      <c r="QO3" s="14" t="s">
        <v>30</v>
      </c>
      <c r="QP3" s="14" t="s">
        <v>15</v>
      </c>
      <c r="QQ3" s="14" t="s">
        <v>16</v>
      </c>
      <c r="QR3" s="14" t="s">
        <v>10</v>
      </c>
      <c r="QS3" s="14" t="s">
        <v>17</v>
      </c>
      <c r="QT3" s="14" t="s">
        <v>30</v>
      </c>
      <c r="QU3" s="14" t="s">
        <v>15</v>
      </c>
      <c r="QV3" s="14" t="s">
        <v>16</v>
      </c>
      <c r="QW3" s="14" t="s">
        <v>10</v>
      </c>
      <c r="QX3" s="14" t="s">
        <v>17</v>
      </c>
      <c r="QY3" s="14" t="s">
        <v>30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15</v>
      </c>
      <c r="RO3" s="13" t="s">
        <v>16</v>
      </c>
      <c r="RP3" s="13" t="s">
        <v>10</v>
      </c>
      <c r="RQ3" s="13" t="s">
        <v>17</v>
      </c>
      <c r="RR3" s="13" t="s">
        <v>30</v>
      </c>
      <c r="RS3" s="13" t="s">
        <v>15</v>
      </c>
      <c r="RT3" s="13" t="s">
        <v>16</v>
      </c>
      <c r="RU3" s="13" t="s">
        <v>10</v>
      </c>
      <c r="RV3" s="13" t="s">
        <v>17</v>
      </c>
      <c r="RW3" s="13" t="s">
        <v>30</v>
      </c>
      <c r="RX3" s="13" t="s">
        <v>15</v>
      </c>
      <c r="RY3" s="13" t="s">
        <v>16</v>
      </c>
      <c r="RZ3" s="13" t="s">
        <v>10</v>
      </c>
      <c r="SA3" s="13" t="s">
        <v>17</v>
      </c>
      <c r="SB3" s="13" t="s">
        <v>30</v>
      </c>
      <c r="SC3" s="13" t="s">
        <v>15</v>
      </c>
      <c r="SD3" s="13" t="s">
        <v>16</v>
      </c>
      <c r="SE3" s="13" t="s">
        <v>10</v>
      </c>
      <c r="SF3" s="13" t="s">
        <v>17</v>
      </c>
      <c r="SG3" s="13" t="s">
        <v>30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15</v>
      </c>
      <c r="SW3" s="14" t="s">
        <v>16</v>
      </c>
      <c r="SX3" s="14" t="s">
        <v>10</v>
      </c>
      <c r="SY3" s="14" t="s">
        <v>17</v>
      </c>
      <c r="SZ3" s="14" t="s">
        <v>30</v>
      </c>
      <c r="TA3" s="14" t="s">
        <v>15</v>
      </c>
      <c r="TB3" s="14" t="s">
        <v>16</v>
      </c>
      <c r="TC3" s="14" t="s">
        <v>10</v>
      </c>
      <c r="TD3" s="14" t="s">
        <v>17</v>
      </c>
      <c r="TE3" s="14" t="s">
        <v>30</v>
      </c>
      <c r="TF3" s="14" t="s">
        <v>15</v>
      </c>
      <c r="TG3" s="14" t="s">
        <v>16</v>
      </c>
      <c r="TH3" s="14" t="s">
        <v>10</v>
      </c>
      <c r="TI3" s="14" t="s">
        <v>17</v>
      </c>
      <c r="TJ3" s="14" t="s">
        <v>30</v>
      </c>
      <c r="TK3" s="14" t="s">
        <v>56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IF(AND(H4&lt;&gt;"",H4&lt;&gt;"No DD"),SUMPRODUCT((H$4:H$18&lt;&gt;"")*(H$4:H$18&lt;&gt;"No DD")*(E$4:E$18&gt;E4))+1,IF(H4="No DD",SUMPRODUCT((H$4:H$18="No DD")*(E$4:E$18&gt;E4))+1+SUMPRODUCT((H$4:H$18&lt;&gt;"")*(H$4:H$18&lt;&gt;"No DD")),""))</f>
        <v>1</v>
      </c>
      <c r="B4" s="5" t="s">
        <v>26</v>
      </c>
      <c r="C4" s="4" t="s">
        <v>8</v>
      </c>
      <c r="D4" s="4">
        <v>1997</v>
      </c>
      <c r="E4" s="9">
        <f t="shared" ref="E4:E17" si="0">SUM(J4:V4)+SUM(J4:T4)*0.0000001+SUM(J4)*0.0000000000001</f>
        <v>252.31002523100551</v>
      </c>
      <c r="F4" s="3" t="str">
        <f t="shared" ref="F4:F17" si="1">IF(OR(AND(AO4&gt;=AY$20,AO4&lt;&gt;"",AQ4&gt;=AY$24,AQ4&lt;&gt;"",AN4=""),AND(AR4&gt;=AY$20,AR4&lt;&gt;"",AT4&gt;=AY$24,AT4&lt;&gt;"",AN4=""),AND(AV4&gt;=AY$20,AV4&lt;&gt;"",AX4&gt;=AY$24,AX4&lt;&gt;"",AN4=""),AND(BP4&gt;=BZ$20,BP4&lt;&gt;"",BR4&gt;=BZ$24,BR4&lt;&gt;"",BO4=""),AND(BS4&gt;=BZ$20,BS4&lt;&gt;"",BU4&gt;=BZ$24,BU4&lt;&gt;"",BO4=""),AND(BW4&gt;=BZ$20,BW4&lt;&gt;"",BY4&gt;=BZ$24,BY4&lt;&gt;"",BO4=""),AND(CQ4&gt;=DA$20,CQ4&lt;&gt;"",CS4&gt;=DA$24,CS4&lt;&gt;"",CP4=""),AND(CT4&gt;=DA$20,CT4&lt;&gt;"",CV4&gt;=DA$24,CV4&lt;&gt;"",CP4=""),AND(CX4&gt;=DA$20,CX4&lt;&gt;"",CZ4&gt;=DA$24,CZ4&lt;&gt;"",CP4=""),AND(DX4&gt;=EK$20,DX4&lt;&gt;"",DZ4&gt;=EK$24,DZ4&lt;&gt;""),AND(EA4&gt;=EK$20,EA4&lt;&gt;"",EC4&gt;=EK$24,EC4&lt;&gt;""),AND(EE4&gt;=EK$20,EE4&lt;&gt;"",EG4&gt;=EK$24,EG4&lt;&gt;""),AND(EH4&gt;=EK$20,EH4&lt;&gt;"",EJ4&gt;=EK$24,EJ4&lt;&gt;""),AND(FF4&gt;=FS$20,FF4&lt;&gt;"",FH4&gt;=FS$24,FH4&lt;&gt;""),AND(FI4&gt;=FS$20,FI4&lt;&gt;"",FK4&gt;=FS$24,FK4&lt;&gt;""),AND(FM4&gt;=FS$20,FM4&lt;&gt;"",FO4&gt;=FS$24,FO4&lt;&gt;""),AND(FP4&gt;=FS$20,FP4&lt;&gt;"",FR4&gt;=FS$24,FR4&lt;&gt;""),AND(GN4&gt;=HA$20,GN4&lt;&gt;"",GP4&gt;=HA$24,GP4&lt;&gt;""),AND(GQ4&gt;=HA$20,GQ4&lt;&gt;"",GS4&gt;=HA$24,GS4&lt;&gt;""),AND(GU4&gt;=HA$20,GU4&lt;&gt;"",GW4&gt;=HA$24,GW4&lt;&gt;""),AND(GX4&gt;=HA$20,GX4&lt;&gt;"",GZ4&gt;=HA$24,GZ4&lt;&gt;""),AND(HV4&gt;=II$20,HV4&lt;&gt;"",HX4&gt;=II$24,HX4&lt;&gt;""),AND(HY4&gt;=II$20,HY4&lt;&gt;"",IA4&gt;=II$24,IA4&lt;&gt;""),AND(IC4&gt;=II$20,IC4&lt;&gt;"",IE4&gt;=II$24,IE4&lt;&gt;""),AND(IF4&gt;=II$20,IF4&lt;&gt;"",IH4&gt;=II$24,IH4&lt;&gt;""),AND(JD4&gt;=JQ$20,JD4&lt;&gt;"",JF4&gt;=JQ$24,JF4&lt;&gt;""),AND(JG4&gt;=JQ$20,JG4&lt;&gt;"",JI4&gt;=JQ$24,JI4&lt;&gt;""),AND(JK4&gt;=JQ$20,JK4&lt;&gt;"",JM4&gt;=JQ$24,JM4&lt;&gt;""),AND(JN4&gt;=JQ$20,JN4&lt;&gt;"",JP4&gt;=JQ$24,JP4&lt;&gt;""),AND(KL4&gt;=KY$20,KL4&lt;&gt;"",KN4&gt;=KY$24,KN4&lt;&gt;""),AND(KO4&gt;=KY$20,KO4&lt;&gt;"",KQ4&gt;=KY$24,KQ4&lt;&gt;""),AND(KS4&gt;=KY$20,KS4&lt;&gt;"",KU4&gt;=KY$24,KU4&lt;&gt;""),AND(KV4&gt;=KY$20,KV4&lt;&gt;"",KX4&gt;=KY$24,KX4&lt;&gt;""),AND(LT4&gt;=MG$20,LT4&lt;&gt;"",LV4&gt;=MG$24,LV4&lt;&gt;""),AND(LW4&gt;=MG$20,LW4&lt;&gt;"",LY4&gt;=MG$24,LY4&lt;&gt;""),AND(MA4&gt;=MG$20,MA4&lt;&gt;"",MC4&gt;=MG$24,MC4&lt;&gt;""),AND(MD4&gt;=MG$20,MD4&lt;&gt;"",MF4&gt;=MG$24,MF4&lt;&gt;""),AND(NB4&gt;=NO$20,NB4&lt;&gt;"",ND4&gt;=NO$24,ND4&lt;&gt;""),AND(NE4&gt;=NO$20,NE4&lt;&gt;"",NG4&gt;=NO$24,NG4&lt;&gt;""),AND(NI4&gt;=NO$20,NI4&lt;&gt;"",NK4&gt;=NO$24,NK4&lt;&gt;""),AND(NL4&gt;=NO$20,NL4&lt;&gt;"",NN4&gt;=NO$24,NN4&lt;&gt;""),AND(OJ4&gt;=OW$20,OJ4&lt;&gt;"",OL4&gt;=OW$24,OL4&lt;&gt;""),AND(OM4&gt;=OW$20,OM4&lt;&gt;"",OO4&gt;=OW$24,OO4&lt;&gt;""),AND(OQ4&gt;=OW$20,OQ4&lt;&gt;"",OS4&gt;=OW$24,OS4&lt;&gt;""),AND(OT4&gt;=OW$20,OT4&lt;&gt;"",OV4&gt;=OW$24,OV4&lt;&gt;""),AND(PR4&gt;=QE$20,PR4&lt;&gt;"",PT4&gt;=QE$24,PT4&lt;&gt;""),AND(PU4&gt;=QE$20,PU4&lt;&gt;"",PW4&gt;=QE$24,PW4&lt;&gt;""),AND(PY4&gt;=QE$20,PY4&lt;&gt;"",QA4&gt;=QE$24,QA4&lt;&gt;""),AND(QB4&gt;=QE$20,QB4&lt;&gt;"",QD4&gt;=QE$24,QD4&lt;&gt;""),AND(QZ4&gt;=RM$20,QZ4&lt;&gt;"",RB4&gt;=RM$24,RB4&lt;&gt;""),AND(RC4&gt;=RM$20,RC4&lt;&gt;"",RE4&gt;=RM$24,RE4&lt;&gt;""),AND(RG4&gt;=RM$20,RG4&lt;&gt;"",RI4&gt;=RM$24,RI4&lt;&gt;""),AND(RJ4&gt;=RM$20,RJ4&lt;&gt;"",RL4&gt;=RM$24,RL4&lt;&gt;""),AND(SH4&gt;=SU$20,SH4&lt;&gt;"",SJ4&gt;=SU$24,SJ4&lt;&gt;""),AND(SK4&gt;=SU$20,SK4&lt;&gt;"",SM4&gt;=SU$24,SM4&lt;&gt;""),AND(SO4&gt;=SU$20,SO4&lt;&gt;"",SQ4&gt;=SU$24,SQ4&lt;&gt;""),AND(SR4&gt;=SU$20,SR4&lt;&gt;"",ST4&gt;=SU$24,ST4&lt;&gt;"")),"P","")</f>
        <v>P</v>
      </c>
      <c r="G4" s="3" t="str">
        <f t="shared" ref="G4:G17" si="2">IF(OR(AND(AQ4&gt;=AY$24,AQ4&lt;&gt;"",AN4=""),AND(AT4&gt;=AY$24,AT4&lt;&gt;"",AN4=""),AND(AX4&gt;=AY$24,AX4&lt;&gt;"",AN4=""),AND(BR4&gt;=BZ$24,BR4&lt;&gt;"",BO4=""),AND(BU4&gt;=BZ$24,BU4&lt;&gt;"",BO4=""),AND(BY4&gt;=BZ$24,BY4&lt;&gt;"",BO4=""),AND(CS4&gt;=DA$24,CS4&lt;&gt;"",CP4=""),AND(CV4&gt;=DA$24,CV4&lt;&gt;"",CP4=""),AND(CZ4&gt;=DA$24,CZ4&lt;&gt;"",CP4=""),AND(DZ4&gt;=EK$24,DZ4&lt;&gt;""),AND(EC4&gt;=EK$24,EC4&lt;&gt;""),AND(EG4&gt;=EK$24,EG4&lt;&gt;""),AND(EJ4&gt;=EK$24,EJ4&lt;&gt;""),AND(FH4&gt;=FS$24,FH4&lt;&gt;""),AND(FK4&gt;=FS$24,FK4&lt;&gt;""),AND(FO4&gt;=FS$24,FO4&lt;&gt;""),AND(FR4&gt;=FS$24,FR4&lt;&gt;""),AND(GP4&gt;=HA$24,GP4&lt;&gt;""),AND(GS4&gt;=HA$24,GS4&lt;&gt;""),AND(GW4&gt;=HA$24,GW4&lt;&gt;""),AND(GZ4&gt;=HA$24,GZ4&lt;&gt;""),AND(HX4&gt;=II$24,HX4&lt;&gt;""),AND(IA4&gt;=II$24,IA4&lt;&gt;""),AND(IE4&gt;=II$24,IE4&lt;&gt;""),AND(IH4&gt;=II$24,IH4&lt;&gt;""),AND(JF4&gt;=JQ$24,JF4&lt;&gt;""),AND(JI4&gt;=JQ$24,JI4&lt;&gt;""),AND(JM4&gt;=JQ$24,JM4&lt;&gt;""),AND(JP4&gt;=JQ$24,JP4&lt;&gt;""),AND(KN4&gt;=KY$24,KN4&lt;&gt;""),AND(KQ4&gt;=KY$24,KQ4&lt;&gt;""),AND(KU4&gt;=KY$24,KU4&lt;&gt;""),AND(KX4&gt;=KY$24,KX4&lt;&gt;""),AND(LV4&gt;=MG$24,LV4&lt;&gt;""),AND(LY4&gt;=MG$24,LY4&lt;&gt;""),AND(MC4&gt;=MG$24,MC4&lt;&gt;""),AND(MF4&gt;=MG$24,MF4&lt;&gt;""),AND(ND4&gt;=NO$24,ND4&lt;&gt;""),AND(NG4&gt;=NO$24,NG4&lt;&gt;""),AND(NK4&gt;=NO$24,NK4&lt;&gt;""),AND(NN4&gt;=NO$24,NN4&lt;&gt;""),AND(OL4&gt;=OW$24,OL4&lt;&gt;""),AND(OO4&gt;=OW$24,OO4&lt;&gt;""),AND(OS4&gt;=OW$24,OS4&lt;&gt;""),AND(OV4&gt;=OW$24,OV4&lt;&gt;""),AND(PT4&gt;=QE$24,PT4&lt;&gt;""),AND(PW4&gt;=QE$24,PW4&lt;&gt;""),AND(QA4&gt;=QE$24,QA4&lt;&gt;""),AND(QD4&gt;=QE$24,QD4&lt;&gt;""),AND(RB4&gt;=RM$24,RB4&lt;&gt;""),AND(RE4&gt;=RM$24,RE4&lt;&gt;""),AND(RI4&gt;=RM$24,RI4&lt;&gt;""),AND(RL4&gt;=RM$24,RL4&lt;&gt;""),AND(SJ4&gt;=SU$24,SJ4&lt;&gt;""),AND(SM4&gt;=SU$24,SM4&lt;&gt;""),AND(SQ4&gt;=SU$24,SQ4&lt;&gt;""),AND(ST4&gt;=SU$24,ST4&lt;&gt;"")),"P","")</f>
        <v>P</v>
      </c>
      <c r="H4" s="37" t="str">
        <f t="shared" ref="H4:H17" si="3">IF(AND(G4="P",F4=""),"No DD",IF(OR(AND(AO4&gt;=AY$23,AO4&lt;&gt;"",AQ4&gt;=AY$27,AQ4&lt;&gt;"",AN4=""),AND(AR4&gt;=AY$23,AR4&lt;&gt;"",AT4&gt;=AY$27,AT4&lt;&gt;"",AN4=""),AND(AV4&gt;=AY$23,AV4&lt;&gt;"",AX4&gt;=AY$27,AX4&lt;&gt;"",AN4=""),AND(BP4&gt;=BZ$23,BP4&lt;&gt;"",BR4&gt;=BZ$27,BR4&lt;&gt;"",BO4=""),AND(BS4&gt;=BZ$23,BS4&lt;&gt;"",BU4&gt;=BZ$27,BU4&lt;&gt;"",BO4=""),AND(BW4&gt;=BZ$23,BW4&lt;&gt;"",BY4&gt;=BZ$27,BY4&lt;&gt;"",BO4=""),AND(CQ4&gt;=DA$23,CQ4&lt;&gt;"",CS4&gt;=DA$27,CS4&lt;&gt;"",CP4=""),AND(CT4&gt;=DA$23,CT4&lt;&gt;"",CV4&gt;=DA$27,CV4&lt;&gt;"",CP4=""),AND(CX4&gt;=DA$23,CX4&lt;&gt;"",CZ4&gt;=DA$27,CZ4&lt;&gt;"",CP4=""),AND(DX4&gt;=EK$23,DX4&lt;&gt;"",DZ4&gt;=EK$27,DZ4&lt;&gt;""),AND(EA4&gt;=EK$23,EA4&lt;&gt;"",EC4&gt;=EK$27,EC4&lt;&gt;""),AND(EE4&gt;=EK$23,EE4&lt;&gt;"",EG4&gt;=EK$27,EG4&lt;&gt;""),AND(EH4&gt;=EK$23,EH4&lt;&gt;"",EJ4&gt;=EK$27,EJ4&lt;&gt;""),AND(FF4&gt;=FS$23,FF4&lt;&gt;"",FH4&gt;=FS$27,FH4&lt;&gt;""),AND(FI4&gt;=FS$23,FI4&lt;&gt;"",FK4&gt;=FS$27,FK4&lt;&gt;""),AND(FM4&gt;=FS$23,FM4&lt;&gt;"",FO4&gt;=FS$27,FO4&lt;&gt;""),AND(FP4&gt;=FS$23,FP4&lt;&gt;"",FR4&gt;=FS$27,FR4&lt;&gt;""),AND(GN4&gt;=HA$23,GN4&lt;&gt;"",GP4&gt;=HA$27,GP4&lt;&gt;""),AND(GQ4&gt;=HA$23,GQ4&lt;&gt;"",GS4&gt;=HA$27,GS4&lt;&gt;""),AND(GU4&gt;=HA$23,GU4&lt;&gt;"",GW4&gt;=HA$27,GW4&lt;&gt;""),AND(GX4&gt;=HA$23,GX4&lt;&gt;"",GZ4&gt;=HA$27,GZ4&lt;&gt;""),AND(HV4&gt;=II$23,HV4&lt;&gt;"",HX4&gt;=II$27,HX4&lt;&gt;""),AND(HY4&gt;=II$23,HY4&lt;&gt;"",IA4&gt;=II$27,IA4&lt;&gt;""),AND(IC4&gt;=II$23,IC4&lt;&gt;"",IE4&gt;=II$27,IE4&lt;&gt;""),AND(IF4&gt;=II$23,IF4&lt;&gt;"",IH4&gt;=II$27,IH4&lt;&gt;""),AND(JD4&gt;=JQ$23,JD4&lt;&gt;"",JF4&gt;=JQ$27,JF4&lt;&gt;""),AND(JG4&gt;=JQ$23,JG4&lt;&gt;"",JI4&gt;=JQ$27,JI4&lt;&gt;""),AND(JK4&gt;=JQ$23,JK4&lt;&gt;"",JM4&gt;=JQ$27,JM4&lt;&gt;""),AND(JN4&gt;=JQ$23,JN4&lt;&gt;"",JP4&gt;=JQ$27,JP4&lt;&gt;""),AND(KL4&gt;=KY$23,KL4&lt;&gt;"",KN4&gt;=KY$27,KN4&lt;&gt;""),AND(KO4&gt;=KY$23,KO4&lt;&gt;"",KQ4&gt;=KY$27,KQ4&lt;&gt;""),AND(KS4&gt;=KY$23,KS4&lt;&gt;"",KU4&gt;=KY$27,KU4&lt;&gt;""),AND(KV4&gt;=KY$23,KV4&lt;&gt;"",KX4&gt;=KY$27,KX4&lt;&gt;""),AND(LT4&gt;=MG$23,LT4&lt;&gt;"",LV4&gt;=MG$27,LV4&lt;&gt;""),AND(LW4&gt;=MG$23,LW4&lt;&gt;"",LY4&gt;=MG$27,LY4&lt;&gt;""),AND(MA4&gt;=MG$23,MA4&lt;&gt;"",MC4&gt;=MG$27,MC4&lt;&gt;""),AND(MD4&gt;=MG$23,MD4&lt;&gt;"",MF4&gt;=MG$27,MF4&lt;&gt;""),AND(NB4&gt;=NO$23,NB4&lt;&gt;"",ND4&gt;=NO$27,ND4&lt;&gt;""),AND(NE4&gt;=NO$23,NE4&lt;&gt;"",NG4&gt;=NO$27,NG4&lt;&gt;""),AND(NI4&gt;=NO$23,NI4&lt;&gt;"",NK4&gt;=NO$27,NK4&lt;&gt;""),AND(NL4&gt;=NO$23,NL4&lt;&gt;"",NN4&gt;=NO$27,NN4&lt;&gt;""),AND(OJ4&gt;=OW$23,OJ4&lt;&gt;"",OL4&gt;=OW$27,OL4&lt;&gt;""),AND(OM4&gt;=OW$23,OM4&lt;&gt;"",OO4&gt;=OW$27,OO4&lt;&gt;""),AND(OQ4&gt;=OW$23,OQ4&lt;&gt;"",OS4&gt;=OW$27,OS4&lt;&gt;""),AND(OT4&gt;=OW$23,OT4&lt;&gt;"",OV4&gt;=OW$27,OV4&lt;&gt;""),AND(PR4&gt;=QE$23,PR4&lt;&gt;"",PT4&gt;=QE$27,PT4&lt;&gt;""),AND(PU4&gt;=QE$23,PU4&lt;&gt;"",PW4&gt;=QE$27,PW4&lt;&gt;""),AND(PY4&gt;=QE$23,PY4&lt;&gt;"",QA4&gt;=QE$27,QA4&lt;&gt;""),AND(QB4&gt;=QE$23,QB4&lt;&gt;"",QD4&gt;=QE$27,QD4&lt;&gt;""),AND(QZ4&gt;=RM$23,QZ4&lt;&gt;"",RB4&gt;=RM$27,RB4&lt;&gt;""),AND(RC4&gt;=RM$23,RC4&lt;&gt;"",RE4&gt;=RM$27,RE4&lt;&gt;""),AND(RG4&gt;=RM$23,RG4&lt;&gt;"",RI4&gt;=RM$27,RI4&lt;&gt;""),AND(RJ4&gt;=RM$23,RJ4&lt;&gt;"",RL4&gt;=RM$27,RL4&lt;&gt;""),AND(SH4&gt;=SU$23,SH4&lt;&gt;"",SJ4&gt;=SU$27,SJ4&lt;&gt;""),AND(SK4&gt;=SU$23,SK4&lt;&gt;"",SM4&gt;=SU$27,SM4&lt;&gt;""),AND(SO4&gt;=SU$23,SO4&lt;&gt;"",SQ4&gt;=SU$27,SQ4&lt;&gt;""),AND(SR4&gt;=SU$23,SR4&lt;&gt;"",ST4&gt;=SU$27,ST4&lt;&gt;"")),"Merit",IF(OR(AND(AO4&gt;=AY$22,AO4&lt;&gt;"",AQ4&gt;=AY$26,AQ4&lt;&gt;"",AN4=""),AND(AR4&gt;=AY$22,AR4&lt;&gt;"",AT4&gt;=AY$26,AT4&lt;&gt;"",AN4=""),AND(AV4&gt;=AY$22,AV4&lt;&gt;"",AX4&gt;=AY$26,AX4&lt;&gt;"",AN4=""),AND(BP4&gt;=BZ$22,BP4&lt;&gt;"",BR4&gt;=BZ$26,BR4&lt;&gt;"",BO4=""),AND(BS4&gt;=BZ$22,BS4&lt;&gt;"",BU4&gt;=BZ$26,BU4&lt;&gt;"",BO4=""),AND(BW4&gt;=BZ$22,BW4&lt;&gt;"",BY4&gt;=BZ$26,BY4&lt;&gt;"",BO4=""),AND(CQ4&gt;=DA$22,CQ4&lt;&gt;"",CS4&gt;=DA$26,CS4&lt;&gt;"",CP4=""),AND(CT4&gt;=DA$22,CT4&lt;&gt;"",CV4&gt;=DA$26,CV4&lt;&gt;"",CP4=""),AND(CX4&gt;=DA$22,CX4&lt;&gt;"",CZ4&gt;=DA$26,CZ4&lt;&gt;"",CP4=""),AND(DX4&gt;=EK$22,DX4&lt;&gt;"",DZ4&gt;=EK$26,DZ4&lt;&gt;""),AND(EA4&gt;=EK$22,EA4&lt;&gt;"",EC4&gt;=EK$26,EC4&lt;&gt;""),AND(EE4&gt;=EK$22,EE4&lt;&gt;"",EG4&gt;=EK$26,EG4&lt;&gt;""),AND(EH4&gt;=EK$22,EH4&lt;&gt;"",EJ4&gt;=EK$26,EJ4&lt;&gt;""),AND(FF4&gt;=FS$22,FF4&lt;&gt;"",FH4&gt;=FS$26,FH4&lt;&gt;""),AND(FI4&gt;=FS$22,FI4&lt;&gt;"",FK4&gt;=FS$26,FK4&lt;&gt;""),AND(FM4&gt;=FS$22,FM4&lt;&gt;"",FO4&gt;=FS$26,FO4&lt;&gt;""),AND(FP4&gt;=FS$22,FP4&lt;&gt;"",FR4&gt;=FS$26,FR4&lt;&gt;""),AND(GN4&gt;=HA$22,GN4&lt;&gt;"",GP4&gt;=HA$26,GP4&lt;&gt;""),AND(GQ4&gt;=HA$22,GQ4&lt;&gt;"",GS4&gt;=HA$26,GS4&lt;&gt;""),AND(GU4&gt;=HA$22,GU4&lt;&gt;"",GW4&gt;=HA$26,GW4&lt;&gt;""),AND(GX4&gt;=HA$22,GX4&lt;&gt;"",GZ4&gt;=HA$26,GZ4&lt;&gt;""),AND(HV4&gt;=II$22,HV4&lt;&gt;"",HX4&gt;=II$26,HX4&lt;&gt;""),AND(HY4&gt;=II$22,HY4&lt;&gt;"",IA4&gt;=II$26,IA4&lt;&gt;""),AND(IC4&gt;=II$22,IC4&lt;&gt;"",IE4&gt;=II$26,IE4&lt;&gt;""),AND(IF4&gt;=II$22,IF4&lt;&gt;"",IH4&gt;=II$26,IH4&lt;&gt;""),AND(JD4&gt;=JQ$22,JD4&lt;&gt;"",JF4&gt;=JQ$26,JF4&lt;&gt;""),AND(JG4&gt;=JQ$22,JG4&lt;&gt;"",JI4&gt;=JQ$26,JI4&lt;&gt;""),AND(JK4&gt;=JQ$22,JK4&lt;&gt;"",JM4&gt;=JQ$26,JM4&lt;&gt;""),AND(JN4&gt;=JQ$22,JN4&lt;&gt;"",JP4&gt;=JQ$26,JP4&lt;&gt;""),AND(KL4&gt;=KY$22,KL4&lt;&gt;"",KN4&gt;=KY$26,KN4&lt;&gt;""),AND(KO4&gt;=KY$22,KO4&lt;&gt;"",KQ4&gt;=KY$26,KQ4&lt;&gt;""),AND(KS4&gt;=KY$22,KS4&lt;&gt;"",KU4&gt;=KY$26,KU4&lt;&gt;""),AND(KV4&gt;=KY$22,KV4&lt;&gt;"",KX4&gt;=KY$26,KX4&lt;&gt;""),AND(LT4&gt;=MG$22,LT4&lt;&gt;"",LV4&gt;=MG$26,LV4&lt;&gt;""),AND(LW4&gt;=MG$22,LW4&lt;&gt;"",LY4&gt;=MG$26,LY4&lt;&gt;""),AND(MA4&gt;=MG$22,MA4&lt;&gt;"",MC4&gt;=MG$26,MC4&lt;&gt;""),AND(MD4&gt;=MG$22,MD4&lt;&gt;"",MF4&gt;=MG$26,MF4&lt;&gt;""),AND(NB4&gt;=NO$22,NB4&lt;&gt;"",ND4&gt;=NO$26,ND4&lt;&gt;""),AND(NE4&gt;=NO$22,NE4&lt;&gt;"",NG4&gt;=NO$26,NG4&lt;&gt;""),AND(NI4&gt;=NO$22,NI4&lt;&gt;"",NK4&gt;=NO$26,NK4&lt;&gt;""),AND(NL4&gt;=NO$22,NL4&lt;&gt;"",NN4&gt;=NO$26,NN4&lt;&gt;""),AND(OJ4&gt;=OW$22,OJ4&lt;&gt;"",OL4&gt;=OW$26,OL4&lt;&gt;""),AND(OM4&gt;=OW$22,OM4&lt;&gt;"",OO4&gt;=OW$26,OO4&lt;&gt;""),AND(OQ4&gt;=OW$22,OQ4&lt;&gt;"",OS4&gt;=OW$26,OS4&lt;&gt;""),AND(OT4&gt;=OW$22,OT4&lt;&gt;"",OV4&gt;=OW$26,OV4&lt;&gt;""),AND(PR4&gt;=QE$22,PR4&lt;&gt;"",PT4&gt;=QE$26,PT4&lt;&gt;""),AND(PU4&gt;=QE$22,PU4&lt;&gt;"",PW4&gt;=QE$26,PW4&lt;&gt;""),AND(PY4&gt;=QE$22,PY4&lt;&gt;"",QA4&gt;=QE$26,QA4&lt;&gt;""),AND(QB4&gt;=QE$22,QB4&lt;&gt;"",QD4&gt;=QE$26,QD4&lt;&gt;""),AND(QZ4&gt;=RM$22,QZ4&lt;&gt;"",RB4&gt;=RM$26,RB4&lt;&gt;""),AND(RC4&gt;=RM$22,RC4&lt;&gt;"",RE4&gt;=RM$26,RE4&lt;&gt;""),AND(RG4&gt;=RM$22,RG4&lt;&gt;"",RI4&gt;=RM$26,RI4&lt;&gt;""),AND(RJ4&gt;=RM$22,RJ4&lt;&gt;"",RL4&gt;=RM$26,RL4&lt;&gt;""),AND(SH4&gt;=SU$22,SH4&lt;&gt;"",SJ4&gt;=SU$26,SJ4&lt;&gt;""),AND(SK4&gt;=SU$22,SK4&lt;&gt;"",SM4&gt;=SU$26,SM4&lt;&gt;""),AND(SO4&gt;=SU$22,SO4&lt;&gt;"",SQ4&gt;=SU$26,SQ4&lt;&gt;""),AND(SR4&gt;=SU$22,SR4&lt;&gt;"",ST4&gt;=SU$26,ST4&lt;&gt;"")),"Excellence",IF(I4="P","Worlds Team",IF(F4="P","National Team","")))))</f>
        <v>Merit</v>
      </c>
      <c r="I4" s="3" t="str">
        <f t="shared" ref="I4:I17" si="4">IF(OR(AND(AO4&gt;=AY$21,AO4&lt;&gt;"",AQ4&gt;=AY$25,AQ4&lt;&gt;"",AN4=""),AND(AR4&gt;=AY$21,AR4&lt;&gt;"",AT4&gt;=AY$25,AT4&lt;&gt;"",AN4=""),AND(AV4&gt;=AY$21,AV4&lt;&gt;"",AX4&gt;=AY$25,AX4&lt;&gt;"",AN4=""),AND(BP4&gt;=BZ$21,BP4&lt;&gt;"",BR4&gt;=BZ$25,BR4&lt;&gt;"",BO4=""),AND(BS4&gt;=BZ$21,BS4&lt;&gt;"",BU4&gt;=BZ$25,BU4&lt;&gt;"",BO4=""),AND(BW4&gt;=BZ$21,BW4&lt;&gt;"",BY4&gt;=BZ$25,BY4&lt;&gt;"",BO4=""),AND(CQ4&gt;=DA$21,CQ4&lt;&gt;"",CS4&gt;=DA$25,CS4&lt;&gt;"",CP4=""),AND(CT4&gt;=DA$21,CT4&lt;&gt;"",CV4&gt;=DA$25,CV4&lt;&gt;"",CP4=""),AND(CX4&gt;=DA$21,CX4&lt;&gt;"",CZ4&gt;=DA$25,CZ4&lt;&gt;"",CP4=""),AND(DX4&gt;=EK$21,DX4&lt;&gt;"",DZ4&gt;=EK$25,DZ4&lt;&gt;""),AND(EA4&gt;=EK$21,EA4&lt;&gt;"",EC4&gt;=EK$25,EC4&lt;&gt;""),AND(EE4&gt;=EK$21,EE4&lt;&gt;"",EG4&gt;=EK$25,EG4&lt;&gt;""),AND(EH4&gt;=EK$21,EH4&lt;&gt;"",EJ4&gt;=EK$25,EJ4&lt;&gt;""),AND(FF4&gt;=FS$21,FF4&lt;&gt;"",FH4&gt;=FS$25,FH4&lt;&gt;""),AND(FI4&gt;=FS$21,FI4&lt;&gt;"",FK4&gt;=FS$25,FK4&lt;&gt;""),AND(FM4&gt;=FS$21,FM4&lt;&gt;"",FO4&gt;=FS$25,FO4&lt;&gt;""),AND(FP4&gt;=FS$21,FP4&lt;&gt;"",FR4&gt;=FS$25,FR4&lt;&gt;""),AND(GN4&gt;=HA$21,GN4&lt;&gt;"",GP4&gt;=HA$25,GP4&lt;&gt;""),AND(GQ4&gt;=HA$21,GQ4&lt;&gt;"",GS4&gt;=HA$25,GS4&lt;&gt;""),AND(GU4&gt;=HA$21,GU4&lt;&gt;"",GW4&gt;=HA$25,GW4&lt;&gt;""),AND(GX4&gt;=HA$21,GX4&lt;&gt;"",GZ4&gt;=HA$25,GZ4&lt;&gt;""),AND(HV4&gt;=II$21,HV4&lt;&gt;"",HX4&gt;=II$25,HX4&lt;&gt;""),AND(HY4&gt;=II$21,HY4&lt;&gt;"",IA4&gt;=II$25,IA4&lt;&gt;""),AND(IC4&gt;=II$21,IC4&lt;&gt;"",IE4&gt;=II$25,IE4&lt;&gt;""),AND(IF4&gt;=II$21,IF4&lt;&gt;"",IH4&gt;=II$25,IH4&lt;&gt;""),AND(JD4&gt;=JQ$21,JD4&lt;&gt;"",JF4&gt;=JQ$25,JF4&lt;&gt;""),AND(JG4&gt;=JQ$21,JG4&lt;&gt;"",JI4&gt;=JQ$25,JI4&lt;&gt;""),AND(JK4&gt;=JQ$21,JK4&lt;&gt;"",JM4&gt;=JQ$25,JM4&lt;&gt;""),AND(JN4&gt;=JQ$21,JN4&lt;&gt;"",JP4&gt;=JQ$25,JP4&lt;&gt;""),AND(KL4&gt;=KY$21,KL4&lt;&gt;"",KN4&gt;=KY$25,KN4&lt;&gt;""),AND(KO4&gt;=KY$21,KO4&lt;&gt;"",KQ4&gt;=KY$25,KQ4&lt;&gt;""),AND(KS4&gt;=KY$21,KS4&lt;&gt;"",KU4&gt;=KY$25,KU4&lt;&gt;""),AND(KV4&gt;=KY$21,KV4&lt;&gt;"",KX4&gt;=KY$25,KX4&lt;&gt;""),AND(LT4&gt;=MG$21,LT4&lt;&gt;"",LV4&gt;=MG$25,LV4&lt;&gt;""),AND(LW4&gt;=MG$21,LW4&lt;&gt;"",LY4&gt;=MG$25,LY4&lt;&gt;""),AND(MA4&gt;=MG$21,MA4&lt;&gt;"",MC4&gt;=MG$25,MC4&lt;&gt;""),AND(MD4&gt;=MG$21,MD4&lt;&gt;"",MF4&gt;=MG$25,MF4&lt;&gt;""),AND(NB4&gt;=NO$21,NB4&lt;&gt;"",ND4&gt;=NO$25,ND4&lt;&gt;""),AND(NE4&gt;=NO$21,NE4&lt;&gt;"",NG4&gt;=NO$25,NG4&lt;&gt;""),AND(NI4&gt;=NO$21,NI4&lt;&gt;"",NK4&gt;=NO$25,NK4&lt;&gt;""),AND(NL4&gt;=NO$21,NL4&lt;&gt;"",NN4&gt;=NO$25,NN4&lt;&gt;""),AND(OJ4&gt;=OW$21,OJ4&lt;&gt;"",OL4&gt;=OW$25,OL4&lt;&gt;""),AND(OM4&gt;=OW$21,OM4&lt;&gt;"",OO4&gt;=OW$25,OO4&lt;&gt;""),AND(OQ4&gt;=OW$21,OQ4&lt;&gt;"",OS4&gt;=OW$25,OS4&lt;&gt;""),AND(OT4&gt;=OW$21,OT4&lt;&gt;"",OV4&gt;=OW$25,OV4&lt;&gt;""),AND(PR4&gt;=QE$21,PR4&lt;&gt;"",PT4&gt;=QE$25,PT4&lt;&gt;""),AND(PU4&gt;=QE$21,PU4&lt;&gt;"",PW4&gt;=QE$25,PW4&lt;&gt;""),AND(PY4&gt;=QE$21,PY4&lt;&gt;"",QA4&gt;=QE$25,QA4&lt;&gt;""),AND(QB4&gt;=QE$21,QB4&lt;&gt;"",QD4&gt;=QE$25,QD4&lt;&gt;""),AND(QZ4&gt;=RM$21,QZ4&lt;&gt;"",RB4&gt;=RM$25,RB4&lt;&gt;""),AND(RC4&gt;=RM$21,RC4&lt;&gt;"",RE4&gt;=RM$25,RE4&lt;&gt;""),AND(RG4&gt;=RM$21,RG4&lt;&gt;"",RI4&gt;=RM$25,RI4&lt;&gt;""),AND(RJ4&gt;=RM$21,RJ4&lt;&gt;"",RL4&gt;=RM$25,RL4&lt;&gt;""),AND(SH4&gt;=SU$21,SH4&lt;&gt;"",SJ4&gt;=SU$25,SJ4&lt;&gt;""),AND(SK4&gt;=SU$21,SK4&lt;&gt;"",SM4&gt;=SU$25,SM4&lt;&gt;""),AND(SO4&gt;=SU$21,SO4&lt;&gt;"",SQ4&gt;=SU$25,SQ4&lt;&gt;""),AND(SR4&gt;=SU$21,SR4&lt;&gt;"",ST4&gt;=SU$25,ST4&lt;&gt;"")),"P","")</f>
        <v>P</v>
      </c>
      <c r="J4" s="8">
        <f>IF(COUNT(AQ4,AT4,BR4,BU4,CS4,CV4)&gt;0,LARGE((AQ4,AT4,BR4,BU4,CS4,CV4),1),0)</f>
        <v>55.260000000000005</v>
      </c>
      <c r="K4" s="8" t="str">
        <f t="shared" ref="K4:K17" si="5">IF(J4="","",IF(OR(J4=CS4,J4=CV4),$CA$1,IF(OR(J4=BR4,J4=BU4),$AZ$1,IF(OR(J4=AQ4,J4=AT4),$Y$1,""))))</f>
        <v>2023 Elite Canada</v>
      </c>
      <c r="L4" s="8">
        <f>IF(COUNT(AQ4,AT4,BR4,BU4,CS4,CV4)&gt;1,LARGE((AQ4,AT4,BR4,BU4,CS4,CV4),2),0)</f>
        <v>55.06</v>
      </c>
      <c r="M4" s="8" t="str">
        <f t="shared" ref="M4:M17" si="6">IF(L4="","",IF(OR(L4=CS4,L4=CV4),$CA$1,IF(OR(L4=BR4,L4=BU4),$AZ$1,IF(OR(L4=AQ4,L4=AT4),$Y$1,""))))</f>
        <v>2023 Elite Canada</v>
      </c>
      <c r="N4" s="8">
        <f>IF(COUNT(AQ4,AT4,BR4,BU4,CS4,CV4)&gt;2,LARGE((AQ4,AT4,BR4,BU4,CS4,CV4),3),0)</f>
        <v>54.87</v>
      </c>
      <c r="O4" s="8" t="str">
        <f t="shared" ref="O4:O17" si="7">IF(N4="","",IF(OR(N4=CS4,N4=CV4),$CA$1,IF(OR(N4=BR4,N4=BU4),$AZ$1,IF(OR(N4=AQ4,N4=AT4),$Y$1,""))))</f>
        <v>2023 Nationals</v>
      </c>
      <c r="P4" s="8">
        <f t="shared" ref="P4:P17" si="8">IF(MAX(AX4,BY4,CZ4)&gt;0,MAX(AX4,BY4,CZ4),0)</f>
        <v>56.46</v>
      </c>
      <c r="Q4" s="8" t="str">
        <f t="shared" ref="Q4:Q17" si="9">IF(P4="","",IF(P4=CZ4,$CA$1,IF(P4=BY4,$AZ$1,IF(P4=AX4,$Y$1,""))))</f>
        <v>2023 Elite Canada</v>
      </c>
      <c r="R4" s="8">
        <f t="shared" ref="R4:R17" si="10"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14.8</v>
      </c>
      <c r="S4" s="8" t="str">
        <f t="shared" ref="S4:S17" si="11"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Elite Canada</v>
      </c>
      <c r="T4" s="8">
        <f t="shared" ref="T4:T17" si="12">IF(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&gt;0,MAX(IF(AO4&gt;=$AY$20,AP4,0),IF(AR4&gt;=$AY$20,AS4,0),IF(AV4&gt;=$AY$20,AW4,0),IF(BP4&gt;=$BZ$20,BQ4,0),IF(BS4&gt;=$BZ$20,BT4,0),IF(BW4&gt;=$BZ$20,BX4,0),IF(CQ4&gt;=$DA$20,CR4,0),IF(CT4&gt;=$DA$20,CU4,0),IF(CX4&gt;=$DA$20,CY4,0),IF(DX4&gt;=$EK$20,DY4,0),IF(EA4&gt;=$EK$20,EB4,0),IF(EE4&gt;=$EK$20,EF4,0),IF(EH4&gt;=$EK$20,EI4,0),IF(FF4&gt;=$FS$20,FG4,0),IF(FI4&gt;=$FS$20,FJ4,0),IF(FM4&gt;=$FS$20,FN4,0),IF(FP4&gt;=$FS$20,FQ4,0),IF(GN4&gt;=$HA$20,GO4,0),IF(GQ4&gt;=$HA$20,GR4,0),IF(GU4&gt;=$HA$20,GV4,0),IF(GX4&gt;=$HA$20,GY4,0),IF(HV4&gt;=$II$20,HW4,0),IF(HY4&gt;=$II$20,HZ4,0),IF(IC4&gt;=$II$20,ID4,0),IF(IF4&gt;=$II$20,IG4,0),IF(JD4&gt;=$JQ$20,JE4,0),IF(JG4&gt;=$JQ$20,JH4,0),IF(JK4&gt;=$JQ$20,JL4,0),IF(JN4&gt;=$JQ$20,JO4,0),IF(KL4&gt;=$KY$20,KM4,0),IF(KO4&gt;=$KY$20,KP4,0),IF(KS4&gt;=$KY$20,KT4,0),IF(KV4&gt;=$KY$20,KW4,0),IF(LT4&gt;=$MG$20,LU4,0),IF(LW4&gt;=$MG$20,LX4,0),IF(MA4&gt;=$MG$20,MB4,0),IF(MD4&gt;=$MG$20,ME4,0),IF(NB4&gt;=$NO$20,NC4,0),IF(NE4&gt;=$NO$20,NF4,0),IF(NI4&gt;=$NO$20,NJ4,0),IF(NL4&gt;=$NO$20,NM4,0),IF(OJ4&gt;=$OW$20,OK4,0),IF(OM4&gt;=$OW$20,ON4,0),IF(OQ4&gt;=$OW$20,OR4,0),IF(OT4&gt;=$OW$20,OU4,0),IF(PR4&gt;=$QE$20,PS4,0),IF(PU4&gt;=$QE$20,PV4,0),IF(PY4&gt;=$QE$20,PZ4,0),IF(QB4&gt;=$QE$20,QC4,0),IF(QZ4&gt;=$RM$20,RA4,0),IF(RC4&gt;=$RM$20,RD4,0),IF(RG4&gt;=$RM$20,RH4,0),IF(RJ4&gt;=$RM$20,RK4,0),IF(SH4&gt;=$SU$20,SI4,0),IF(SK4&gt;=$SU$20,SL4,0),IF(SO4&gt;=$SU$20,SP4,0),IF(SR4&gt;=$SU$20,SS4,0)),0)</f>
        <v>15.86</v>
      </c>
      <c r="U4" s="8" t="str">
        <f t="shared" ref="U4:U17" si="13"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Elite Canada</v>
      </c>
      <c r="V4" s="8" t="str">
        <f t="shared" ref="V4:V17" si="14">IF(MAX(DB4,DC4)&gt;0,MAX(DB4,DC4),"")</f>
        <v/>
      </c>
      <c r="W4" s="11" t="str">
        <f t="shared" ref="W4:W17" si="15">IF(V4="","",IF(V4=DB4,"("&amp;DB$2&amp;")",IF(V4=DC4,"("&amp;DC$2&amp;")")))</f>
        <v/>
      </c>
      <c r="X4" s="8" t="str">
        <f t="shared" ref="X4:X17" si="16">IF(V4="","",IF(V4=DB4,IF(V4+IF(N4="",0,N4)=SN4,$RN$1,IF(V4+IF(N4="",0,N4)=RF4,$QF$1,IF(V4+IF(N4="",0,N4)=PX4,$OX$1,IF(V4+IF(N4="",0,N4)=OP4,$NP$1,IF(V4+IF(N4="",0,N4)=NH4,$MH$1,IF(V4+IF(N4="",0,N4)=LZ4,$KZ$1,IF(V4+IF(N4="",0,N4)=KR4,$JR$1,IF(V4+IF(N4="",0,N4)=JJ4,$IJ$1,IF(V4+IF(N4="",0,N4)=IB4,$HB$1,IF(V4+IF(N4="",0,N4)=GT4,$FT$1,IF(V4+IF(N4="",0,N4)=FL4,$EL$1,IF(V4+IF(N4="",0,N4)=ED4,$DD$1)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3">
        <v>16</v>
      </c>
      <c r="Z4" s="23">
        <v>9.3000000000000007</v>
      </c>
      <c r="AA4" s="23">
        <v>14.4</v>
      </c>
      <c r="AB4" s="23">
        <v>15.56</v>
      </c>
      <c r="AC4" s="23">
        <v>0</v>
      </c>
      <c r="AD4" s="23">
        <v>15.4</v>
      </c>
      <c r="AE4" s="23">
        <v>9.3000000000000007</v>
      </c>
      <c r="AF4" s="23">
        <v>14.8</v>
      </c>
      <c r="AG4" s="23">
        <v>15.56</v>
      </c>
      <c r="AH4" s="23">
        <v>0</v>
      </c>
      <c r="AI4" s="23">
        <v>16.8</v>
      </c>
      <c r="AJ4" s="23">
        <v>9.4</v>
      </c>
      <c r="AK4" s="23">
        <v>14.4</v>
      </c>
      <c r="AL4" s="23">
        <v>15.86</v>
      </c>
      <c r="AM4" s="23">
        <v>0</v>
      </c>
      <c r="AN4" s="28"/>
      <c r="AO4" s="39">
        <f t="shared" ref="AO4:AO17" si="17">IF(AA4&gt;0,AA4,"")</f>
        <v>14.4</v>
      </c>
      <c r="AP4" s="39">
        <f t="shared" ref="AP4:AP17" si="18">IF(AB4&gt;0,AB4,"")</f>
        <v>15.56</v>
      </c>
      <c r="AQ4" s="41">
        <f t="shared" ref="AQ4:AQ17" si="19">IF(SUM(Y4:AB4)-AC4&gt;0,SUM(Y4:AB4)-AC4,"")</f>
        <v>55.260000000000005</v>
      </c>
      <c r="AR4" s="41">
        <f t="shared" ref="AR4:AR17" si="20">IF(AF4&gt;0,AF4,"")</f>
        <v>14.8</v>
      </c>
      <c r="AS4" s="41">
        <f t="shared" ref="AS4:AS17" si="21">IF(AG4&gt;0,AG4,"")</f>
        <v>15.56</v>
      </c>
      <c r="AT4" s="41">
        <f t="shared" ref="AT4:AT17" si="22">IF(SUM(AD4:AG4)-AH4&gt;0,SUM(AD4:AG4)-AH4,"")</f>
        <v>55.06</v>
      </c>
      <c r="AU4" s="41">
        <f t="shared" ref="AU4:AU17" si="23">IF(AQ4="","",MAX(AQ4,AT4))</f>
        <v>55.260000000000005</v>
      </c>
      <c r="AV4" s="41">
        <f t="shared" ref="AV4:AV17" si="24">IF(AK4&gt;0,AK4,"")</f>
        <v>14.4</v>
      </c>
      <c r="AW4" s="41">
        <f t="shared" ref="AW4:AW17" si="25">IF(AL4&gt;0,AL4,"")</f>
        <v>15.86</v>
      </c>
      <c r="AX4" s="41">
        <f t="shared" ref="AX4:AX17" si="26">IF(SUM(AI4:AL4)-AM4&gt;0,SUM(AI4:AL4)-AM4,"")</f>
        <v>56.46</v>
      </c>
      <c r="AY4" s="41">
        <f t="shared" ref="AY4:AY17" si="27">IF(SUM(AU4,AX4)&gt;0,SUM(AU4,AX4),"")</f>
        <v>111.72</v>
      </c>
      <c r="AZ4" s="27">
        <v>12.9</v>
      </c>
      <c r="BA4" s="27">
        <v>9.1</v>
      </c>
      <c r="BB4" s="27">
        <v>14</v>
      </c>
      <c r="BC4" s="27">
        <v>15.32</v>
      </c>
      <c r="BD4" s="27">
        <v>0</v>
      </c>
      <c r="BE4" s="27">
        <v>15.5</v>
      </c>
      <c r="BF4" s="27">
        <v>9.9</v>
      </c>
      <c r="BG4" s="27">
        <v>14</v>
      </c>
      <c r="BH4" s="27">
        <v>15.47</v>
      </c>
      <c r="BI4" s="27">
        <v>0</v>
      </c>
      <c r="BJ4" s="27">
        <v>10.1</v>
      </c>
      <c r="BK4" s="27">
        <v>6</v>
      </c>
      <c r="BL4" s="27">
        <v>10.3</v>
      </c>
      <c r="BM4" s="27">
        <v>10.73</v>
      </c>
      <c r="BN4" s="27">
        <v>0.2</v>
      </c>
      <c r="BO4" s="29"/>
      <c r="BP4" s="40">
        <f t="shared" ref="BP4:BP17" si="28">IF(BB4&gt;0,BB4,"")</f>
        <v>14</v>
      </c>
      <c r="BQ4" s="40">
        <f t="shared" ref="BQ4:BQ17" si="29">IF(BC4&gt;0,BC4,"")</f>
        <v>15.32</v>
      </c>
      <c r="BR4" s="11">
        <f t="shared" ref="BR4:BR17" si="30">IF(SUM(AZ4:BC4)-BD4&gt;0,SUM(AZ4:BC4)-BD4,"")</f>
        <v>51.32</v>
      </c>
      <c r="BS4" s="11">
        <f t="shared" ref="BS4:BS17" si="31">IF(BG4&gt;0,BG4,"")</f>
        <v>14</v>
      </c>
      <c r="BT4" s="11">
        <f t="shared" ref="BT4:BT17" si="32">IF(BH4&gt;0,BH4,"")</f>
        <v>15.47</v>
      </c>
      <c r="BU4" s="11">
        <f t="shared" ref="BU4:BU17" si="33">IF(SUM(BE4:BH4)-BI4&gt;0,SUM(BE4:BH4)-BI4,"")</f>
        <v>54.87</v>
      </c>
      <c r="BV4" s="11">
        <f t="shared" ref="BV4:BV17" si="34">IF(BR4="","",MAX(BR4,BU4))</f>
        <v>54.87</v>
      </c>
      <c r="BW4" s="11">
        <f t="shared" ref="BW4:BW17" si="35">IF(BL4&gt;0,BL4,"")</f>
        <v>10.3</v>
      </c>
      <c r="BX4" s="11">
        <f t="shared" ref="BX4:BX17" si="36">IF(BM4&gt;0,BM4,"")</f>
        <v>10.73</v>
      </c>
      <c r="BY4" s="11">
        <f t="shared" ref="BY4:BY17" si="37">IF(SUM(BJ4:BM4)-BN4&gt;0,SUM(BJ4:BM4)-BN4,"")</f>
        <v>36.93</v>
      </c>
      <c r="BZ4" s="11">
        <f t="shared" ref="BZ4:BZ17" si="38">IF(SUM(BV4,BY4)&gt;0,SUM(BV4,BY4),"")</f>
        <v>91.8</v>
      </c>
      <c r="CA4" s="23">
        <v>15.4</v>
      </c>
      <c r="CB4" s="23">
        <v>9.1</v>
      </c>
      <c r="CC4" s="23">
        <v>14</v>
      </c>
      <c r="CD4" s="23">
        <v>15.05</v>
      </c>
      <c r="CE4" s="23">
        <v>0</v>
      </c>
      <c r="CF4" s="23">
        <v>4.8</v>
      </c>
      <c r="CG4" s="23">
        <v>2.8</v>
      </c>
      <c r="CH4" s="23">
        <v>4.9000000000000004</v>
      </c>
      <c r="CI4" s="23">
        <v>4.9800000000000004</v>
      </c>
      <c r="CJ4" s="23">
        <v>0</v>
      </c>
      <c r="CK4" s="23">
        <v>15.6</v>
      </c>
      <c r="CL4" s="23">
        <v>8.8000000000000007</v>
      </c>
      <c r="CM4" s="23">
        <v>13.2</v>
      </c>
      <c r="CN4" s="23">
        <v>15.2</v>
      </c>
      <c r="CO4" s="23">
        <v>0</v>
      </c>
      <c r="CP4" s="28"/>
      <c r="CQ4" s="39">
        <f t="shared" ref="CQ4:CQ17" si="39">IF(CC4&gt;0,CC4,"")</f>
        <v>14</v>
      </c>
      <c r="CR4" s="39">
        <f t="shared" ref="CR4:CR17" si="40">IF(CD4&gt;0,CD4,"")</f>
        <v>15.05</v>
      </c>
      <c r="CS4" s="41">
        <f t="shared" ref="CS4:CS17" si="41">IF(SUM(CA4:CD4)-CE4&gt;0,SUM(CA4:CD4)-CE4,"")</f>
        <v>53.55</v>
      </c>
      <c r="CT4" s="41">
        <f t="shared" ref="CT4:CT17" si="42">IF(CH4&gt;0,CH4,"")</f>
        <v>4.9000000000000004</v>
      </c>
      <c r="CU4" s="41">
        <f t="shared" ref="CU4:CU17" si="43">IF(CI4&gt;0,CI4,"")</f>
        <v>4.9800000000000004</v>
      </c>
      <c r="CV4" s="41">
        <f t="shared" ref="CV4:CV17" si="44">IF(SUM(CF4:CI4)-CJ4&gt;0,SUM(CF4:CI4)-CJ4,"")</f>
        <v>17.48</v>
      </c>
      <c r="CW4" s="41">
        <f t="shared" ref="CW4:CW17" si="45">IF(CS4="","",MAX(CS4,CV4))</f>
        <v>53.55</v>
      </c>
      <c r="CX4" s="41">
        <f t="shared" ref="CX4:CX17" si="46">IF(CM4&gt;0,CM4,"")</f>
        <v>13.2</v>
      </c>
      <c r="CY4" s="41">
        <f t="shared" ref="CY4:CY17" si="47">IF(CN4&gt;0,CN4,"")</f>
        <v>15.2</v>
      </c>
      <c r="CZ4" s="41">
        <f t="shared" ref="CZ4:CZ17" si="48">IF(SUM(CK4:CN4)-CO4&gt;0,SUM(CK4:CN4)-CO4,"")</f>
        <v>52.8</v>
      </c>
      <c r="DA4" s="41">
        <f t="shared" ref="DA4:DA17" si="49">IF(SUM(CW4,CZ4)&gt;0,SUM(CW4,CZ4),"")</f>
        <v>106.35</v>
      </c>
      <c r="DB4" s="52" t="str">
        <f t="shared" ref="DB4:DB17" si="50">IF(MAX(ED4,FL4,GT4,IB4,JJ4,KR4,LZ4,NH4,OP4,PX4,RF4,SN4)-IF(N4="",0,N4)&gt;0.001,MAX(ED4,FL4,GT4,IB4,JJ4,KR4,LZ4,NH4,OP4,PX4,RF4,SN4)-IF(N4="",0,N4),"")</f>
        <v/>
      </c>
      <c r="DC4" s="52" t="str">
        <f t="shared" ref="DC4:DC17" si="51"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1" t="str">
        <f t="shared" ref="DX4:DX17" si="52">IF(DF4&gt;0,DF4,"")</f>
        <v/>
      </c>
      <c r="DY4" s="41" t="str">
        <f t="shared" ref="DY4:DY17" si="53">IF(DG4&gt;0,DG4,"")</f>
        <v/>
      </c>
      <c r="DZ4" s="41" t="str">
        <f t="shared" ref="DZ4:DZ17" si="54">IF(SUM(DD4:DG4)-DH4&gt;0,SUM(DD4:DG4)-DH4,"")</f>
        <v/>
      </c>
      <c r="EA4" s="41" t="str">
        <f t="shared" ref="EA4:EA17" si="55">IF(DK4&gt;0,DK4,"")</f>
        <v/>
      </c>
      <c r="EB4" s="41" t="str">
        <f t="shared" ref="EB4:EB17" si="56">IF(DL4&gt;0,DL4,"")</f>
        <v/>
      </c>
      <c r="EC4" s="41" t="str">
        <f t="shared" ref="EC4:EC17" si="57">IF(SUM(DI4:DL4)-DM4&gt;0,SUM(DI4:DL4)-DM4,"")</f>
        <v/>
      </c>
      <c r="ED4" s="41" t="str">
        <f t="shared" ref="ED4:ED17" si="58">IF(MAX(DZ4,EC4)&gt;0,MAX(DZ4,EC4),"")</f>
        <v/>
      </c>
      <c r="EE4" s="41" t="str">
        <f t="shared" ref="EE4:EE17" si="59">IF(DP4&gt;0,DP4,"")</f>
        <v/>
      </c>
      <c r="EF4" s="41" t="str">
        <f t="shared" ref="EF4:EF17" si="60">IF(DQ4&gt;0,DQ4,"")</f>
        <v/>
      </c>
      <c r="EG4" s="41" t="str">
        <f t="shared" ref="EG4:EG17" si="61">IF(SUM(DN4:DQ4)-DR4&gt;0,SUM(DN4:DQ4)-DR4,"")</f>
        <v/>
      </c>
      <c r="EH4" s="41" t="str">
        <f t="shared" ref="EH4:EH17" si="62">IF(DU4&gt;0,DU4,"")</f>
        <v/>
      </c>
      <c r="EI4" s="41" t="str">
        <f t="shared" ref="EI4:EI17" si="63">IF(DV4&gt;0,DV4,"")</f>
        <v/>
      </c>
      <c r="EJ4" s="41" t="str">
        <f t="shared" ref="EJ4:EJ17" si="64">IF(SUM(DS4:DV4)-DW4&gt;0,SUM(DS4:DV4)-DW4,"")</f>
        <v/>
      </c>
      <c r="EK4" s="41" t="str">
        <f t="shared" ref="EK4:EK17" si="65">IF(SUM(ED4,EG4,EJ4)&gt;0,SUM(ED4,EG4,EJ4),"")</f>
        <v/>
      </c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 t="str">
        <f t="shared" ref="FF4:FF17" si="66">IF(EN4&gt;0,EN4,"")</f>
        <v/>
      </c>
      <c r="FG4" s="11" t="str">
        <f t="shared" ref="FG4:FG17" si="67">IF(EO4&gt;0,EO4,"")</f>
        <v/>
      </c>
      <c r="FH4" s="11" t="str">
        <f t="shared" ref="FH4:FH17" si="68">IF(SUM(EL4:EO4)-EP4&gt;0,SUM(EL4:EO4)-EP4,"")</f>
        <v/>
      </c>
      <c r="FI4" s="11" t="str">
        <f t="shared" ref="FI4:FI17" si="69">IF(ES4&gt;0,ES4,"")</f>
        <v/>
      </c>
      <c r="FJ4" s="11" t="str">
        <f t="shared" ref="FJ4:FJ17" si="70">IF(ET4&gt;0,ET4,"")</f>
        <v/>
      </c>
      <c r="FK4" s="11" t="str">
        <f t="shared" ref="FK4:FK17" si="71">IF(SUM(EQ4:ET4)-EU4&gt;0,SUM(EQ4:ET4)-EU4,"")</f>
        <v/>
      </c>
      <c r="FL4" s="11" t="str">
        <f t="shared" ref="FL4:FL17" si="72">IF(MAX(FH4,FK4)&gt;0,MAX(FH4,FK4),"")</f>
        <v/>
      </c>
      <c r="FM4" s="11" t="str">
        <f t="shared" ref="FM4:FM17" si="73">IF(EX4&gt;0,EX4,"")</f>
        <v/>
      </c>
      <c r="FN4" s="11" t="str">
        <f t="shared" ref="FN4:FN17" si="74">IF(EY4&gt;0,EY4,"")</f>
        <v/>
      </c>
      <c r="FO4" s="11" t="str">
        <f t="shared" ref="FO4:FO17" si="75">IF(SUM(EV4:EY4)-EZ4&gt;0,SUM(EV4:EY4)-EZ4,"")</f>
        <v/>
      </c>
      <c r="FP4" s="11" t="str">
        <f t="shared" ref="FP4:FP17" si="76">IF(FC4&gt;0,FC4,"")</f>
        <v/>
      </c>
      <c r="FQ4" s="11" t="str">
        <f t="shared" ref="FQ4:FQ17" si="77">IF(FD4&gt;0,FD4,"")</f>
        <v/>
      </c>
      <c r="FR4" s="11" t="str">
        <f t="shared" ref="FR4:FR17" si="78">IF(SUM(FA4:FD4)-FE4&gt;0,SUM(FA4:FD4)-FE4,"")</f>
        <v/>
      </c>
      <c r="FS4" s="11" t="str">
        <f t="shared" ref="FS4:FS17" si="79">IF(SUM(FL4,FO4,FR4)&gt;0,SUM(FL4,FO4,FR4),"")</f>
        <v/>
      </c>
      <c r="FT4" s="17">
        <v>14.5</v>
      </c>
      <c r="FU4" s="17">
        <v>9.3000000000000007</v>
      </c>
      <c r="FV4" s="17">
        <v>13.6</v>
      </c>
      <c r="FW4" s="17">
        <v>14.84</v>
      </c>
      <c r="FX4" s="17">
        <v>0</v>
      </c>
      <c r="FY4" s="17">
        <v>15.6</v>
      </c>
      <c r="FZ4" s="17">
        <v>9.5</v>
      </c>
      <c r="GA4" s="17">
        <v>14</v>
      </c>
      <c r="GB4" s="17">
        <v>15.19</v>
      </c>
      <c r="GC4" s="17">
        <v>0</v>
      </c>
      <c r="GD4" s="17"/>
      <c r="GE4" s="17"/>
      <c r="GF4" s="17"/>
      <c r="GG4" s="17"/>
      <c r="GH4" s="17"/>
      <c r="GI4" s="17">
        <v>8.1999999999999993</v>
      </c>
      <c r="GJ4" s="17">
        <v>4.8</v>
      </c>
      <c r="GK4" s="17">
        <v>7.6</v>
      </c>
      <c r="GL4" s="17">
        <v>8.14</v>
      </c>
      <c r="GM4" s="17">
        <v>0</v>
      </c>
      <c r="GN4" s="41">
        <f t="shared" ref="GN4:GN17" si="80">IF(FV4&gt;0,FV4,"")</f>
        <v>13.6</v>
      </c>
      <c r="GO4" s="41">
        <f t="shared" ref="GO4:GO17" si="81">IF(FW4&gt;0,FW4,"")</f>
        <v>14.84</v>
      </c>
      <c r="GP4" s="41">
        <f t="shared" ref="GP4:GP17" si="82">IF(SUM(FT4:FW4)-FX4&gt;0,SUM(FT4:FW4)-FX4,"")</f>
        <v>52.239999999999995</v>
      </c>
      <c r="GQ4" s="41">
        <f t="shared" ref="GQ4:GQ17" si="83">IF(GA4&gt;0,GA4,"")</f>
        <v>14</v>
      </c>
      <c r="GR4" s="41">
        <f t="shared" ref="GR4:GR17" si="84">IF(GB4&gt;0,GB4,"")</f>
        <v>15.19</v>
      </c>
      <c r="GS4" s="41">
        <f t="shared" ref="GS4:GS17" si="85">IF(SUM(FY4:GB4)-GC4&gt;0,SUM(FY4:GB4)-GC4,"")</f>
        <v>54.29</v>
      </c>
      <c r="GT4" s="41">
        <f t="shared" ref="GT4:GT17" si="86">IF(MAX(GP4,GS4)&gt;0,MAX(GP4,GS4),"")</f>
        <v>54.29</v>
      </c>
      <c r="GU4" s="41" t="str">
        <f t="shared" ref="GU4:GU17" si="87">IF(GF4&gt;0,GF4,"")</f>
        <v/>
      </c>
      <c r="GV4" s="41" t="str">
        <f t="shared" ref="GV4:GV17" si="88">IF(GG4&gt;0,GG4,"")</f>
        <v/>
      </c>
      <c r="GW4" s="41" t="str">
        <f t="shared" ref="GW4:GW17" si="89">IF(SUM(GD4:GG4)-GH4&gt;0,SUM(GD4:GG4)-GH4,"")</f>
        <v/>
      </c>
      <c r="GX4" s="41">
        <f t="shared" ref="GX4:GX17" si="90">IF(GK4&gt;0,GK4,"")</f>
        <v>7.6</v>
      </c>
      <c r="GY4" s="41">
        <f t="shared" ref="GY4:GY17" si="91">IF(GL4&gt;0,GL4,"")</f>
        <v>8.14</v>
      </c>
      <c r="GZ4" s="41">
        <f t="shared" ref="GZ4:GZ17" si="92">IF(SUM(GI4:GL4)-GM4&gt;0,SUM(GI4:GL4)-GM4,"")</f>
        <v>28.740000000000002</v>
      </c>
      <c r="HA4" s="41">
        <f t="shared" ref="HA4:HA17" si="93">IF(SUM(GT4,GW4,GZ4)&gt;0,SUM(GT4,GW4,GZ4),"")</f>
        <v>83.03</v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>
        <v>15.9</v>
      </c>
      <c r="HR4" s="18">
        <v>9.3000000000000007</v>
      </c>
      <c r="HS4" s="18">
        <v>14</v>
      </c>
      <c r="HT4" s="18">
        <v>15.16</v>
      </c>
      <c r="HU4" s="18">
        <v>0</v>
      </c>
      <c r="HV4" s="11" t="str">
        <f t="shared" ref="HV4:HV17" si="94">IF(HD4&gt;0,HD4,"")</f>
        <v/>
      </c>
      <c r="HW4" s="11" t="str">
        <f t="shared" ref="HW4:HW17" si="95">IF(HE4&gt;0,HE4,"")</f>
        <v/>
      </c>
      <c r="HX4" s="11" t="str">
        <f t="shared" ref="HX4:HX17" si="96">IF(SUM(HB4:HE4)-HF4&gt;0,SUM(HB4:HE4)-HF4,"")</f>
        <v/>
      </c>
      <c r="HY4" s="11" t="str">
        <f t="shared" ref="HY4:HY17" si="97">IF(HI4&gt;0,HI4,"")</f>
        <v/>
      </c>
      <c r="HZ4" s="11" t="str">
        <f t="shared" ref="HZ4:HZ17" si="98">IF(HJ4&gt;0,HJ4,"")</f>
        <v/>
      </c>
      <c r="IA4" s="11" t="str">
        <f t="shared" ref="IA4:IA17" si="99">IF(SUM(HG4:HJ4)-HK4&gt;0,SUM(HG4:HJ4)-HK4,"")</f>
        <v/>
      </c>
      <c r="IB4" s="11" t="str">
        <f t="shared" ref="IB4:IB17" si="100">IF(MAX(HX4,IA4)&gt;0,MAX(HX4,IA4),"")</f>
        <v/>
      </c>
      <c r="IC4" s="11" t="str">
        <f t="shared" ref="IC4:IC17" si="101">IF(HN4&gt;0,HN4,"")</f>
        <v/>
      </c>
      <c r="ID4" s="11" t="str">
        <f t="shared" ref="ID4:ID17" si="102">IF(HO4&gt;0,HO4,"")</f>
        <v/>
      </c>
      <c r="IE4" s="11" t="str">
        <f t="shared" ref="IE4:IE17" si="103">IF(SUM(HL4:HO4)-HP4&gt;0,SUM(HL4:HO4)-HP4,"")</f>
        <v/>
      </c>
      <c r="IF4" s="11">
        <f t="shared" ref="IF4:IF17" si="104">IF(HS4&gt;0,HS4,"")</f>
        <v>14</v>
      </c>
      <c r="IG4" s="11">
        <f t="shared" ref="IG4:IG17" si="105">IF(HT4&gt;0,HT4,"")</f>
        <v>15.16</v>
      </c>
      <c r="IH4" s="11">
        <f t="shared" ref="IH4:IH17" si="106">IF(SUM(HQ4:HT4)-HU4&gt;0,SUM(HQ4:HT4)-HU4,"")</f>
        <v>54.36</v>
      </c>
      <c r="II4" s="11">
        <f t="shared" ref="II4:II17" si="107">IF(SUM(IB4,IE4,IH4)&gt;0,SUM(IB4,IE4,IH4),"")</f>
        <v>54.36</v>
      </c>
      <c r="IJ4" s="17">
        <v>14.2</v>
      </c>
      <c r="IK4" s="17">
        <v>9.1999999999999993</v>
      </c>
      <c r="IL4" s="17">
        <v>13.1</v>
      </c>
      <c r="IM4" s="17">
        <v>14.85</v>
      </c>
      <c r="IN4" s="17">
        <v>0</v>
      </c>
      <c r="IO4" s="17">
        <v>14.9</v>
      </c>
      <c r="IP4" s="17">
        <v>9.1999999999999993</v>
      </c>
      <c r="IQ4" s="17">
        <v>14</v>
      </c>
      <c r="IR4" s="17">
        <v>15.24</v>
      </c>
      <c r="IS4" s="17">
        <v>0</v>
      </c>
      <c r="IT4" s="17">
        <v>15.1</v>
      </c>
      <c r="IU4" s="17">
        <v>9.3000000000000007</v>
      </c>
      <c r="IV4" s="17">
        <v>14.4</v>
      </c>
      <c r="IW4" s="17">
        <v>15.31</v>
      </c>
      <c r="IX4" s="17">
        <v>0</v>
      </c>
      <c r="IY4" s="17">
        <v>3.2</v>
      </c>
      <c r="IZ4" s="17">
        <v>1.8</v>
      </c>
      <c r="JA4" s="17">
        <v>3.2</v>
      </c>
      <c r="JB4" s="17">
        <v>3.43</v>
      </c>
      <c r="JC4" s="17">
        <v>0</v>
      </c>
      <c r="JD4" s="41">
        <f t="shared" ref="JD4:JD17" si="108">IF(IL4&gt;0,IL4,"")</f>
        <v>13.1</v>
      </c>
      <c r="JE4" s="41">
        <f t="shared" ref="JE4:JE17" si="109">IF(IM4&gt;0,IM4,"")</f>
        <v>14.85</v>
      </c>
      <c r="JF4" s="41">
        <f t="shared" ref="JF4:JF17" si="110">IF(SUM(IJ4:IM4)-IN4&gt;0,SUM(IJ4:IM4)-IN4,"")</f>
        <v>51.35</v>
      </c>
      <c r="JG4" s="41">
        <f t="shared" ref="JG4:JG17" si="111">IF(IQ4&gt;0,IQ4,"")</f>
        <v>14</v>
      </c>
      <c r="JH4" s="41">
        <f t="shared" ref="JH4:JH17" si="112">IF(IR4&gt;0,IR4,"")</f>
        <v>15.24</v>
      </c>
      <c r="JI4" s="41">
        <f t="shared" ref="JI4:JI17" si="113">IF(SUM(IO4:IR4)-IS4&gt;0,SUM(IO4:IR4)-IS4,"")</f>
        <v>53.34</v>
      </c>
      <c r="JJ4" s="41">
        <f t="shared" ref="JJ4:JJ17" si="114">IF(MAX(JF4,JI4)&gt;0,MAX(JF4,JI4),"")</f>
        <v>53.34</v>
      </c>
      <c r="JK4" s="41">
        <f t="shared" ref="JK4:JK17" si="115">IF(IV4&gt;0,IV4,"")</f>
        <v>14.4</v>
      </c>
      <c r="JL4" s="41">
        <f t="shared" ref="JL4:JL17" si="116">IF(IW4&gt;0,IW4,"")</f>
        <v>15.31</v>
      </c>
      <c r="JM4" s="41">
        <f t="shared" ref="JM4:JM17" si="117">IF(SUM(IT4:IW4)-IX4&gt;0,SUM(IT4:IW4)-IX4,"")</f>
        <v>54.11</v>
      </c>
      <c r="JN4" s="41">
        <f t="shared" ref="JN4:JN17" si="118">IF(JA4&gt;0,JA4,"")</f>
        <v>3.2</v>
      </c>
      <c r="JO4" s="41">
        <f t="shared" ref="JO4:JO17" si="119">IF(JB4&gt;0,JB4,"")</f>
        <v>3.43</v>
      </c>
      <c r="JP4" s="41">
        <f t="shared" ref="JP4:JP17" si="120">IF(SUM(IY4:JB4)-JC4&gt;0,SUM(IY4:JB4)-JC4,"")</f>
        <v>11.629999999999999</v>
      </c>
      <c r="JQ4" s="41">
        <f t="shared" ref="JQ4:JQ17" si="121">IF(SUM(JJ4,JM4,JP4)&gt;0,SUM(JJ4,JM4,JP4),"")</f>
        <v>119.08</v>
      </c>
      <c r="JR4" s="18">
        <v>15.4</v>
      </c>
      <c r="JS4" s="18">
        <v>9.1999999999999993</v>
      </c>
      <c r="JT4" s="18">
        <v>14.4</v>
      </c>
      <c r="JU4" s="18">
        <v>15.32</v>
      </c>
      <c r="JV4" s="18">
        <v>0.2</v>
      </c>
      <c r="JW4" s="18">
        <v>3.2</v>
      </c>
      <c r="JX4" s="18">
        <v>1.9</v>
      </c>
      <c r="JY4" s="18">
        <v>3.2</v>
      </c>
      <c r="JZ4" s="18">
        <v>3.31</v>
      </c>
      <c r="KA4" s="18">
        <v>0</v>
      </c>
      <c r="KB4" s="18">
        <v>15.2</v>
      </c>
      <c r="KC4" s="18">
        <v>9.3000000000000007</v>
      </c>
      <c r="KD4" s="18">
        <v>14</v>
      </c>
      <c r="KE4" s="18">
        <v>15.3</v>
      </c>
      <c r="KF4" s="18">
        <v>0</v>
      </c>
      <c r="KG4" s="18"/>
      <c r="KH4" s="18"/>
      <c r="KI4" s="18"/>
      <c r="KJ4" s="18"/>
      <c r="KK4" s="18"/>
      <c r="KL4" s="11">
        <f t="shared" ref="KL4:KL17" si="122">IF(JT4&gt;0,JT4,"")</f>
        <v>14.4</v>
      </c>
      <c r="KM4" s="11">
        <f t="shared" ref="KM4:KM17" si="123">IF(JU4&gt;0,JU4,"")</f>
        <v>15.32</v>
      </c>
      <c r="KN4" s="11">
        <f t="shared" ref="KN4:KN17" si="124">IF(SUM(JR4:JU4)-JV4&gt;0,SUM(JR4:JU4)-JV4,"")</f>
        <v>54.12</v>
      </c>
      <c r="KO4" s="11">
        <f t="shared" ref="KO4:KO17" si="125">IF(JY4&gt;0,JY4,"")</f>
        <v>3.2</v>
      </c>
      <c r="KP4" s="11">
        <f t="shared" ref="KP4:KP17" si="126">IF(JZ4&gt;0,JZ4,"")</f>
        <v>3.31</v>
      </c>
      <c r="KQ4" s="11">
        <f t="shared" ref="KQ4:KQ17" si="127">IF(SUM(JW4:JZ4)-KA4&gt;0,SUM(JW4:JZ4)-KA4,"")</f>
        <v>11.610000000000001</v>
      </c>
      <c r="KR4" s="11">
        <f t="shared" ref="KR4:KR17" si="128">IF(MAX(KN4,KQ4)&gt;0,MAX(KN4,KQ4),"")</f>
        <v>54.12</v>
      </c>
      <c r="KS4" s="11">
        <f t="shared" ref="KS4:KS17" si="129">IF(KD4&gt;0,KD4,"")</f>
        <v>14</v>
      </c>
      <c r="KT4" s="11">
        <f t="shared" ref="KT4:KT17" si="130">IF(KE4&gt;0,KE4,"")</f>
        <v>15.3</v>
      </c>
      <c r="KU4" s="11">
        <f t="shared" ref="KU4:KU17" si="131">IF(SUM(KB4:KE4)-KF4&gt;0,SUM(KB4:KE4)-KF4,"")</f>
        <v>53.8</v>
      </c>
      <c r="KV4" s="11" t="str">
        <f t="shared" ref="KV4:KV17" si="132">IF(KI4&gt;0,KI4,"")</f>
        <v/>
      </c>
      <c r="KW4" s="11" t="str">
        <f t="shared" ref="KW4:KW17" si="133">IF(KJ4&gt;0,KJ4,"")</f>
        <v/>
      </c>
      <c r="KX4" s="11" t="str">
        <f t="shared" ref="KX4:KX17" si="134">IF(SUM(KG4:KJ4)-KK4&gt;0,SUM(KG4:KJ4)-KK4,"")</f>
        <v/>
      </c>
      <c r="KY4" s="11">
        <f t="shared" ref="KY4:KY17" si="135">IF(SUM(KR4,KU4,KX4)&gt;0,SUM(KR4,KU4,KX4),"")</f>
        <v>107.91999999999999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1" t="str">
        <f t="shared" ref="LT4:LT17" si="136">IF(LB4&gt;0,LB4,"")</f>
        <v/>
      </c>
      <c r="LU4" s="41" t="str">
        <f t="shared" ref="LU4:LU17" si="137">IF(LC4&gt;0,LC4,"")</f>
        <v/>
      </c>
      <c r="LV4" s="41" t="str">
        <f t="shared" ref="LV4:LV17" si="138">IF(SUM(KZ4:LC4)-LD4&gt;0,SUM(KZ4:LC4)-LD4,"")</f>
        <v/>
      </c>
      <c r="LW4" s="41" t="str">
        <f t="shared" ref="LW4:LW17" si="139">IF(LG4&gt;0,LG4,"")</f>
        <v/>
      </c>
      <c r="LX4" s="41" t="str">
        <f t="shared" ref="LX4:LX17" si="140">IF(LH4&gt;0,LH4,"")</f>
        <v/>
      </c>
      <c r="LY4" s="41" t="str">
        <f t="shared" ref="LY4:LY17" si="141">IF(SUM(LE4:LH4)-LI4&gt;0,SUM(LE4:LH4)-LI4,"")</f>
        <v/>
      </c>
      <c r="LZ4" s="41" t="str">
        <f t="shared" ref="LZ4:LZ17" si="142">IF(MAX(LV4,LY4)&gt;0,MAX(LV4,LY4),"")</f>
        <v/>
      </c>
      <c r="MA4" s="41" t="str">
        <f t="shared" ref="MA4:MA17" si="143">IF(LL4&gt;0,LL4,"")</f>
        <v/>
      </c>
      <c r="MB4" s="41" t="str">
        <f t="shared" ref="MB4:MB17" si="144">IF(LM4&gt;0,LM4,"")</f>
        <v/>
      </c>
      <c r="MC4" s="41" t="str">
        <f t="shared" ref="MC4:MC17" si="145">IF(SUM(LJ4:LM4)-LN4&gt;0,SUM(LJ4:LM4)-LN4,"")</f>
        <v/>
      </c>
      <c r="MD4" s="41" t="str">
        <f t="shared" ref="MD4:MD17" si="146">IF(LQ4&gt;0,LQ4,"")</f>
        <v/>
      </c>
      <c r="ME4" s="41" t="str">
        <f t="shared" ref="ME4:ME17" si="147">IF(LR4&gt;0,LR4,"")</f>
        <v/>
      </c>
      <c r="MF4" s="41" t="str">
        <f t="shared" ref="MF4:MF17" si="148">IF(SUM(LO4:LR4)-LS4&gt;0,SUM(LO4:LR4)-LS4,"")</f>
        <v/>
      </c>
      <c r="MG4" s="41" t="str">
        <f t="shared" ref="MG4:MG17" si="149">IF(SUM(LZ4,MC4,MF4)&gt;0,SUM(LZ4,MC4,MF4),"")</f>
        <v/>
      </c>
      <c r="MH4" s="18">
        <v>15.2</v>
      </c>
      <c r="MI4" s="18">
        <v>9.1</v>
      </c>
      <c r="MJ4" s="18">
        <v>14</v>
      </c>
      <c r="MK4" s="18">
        <v>14.88</v>
      </c>
      <c r="ML4" s="18">
        <v>0</v>
      </c>
      <c r="MM4" s="18">
        <v>15.6</v>
      </c>
      <c r="MN4" s="18">
        <v>9.4</v>
      </c>
      <c r="MO4" s="18">
        <v>12.3</v>
      </c>
      <c r="MP4" s="18">
        <v>14.97</v>
      </c>
      <c r="MQ4" s="18">
        <v>0</v>
      </c>
      <c r="MR4" s="18">
        <v>15</v>
      </c>
      <c r="MS4" s="18">
        <v>9.5</v>
      </c>
      <c r="MT4" s="18">
        <v>14.2</v>
      </c>
      <c r="MU4" s="18">
        <v>14.94</v>
      </c>
      <c r="MV4" s="18">
        <v>0</v>
      </c>
      <c r="MW4" s="18"/>
      <c r="MX4" s="18"/>
      <c r="MY4" s="18"/>
      <c r="MZ4" s="18"/>
      <c r="NA4" s="18"/>
      <c r="NB4" s="11">
        <f t="shared" ref="NB4:NB17" si="150">IF(MJ4&gt;0,MJ4,"")</f>
        <v>14</v>
      </c>
      <c r="NC4" s="11">
        <f t="shared" ref="NC4:NC17" si="151">IF(MK4&gt;0,MK4,"")</f>
        <v>14.88</v>
      </c>
      <c r="ND4" s="11">
        <f t="shared" ref="ND4:ND17" si="152">IF(SUM(MH4:MK4)-ML4&gt;0,SUM(MH4:MK4)-ML4,"")</f>
        <v>53.18</v>
      </c>
      <c r="NE4" s="11">
        <f t="shared" ref="NE4:NE17" si="153">IF(MO4&gt;0,MO4,"")</f>
        <v>12.3</v>
      </c>
      <c r="NF4" s="11">
        <f t="shared" ref="NF4:NF17" si="154">IF(MP4&gt;0,MP4,"")</f>
        <v>14.97</v>
      </c>
      <c r="NG4" s="11">
        <f t="shared" ref="NG4:NG17" si="155">IF(SUM(MM4:MP4)-MQ4&gt;0,SUM(MM4:MP4)-MQ4,"")</f>
        <v>52.269999999999996</v>
      </c>
      <c r="NH4" s="11">
        <f t="shared" ref="NH4:NH17" si="156">IF(MAX(ND4,NG4)&gt;0,MAX(ND4,NG4),"")</f>
        <v>53.18</v>
      </c>
      <c r="NI4" s="11">
        <f t="shared" ref="NI4:NI17" si="157">IF(MT4&gt;0,MT4,"")</f>
        <v>14.2</v>
      </c>
      <c r="NJ4" s="11">
        <f t="shared" ref="NJ4:NJ17" si="158">IF(MU4&gt;0,MU4,"")</f>
        <v>14.94</v>
      </c>
      <c r="NK4" s="11">
        <f t="shared" ref="NK4:NK17" si="159">IF(SUM(MR4:MU4)-MV4&gt;0,SUM(MR4:MU4)-MV4,"")</f>
        <v>53.64</v>
      </c>
      <c r="NL4" s="11" t="str">
        <f t="shared" ref="NL4:NL17" si="160">IF(MY4&gt;0,MY4,"")</f>
        <v/>
      </c>
      <c r="NM4" s="11" t="str">
        <f t="shared" ref="NM4:NM17" si="161">IF(MZ4&gt;0,MZ4,"")</f>
        <v/>
      </c>
      <c r="NN4" s="11" t="str">
        <f t="shared" ref="NN4:NN17" si="162">IF(SUM(MW4:MZ4)-NA4&gt;0,SUM(MW4:MZ4)-NA4,"")</f>
        <v/>
      </c>
      <c r="NO4" s="11">
        <f t="shared" ref="NO4:NO17" si="163">IF(SUM(NH4,NK4,NN4)&gt;0,SUM(NH4,NK4,NN4),"")</f>
        <v>106.82</v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1" t="str">
        <f t="shared" ref="OJ4:OJ17" si="164">IF(NR4&gt;0,NR4,"")</f>
        <v/>
      </c>
      <c r="OK4" s="41" t="str">
        <f t="shared" ref="OK4:OK17" si="165">IF(NS4&gt;0,NS4,"")</f>
        <v/>
      </c>
      <c r="OL4" s="41" t="str">
        <f t="shared" ref="OL4:OL17" si="166">IF(SUM(NP4:NS4)-NT4&gt;0,SUM(NP4:NS4)-NT4,"")</f>
        <v/>
      </c>
      <c r="OM4" s="41" t="str">
        <f t="shared" ref="OM4:OM17" si="167">IF(NW4&gt;0,NW4,"")</f>
        <v/>
      </c>
      <c r="ON4" s="41" t="str">
        <f t="shared" ref="ON4:ON17" si="168">IF(NX4&gt;0,NX4,"")</f>
        <v/>
      </c>
      <c r="OO4" s="41" t="str">
        <f t="shared" ref="OO4:OO17" si="169">IF(SUM(NU4:NX4)-NY4&gt;0,SUM(NU4:NX4)-NY4,"")</f>
        <v/>
      </c>
      <c r="OP4" s="41" t="str">
        <f t="shared" ref="OP4:OP17" si="170">IF(MAX(OL4,OO4)&gt;0,MAX(OL4,OO4),"")</f>
        <v/>
      </c>
      <c r="OQ4" s="41" t="str">
        <f t="shared" ref="OQ4:OQ17" si="171">IF(OB4&gt;0,OB4,"")</f>
        <v/>
      </c>
      <c r="OR4" s="41" t="str">
        <f t="shared" ref="OR4:OR17" si="172">IF(OC4&gt;0,OC4,"")</f>
        <v/>
      </c>
      <c r="OS4" s="41" t="str">
        <f t="shared" ref="OS4:OS17" si="173">IF(SUM(NZ4:OC4)-OD4&gt;0,SUM(NZ4:OC4)-OD4,"")</f>
        <v/>
      </c>
      <c r="OT4" s="41" t="str">
        <f t="shared" ref="OT4:OT17" si="174">IF(OG4&gt;0,OG4,"")</f>
        <v/>
      </c>
      <c r="OU4" s="41" t="str">
        <f t="shared" ref="OU4:OU17" si="175">IF(OH4&gt;0,OH4,"")</f>
        <v/>
      </c>
      <c r="OV4" s="41" t="str">
        <f t="shared" ref="OV4:OV17" si="176">IF(SUM(OE4:OH4)-OI4&gt;0,SUM(OE4:OH4)-OI4,"")</f>
        <v/>
      </c>
      <c r="OW4" s="41" t="str">
        <f t="shared" ref="OW4:OW17" si="177">IF(SUM(OP4,OS4,OV4)&gt;0,SUM(OP4,OS4,OV4),"")</f>
        <v/>
      </c>
      <c r="OX4" s="18">
        <v>15</v>
      </c>
      <c r="OY4" s="18">
        <v>9.3000000000000007</v>
      </c>
      <c r="OZ4" s="18">
        <v>13.2</v>
      </c>
      <c r="PA4" s="18">
        <v>14.93</v>
      </c>
      <c r="PB4" s="18">
        <v>0</v>
      </c>
      <c r="PC4" s="18">
        <v>14.6</v>
      </c>
      <c r="PD4" s="18">
        <v>9.3000000000000007</v>
      </c>
      <c r="PE4" s="18">
        <v>13.6</v>
      </c>
      <c r="PF4" s="18">
        <v>14.81</v>
      </c>
      <c r="PG4" s="18">
        <v>0</v>
      </c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>
        <f t="shared" ref="PR4:PR17" si="178">IF(OZ4&gt;0,OZ4,"")</f>
        <v>13.2</v>
      </c>
      <c r="PS4" s="11">
        <f t="shared" ref="PS4:PS17" si="179">IF(PA4&gt;0,PA4,"")</f>
        <v>14.93</v>
      </c>
      <c r="PT4" s="11">
        <f t="shared" ref="PT4:PT17" si="180">IF(SUM(OX4:PA4)-PB4&gt;0,SUM(OX4:PA4)-PB4,"")</f>
        <v>52.43</v>
      </c>
      <c r="PU4" s="11">
        <f t="shared" ref="PU4:PU17" si="181">IF(PE4&gt;0,PE4,"")</f>
        <v>13.6</v>
      </c>
      <c r="PV4" s="11">
        <f t="shared" ref="PV4:PV17" si="182">IF(PF4&gt;0,PF4,"")</f>
        <v>14.81</v>
      </c>
      <c r="PW4" s="11">
        <f t="shared" ref="PW4:PW17" si="183">IF(SUM(PC4:PF4)-PG4&gt;0,SUM(PC4:PF4)-PG4,"")</f>
        <v>52.31</v>
      </c>
      <c r="PX4" s="11">
        <f t="shared" ref="PX4:PX17" si="184">IF(MAX(PT4,PW4)&gt;0,MAX(PT4,PW4),"")</f>
        <v>52.43</v>
      </c>
      <c r="PY4" s="11" t="str">
        <f t="shared" ref="PY4:PY17" si="185">IF(PJ4&gt;0,PJ4,"")</f>
        <v/>
      </c>
      <c r="PZ4" s="11" t="str">
        <f t="shared" ref="PZ4:PZ17" si="186">IF(PK4&gt;0,PK4,"")</f>
        <v/>
      </c>
      <c r="QA4" s="11" t="str">
        <f t="shared" ref="QA4:QA17" si="187">IF(SUM(PH4:PK4)-PL4&gt;0,SUM(PH4:PK4)-PL4,"")</f>
        <v/>
      </c>
      <c r="QB4" s="11" t="str">
        <f t="shared" ref="QB4:QB17" si="188">IF(PO4&gt;0,PO4,"")</f>
        <v/>
      </c>
      <c r="QC4" s="11" t="str">
        <f t="shared" ref="QC4:QC17" si="189">IF(PP4&gt;0,PP4,"")</f>
        <v/>
      </c>
      <c r="QD4" s="11" t="str">
        <f t="shared" ref="QD4:QD17" si="190">IF(SUM(PM4:PP4)-PQ4&gt;0,SUM(PM4:PP4)-PQ4,"")</f>
        <v/>
      </c>
      <c r="QE4" s="11">
        <f t="shared" ref="QE4:QE17" si="191">IF(SUM(PX4,QA4,QD4)&gt;0,SUM(PX4,QA4,QD4),"")</f>
        <v>52.43</v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>
        <v>10.9</v>
      </c>
      <c r="QV4" s="17">
        <v>6</v>
      </c>
      <c r="QW4" s="17">
        <v>9.3000000000000007</v>
      </c>
      <c r="QX4" s="17">
        <v>10.82</v>
      </c>
      <c r="QY4" s="17">
        <v>0</v>
      </c>
      <c r="QZ4" s="41" t="str">
        <f t="shared" ref="QZ4:QZ17" si="192">IF(QH4&gt;0,QH4,"")</f>
        <v/>
      </c>
      <c r="RA4" s="41" t="str">
        <f t="shared" ref="RA4:RA17" si="193">IF(QI4&gt;0,QI4,"")</f>
        <v/>
      </c>
      <c r="RB4" s="41" t="str">
        <f t="shared" ref="RB4:RB17" si="194">IF(SUM(QF4:QI4)-QJ4&gt;0,SUM(QF4:QI4)-QJ4,"")</f>
        <v/>
      </c>
      <c r="RC4" s="41" t="str">
        <f t="shared" ref="RC4:RC17" si="195">IF(QM4&gt;0,QM4,"")</f>
        <v/>
      </c>
      <c r="RD4" s="41" t="str">
        <f t="shared" ref="RD4:RD17" si="196">IF(QN4&gt;0,QN4,"")</f>
        <v/>
      </c>
      <c r="RE4" s="41" t="str">
        <f t="shared" ref="RE4:RE17" si="197">IF(SUM(QK4:QN4)-QO4&gt;0,SUM(QK4:QN4)-QO4,"")</f>
        <v/>
      </c>
      <c r="RF4" s="41" t="str">
        <f t="shared" ref="RF4:RF17" si="198">IF(MAX(RB4,RE4)&gt;0,MAX(RB4,RE4),"")</f>
        <v/>
      </c>
      <c r="RG4" s="41" t="str">
        <f t="shared" ref="RG4:RG17" si="199">IF(QR4&gt;0,QR4,"")</f>
        <v/>
      </c>
      <c r="RH4" s="41" t="str">
        <f t="shared" ref="RH4:RH17" si="200">IF(QS4&gt;0,QS4,"")</f>
        <v/>
      </c>
      <c r="RI4" s="41" t="str">
        <f t="shared" ref="RI4:RI17" si="201">IF(SUM(QP4:QS4)-QT4&gt;0,SUM(QP4:QS4)-QT4,"")</f>
        <v/>
      </c>
      <c r="RJ4" s="41">
        <f t="shared" ref="RJ4:RJ17" si="202">IF(QW4&gt;0,QW4,"")</f>
        <v>9.3000000000000007</v>
      </c>
      <c r="RK4" s="41">
        <f t="shared" ref="RK4:RK17" si="203">IF(QX4&gt;0,QX4,"")</f>
        <v>10.82</v>
      </c>
      <c r="RL4" s="41">
        <f t="shared" ref="RL4:RL17" si="204">IF(SUM(QU4:QX4)-QY4&gt;0,SUM(QU4:QX4)-QY4,"")</f>
        <v>37.019999999999996</v>
      </c>
      <c r="RM4" s="41">
        <f t="shared" ref="RM4:RM17" si="205">IF(SUM(RF4,RI4,RL4)&gt;0,SUM(RF4,RI4,RL4),"")</f>
        <v>37.019999999999996</v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 t="shared" ref="SH4:SH17" si="206">IF(RP4&gt;0,RP4,"")</f>
        <v/>
      </c>
      <c r="SI4" s="11" t="str">
        <f t="shared" ref="SI4:SI17" si="207">IF(RQ4&gt;0,RQ4,"")</f>
        <v/>
      </c>
      <c r="SJ4" s="11" t="str">
        <f t="shared" ref="SJ4:SJ17" si="208">IF(SUM(RN4:RQ4)-RR4&gt;0,SUM(RN4:RQ4)-RR4,"")</f>
        <v/>
      </c>
      <c r="SK4" s="11" t="str">
        <f t="shared" ref="SK4:SK17" si="209">IF(RU4&gt;0,RU4,"")</f>
        <v/>
      </c>
      <c r="SL4" s="11" t="str">
        <f t="shared" ref="SL4:SL17" si="210">IF(RV4&gt;0,RV4,"")</f>
        <v/>
      </c>
      <c r="SM4" s="11" t="str">
        <f t="shared" ref="SM4:SM17" si="211">IF(SUM(RS4:RV4)-RW4&gt;0,SUM(RS4:RV4)-RW4,"")</f>
        <v/>
      </c>
      <c r="SN4" s="11" t="str">
        <f t="shared" ref="SN4:SN17" si="212">IF(MAX(SJ4,SM4)&gt;0,MAX(SJ4,SM4),"")</f>
        <v/>
      </c>
      <c r="SO4" s="11" t="str">
        <f t="shared" ref="SO4:SO17" si="213">IF(RZ4&gt;0,RZ4,"")</f>
        <v/>
      </c>
      <c r="SP4" s="11" t="str">
        <f t="shared" ref="SP4:SP17" si="214">IF(SA4&gt;0,SA4,"")</f>
        <v/>
      </c>
      <c r="SQ4" s="11" t="str">
        <f t="shared" ref="SQ4:SQ17" si="215">IF(SUM(RX4:SA4)-SB4&gt;0,SUM(RX4:SA4)-SB4,"")</f>
        <v/>
      </c>
      <c r="SR4" s="11" t="str">
        <f t="shared" ref="SR4:SR17" si="216">IF(SE4&gt;0,SE4,"")</f>
        <v/>
      </c>
      <c r="SS4" s="11" t="str">
        <f t="shared" ref="SS4:SS17" si="217">IF(SF4&gt;0,SF4,"")</f>
        <v/>
      </c>
      <c r="ST4" s="11" t="str">
        <f t="shared" ref="ST4:ST17" si="218">IF(SUM(SC4:SF4)-SG4&gt;0,SUM(SC4:SF4)-SG4,"")</f>
        <v/>
      </c>
      <c r="SU4" s="11" t="str">
        <f t="shared" ref="SU4:SU17" si="219">IF(SUM(SN4,SQ4,ST4)&gt;0,SUM(SN4,SQ4,ST4),"")</f>
        <v/>
      </c>
      <c r="SV4" s="23">
        <f t="shared" ref="SV4:SV17" si="220">IF($CP4="P",CA4,(CA4+AZ4)/2)</f>
        <v>14.15</v>
      </c>
      <c r="SW4" s="23">
        <f t="shared" ref="SW4:SW17" si="221">IF($CP4="P",CB4,(CB4+BA4)/2)</f>
        <v>9.1</v>
      </c>
      <c r="SX4" s="23">
        <f t="shared" ref="SX4:SX17" si="222">IF($CP4="P",CC4,(CC4+BB4)/2)</f>
        <v>14</v>
      </c>
      <c r="SY4" s="23">
        <f t="shared" ref="SY4:SY17" si="223">IF($CP4="P",CD4,(CD4+BC4)/2)</f>
        <v>15.185</v>
      </c>
      <c r="SZ4" s="23">
        <f t="shared" ref="SZ4:SZ17" si="224">IF($CP4="P",CE4,(CE4+BD4)/2)</f>
        <v>0</v>
      </c>
      <c r="TA4" s="23">
        <f t="shared" ref="TA4:TA17" si="225">IF($CP4="P",CF4,(CF4+BE4)/2)</f>
        <v>10.15</v>
      </c>
      <c r="TB4" s="23">
        <f t="shared" ref="TB4:TB17" si="226">IF($CP4="P",CG4,(CG4+BF4)/2)</f>
        <v>6.35</v>
      </c>
      <c r="TC4" s="23">
        <f t="shared" ref="TC4:TC17" si="227">IF($CP4="P",CH4,(CH4+BG4)/2)</f>
        <v>9.4499999999999993</v>
      </c>
      <c r="TD4" s="23">
        <f t="shared" ref="TD4:TD17" si="228">IF($CP4="P",CI4,(CI4+BH4)/2)</f>
        <v>10.225000000000001</v>
      </c>
      <c r="TE4" s="23">
        <f t="shared" ref="TE4:TE17" si="229">IF($CP4="P",CJ4,(CJ4+BI4)/2)</f>
        <v>0</v>
      </c>
      <c r="TF4" s="23">
        <f t="shared" ref="TF4:TF17" si="230">IF($CP4="P",CK4,(CK4+BJ4)/2)</f>
        <v>12.85</v>
      </c>
      <c r="TG4" s="23">
        <f t="shared" ref="TG4:TG17" si="231">IF($CP4="P",CL4,(CL4+BK4)/2)</f>
        <v>7.4</v>
      </c>
      <c r="TH4" s="23">
        <f t="shared" ref="TH4:TH17" si="232">IF($CP4="P",CM4,(CM4+BL4)/2)</f>
        <v>11.75</v>
      </c>
      <c r="TI4" s="23">
        <f t="shared" ref="TI4:TI17" si="233">IF($CP4="P",CN4,(CN4+BM4)/2)</f>
        <v>12.965</v>
      </c>
      <c r="TJ4" s="23">
        <f t="shared" ref="TJ4:TJ17" si="234">IF($CP4="P",CO4,(CO4+BN4)/2)</f>
        <v>0.1</v>
      </c>
      <c r="TK4" s="28" t="s">
        <v>57</v>
      </c>
      <c r="TL4" s="41">
        <f t="shared" ref="TL4:TL17" si="235">IF(SX4&gt;0,SX4,"")</f>
        <v>14</v>
      </c>
      <c r="TM4" s="41">
        <f t="shared" ref="TM4:TM17" si="236">IF(SY4&gt;0,SY4,"")</f>
        <v>15.185</v>
      </c>
      <c r="TN4" s="41">
        <f t="shared" ref="TN4:TN17" si="237">IF(SUM(SV4:SY4)-SZ4&gt;0,SUM(SV4:SY4)-SZ4,"")</f>
        <v>52.435000000000002</v>
      </c>
      <c r="TO4" s="41">
        <f t="shared" ref="TO4:TO17" si="238">IF(TC4&gt;0,TC4,"")</f>
        <v>9.4499999999999993</v>
      </c>
      <c r="TP4" s="41">
        <f t="shared" ref="TP4:TP17" si="239">IF(TD4&gt;0,TD4,"")</f>
        <v>10.225000000000001</v>
      </c>
      <c r="TQ4" s="41">
        <f t="shared" ref="TQ4:TQ17" si="240">IF(SUM(TA4:TD4)-TE4&gt;0,SUM(TA4:TD4)-TE4,"")</f>
        <v>36.174999999999997</v>
      </c>
      <c r="TR4" s="41">
        <f t="shared" ref="TR4:TR17" si="241">IF(MAX(TN4,TQ4)&gt;0,MAX(TN4,TQ4),"")</f>
        <v>52.435000000000002</v>
      </c>
      <c r="TS4" s="41">
        <f t="shared" ref="TS4:TS17" si="242">IF(TH4&gt;0,TH4,"")</f>
        <v>11.75</v>
      </c>
      <c r="TT4" s="41">
        <f t="shared" ref="TT4:TT17" si="243">IF(TI4&gt;0,TI4,"")</f>
        <v>12.965</v>
      </c>
      <c r="TU4" s="41">
        <f t="shared" ref="TU4:TU17" si="244">IF(SUM(TF4:TI4)-TJ4&gt;0,SUM(TF4:TI4)-TJ4,"")</f>
        <v>44.865000000000002</v>
      </c>
      <c r="TV4" s="41">
        <f t="shared" ref="TV4:TV17" si="245">IF(SUM(TR4,TU4)&gt;0,SUM(TR4,TU4),"")</f>
        <v>97.300000000000011</v>
      </c>
    </row>
    <row r="5" spans="1:542" x14ac:dyDescent="0.2">
      <c r="A5" s="4" cm="1">
        <f t="array" ref="A5">IF(AND(H5&lt;&gt;"",H5&lt;&gt;"No DD"),SUMPRODUCT((H$4:H$18&lt;&gt;"")*(H$4:H$18&lt;&gt;"No DD")*(E$4:E$18&gt;E5))+1,IF(H5="No DD",SUMPRODUCT((H$4:H$18="No DD")*(E$4:E$18&gt;E5))+1+SUMPRODUCT((H$4:H$18&lt;&gt;"")*(H$4:H$18&lt;&gt;"No DD")),""))</f>
        <v>2</v>
      </c>
      <c r="B5" s="5" t="s">
        <v>25</v>
      </c>
      <c r="C5" s="4" t="s">
        <v>8</v>
      </c>
      <c r="D5" s="4">
        <v>1998</v>
      </c>
      <c r="E5" s="9">
        <f t="shared" si="0"/>
        <v>251.62002514800554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IF(COUNT(AQ5,AT5,BR5,BU5,CS5,CV5)&gt;0,LARGE((AQ5,AT5,BR5,BU5,CS5,CV5),1),0)</f>
        <v>55.43</v>
      </c>
      <c r="K5" s="8" t="str">
        <f t="shared" si="5"/>
        <v>2023 Domestic 3rd Trial</v>
      </c>
      <c r="L5" s="8">
        <f>IF(COUNT(AQ5,AT5,BR5,BU5,CS5,CV5)&gt;1,LARGE((AQ5,AT5,BR5,BU5,CS5,CV5),2),0)</f>
        <v>55.19</v>
      </c>
      <c r="M5" s="8" t="str">
        <f t="shared" si="6"/>
        <v>2023 Elite Canada</v>
      </c>
      <c r="N5" s="8">
        <f>IF(COUNT(AQ5,AT5,BR5,BU5,CS5,CV5)&gt;2,LARGE((AQ5,AT5,BR5,BU5,CS5,CV5),3),0)</f>
        <v>55.1</v>
      </c>
      <c r="O5" s="8" t="str">
        <f t="shared" si="7"/>
        <v>2023 Domestic 3rd Trial</v>
      </c>
      <c r="P5" s="8">
        <f t="shared" si="8"/>
        <v>55.33</v>
      </c>
      <c r="Q5" s="8" t="str">
        <f t="shared" si="9"/>
        <v>2023 Elite Canada</v>
      </c>
      <c r="R5" s="8">
        <f t="shared" si="10"/>
        <v>15</v>
      </c>
      <c r="S5" s="8" t="str">
        <f t="shared" si="11"/>
        <v>2023 World Cup BUL (Oct 8)</v>
      </c>
      <c r="T5" s="8">
        <f t="shared" si="12"/>
        <v>15.43</v>
      </c>
      <c r="U5" s="8" t="str">
        <f t="shared" si="13"/>
        <v>2023 Domestic 3rd Trial</v>
      </c>
      <c r="V5" s="8">
        <f t="shared" si="14"/>
        <v>0.13999999999999346</v>
      </c>
      <c r="W5" s="11" t="str">
        <f t="shared" si="15"/>
        <v>(Prelim)</v>
      </c>
      <c r="X5" s="8" t="str">
        <f t="shared" si="16"/>
        <v>2023 World Championships (Nov 12)</v>
      </c>
      <c r="Y5" s="23">
        <v>16.399999999999999</v>
      </c>
      <c r="Z5" s="23">
        <v>9.1999999999999993</v>
      </c>
      <c r="AA5" s="23">
        <v>14.4</v>
      </c>
      <c r="AB5" s="23">
        <v>15.39</v>
      </c>
      <c r="AC5" s="23">
        <v>0.2</v>
      </c>
      <c r="AD5" s="23">
        <v>1.6</v>
      </c>
      <c r="AE5" s="23">
        <v>1</v>
      </c>
      <c r="AF5" s="23">
        <v>2</v>
      </c>
      <c r="AG5" s="23">
        <v>1.76</v>
      </c>
      <c r="AH5" s="23">
        <v>0</v>
      </c>
      <c r="AI5" s="23">
        <v>16.399999999999999</v>
      </c>
      <c r="AJ5" s="23">
        <v>9.3000000000000007</v>
      </c>
      <c r="AK5" s="23">
        <v>14.4</v>
      </c>
      <c r="AL5" s="23">
        <v>15.23</v>
      </c>
      <c r="AM5" s="23">
        <v>0</v>
      </c>
      <c r="AN5" s="28"/>
      <c r="AO5" s="39">
        <f t="shared" si="17"/>
        <v>14.4</v>
      </c>
      <c r="AP5" s="39">
        <f t="shared" si="18"/>
        <v>15.39</v>
      </c>
      <c r="AQ5" s="41">
        <f t="shared" si="19"/>
        <v>55.19</v>
      </c>
      <c r="AR5" s="41">
        <f t="shared" si="20"/>
        <v>2</v>
      </c>
      <c r="AS5" s="41">
        <f t="shared" si="21"/>
        <v>1.76</v>
      </c>
      <c r="AT5" s="41">
        <f t="shared" si="22"/>
        <v>6.3599999999999994</v>
      </c>
      <c r="AU5" s="41">
        <f t="shared" si="23"/>
        <v>55.19</v>
      </c>
      <c r="AV5" s="41">
        <f t="shared" si="24"/>
        <v>14.4</v>
      </c>
      <c r="AW5" s="41">
        <f t="shared" si="25"/>
        <v>15.23</v>
      </c>
      <c r="AX5" s="41">
        <f t="shared" si="26"/>
        <v>55.33</v>
      </c>
      <c r="AY5" s="41">
        <f t="shared" si="27"/>
        <v>110.52</v>
      </c>
      <c r="AZ5" s="27">
        <v>16.3</v>
      </c>
      <c r="BA5" s="27">
        <v>9.6</v>
      </c>
      <c r="BB5" s="27">
        <v>14</v>
      </c>
      <c r="BC5" s="27">
        <v>14.81</v>
      </c>
      <c r="BD5" s="27">
        <v>0</v>
      </c>
      <c r="BE5" s="27">
        <v>5</v>
      </c>
      <c r="BF5" s="27">
        <v>2.6</v>
      </c>
      <c r="BG5" s="27">
        <v>4.9000000000000004</v>
      </c>
      <c r="BH5" s="27">
        <v>4.8</v>
      </c>
      <c r="BI5" s="27">
        <v>0</v>
      </c>
      <c r="BJ5" s="27">
        <v>15</v>
      </c>
      <c r="BK5" s="27">
        <v>8.8000000000000007</v>
      </c>
      <c r="BL5" s="27">
        <v>14</v>
      </c>
      <c r="BM5" s="27">
        <v>14.46</v>
      </c>
      <c r="BN5" s="27">
        <v>0.2</v>
      </c>
      <c r="BO5" s="29"/>
      <c r="BP5" s="40">
        <f t="shared" si="28"/>
        <v>14</v>
      </c>
      <c r="BQ5" s="40">
        <f t="shared" si="29"/>
        <v>14.81</v>
      </c>
      <c r="BR5" s="11">
        <f t="shared" si="30"/>
        <v>54.71</v>
      </c>
      <c r="BS5" s="11">
        <f t="shared" si="31"/>
        <v>4.9000000000000004</v>
      </c>
      <c r="BT5" s="11">
        <f t="shared" si="32"/>
        <v>4.8</v>
      </c>
      <c r="BU5" s="11">
        <f t="shared" si="33"/>
        <v>17.3</v>
      </c>
      <c r="BV5" s="11">
        <f t="shared" si="34"/>
        <v>54.71</v>
      </c>
      <c r="BW5" s="11">
        <f t="shared" si="35"/>
        <v>14</v>
      </c>
      <c r="BX5" s="11">
        <f t="shared" si="36"/>
        <v>14.46</v>
      </c>
      <c r="BY5" s="11">
        <f t="shared" si="37"/>
        <v>52.059999999999995</v>
      </c>
      <c r="BZ5" s="11">
        <f t="shared" si="38"/>
        <v>106.77</v>
      </c>
      <c r="CA5" s="23">
        <v>16.2</v>
      </c>
      <c r="CB5" s="23">
        <v>9.4</v>
      </c>
      <c r="CC5" s="23">
        <v>14.4</v>
      </c>
      <c r="CD5" s="23">
        <v>15.1</v>
      </c>
      <c r="CE5" s="23">
        <v>0</v>
      </c>
      <c r="CF5" s="23">
        <v>16.600000000000001</v>
      </c>
      <c r="CG5" s="23">
        <v>9.4</v>
      </c>
      <c r="CH5" s="23">
        <v>14.4</v>
      </c>
      <c r="CI5" s="23">
        <v>15.43</v>
      </c>
      <c r="CJ5" s="23">
        <v>0.4</v>
      </c>
      <c r="CK5" s="23">
        <v>16</v>
      </c>
      <c r="CL5" s="23">
        <v>9</v>
      </c>
      <c r="CM5" s="23">
        <v>14.4</v>
      </c>
      <c r="CN5" s="23">
        <v>15.36</v>
      </c>
      <c r="CO5" s="23">
        <v>0</v>
      </c>
      <c r="CP5" s="28"/>
      <c r="CQ5" s="39">
        <f t="shared" si="39"/>
        <v>14.4</v>
      </c>
      <c r="CR5" s="39">
        <f t="shared" si="40"/>
        <v>15.1</v>
      </c>
      <c r="CS5" s="41">
        <f t="shared" si="41"/>
        <v>55.1</v>
      </c>
      <c r="CT5" s="41">
        <f t="shared" si="42"/>
        <v>14.4</v>
      </c>
      <c r="CU5" s="41">
        <f t="shared" si="43"/>
        <v>15.43</v>
      </c>
      <c r="CV5" s="41">
        <f t="shared" si="44"/>
        <v>55.43</v>
      </c>
      <c r="CW5" s="41">
        <f t="shared" si="45"/>
        <v>55.43</v>
      </c>
      <c r="CX5" s="41">
        <f t="shared" si="46"/>
        <v>14.4</v>
      </c>
      <c r="CY5" s="41">
        <f t="shared" si="47"/>
        <v>15.36</v>
      </c>
      <c r="CZ5" s="41">
        <f t="shared" si="48"/>
        <v>54.76</v>
      </c>
      <c r="DA5" s="41">
        <f t="shared" si="49"/>
        <v>110.19</v>
      </c>
      <c r="DB5" s="52">
        <f t="shared" si="50"/>
        <v>0.13999999999999346</v>
      </c>
      <c r="DC5" s="52">
        <f t="shared" si="51"/>
        <v>1.9999999999996021E-2</v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1" t="str">
        <f t="shared" si="52"/>
        <v/>
      </c>
      <c r="DY5" s="41" t="str">
        <f t="shared" si="53"/>
        <v/>
      </c>
      <c r="DZ5" s="41" t="str">
        <f t="shared" si="54"/>
        <v/>
      </c>
      <c r="EA5" s="41" t="str">
        <f t="shared" si="55"/>
        <v/>
      </c>
      <c r="EB5" s="41" t="str">
        <f t="shared" si="56"/>
        <v/>
      </c>
      <c r="EC5" s="41" t="str">
        <f t="shared" si="57"/>
        <v/>
      </c>
      <c r="ED5" s="41" t="str">
        <f t="shared" si="58"/>
        <v/>
      </c>
      <c r="EE5" s="41" t="str">
        <f t="shared" si="59"/>
        <v/>
      </c>
      <c r="EF5" s="41" t="str">
        <f t="shared" si="60"/>
        <v/>
      </c>
      <c r="EG5" s="41" t="str">
        <f t="shared" si="61"/>
        <v/>
      </c>
      <c r="EH5" s="41" t="str">
        <f t="shared" si="62"/>
        <v/>
      </c>
      <c r="EI5" s="41" t="str">
        <f t="shared" si="63"/>
        <v/>
      </c>
      <c r="EJ5" s="41" t="str">
        <f t="shared" si="64"/>
        <v/>
      </c>
      <c r="EK5" s="41" t="str">
        <f t="shared" si="65"/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 t="shared" si="66"/>
        <v/>
      </c>
      <c r="FG5" s="11" t="str">
        <f t="shared" si="67"/>
        <v/>
      </c>
      <c r="FH5" s="11" t="str">
        <f t="shared" si="68"/>
        <v/>
      </c>
      <c r="FI5" s="11" t="str">
        <f t="shared" si="69"/>
        <v/>
      </c>
      <c r="FJ5" s="11" t="str">
        <f t="shared" si="70"/>
        <v/>
      </c>
      <c r="FK5" s="11" t="str">
        <f t="shared" si="71"/>
        <v/>
      </c>
      <c r="FL5" s="11" t="str">
        <f t="shared" si="72"/>
        <v/>
      </c>
      <c r="FM5" s="11" t="str">
        <f t="shared" si="73"/>
        <v/>
      </c>
      <c r="FN5" s="11" t="str">
        <f t="shared" si="74"/>
        <v/>
      </c>
      <c r="FO5" s="11" t="str">
        <f t="shared" si="75"/>
        <v/>
      </c>
      <c r="FP5" s="11" t="str">
        <f t="shared" si="76"/>
        <v/>
      </c>
      <c r="FQ5" s="11" t="str">
        <f t="shared" si="77"/>
        <v/>
      </c>
      <c r="FR5" s="11" t="str">
        <f t="shared" si="78"/>
        <v/>
      </c>
      <c r="FS5" s="11" t="str">
        <f t="shared" si="79"/>
        <v/>
      </c>
      <c r="FT5" s="17">
        <v>16.2</v>
      </c>
      <c r="FU5" s="17">
        <v>9.5</v>
      </c>
      <c r="FV5" s="17">
        <v>14</v>
      </c>
      <c r="FW5" s="17">
        <v>14.83</v>
      </c>
      <c r="FX5" s="17">
        <v>0.4</v>
      </c>
      <c r="FY5" s="17">
        <v>15.9</v>
      </c>
      <c r="FZ5" s="17">
        <v>9.4</v>
      </c>
      <c r="GA5" s="17">
        <v>14.4</v>
      </c>
      <c r="GB5" s="17">
        <v>15.01</v>
      </c>
      <c r="GC5" s="17">
        <v>0</v>
      </c>
      <c r="GD5" s="17"/>
      <c r="GE5" s="17"/>
      <c r="GF5" s="17"/>
      <c r="GG5" s="17"/>
      <c r="GH5" s="17"/>
      <c r="GI5" s="17">
        <v>16.600000000000001</v>
      </c>
      <c r="GJ5" s="17">
        <v>9.6999999999999993</v>
      </c>
      <c r="GK5" s="17">
        <v>13.2</v>
      </c>
      <c r="GL5" s="17">
        <v>14.8</v>
      </c>
      <c r="GM5" s="17">
        <v>0</v>
      </c>
      <c r="GN5" s="41">
        <f t="shared" si="80"/>
        <v>14</v>
      </c>
      <c r="GO5" s="41">
        <f t="shared" si="81"/>
        <v>14.83</v>
      </c>
      <c r="GP5" s="41">
        <f t="shared" si="82"/>
        <v>54.13</v>
      </c>
      <c r="GQ5" s="41">
        <f t="shared" si="83"/>
        <v>14.4</v>
      </c>
      <c r="GR5" s="41">
        <f t="shared" si="84"/>
        <v>15.01</v>
      </c>
      <c r="GS5" s="41">
        <f t="shared" si="85"/>
        <v>54.71</v>
      </c>
      <c r="GT5" s="41">
        <f t="shared" si="86"/>
        <v>54.71</v>
      </c>
      <c r="GU5" s="41" t="str">
        <f t="shared" si="87"/>
        <v/>
      </c>
      <c r="GV5" s="41" t="str">
        <f t="shared" si="88"/>
        <v/>
      </c>
      <c r="GW5" s="41" t="str">
        <f t="shared" si="89"/>
        <v/>
      </c>
      <c r="GX5" s="41">
        <f t="shared" si="90"/>
        <v>13.2</v>
      </c>
      <c r="GY5" s="41">
        <f t="shared" si="91"/>
        <v>14.8</v>
      </c>
      <c r="GZ5" s="41">
        <f t="shared" si="92"/>
        <v>54.3</v>
      </c>
      <c r="HA5" s="41">
        <f t="shared" si="93"/>
        <v>109.00999999999999</v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>
        <v>16.600000000000001</v>
      </c>
      <c r="HR5" s="18">
        <v>9.6999999999999993</v>
      </c>
      <c r="HS5" s="18">
        <v>14</v>
      </c>
      <c r="HT5" s="18">
        <v>15.05</v>
      </c>
      <c r="HU5" s="18">
        <v>0</v>
      </c>
      <c r="HV5" s="11" t="str">
        <f t="shared" si="94"/>
        <v/>
      </c>
      <c r="HW5" s="11" t="str">
        <f t="shared" si="95"/>
        <v/>
      </c>
      <c r="HX5" s="11" t="str">
        <f t="shared" si="96"/>
        <v/>
      </c>
      <c r="HY5" s="11" t="str">
        <f t="shared" si="97"/>
        <v/>
      </c>
      <c r="HZ5" s="11" t="str">
        <f t="shared" si="98"/>
        <v/>
      </c>
      <c r="IA5" s="11" t="str">
        <f t="shared" si="99"/>
        <v/>
      </c>
      <c r="IB5" s="11" t="str">
        <f t="shared" si="100"/>
        <v/>
      </c>
      <c r="IC5" s="11" t="str">
        <f t="shared" si="101"/>
        <v/>
      </c>
      <c r="ID5" s="11" t="str">
        <f t="shared" si="102"/>
        <v/>
      </c>
      <c r="IE5" s="11" t="str">
        <f t="shared" si="103"/>
        <v/>
      </c>
      <c r="IF5" s="11">
        <f t="shared" si="104"/>
        <v>14</v>
      </c>
      <c r="IG5" s="11">
        <f t="shared" si="105"/>
        <v>15.05</v>
      </c>
      <c r="IH5" s="11">
        <f t="shared" si="106"/>
        <v>55.349999999999994</v>
      </c>
      <c r="II5" s="11">
        <f t="shared" si="107"/>
        <v>55.349999999999994</v>
      </c>
      <c r="IJ5" s="17">
        <v>14.8</v>
      </c>
      <c r="IK5" s="17">
        <v>9.6999999999999993</v>
      </c>
      <c r="IL5" s="17">
        <v>14.4</v>
      </c>
      <c r="IM5" s="17">
        <v>14.76</v>
      </c>
      <c r="IN5" s="17">
        <v>0</v>
      </c>
      <c r="IO5" s="17">
        <v>15.6</v>
      </c>
      <c r="IP5" s="17">
        <v>9.4</v>
      </c>
      <c r="IQ5" s="17">
        <v>14.4</v>
      </c>
      <c r="IR5" s="17">
        <v>15.13</v>
      </c>
      <c r="IS5" s="17">
        <v>0</v>
      </c>
      <c r="IT5" s="17">
        <v>15.4</v>
      </c>
      <c r="IU5" s="17">
        <v>9.4</v>
      </c>
      <c r="IV5" s="17">
        <v>14.4</v>
      </c>
      <c r="IW5" s="17">
        <v>14.91</v>
      </c>
      <c r="IX5" s="17">
        <v>0</v>
      </c>
      <c r="IY5" s="17">
        <v>1.6</v>
      </c>
      <c r="IZ5" s="17">
        <v>1</v>
      </c>
      <c r="JA5" s="17">
        <v>2</v>
      </c>
      <c r="JB5" s="17">
        <v>1.68</v>
      </c>
      <c r="JC5" s="17">
        <v>0</v>
      </c>
      <c r="JD5" s="41">
        <f t="shared" si="108"/>
        <v>14.4</v>
      </c>
      <c r="JE5" s="41">
        <f t="shared" si="109"/>
        <v>14.76</v>
      </c>
      <c r="JF5" s="41">
        <f t="shared" si="110"/>
        <v>53.66</v>
      </c>
      <c r="JG5" s="41">
        <f t="shared" si="111"/>
        <v>14.4</v>
      </c>
      <c r="JH5" s="41">
        <f t="shared" si="112"/>
        <v>15.13</v>
      </c>
      <c r="JI5" s="41">
        <f t="shared" si="113"/>
        <v>54.53</v>
      </c>
      <c r="JJ5" s="41">
        <f t="shared" si="114"/>
        <v>54.53</v>
      </c>
      <c r="JK5" s="41">
        <f t="shared" si="115"/>
        <v>14.4</v>
      </c>
      <c r="JL5" s="41">
        <f t="shared" si="116"/>
        <v>14.91</v>
      </c>
      <c r="JM5" s="41">
        <f t="shared" si="117"/>
        <v>54.11</v>
      </c>
      <c r="JN5" s="41">
        <f t="shared" si="118"/>
        <v>2</v>
      </c>
      <c r="JO5" s="41">
        <f t="shared" si="119"/>
        <v>1.68</v>
      </c>
      <c r="JP5" s="41">
        <f t="shared" si="120"/>
        <v>6.2799999999999994</v>
      </c>
      <c r="JQ5" s="41">
        <f t="shared" si="121"/>
        <v>114.92</v>
      </c>
      <c r="JR5" s="18">
        <v>14.4</v>
      </c>
      <c r="JS5" s="18">
        <v>8.5</v>
      </c>
      <c r="JT5" s="18">
        <v>12.4</v>
      </c>
      <c r="JU5" s="18">
        <v>13.58</v>
      </c>
      <c r="JV5" s="18">
        <v>0</v>
      </c>
      <c r="JW5" s="18">
        <v>15.7</v>
      </c>
      <c r="JX5" s="18">
        <v>9.6</v>
      </c>
      <c r="JY5" s="18">
        <v>14.4</v>
      </c>
      <c r="JZ5" s="18">
        <v>14.84</v>
      </c>
      <c r="KA5" s="18">
        <v>0</v>
      </c>
      <c r="KB5" s="18">
        <v>16.3</v>
      </c>
      <c r="KC5" s="18">
        <v>9.4</v>
      </c>
      <c r="KD5" s="18">
        <v>14</v>
      </c>
      <c r="KE5" s="18">
        <v>14.87</v>
      </c>
      <c r="KF5" s="18">
        <v>0</v>
      </c>
      <c r="KG5" s="18">
        <v>9.6</v>
      </c>
      <c r="KH5" s="18">
        <v>5.7</v>
      </c>
      <c r="KI5" s="18">
        <v>9.1999999999999993</v>
      </c>
      <c r="KJ5" s="18">
        <v>9.2200000000000006</v>
      </c>
      <c r="KK5" s="18">
        <v>0.2</v>
      </c>
      <c r="KL5" s="11">
        <f t="shared" si="122"/>
        <v>12.4</v>
      </c>
      <c r="KM5" s="11">
        <f t="shared" si="123"/>
        <v>13.58</v>
      </c>
      <c r="KN5" s="11">
        <f t="shared" si="124"/>
        <v>48.879999999999995</v>
      </c>
      <c r="KO5" s="11">
        <f t="shared" si="125"/>
        <v>14.4</v>
      </c>
      <c r="KP5" s="11">
        <f t="shared" si="126"/>
        <v>14.84</v>
      </c>
      <c r="KQ5" s="11">
        <f t="shared" si="127"/>
        <v>54.539999999999992</v>
      </c>
      <c r="KR5" s="11">
        <f t="shared" si="128"/>
        <v>54.539999999999992</v>
      </c>
      <c r="KS5" s="11">
        <f t="shared" si="129"/>
        <v>14</v>
      </c>
      <c r="KT5" s="11">
        <f t="shared" si="130"/>
        <v>14.87</v>
      </c>
      <c r="KU5" s="11">
        <f t="shared" si="131"/>
        <v>54.57</v>
      </c>
      <c r="KV5" s="11">
        <f t="shared" si="132"/>
        <v>9.1999999999999993</v>
      </c>
      <c r="KW5" s="11">
        <f t="shared" si="133"/>
        <v>9.2200000000000006</v>
      </c>
      <c r="KX5" s="11">
        <f t="shared" si="134"/>
        <v>33.519999999999996</v>
      </c>
      <c r="KY5" s="11">
        <f t="shared" si="135"/>
        <v>142.63</v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1" t="str">
        <f t="shared" si="136"/>
        <v/>
      </c>
      <c r="LU5" s="41" t="str">
        <f t="shared" si="137"/>
        <v/>
      </c>
      <c r="LV5" s="41" t="str">
        <f t="shared" si="138"/>
        <v/>
      </c>
      <c r="LW5" s="41" t="str">
        <f t="shared" si="139"/>
        <v/>
      </c>
      <c r="LX5" s="41" t="str">
        <f t="shared" si="140"/>
        <v/>
      </c>
      <c r="LY5" s="41" t="str">
        <f t="shared" si="141"/>
        <v/>
      </c>
      <c r="LZ5" s="41" t="str">
        <f t="shared" si="142"/>
        <v/>
      </c>
      <c r="MA5" s="41" t="str">
        <f t="shared" si="143"/>
        <v/>
      </c>
      <c r="MB5" s="41" t="str">
        <f t="shared" si="144"/>
        <v/>
      </c>
      <c r="MC5" s="41" t="str">
        <f t="shared" si="145"/>
        <v/>
      </c>
      <c r="MD5" s="41" t="str">
        <f t="shared" si="146"/>
        <v/>
      </c>
      <c r="ME5" s="41" t="str">
        <f t="shared" si="147"/>
        <v/>
      </c>
      <c r="MF5" s="41" t="str">
        <f t="shared" si="148"/>
        <v/>
      </c>
      <c r="MG5" s="41" t="str">
        <f t="shared" si="149"/>
        <v/>
      </c>
      <c r="MH5" s="18">
        <v>16.3</v>
      </c>
      <c r="MI5" s="18">
        <v>9.5</v>
      </c>
      <c r="MJ5" s="18">
        <v>14.4</v>
      </c>
      <c r="MK5" s="18">
        <v>14.93</v>
      </c>
      <c r="ML5" s="18">
        <v>0</v>
      </c>
      <c r="MM5" s="18">
        <v>15.6</v>
      </c>
      <c r="MN5" s="18">
        <v>9.6</v>
      </c>
      <c r="MO5" s="18">
        <v>15</v>
      </c>
      <c r="MP5" s="18">
        <v>14.92</v>
      </c>
      <c r="MQ5" s="18">
        <v>0</v>
      </c>
      <c r="MR5" s="18">
        <v>15.7</v>
      </c>
      <c r="MS5" s="18">
        <v>9.6999999999999993</v>
      </c>
      <c r="MT5" s="18">
        <v>14.4</v>
      </c>
      <c r="MU5" s="18">
        <v>15.07</v>
      </c>
      <c r="MV5" s="18">
        <v>0</v>
      </c>
      <c r="MW5" s="18">
        <v>15.6</v>
      </c>
      <c r="MX5" s="18">
        <v>9.4</v>
      </c>
      <c r="MY5" s="18">
        <v>14.4</v>
      </c>
      <c r="MZ5" s="18">
        <v>15.27</v>
      </c>
      <c r="NA5" s="18">
        <v>0</v>
      </c>
      <c r="NB5" s="11">
        <f t="shared" si="150"/>
        <v>14.4</v>
      </c>
      <c r="NC5" s="11">
        <f t="shared" si="151"/>
        <v>14.93</v>
      </c>
      <c r="ND5" s="11">
        <f t="shared" si="152"/>
        <v>55.13</v>
      </c>
      <c r="NE5" s="11">
        <f t="shared" si="153"/>
        <v>15</v>
      </c>
      <c r="NF5" s="11">
        <f t="shared" si="154"/>
        <v>14.92</v>
      </c>
      <c r="NG5" s="11">
        <f t="shared" si="155"/>
        <v>55.120000000000005</v>
      </c>
      <c r="NH5" s="11">
        <f t="shared" si="156"/>
        <v>55.13</v>
      </c>
      <c r="NI5" s="11">
        <f t="shared" si="157"/>
        <v>14.4</v>
      </c>
      <c r="NJ5" s="11">
        <f t="shared" si="158"/>
        <v>15.07</v>
      </c>
      <c r="NK5" s="11">
        <f t="shared" si="159"/>
        <v>54.87</v>
      </c>
      <c r="NL5" s="11">
        <f t="shared" si="160"/>
        <v>14.4</v>
      </c>
      <c r="NM5" s="11">
        <f t="shared" si="161"/>
        <v>15.27</v>
      </c>
      <c r="NN5" s="11">
        <f t="shared" si="162"/>
        <v>54.67</v>
      </c>
      <c r="NO5" s="11">
        <f t="shared" si="163"/>
        <v>164.67000000000002</v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1" t="str">
        <f t="shared" si="164"/>
        <v/>
      </c>
      <c r="OK5" s="41" t="str">
        <f t="shared" si="165"/>
        <v/>
      </c>
      <c r="OL5" s="41" t="str">
        <f t="shared" si="166"/>
        <v/>
      </c>
      <c r="OM5" s="41" t="str">
        <f t="shared" si="167"/>
        <v/>
      </c>
      <c r="ON5" s="41" t="str">
        <f t="shared" si="168"/>
        <v/>
      </c>
      <c r="OO5" s="41" t="str">
        <f t="shared" si="169"/>
        <v/>
      </c>
      <c r="OP5" s="41" t="str">
        <f t="shared" si="170"/>
        <v/>
      </c>
      <c r="OQ5" s="41" t="str">
        <f t="shared" si="171"/>
        <v/>
      </c>
      <c r="OR5" s="41" t="str">
        <f t="shared" si="172"/>
        <v/>
      </c>
      <c r="OS5" s="41" t="str">
        <f t="shared" si="173"/>
        <v/>
      </c>
      <c r="OT5" s="41" t="str">
        <f t="shared" si="174"/>
        <v/>
      </c>
      <c r="OU5" s="41" t="str">
        <f t="shared" si="175"/>
        <v/>
      </c>
      <c r="OV5" s="41" t="str">
        <f t="shared" si="176"/>
        <v/>
      </c>
      <c r="OW5" s="41" t="str">
        <f t="shared" si="177"/>
        <v/>
      </c>
      <c r="OX5" s="18">
        <v>14.7</v>
      </c>
      <c r="OY5" s="18">
        <v>9.1</v>
      </c>
      <c r="OZ5" s="18">
        <v>14.4</v>
      </c>
      <c r="PA5" s="18">
        <v>14.78</v>
      </c>
      <c r="PB5" s="18">
        <v>0</v>
      </c>
      <c r="PC5" s="18">
        <v>16.2</v>
      </c>
      <c r="PD5" s="18">
        <v>9.6</v>
      </c>
      <c r="PE5" s="18">
        <v>14.4</v>
      </c>
      <c r="PF5" s="18">
        <v>15.24</v>
      </c>
      <c r="PG5" s="18">
        <v>0.2</v>
      </c>
      <c r="PH5" s="18">
        <v>15.8</v>
      </c>
      <c r="PI5" s="18">
        <v>9.8000000000000007</v>
      </c>
      <c r="PJ5" s="18">
        <v>14.4</v>
      </c>
      <c r="PK5" s="18">
        <v>14.98</v>
      </c>
      <c r="PL5" s="18">
        <v>0</v>
      </c>
      <c r="PM5" s="18">
        <v>16.100000000000001</v>
      </c>
      <c r="PN5" s="18">
        <v>9.4</v>
      </c>
      <c r="PO5" s="18">
        <v>14.4</v>
      </c>
      <c r="PP5" s="18">
        <v>15.22</v>
      </c>
      <c r="PQ5" s="18">
        <v>0</v>
      </c>
      <c r="PR5" s="11">
        <f t="shared" si="178"/>
        <v>14.4</v>
      </c>
      <c r="PS5" s="11">
        <f t="shared" si="179"/>
        <v>14.78</v>
      </c>
      <c r="PT5" s="11">
        <f t="shared" si="180"/>
        <v>52.98</v>
      </c>
      <c r="PU5" s="11">
        <f t="shared" si="181"/>
        <v>14.4</v>
      </c>
      <c r="PV5" s="11">
        <f t="shared" si="182"/>
        <v>15.24</v>
      </c>
      <c r="PW5" s="11">
        <f t="shared" si="183"/>
        <v>55.239999999999995</v>
      </c>
      <c r="PX5" s="11">
        <f t="shared" si="184"/>
        <v>55.239999999999995</v>
      </c>
      <c r="PY5" s="11">
        <f t="shared" si="185"/>
        <v>14.4</v>
      </c>
      <c r="PZ5" s="11">
        <f t="shared" si="186"/>
        <v>14.98</v>
      </c>
      <c r="QA5" s="11">
        <f t="shared" si="187"/>
        <v>54.980000000000004</v>
      </c>
      <c r="QB5" s="11">
        <f t="shared" si="188"/>
        <v>14.4</v>
      </c>
      <c r="QC5" s="11">
        <f t="shared" si="189"/>
        <v>15.22</v>
      </c>
      <c r="QD5" s="11">
        <f t="shared" si="190"/>
        <v>55.12</v>
      </c>
      <c r="QE5" s="11">
        <f t="shared" si="191"/>
        <v>165.34</v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>
        <v>15.3</v>
      </c>
      <c r="QQ5" s="17">
        <v>9.4</v>
      </c>
      <c r="QR5" s="17">
        <v>14.4</v>
      </c>
      <c r="QS5" s="17">
        <v>14.84</v>
      </c>
      <c r="QT5" s="17">
        <v>0</v>
      </c>
      <c r="QU5" s="17">
        <v>16</v>
      </c>
      <c r="QV5" s="17">
        <v>9.6</v>
      </c>
      <c r="QW5" s="17">
        <v>14.4</v>
      </c>
      <c r="QX5" s="17">
        <v>15.11</v>
      </c>
      <c r="QY5" s="17">
        <v>0</v>
      </c>
      <c r="QZ5" s="41" t="str">
        <f t="shared" si="192"/>
        <v/>
      </c>
      <c r="RA5" s="41" t="str">
        <f t="shared" si="193"/>
        <v/>
      </c>
      <c r="RB5" s="41" t="str">
        <f t="shared" si="194"/>
        <v/>
      </c>
      <c r="RC5" s="41" t="str">
        <f t="shared" si="195"/>
        <v/>
      </c>
      <c r="RD5" s="41" t="str">
        <f t="shared" si="196"/>
        <v/>
      </c>
      <c r="RE5" s="41" t="str">
        <f t="shared" si="197"/>
        <v/>
      </c>
      <c r="RF5" s="41" t="str">
        <f t="shared" si="198"/>
        <v/>
      </c>
      <c r="RG5" s="41">
        <f t="shared" si="199"/>
        <v>14.4</v>
      </c>
      <c r="RH5" s="41">
        <f t="shared" si="200"/>
        <v>14.84</v>
      </c>
      <c r="RI5" s="41">
        <f t="shared" si="201"/>
        <v>53.94</v>
      </c>
      <c r="RJ5" s="41">
        <f t="shared" si="202"/>
        <v>14.4</v>
      </c>
      <c r="RK5" s="41">
        <f t="shared" si="203"/>
        <v>15.11</v>
      </c>
      <c r="RL5" s="41">
        <f t="shared" si="204"/>
        <v>55.11</v>
      </c>
      <c r="RM5" s="41">
        <f t="shared" si="205"/>
        <v>109.05</v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 t="shared" si="206"/>
        <v/>
      </c>
      <c r="SI5" s="11" t="str">
        <f t="shared" si="207"/>
        <v/>
      </c>
      <c r="SJ5" s="11" t="str">
        <f t="shared" si="208"/>
        <v/>
      </c>
      <c r="SK5" s="11" t="str">
        <f t="shared" si="209"/>
        <v/>
      </c>
      <c r="SL5" s="11" t="str">
        <f t="shared" si="210"/>
        <v/>
      </c>
      <c r="SM5" s="11" t="str">
        <f t="shared" si="211"/>
        <v/>
      </c>
      <c r="SN5" s="11" t="str">
        <f t="shared" si="212"/>
        <v/>
      </c>
      <c r="SO5" s="11" t="str">
        <f t="shared" si="213"/>
        <v/>
      </c>
      <c r="SP5" s="11" t="str">
        <f t="shared" si="214"/>
        <v/>
      </c>
      <c r="SQ5" s="11" t="str">
        <f t="shared" si="215"/>
        <v/>
      </c>
      <c r="SR5" s="11" t="str">
        <f t="shared" si="216"/>
        <v/>
      </c>
      <c r="SS5" s="11" t="str">
        <f t="shared" si="217"/>
        <v/>
      </c>
      <c r="ST5" s="11" t="str">
        <f t="shared" si="218"/>
        <v/>
      </c>
      <c r="SU5" s="11" t="str">
        <f t="shared" si="219"/>
        <v/>
      </c>
      <c r="SV5" s="23">
        <f t="shared" si="220"/>
        <v>16.25</v>
      </c>
      <c r="SW5" s="23">
        <f t="shared" si="221"/>
        <v>9.5</v>
      </c>
      <c r="SX5" s="23">
        <f t="shared" si="222"/>
        <v>14.2</v>
      </c>
      <c r="SY5" s="23">
        <f t="shared" si="223"/>
        <v>14.955</v>
      </c>
      <c r="SZ5" s="23">
        <f t="shared" si="224"/>
        <v>0</v>
      </c>
      <c r="TA5" s="23">
        <f t="shared" si="225"/>
        <v>10.8</v>
      </c>
      <c r="TB5" s="23">
        <f t="shared" si="226"/>
        <v>6</v>
      </c>
      <c r="TC5" s="23">
        <f t="shared" si="227"/>
        <v>9.65</v>
      </c>
      <c r="TD5" s="23">
        <f t="shared" si="228"/>
        <v>10.115</v>
      </c>
      <c r="TE5" s="23">
        <f t="shared" si="229"/>
        <v>0.2</v>
      </c>
      <c r="TF5" s="23">
        <f t="shared" si="230"/>
        <v>15.5</v>
      </c>
      <c r="TG5" s="23">
        <f t="shared" si="231"/>
        <v>8.9</v>
      </c>
      <c r="TH5" s="23">
        <f t="shared" si="232"/>
        <v>14.2</v>
      </c>
      <c r="TI5" s="23">
        <f t="shared" si="233"/>
        <v>14.91</v>
      </c>
      <c r="TJ5" s="23">
        <f t="shared" si="234"/>
        <v>0.1</v>
      </c>
      <c r="TK5" s="28" t="s">
        <v>57</v>
      </c>
      <c r="TL5" s="41">
        <f t="shared" si="235"/>
        <v>14.2</v>
      </c>
      <c r="TM5" s="41">
        <f t="shared" si="236"/>
        <v>14.955</v>
      </c>
      <c r="TN5" s="41">
        <f t="shared" si="237"/>
        <v>54.905000000000001</v>
      </c>
      <c r="TO5" s="41">
        <f t="shared" si="238"/>
        <v>9.65</v>
      </c>
      <c r="TP5" s="41">
        <f t="shared" si="239"/>
        <v>10.115</v>
      </c>
      <c r="TQ5" s="41">
        <f t="shared" si="240"/>
        <v>36.365000000000002</v>
      </c>
      <c r="TR5" s="41">
        <f t="shared" si="241"/>
        <v>54.905000000000001</v>
      </c>
      <c r="TS5" s="41">
        <f t="shared" si="242"/>
        <v>14.2</v>
      </c>
      <c r="TT5" s="41">
        <f t="shared" si="243"/>
        <v>14.91</v>
      </c>
      <c r="TU5" s="41">
        <f t="shared" si="244"/>
        <v>53.409999999999989</v>
      </c>
      <c r="TV5" s="41">
        <f t="shared" si="245"/>
        <v>108.315</v>
      </c>
    </row>
    <row r="6" spans="1:542" x14ac:dyDescent="0.2">
      <c r="A6" s="4" cm="1">
        <f t="array" ref="A6">IF(AND(H6&lt;&gt;"",H6&lt;&gt;"No DD"),SUMPRODUCT((H$4:H$18&lt;&gt;"")*(H$4:H$18&lt;&gt;"No DD")*(E$4:E$18&gt;E6))+1,IF(H6="No DD",SUMPRODUCT((H$4:H$18="No DD")*(E$4:E$18&gt;E6))+1+SUMPRODUCT((H$4:H$18&lt;&gt;"")*(H$4:H$18&lt;&gt;"No DD")),""))</f>
        <v>3</v>
      </c>
      <c r="B6" s="5" t="s">
        <v>28</v>
      </c>
      <c r="C6" s="4" t="s">
        <v>3</v>
      </c>
      <c r="D6" s="4">
        <v>1998</v>
      </c>
      <c r="E6" s="9">
        <f t="shared" si="0"/>
        <v>244.90002443400553</v>
      </c>
      <c r="F6" s="3" t="str">
        <f t="shared" si="1"/>
        <v>P</v>
      </c>
      <c r="G6" s="3" t="str">
        <f t="shared" si="2"/>
        <v>P</v>
      </c>
      <c r="H6" s="37" t="str">
        <f t="shared" si="3"/>
        <v>Merit</v>
      </c>
      <c r="I6" s="3" t="str">
        <f t="shared" si="4"/>
        <v>P</v>
      </c>
      <c r="J6" s="8">
        <f>IF(COUNT(AQ6,AT6,BR6,BU6,CS6,CV6)&gt;0,LARGE((AQ6,AT6,BR6,BU6,CS6,CV6),1),0)</f>
        <v>54.900000000000006</v>
      </c>
      <c r="K6" s="8" t="str">
        <f t="shared" si="5"/>
        <v>2023 Domestic 3rd Trial</v>
      </c>
      <c r="L6" s="8">
        <f>IF(COUNT(AQ6,AT6,BR6,BU6,CS6,CV6)&gt;1,LARGE((AQ6,AT6,BR6,BU6,CS6,CV6),2),0)</f>
        <v>53.569999999999993</v>
      </c>
      <c r="M6" s="8" t="str">
        <f t="shared" si="6"/>
        <v>2023 Elite Canada</v>
      </c>
      <c r="N6" s="8">
        <f>IF(COUNT(AQ6,AT6,BR6,BU6,CS6,CV6)&gt;2,LARGE((AQ6,AT6,BR6,BU6,CS6,CV6),3),0)</f>
        <v>53.45</v>
      </c>
      <c r="O6" s="8" t="str">
        <f t="shared" si="7"/>
        <v>2023 Nationals</v>
      </c>
      <c r="P6" s="8">
        <f t="shared" si="8"/>
        <v>52.92</v>
      </c>
      <c r="Q6" s="8" t="str">
        <f t="shared" si="9"/>
        <v>2023 Domestic 3rd Trial</v>
      </c>
      <c r="R6" s="8">
        <f t="shared" si="10"/>
        <v>14.2</v>
      </c>
      <c r="S6" s="8" t="str">
        <f t="shared" si="11"/>
        <v>2023 Domestic 3rd Trial</v>
      </c>
      <c r="T6" s="8">
        <f t="shared" si="12"/>
        <v>15.3</v>
      </c>
      <c r="U6" s="8" t="str">
        <f t="shared" si="13"/>
        <v>2023 Domestic 3rd Trial</v>
      </c>
      <c r="V6" s="8">
        <f t="shared" si="14"/>
        <v>0.55999999999999517</v>
      </c>
      <c r="W6" s="11" t="str">
        <f t="shared" si="15"/>
        <v>(Prelim)</v>
      </c>
      <c r="X6" s="8" t="str">
        <f t="shared" si="16"/>
        <v>2023 World Cup POR 2 (July 8)</v>
      </c>
      <c r="Y6" s="23">
        <v>14.9</v>
      </c>
      <c r="Z6" s="23">
        <v>9.4</v>
      </c>
      <c r="AA6" s="23">
        <v>14</v>
      </c>
      <c r="AB6" s="23">
        <v>15.27</v>
      </c>
      <c r="AC6" s="23">
        <v>0</v>
      </c>
      <c r="AD6" s="23">
        <v>1.6</v>
      </c>
      <c r="AE6" s="23">
        <v>1</v>
      </c>
      <c r="AF6" s="23">
        <v>2</v>
      </c>
      <c r="AG6" s="23">
        <v>1.62</v>
      </c>
      <c r="AH6" s="23">
        <v>0</v>
      </c>
      <c r="AI6" s="23">
        <v>14.9</v>
      </c>
      <c r="AJ6" s="23">
        <v>8.8000000000000007</v>
      </c>
      <c r="AK6" s="23">
        <v>14.2</v>
      </c>
      <c r="AL6" s="23">
        <v>14.83</v>
      </c>
      <c r="AM6" s="23">
        <v>0</v>
      </c>
      <c r="AN6" s="28"/>
      <c r="AO6" s="39">
        <f t="shared" si="17"/>
        <v>14</v>
      </c>
      <c r="AP6" s="39">
        <f t="shared" si="18"/>
        <v>15.27</v>
      </c>
      <c r="AQ6" s="41">
        <f t="shared" si="19"/>
        <v>53.569999999999993</v>
      </c>
      <c r="AR6" s="41">
        <f t="shared" si="20"/>
        <v>2</v>
      </c>
      <c r="AS6" s="41">
        <f t="shared" si="21"/>
        <v>1.62</v>
      </c>
      <c r="AT6" s="41">
        <f t="shared" si="22"/>
        <v>6.22</v>
      </c>
      <c r="AU6" s="41">
        <f t="shared" si="23"/>
        <v>53.569999999999993</v>
      </c>
      <c r="AV6" s="41">
        <f t="shared" si="24"/>
        <v>14.2</v>
      </c>
      <c r="AW6" s="41">
        <f t="shared" si="25"/>
        <v>14.83</v>
      </c>
      <c r="AX6" s="41">
        <f t="shared" si="26"/>
        <v>52.730000000000004</v>
      </c>
      <c r="AY6" s="41">
        <f t="shared" si="27"/>
        <v>106.3</v>
      </c>
      <c r="AZ6" s="27">
        <v>15.3</v>
      </c>
      <c r="BA6" s="27">
        <v>9.4</v>
      </c>
      <c r="BB6" s="27">
        <v>14.2</v>
      </c>
      <c r="BC6" s="27">
        <v>14.55</v>
      </c>
      <c r="BD6" s="27">
        <v>0</v>
      </c>
      <c r="BE6" s="27">
        <v>14.8</v>
      </c>
      <c r="BF6" s="27">
        <v>9.1999999999999993</v>
      </c>
      <c r="BG6" s="27">
        <v>14.2</v>
      </c>
      <c r="BH6" s="27">
        <v>14.45</v>
      </c>
      <c r="BI6" s="27">
        <v>0</v>
      </c>
      <c r="BJ6" s="27">
        <v>14.4</v>
      </c>
      <c r="BK6" s="27">
        <v>8.8000000000000007</v>
      </c>
      <c r="BL6" s="27">
        <v>14.2</v>
      </c>
      <c r="BM6" s="27">
        <v>14.55</v>
      </c>
      <c r="BN6" s="27">
        <v>0</v>
      </c>
      <c r="BO6" s="29"/>
      <c r="BP6" s="40">
        <f t="shared" si="28"/>
        <v>14.2</v>
      </c>
      <c r="BQ6" s="40">
        <f t="shared" si="29"/>
        <v>14.55</v>
      </c>
      <c r="BR6" s="11">
        <f t="shared" si="30"/>
        <v>53.45</v>
      </c>
      <c r="BS6" s="11">
        <f t="shared" si="31"/>
        <v>14.2</v>
      </c>
      <c r="BT6" s="11">
        <f t="shared" si="32"/>
        <v>14.45</v>
      </c>
      <c r="BU6" s="11">
        <f t="shared" si="33"/>
        <v>52.650000000000006</v>
      </c>
      <c r="BV6" s="11">
        <f t="shared" si="34"/>
        <v>53.45</v>
      </c>
      <c r="BW6" s="11">
        <f t="shared" si="35"/>
        <v>14.2</v>
      </c>
      <c r="BX6" s="11">
        <f t="shared" si="36"/>
        <v>14.55</v>
      </c>
      <c r="BY6" s="11">
        <f t="shared" si="37"/>
        <v>51.95</v>
      </c>
      <c r="BZ6" s="11">
        <f t="shared" si="38"/>
        <v>105.4</v>
      </c>
      <c r="CA6" s="23">
        <v>16.100000000000001</v>
      </c>
      <c r="CB6" s="23">
        <v>9.3000000000000007</v>
      </c>
      <c r="CC6" s="23">
        <v>14.2</v>
      </c>
      <c r="CD6" s="23">
        <v>15.3</v>
      </c>
      <c r="CE6" s="23">
        <v>0</v>
      </c>
      <c r="CF6" s="23">
        <v>15.1</v>
      </c>
      <c r="CG6" s="23">
        <v>8.6999999999999993</v>
      </c>
      <c r="CH6" s="23">
        <v>14.2</v>
      </c>
      <c r="CI6" s="23">
        <v>15.25</v>
      </c>
      <c r="CJ6" s="23">
        <v>0</v>
      </c>
      <c r="CK6" s="23">
        <v>15.1</v>
      </c>
      <c r="CL6" s="23">
        <v>8.6</v>
      </c>
      <c r="CM6" s="23">
        <v>14.2</v>
      </c>
      <c r="CN6" s="23">
        <v>15.02</v>
      </c>
      <c r="CO6" s="23">
        <v>0</v>
      </c>
      <c r="CP6" s="28"/>
      <c r="CQ6" s="39">
        <f t="shared" si="39"/>
        <v>14.2</v>
      </c>
      <c r="CR6" s="39">
        <f t="shared" si="40"/>
        <v>15.3</v>
      </c>
      <c r="CS6" s="41">
        <f t="shared" si="41"/>
        <v>54.900000000000006</v>
      </c>
      <c r="CT6" s="41">
        <f t="shared" si="42"/>
        <v>14.2</v>
      </c>
      <c r="CU6" s="41">
        <f t="shared" si="43"/>
        <v>15.25</v>
      </c>
      <c r="CV6" s="41">
        <f t="shared" si="44"/>
        <v>53.25</v>
      </c>
      <c r="CW6" s="41">
        <f t="shared" si="45"/>
        <v>54.900000000000006</v>
      </c>
      <c r="CX6" s="41">
        <f t="shared" si="46"/>
        <v>14.2</v>
      </c>
      <c r="CY6" s="41">
        <f t="shared" si="47"/>
        <v>15.02</v>
      </c>
      <c r="CZ6" s="41">
        <f t="shared" si="48"/>
        <v>52.92</v>
      </c>
      <c r="DA6" s="41">
        <f t="shared" si="49"/>
        <v>107.82000000000001</v>
      </c>
      <c r="DB6" s="52">
        <f t="shared" si="50"/>
        <v>0.55999999999999517</v>
      </c>
      <c r="DC6" s="52">
        <f t="shared" si="51"/>
        <v>7.000000000000739E-2</v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1" t="str">
        <f t="shared" si="52"/>
        <v/>
      </c>
      <c r="DY6" s="41" t="str">
        <f t="shared" si="53"/>
        <v/>
      </c>
      <c r="DZ6" s="41" t="str">
        <f t="shared" si="54"/>
        <v/>
      </c>
      <c r="EA6" s="41" t="str">
        <f t="shared" si="55"/>
        <v/>
      </c>
      <c r="EB6" s="41" t="str">
        <f t="shared" si="56"/>
        <v/>
      </c>
      <c r="EC6" s="41" t="str">
        <f t="shared" si="57"/>
        <v/>
      </c>
      <c r="ED6" s="41" t="str">
        <f t="shared" si="58"/>
        <v/>
      </c>
      <c r="EE6" s="41" t="str">
        <f t="shared" si="59"/>
        <v/>
      </c>
      <c r="EF6" s="41" t="str">
        <f t="shared" si="60"/>
        <v/>
      </c>
      <c r="EG6" s="41" t="str">
        <f t="shared" si="61"/>
        <v/>
      </c>
      <c r="EH6" s="41" t="str">
        <f t="shared" si="62"/>
        <v/>
      </c>
      <c r="EI6" s="41" t="str">
        <f t="shared" si="63"/>
        <v/>
      </c>
      <c r="EJ6" s="41" t="str">
        <f t="shared" si="64"/>
        <v/>
      </c>
      <c r="EK6" s="41" t="str">
        <f t="shared" si="65"/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 t="shared" si="66"/>
        <v/>
      </c>
      <c r="FG6" s="11" t="str">
        <f t="shared" si="67"/>
        <v/>
      </c>
      <c r="FH6" s="11" t="str">
        <f t="shared" si="68"/>
        <v/>
      </c>
      <c r="FI6" s="11" t="str">
        <f t="shared" si="69"/>
        <v/>
      </c>
      <c r="FJ6" s="11" t="str">
        <f t="shared" si="70"/>
        <v/>
      </c>
      <c r="FK6" s="11" t="str">
        <f t="shared" si="71"/>
        <v/>
      </c>
      <c r="FL6" s="11" t="str">
        <f t="shared" si="72"/>
        <v/>
      </c>
      <c r="FM6" s="11" t="str">
        <f t="shared" si="73"/>
        <v/>
      </c>
      <c r="FN6" s="11" t="str">
        <f t="shared" si="74"/>
        <v/>
      </c>
      <c r="FO6" s="11" t="str">
        <f t="shared" si="75"/>
        <v/>
      </c>
      <c r="FP6" s="11" t="str">
        <f t="shared" si="76"/>
        <v/>
      </c>
      <c r="FQ6" s="11" t="str">
        <f t="shared" si="77"/>
        <v/>
      </c>
      <c r="FR6" s="11" t="str">
        <f t="shared" si="78"/>
        <v/>
      </c>
      <c r="FS6" s="11" t="str">
        <f t="shared" si="79"/>
        <v/>
      </c>
      <c r="FT6" s="17">
        <v>13.7</v>
      </c>
      <c r="FU6" s="17">
        <v>8.8000000000000007</v>
      </c>
      <c r="FV6" s="17">
        <v>14.2</v>
      </c>
      <c r="FW6" s="17">
        <v>14.09</v>
      </c>
      <c r="FX6" s="17">
        <v>0</v>
      </c>
      <c r="FY6" s="17">
        <v>14.4</v>
      </c>
      <c r="FZ6" s="17">
        <v>8.8000000000000007</v>
      </c>
      <c r="GA6" s="17">
        <v>14.2</v>
      </c>
      <c r="GB6" s="17">
        <v>14.04</v>
      </c>
      <c r="GC6" s="17">
        <v>0</v>
      </c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1">
        <f t="shared" si="80"/>
        <v>14.2</v>
      </c>
      <c r="GO6" s="41">
        <f t="shared" si="81"/>
        <v>14.09</v>
      </c>
      <c r="GP6" s="41">
        <f t="shared" si="82"/>
        <v>50.790000000000006</v>
      </c>
      <c r="GQ6" s="41">
        <f t="shared" si="83"/>
        <v>14.2</v>
      </c>
      <c r="GR6" s="41">
        <f t="shared" si="84"/>
        <v>14.04</v>
      </c>
      <c r="GS6" s="41">
        <f t="shared" si="85"/>
        <v>51.440000000000005</v>
      </c>
      <c r="GT6" s="41">
        <f t="shared" si="86"/>
        <v>51.440000000000005</v>
      </c>
      <c r="GU6" s="41" t="str">
        <f t="shared" si="87"/>
        <v/>
      </c>
      <c r="GV6" s="41" t="str">
        <f t="shared" si="88"/>
        <v/>
      </c>
      <c r="GW6" s="41" t="str">
        <f t="shared" si="89"/>
        <v/>
      </c>
      <c r="GX6" s="41" t="str">
        <f t="shared" si="90"/>
        <v/>
      </c>
      <c r="GY6" s="41" t="str">
        <f t="shared" si="91"/>
        <v/>
      </c>
      <c r="GZ6" s="41" t="str">
        <f t="shared" si="92"/>
        <v/>
      </c>
      <c r="HA6" s="41">
        <f t="shared" si="93"/>
        <v>51.440000000000005</v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 t="shared" si="94"/>
        <v/>
      </c>
      <c r="HW6" s="11" t="str">
        <f t="shared" si="95"/>
        <v/>
      </c>
      <c r="HX6" s="11" t="str">
        <f t="shared" si="96"/>
        <v/>
      </c>
      <c r="HY6" s="11" t="str">
        <f t="shared" si="97"/>
        <v/>
      </c>
      <c r="HZ6" s="11" t="str">
        <f t="shared" si="98"/>
        <v/>
      </c>
      <c r="IA6" s="11" t="str">
        <f t="shared" si="99"/>
        <v/>
      </c>
      <c r="IB6" s="11" t="str">
        <f t="shared" si="100"/>
        <v/>
      </c>
      <c r="IC6" s="11" t="str">
        <f t="shared" si="101"/>
        <v/>
      </c>
      <c r="ID6" s="11" t="str">
        <f t="shared" si="102"/>
        <v/>
      </c>
      <c r="IE6" s="11" t="str">
        <f t="shared" si="103"/>
        <v/>
      </c>
      <c r="IF6" s="11" t="str">
        <f t="shared" si="104"/>
        <v/>
      </c>
      <c r="IG6" s="11" t="str">
        <f t="shared" si="105"/>
        <v/>
      </c>
      <c r="IH6" s="11" t="str">
        <f t="shared" si="106"/>
        <v/>
      </c>
      <c r="II6" s="11" t="str">
        <f t="shared" si="107"/>
        <v/>
      </c>
      <c r="IJ6" s="17">
        <v>1.4</v>
      </c>
      <c r="IK6" s="17">
        <v>0.8</v>
      </c>
      <c r="IL6" s="17">
        <v>2</v>
      </c>
      <c r="IM6" s="17">
        <v>1.59</v>
      </c>
      <c r="IN6" s="17">
        <v>0</v>
      </c>
      <c r="IO6" s="17">
        <v>5.4</v>
      </c>
      <c r="IP6" s="17">
        <v>3.6</v>
      </c>
      <c r="IQ6" s="17">
        <v>6.3</v>
      </c>
      <c r="IR6" s="17">
        <v>5.95</v>
      </c>
      <c r="IS6" s="17">
        <v>0</v>
      </c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1">
        <f t="shared" si="108"/>
        <v>2</v>
      </c>
      <c r="JE6" s="41">
        <f t="shared" si="109"/>
        <v>1.59</v>
      </c>
      <c r="JF6" s="41">
        <f t="shared" si="110"/>
        <v>5.79</v>
      </c>
      <c r="JG6" s="41">
        <f t="shared" si="111"/>
        <v>6.3</v>
      </c>
      <c r="JH6" s="41">
        <f t="shared" si="112"/>
        <v>5.95</v>
      </c>
      <c r="JI6" s="41">
        <f t="shared" si="113"/>
        <v>21.25</v>
      </c>
      <c r="JJ6" s="41">
        <f t="shared" si="114"/>
        <v>21.25</v>
      </c>
      <c r="JK6" s="41" t="str">
        <f t="shared" si="115"/>
        <v/>
      </c>
      <c r="JL6" s="41" t="str">
        <f t="shared" si="116"/>
        <v/>
      </c>
      <c r="JM6" s="41" t="str">
        <f t="shared" si="117"/>
        <v/>
      </c>
      <c r="JN6" s="41" t="str">
        <f t="shared" si="118"/>
        <v/>
      </c>
      <c r="JO6" s="41" t="str">
        <f t="shared" si="119"/>
        <v/>
      </c>
      <c r="JP6" s="41" t="str">
        <f t="shared" si="120"/>
        <v/>
      </c>
      <c r="JQ6" s="41">
        <f t="shared" si="121"/>
        <v>21.25</v>
      </c>
      <c r="JR6" s="18">
        <v>14.9</v>
      </c>
      <c r="JS6" s="18">
        <v>9</v>
      </c>
      <c r="JT6" s="18">
        <v>13.8</v>
      </c>
      <c r="JU6" s="18">
        <v>14.63</v>
      </c>
      <c r="JV6" s="18">
        <v>0</v>
      </c>
      <c r="JW6" s="18">
        <v>16</v>
      </c>
      <c r="JX6" s="18">
        <v>9.1999999999999993</v>
      </c>
      <c r="JY6" s="18">
        <v>13.8</v>
      </c>
      <c r="JZ6" s="18">
        <v>15.01</v>
      </c>
      <c r="KA6" s="18">
        <v>0</v>
      </c>
      <c r="KB6" s="18">
        <v>15</v>
      </c>
      <c r="KC6" s="18">
        <v>9.6</v>
      </c>
      <c r="KD6" s="18">
        <v>13.8</v>
      </c>
      <c r="KE6" s="18">
        <v>14.59</v>
      </c>
      <c r="KF6" s="18">
        <v>0</v>
      </c>
      <c r="KG6" s="18"/>
      <c r="KH6" s="18"/>
      <c r="KI6" s="18"/>
      <c r="KJ6" s="18"/>
      <c r="KK6" s="18"/>
      <c r="KL6" s="11">
        <f t="shared" si="122"/>
        <v>13.8</v>
      </c>
      <c r="KM6" s="11">
        <f t="shared" si="123"/>
        <v>14.63</v>
      </c>
      <c r="KN6" s="11">
        <f t="shared" si="124"/>
        <v>52.330000000000005</v>
      </c>
      <c r="KO6" s="11">
        <f t="shared" si="125"/>
        <v>13.8</v>
      </c>
      <c r="KP6" s="11">
        <f t="shared" si="126"/>
        <v>15.01</v>
      </c>
      <c r="KQ6" s="11">
        <f t="shared" si="127"/>
        <v>54.01</v>
      </c>
      <c r="KR6" s="11">
        <f t="shared" si="128"/>
        <v>54.01</v>
      </c>
      <c r="KS6" s="11">
        <f t="shared" si="129"/>
        <v>13.8</v>
      </c>
      <c r="KT6" s="11">
        <f t="shared" si="130"/>
        <v>14.59</v>
      </c>
      <c r="KU6" s="11">
        <f t="shared" si="131"/>
        <v>52.990000000000009</v>
      </c>
      <c r="KV6" s="11" t="str">
        <f t="shared" si="132"/>
        <v/>
      </c>
      <c r="KW6" s="11" t="str">
        <f t="shared" si="133"/>
        <v/>
      </c>
      <c r="KX6" s="11" t="str">
        <f t="shared" si="134"/>
        <v/>
      </c>
      <c r="KY6" s="11">
        <f t="shared" si="135"/>
        <v>107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1" t="str">
        <f t="shared" si="136"/>
        <v/>
      </c>
      <c r="LU6" s="41" t="str">
        <f t="shared" si="137"/>
        <v/>
      </c>
      <c r="LV6" s="41" t="str">
        <f t="shared" si="138"/>
        <v/>
      </c>
      <c r="LW6" s="41" t="str">
        <f t="shared" si="139"/>
        <v/>
      </c>
      <c r="LX6" s="41" t="str">
        <f t="shared" si="140"/>
        <v/>
      </c>
      <c r="LY6" s="41" t="str">
        <f t="shared" si="141"/>
        <v/>
      </c>
      <c r="LZ6" s="41" t="str">
        <f t="shared" si="142"/>
        <v/>
      </c>
      <c r="MA6" s="41" t="str">
        <f t="shared" si="143"/>
        <v/>
      </c>
      <c r="MB6" s="41" t="str">
        <f t="shared" si="144"/>
        <v/>
      </c>
      <c r="MC6" s="41" t="str">
        <f t="shared" si="145"/>
        <v/>
      </c>
      <c r="MD6" s="41" t="str">
        <f t="shared" si="146"/>
        <v/>
      </c>
      <c r="ME6" s="41" t="str">
        <f t="shared" si="147"/>
        <v/>
      </c>
      <c r="MF6" s="41" t="str">
        <f t="shared" si="148"/>
        <v/>
      </c>
      <c r="MG6" s="41" t="str">
        <f t="shared" si="149"/>
        <v/>
      </c>
      <c r="MH6" s="18">
        <v>7</v>
      </c>
      <c r="MI6" s="18">
        <v>4.2</v>
      </c>
      <c r="MJ6" s="18">
        <v>7.4</v>
      </c>
      <c r="MK6" s="18">
        <v>7.29</v>
      </c>
      <c r="ML6" s="18">
        <v>0.2</v>
      </c>
      <c r="MM6" s="18">
        <v>13.9</v>
      </c>
      <c r="MN6" s="18">
        <v>8.9</v>
      </c>
      <c r="MO6" s="18">
        <v>13.8</v>
      </c>
      <c r="MP6" s="18">
        <v>13.96</v>
      </c>
      <c r="MQ6" s="18">
        <v>0</v>
      </c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>
        <f t="shared" si="150"/>
        <v>7.4</v>
      </c>
      <c r="NC6" s="11">
        <f t="shared" si="151"/>
        <v>7.29</v>
      </c>
      <c r="ND6" s="11">
        <f t="shared" si="152"/>
        <v>25.69</v>
      </c>
      <c r="NE6" s="11">
        <f t="shared" si="153"/>
        <v>13.8</v>
      </c>
      <c r="NF6" s="11">
        <f t="shared" si="154"/>
        <v>13.96</v>
      </c>
      <c r="NG6" s="11">
        <f t="shared" si="155"/>
        <v>50.56</v>
      </c>
      <c r="NH6" s="11">
        <f t="shared" si="156"/>
        <v>50.56</v>
      </c>
      <c r="NI6" s="11" t="str">
        <f t="shared" si="157"/>
        <v/>
      </c>
      <c r="NJ6" s="11" t="str">
        <f t="shared" si="158"/>
        <v/>
      </c>
      <c r="NK6" s="11" t="str">
        <f t="shared" si="159"/>
        <v/>
      </c>
      <c r="NL6" s="11" t="str">
        <f t="shared" si="160"/>
        <v/>
      </c>
      <c r="NM6" s="11" t="str">
        <f t="shared" si="161"/>
        <v/>
      </c>
      <c r="NN6" s="11" t="str">
        <f t="shared" si="162"/>
        <v/>
      </c>
      <c r="NO6" s="11">
        <f t="shared" si="163"/>
        <v>50.56</v>
      </c>
      <c r="NP6" s="17">
        <v>6</v>
      </c>
      <c r="NQ6" s="17">
        <v>3.8</v>
      </c>
      <c r="NR6" s="17">
        <v>6.1</v>
      </c>
      <c r="NS6" s="17">
        <v>6.16</v>
      </c>
      <c r="NT6" s="17">
        <v>0</v>
      </c>
      <c r="NU6" s="17">
        <v>14.6</v>
      </c>
      <c r="NV6" s="17">
        <v>9.1999999999999993</v>
      </c>
      <c r="NW6" s="17">
        <v>14.2</v>
      </c>
      <c r="NX6" s="17">
        <v>14.5</v>
      </c>
      <c r="NY6" s="17">
        <v>0</v>
      </c>
      <c r="NZ6" s="17"/>
      <c r="OA6" s="17"/>
      <c r="OB6" s="17"/>
      <c r="OC6" s="17"/>
      <c r="OD6" s="17"/>
      <c r="OE6" s="17">
        <v>13.9</v>
      </c>
      <c r="OF6" s="17">
        <v>9</v>
      </c>
      <c r="OG6" s="17">
        <v>12.4</v>
      </c>
      <c r="OH6" s="17">
        <v>14.03</v>
      </c>
      <c r="OI6" s="17">
        <v>0</v>
      </c>
      <c r="OJ6" s="41">
        <f t="shared" si="164"/>
        <v>6.1</v>
      </c>
      <c r="OK6" s="41">
        <f t="shared" si="165"/>
        <v>6.16</v>
      </c>
      <c r="OL6" s="41">
        <f t="shared" si="166"/>
        <v>22.060000000000002</v>
      </c>
      <c r="OM6" s="41">
        <f t="shared" si="167"/>
        <v>14.2</v>
      </c>
      <c r="ON6" s="41">
        <f t="shared" si="168"/>
        <v>14.5</v>
      </c>
      <c r="OO6" s="41">
        <f t="shared" si="169"/>
        <v>52.5</v>
      </c>
      <c r="OP6" s="41">
        <f t="shared" si="170"/>
        <v>52.5</v>
      </c>
      <c r="OQ6" s="41" t="str">
        <f t="shared" si="171"/>
        <v/>
      </c>
      <c r="OR6" s="41" t="str">
        <f t="shared" si="172"/>
        <v/>
      </c>
      <c r="OS6" s="41" t="str">
        <f t="shared" si="173"/>
        <v/>
      </c>
      <c r="OT6" s="41">
        <f t="shared" si="174"/>
        <v>12.4</v>
      </c>
      <c r="OU6" s="41">
        <f t="shared" si="175"/>
        <v>14.03</v>
      </c>
      <c r="OV6" s="41">
        <f t="shared" si="176"/>
        <v>49.33</v>
      </c>
      <c r="OW6" s="41">
        <f t="shared" si="177"/>
        <v>101.83</v>
      </c>
      <c r="OX6" s="18">
        <v>13.1</v>
      </c>
      <c r="OY6" s="18">
        <v>9.1999999999999993</v>
      </c>
      <c r="OZ6" s="18">
        <v>12.9</v>
      </c>
      <c r="PA6" s="18">
        <v>14.27</v>
      </c>
      <c r="PB6" s="18">
        <v>0.2</v>
      </c>
      <c r="PC6" s="18">
        <v>15</v>
      </c>
      <c r="PD6" s="18">
        <v>9.1999999999999993</v>
      </c>
      <c r="PE6" s="18">
        <v>14.2</v>
      </c>
      <c r="PF6" s="18">
        <v>14.58</v>
      </c>
      <c r="PG6" s="18">
        <v>0.2</v>
      </c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>
        <f t="shared" si="178"/>
        <v>12.9</v>
      </c>
      <c r="PS6" s="11">
        <f t="shared" si="179"/>
        <v>14.27</v>
      </c>
      <c r="PT6" s="11">
        <f t="shared" si="180"/>
        <v>49.269999999999996</v>
      </c>
      <c r="PU6" s="11">
        <f t="shared" si="181"/>
        <v>14.2</v>
      </c>
      <c r="PV6" s="11">
        <f t="shared" si="182"/>
        <v>14.58</v>
      </c>
      <c r="PW6" s="11">
        <f t="shared" si="183"/>
        <v>52.779999999999994</v>
      </c>
      <c r="PX6" s="11">
        <f t="shared" si="184"/>
        <v>52.779999999999994</v>
      </c>
      <c r="PY6" s="11" t="str">
        <f t="shared" si="185"/>
        <v/>
      </c>
      <c r="PZ6" s="11" t="str">
        <f t="shared" si="186"/>
        <v/>
      </c>
      <c r="QA6" s="11" t="str">
        <f t="shared" si="187"/>
        <v/>
      </c>
      <c r="QB6" s="11" t="str">
        <f t="shared" si="188"/>
        <v/>
      </c>
      <c r="QC6" s="11" t="str">
        <f t="shared" si="189"/>
        <v/>
      </c>
      <c r="QD6" s="11" t="str">
        <f t="shared" si="190"/>
        <v/>
      </c>
      <c r="QE6" s="11">
        <f t="shared" si="191"/>
        <v>52.779999999999994</v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>
        <v>14.6</v>
      </c>
      <c r="QV6" s="17">
        <v>9</v>
      </c>
      <c r="QW6" s="17">
        <v>14.2</v>
      </c>
      <c r="QX6" s="17">
        <v>14.5</v>
      </c>
      <c r="QY6" s="17">
        <v>0</v>
      </c>
      <c r="QZ6" s="41" t="str">
        <f t="shared" si="192"/>
        <v/>
      </c>
      <c r="RA6" s="41" t="str">
        <f t="shared" si="193"/>
        <v/>
      </c>
      <c r="RB6" s="41" t="str">
        <f t="shared" si="194"/>
        <v/>
      </c>
      <c r="RC6" s="41" t="str">
        <f t="shared" si="195"/>
        <v/>
      </c>
      <c r="RD6" s="41" t="str">
        <f t="shared" si="196"/>
        <v/>
      </c>
      <c r="RE6" s="41" t="str">
        <f t="shared" si="197"/>
        <v/>
      </c>
      <c r="RF6" s="41" t="str">
        <f t="shared" si="198"/>
        <v/>
      </c>
      <c r="RG6" s="41" t="str">
        <f t="shared" si="199"/>
        <v/>
      </c>
      <c r="RH6" s="41" t="str">
        <f t="shared" si="200"/>
        <v/>
      </c>
      <c r="RI6" s="41" t="str">
        <f t="shared" si="201"/>
        <v/>
      </c>
      <c r="RJ6" s="41">
        <f t="shared" si="202"/>
        <v>14.2</v>
      </c>
      <c r="RK6" s="41">
        <f t="shared" si="203"/>
        <v>14.5</v>
      </c>
      <c r="RL6" s="41">
        <f t="shared" si="204"/>
        <v>52.3</v>
      </c>
      <c r="RM6" s="41">
        <f t="shared" si="205"/>
        <v>52.3</v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 t="shared" si="206"/>
        <v/>
      </c>
      <c r="SI6" s="11" t="str">
        <f t="shared" si="207"/>
        <v/>
      </c>
      <c r="SJ6" s="11" t="str">
        <f t="shared" si="208"/>
        <v/>
      </c>
      <c r="SK6" s="11" t="str">
        <f t="shared" si="209"/>
        <v/>
      </c>
      <c r="SL6" s="11" t="str">
        <f t="shared" si="210"/>
        <v/>
      </c>
      <c r="SM6" s="11" t="str">
        <f t="shared" si="211"/>
        <v/>
      </c>
      <c r="SN6" s="11" t="str">
        <f t="shared" si="212"/>
        <v/>
      </c>
      <c r="SO6" s="11" t="str">
        <f t="shared" si="213"/>
        <v/>
      </c>
      <c r="SP6" s="11" t="str">
        <f t="shared" si="214"/>
        <v/>
      </c>
      <c r="SQ6" s="11" t="str">
        <f t="shared" si="215"/>
        <v/>
      </c>
      <c r="SR6" s="11" t="str">
        <f t="shared" si="216"/>
        <v/>
      </c>
      <c r="SS6" s="11" t="str">
        <f t="shared" si="217"/>
        <v/>
      </c>
      <c r="ST6" s="11" t="str">
        <f t="shared" si="218"/>
        <v/>
      </c>
      <c r="SU6" s="11" t="str">
        <f t="shared" si="219"/>
        <v/>
      </c>
      <c r="SV6" s="23">
        <f t="shared" si="220"/>
        <v>15.700000000000001</v>
      </c>
      <c r="SW6" s="23">
        <f t="shared" si="221"/>
        <v>9.3500000000000014</v>
      </c>
      <c r="SX6" s="23">
        <f t="shared" si="222"/>
        <v>14.2</v>
      </c>
      <c r="SY6" s="23">
        <f t="shared" si="223"/>
        <v>14.925000000000001</v>
      </c>
      <c r="SZ6" s="23">
        <f t="shared" si="224"/>
        <v>0</v>
      </c>
      <c r="TA6" s="23">
        <f t="shared" si="225"/>
        <v>14.95</v>
      </c>
      <c r="TB6" s="23">
        <f t="shared" si="226"/>
        <v>8.9499999999999993</v>
      </c>
      <c r="TC6" s="23">
        <f t="shared" si="227"/>
        <v>14.2</v>
      </c>
      <c r="TD6" s="23">
        <f t="shared" si="228"/>
        <v>14.85</v>
      </c>
      <c r="TE6" s="23">
        <f t="shared" si="229"/>
        <v>0</v>
      </c>
      <c r="TF6" s="23">
        <f t="shared" si="230"/>
        <v>14.75</v>
      </c>
      <c r="TG6" s="23">
        <f t="shared" si="231"/>
        <v>8.6999999999999993</v>
      </c>
      <c r="TH6" s="23">
        <f t="shared" si="232"/>
        <v>14.2</v>
      </c>
      <c r="TI6" s="23">
        <f t="shared" si="233"/>
        <v>14.785</v>
      </c>
      <c r="TJ6" s="23">
        <f t="shared" si="234"/>
        <v>0</v>
      </c>
      <c r="TK6" s="28" t="s">
        <v>57</v>
      </c>
      <c r="TL6" s="41">
        <f t="shared" si="235"/>
        <v>14.2</v>
      </c>
      <c r="TM6" s="41">
        <f t="shared" si="236"/>
        <v>14.925000000000001</v>
      </c>
      <c r="TN6" s="41">
        <f t="shared" si="237"/>
        <v>54.174999999999997</v>
      </c>
      <c r="TO6" s="41">
        <f t="shared" si="238"/>
        <v>14.2</v>
      </c>
      <c r="TP6" s="41">
        <f t="shared" si="239"/>
        <v>14.85</v>
      </c>
      <c r="TQ6" s="41">
        <f t="shared" si="240"/>
        <v>52.949999999999996</v>
      </c>
      <c r="TR6" s="41">
        <f t="shared" si="241"/>
        <v>54.174999999999997</v>
      </c>
      <c r="TS6" s="41">
        <f t="shared" si="242"/>
        <v>14.2</v>
      </c>
      <c r="TT6" s="41">
        <f t="shared" si="243"/>
        <v>14.785</v>
      </c>
      <c r="TU6" s="41">
        <f t="shared" si="244"/>
        <v>52.435000000000002</v>
      </c>
      <c r="TV6" s="41">
        <f t="shared" si="245"/>
        <v>106.61</v>
      </c>
    </row>
    <row r="7" spans="1:542" x14ac:dyDescent="0.2">
      <c r="A7" s="4" cm="1">
        <f t="array" ref="A7">IF(AND(H7&lt;&gt;"",H7&lt;&gt;"No DD"),SUMPRODUCT((H$4:H$18&lt;&gt;"")*(H$4:H$18&lt;&gt;"No DD")*(E$4:E$18&gt;E7))+1,IF(H7="No DD",SUMPRODUCT((H$4:H$18="No DD")*(E$4:E$18&gt;E7))+1+SUMPRODUCT((H$4:H$18&lt;&gt;"")*(H$4:H$18&lt;&gt;"No DD")),""))</f>
        <v>4</v>
      </c>
      <c r="B7" s="5" t="s">
        <v>74</v>
      </c>
      <c r="C7" s="4" t="s">
        <v>6</v>
      </c>
      <c r="D7" s="4">
        <v>2001</v>
      </c>
      <c r="E7" s="9">
        <f t="shared" si="0"/>
        <v>238.05002361100523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IF(COUNT(AQ7,AT7,BR7,BU7,CS7,CV7)&gt;0,LARGE((AQ7,AT7,BR7,BU7,CS7,CV7),1),0)</f>
        <v>52.51</v>
      </c>
      <c r="K7" s="8" t="str">
        <f t="shared" si="5"/>
        <v>2023 Nationals</v>
      </c>
      <c r="L7" s="8">
        <f>IF(COUNT(AQ7,AT7,BR7,BU7,CS7,CV7)&gt;1,LARGE((AQ7,AT7,BR7,BU7,CS7,CV7),2),0)</f>
        <v>52.11</v>
      </c>
      <c r="M7" s="8" t="str">
        <f t="shared" si="6"/>
        <v>2023 Domestic 3rd Trial</v>
      </c>
      <c r="N7" s="8">
        <f>IF(COUNT(AQ7,AT7,BR7,BU7,CS7,CV7)&gt;2,LARGE((AQ7,AT7,BR7,BU7,CS7,CV7),3),0)</f>
        <v>49.76</v>
      </c>
      <c r="O7" s="8" t="str">
        <f t="shared" si="7"/>
        <v>2023 Elite Canada</v>
      </c>
      <c r="P7" s="8">
        <f t="shared" si="8"/>
        <v>53.26</v>
      </c>
      <c r="Q7" s="8" t="str">
        <f t="shared" si="9"/>
        <v>2023 Nationals</v>
      </c>
      <c r="R7" s="8">
        <f t="shared" si="10"/>
        <v>13.6</v>
      </c>
      <c r="S7" s="8" t="str">
        <f t="shared" si="11"/>
        <v>2023 Domestic 3rd Trial</v>
      </c>
      <c r="T7" s="8">
        <f t="shared" si="12"/>
        <v>14.87</v>
      </c>
      <c r="U7" s="8" t="str">
        <f t="shared" si="13"/>
        <v>2022 WAGC (Nov 25)</v>
      </c>
      <c r="V7" s="8">
        <f t="shared" si="14"/>
        <v>1.9400000000000048</v>
      </c>
      <c r="W7" s="11" t="str">
        <f t="shared" si="15"/>
        <v>(Prelim)</v>
      </c>
      <c r="X7" s="8" t="str">
        <f t="shared" si="16"/>
        <v>2023 World Cup BUL (Oct 8)</v>
      </c>
      <c r="Y7" s="23">
        <v>9.9</v>
      </c>
      <c r="Z7" s="23">
        <v>6.2</v>
      </c>
      <c r="AA7" s="23">
        <v>9.1999999999999993</v>
      </c>
      <c r="AB7" s="23">
        <v>10.6</v>
      </c>
      <c r="AC7" s="23">
        <v>0</v>
      </c>
      <c r="AD7" s="23">
        <v>12.9</v>
      </c>
      <c r="AE7" s="23">
        <v>9.1</v>
      </c>
      <c r="AF7" s="23">
        <v>13.3</v>
      </c>
      <c r="AG7" s="23">
        <v>14.46</v>
      </c>
      <c r="AH7" s="23">
        <v>0</v>
      </c>
      <c r="AI7" s="23">
        <v>13.5</v>
      </c>
      <c r="AJ7" s="23">
        <v>9.1999999999999993</v>
      </c>
      <c r="AK7" s="23">
        <v>12.7</v>
      </c>
      <c r="AL7" s="23">
        <v>14.34</v>
      </c>
      <c r="AM7" s="23">
        <v>0</v>
      </c>
      <c r="AN7" s="28"/>
      <c r="AO7" s="39">
        <f t="shared" si="17"/>
        <v>9.1999999999999993</v>
      </c>
      <c r="AP7" s="39">
        <f t="shared" si="18"/>
        <v>10.6</v>
      </c>
      <c r="AQ7" s="41">
        <f t="shared" si="19"/>
        <v>35.9</v>
      </c>
      <c r="AR7" s="41">
        <f t="shared" si="20"/>
        <v>13.3</v>
      </c>
      <c r="AS7" s="41">
        <f t="shared" si="21"/>
        <v>14.46</v>
      </c>
      <c r="AT7" s="41">
        <f t="shared" si="22"/>
        <v>49.76</v>
      </c>
      <c r="AU7" s="41">
        <f t="shared" si="23"/>
        <v>49.76</v>
      </c>
      <c r="AV7" s="41">
        <f t="shared" si="24"/>
        <v>12.7</v>
      </c>
      <c r="AW7" s="41">
        <f t="shared" si="25"/>
        <v>14.34</v>
      </c>
      <c r="AX7" s="41">
        <f t="shared" si="26"/>
        <v>49.739999999999995</v>
      </c>
      <c r="AY7" s="41">
        <f t="shared" si="27"/>
        <v>99.5</v>
      </c>
      <c r="AZ7" s="27">
        <v>2.6</v>
      </c>
      <c r="BA7" s="27">
        <v>1.7</v>
      </c>
      <c r="BB7" s="27">
        <v>3.4</v>
      </c>
      <c r="BC7" s="27">
        <v>3.12</v>
      </c>
      <c r="BD7" s="27">
        <v>0</v>
      </c>
      <c r="BE7" s="27">
        <v>15.2</v>
      </c>
      <c r="BF7" s="27">
        <v>9</v>
      </c>
      <c r="BG7" s="27">
        <v>13.6</v>
      </c>
      <c r="BH7" s="27">
        <v>14.71</v>
      </c>
      <c r="BI7" s="27">
        <v>0</v>
      </c>
      <c r="BJ7" s="27">
        <v>15.7</v>
      </c>
      <c r="BK7" s="27">
        <v>9.1999999999999993</v>
      </c>
      <c r="BL7" s="27">
        <v>13.6</v>
      </c>
      <c r="BM7" s="27">
        <v>14.76</v>
      </c>
      <c r="BN7" s="27">
        <v>0</v>
      </c>
      <c r="BO7" s="29"/>
      <c r="BP7" s="40">
        <f t="shared" si="28"/>
        <v>3.4</v>
      </c>
      <c r="BQ7" s="40">
        <f t="shared" si="29"/>
        <v>3.12</v>
      </c>
      <c r="BR7" s="11">
        <f t="shared" si="30"/>
        <v>10.82</v>
      </c>
      <c r="BS7" s="11">
        <f t="shared" si="31"/>
        <v>13.6</v>
      </c>
      <c r="BT7" s="11">
        <f t="shared" si="32"/>
        <v>14.71</v>
      </c>
      <c r="BU7" s="11">
        <f t="shared" si="33"/>
        <v>52.51</v>
      </c>
      <c r="BV7" s="11">
        <f t="shared" si="34"/>
        <v>52.51</v>
      </c>
      <c r="BW7" s="11">
        <f t="shared" si="35"/>
        <v>13.6</v>
      </c>
      <c r="BX7" s="11">
        <f t="shared" si="36"/>
        <v>14.76</v>
      </c>
      <c r="BY7" s="11">
        <f t="shared" si="37"/>
        <v>53.26</v>
      </c>
      <c r="BZ7" s="11">
        <f t="shared" si="38"/>
        <v>105.77</v>
      </c>
      <c r="CA7" s="23">
        <v>14.2</v>
      </c>
      <c r="CB7" s="23">
        <v>9.5</v>
      </c>
      <c r="CC7" s="23">
        <v>13.6</v>
      </c>
      <c r="CD7" s="23">
        <v>14.81</v>
      </c>
      <c r="CE7" s="23">
        <v>0</v>
      </c>
      <c r="CF7" s="23">
        <v>10</v>
      </c>
      <c r="CG7" s="23">
        <v>6.2</v>
      </c>
      <c r="CH7" s="23">
        <v>10.1</v>
      </c>
      <c r="CI7" s="23">
        <v>10.82</v>
      </c>
      <c r="CJ7" s="23">
        <v>0</v>
      </c>
      <c r="CK7" s="23">
        <v>4.0999999999999996</v>
      </c>
      <c r="CL7" s="23">
        <v>2.7</v>
      </c>
      <c r="CM7" s="23">
        <v>5.0999999999999996</v>
      </c>
      <c r="CN7" s="23">
        <v>4.83</v>
      </c>
      <c r="CO7" s="23">
        <v>0</v>
      </c>
      <c r="CP7" s="28"/>
      <c r="CQ7" s="39">
        <f t="shared" si="39"/>
        <v>13.6</v>
      </c>
      <c r="CR7" s="39">
        <f t="shared" si="40"/>
        <v>14.81</v>
      </c>
      <c r="CS7" s="41">
        <f t="shared" si="41"/>
        <v>52.11</v>
      </c>
      <c r="CT7" s="41">
        <f t="shared" si="42"/>
        <v>10.1</v>
      </c>
      <c r="CU7" s="41">
        <f t="shared" si="43"/>
        <v>10.82</v>
      </c>
      <c r="CV7" s="41">
        <f t="shared" si="44"/>
        <v>37.119999999999997</v>
      </c>
      <c r="CW7" s="41">
        <f t="shared" si="45"/>
        <v>52.11</v>
      </c>
      <c r="CX7" s="41">
        <f t="shared" si="46"/>
        <v>5.0999999999999996</v>
      </c>
      <c r="CY7" s="41">
        <f t="shared" si="47"/>
        <v>4.83</v>
      </c>
      <c r="CZ7" s="41">
        <f t="shared" si="48"/>
        <v>16.729999999999997</v>
      </c>
      <c r="DA7" s="41">
        <f t="shared" si="49"/>
        <v>68.84</v>
      </c>
      <c r="DB7" s="52">
        <f t="shared" si="50"/>
        <v>1.9400000000000048</v>
      </c>
      <c r="DC7" s="52" t="str">
        <f t="shared" si="51"/>
        <v/>
      </c>
      <c r="DD7" s="17">
        <v>12.1</v>
      </c>
      <c r="DE7" s="17">
        <v>8.3000000000000007</v>
      </c>
      <c r="DF7" s="17">
        <v>11.7</v>
      </c>
      <c r="DG7" s="17">
        <v>13.36</v>
      </c>
      <c r="DH7" s="17">
        <v>0</v>
      </c>
      <c r="DI7" s="17">
        <v>13.7</v>
      </c>
      <c r="DJ7" s="17">
        <v>8.8000000000000007</v>
      </c>
      <c r="DK7" s="17">
        <v>13.3</v>
      </c>
      <c r="DL7" s="17">
        <v>14.87</v>
      </c>
      <c r="DM7" s="17">
        <v>0</v>
      </c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1">
        <f t="shared" si="52"/>
        <v>11.7</v>
      </c>
      <c r="DY7" s="41">
        <f t="shared" si="53"/>
        <v>13.36</v>
      </c>
      <c r="DZ7" s="41">
        <f t="shared" si="54"/>
        <v>45.459999999999994</v>
      </c>
      <c r="EA7" s="41">
        <f t="shared" si="55"/>
        <v>13.3</v>
      </c>
      <c r="EB7" s="41">
        <f t="shared" si="56"/>
        <v>14.87</v>
      </c>
      <c r="EC7" s="41">
        <f t="shared" si="57"/>
        <v>50.669999999999995</v>
      </c>
      <c r="ED7" s="41">
        <f t="shared" si="58"/>
        <v>50.669999999999995</v>
      </c>
      <c r="EE7" s="41" t="str">
        <f t="shared" si="59"/>
        <v/>
      </c>
      <c r="EF7" s="41" t="str">
        <f t="shared" si="60"/>
        <v/>
      </c>
      <c r="EG7" s="41" t="str">
        <f t="shared" si="61"/>
        <v/>
      </c>
      <c r="EH7" s="41" t="str">
        <f t="shared" si="62"/>
        <v/>
      </c>
      <c r="EI7" s="41" t="str">
        <f t="shared" si="63"/>
        <v/>
      </c>
      <c r="EJ7" s="41" t="str">
        <f t="shared" si="64"/>
        <v/>
      </c>
      <c r="EK7" s="41">
        <f t="shared" si="65"/>
        <v>50.669999999999995</v>
      </c>
      <c r="EL7" s="18">
        <v>13.3</v>
      </c>
      <c r="EM7" s="18">
        <v>9</v>
      </c>
      <c r="EN7" s="18">
        <v>13.3</v>
      </c>
      <c r="EO7" s="18">
        <v>14.51</v>
      </c>
      <c r="EP7" s="18">
        <v>0</v>
      </c>
      <c r="EQ7" s="18">
        <v>12.8</v>
      </c>
      <c r="ER7" s="18">
        <v>8.1999999999999993</v>
      </c>
      <c r="ES7" s="18">
        <v>11.7</v>
      </c>
      <c r="ET7" s="18">
        <v>13.3</v>
      </c>
      <c r="EU7" s="18">
        <v>0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 t="shared" si="66"/>
        <v>13.3</v>
      </c>
      <c r="FG7" s="11">
        <f t="shared" si="67"/>
        <v>14.51</v>
      </c>
      <c r="FH7" s="11">
        <f t="shared" si="68"/>
        <v>50.11</v>
      </c>
      <c r="FI7" s="11">
        <f t="shared" si="69"/>
        <v>11.7</v>
      </c>
      <c r="FJ7" s="11">
        <f t="shared" si="70"/>
        <v>13.3</v>
      </c>
      <c r="FK7" s="11">
        <f t="shared" si="71"/>
        <v>46</v>
      </c>
      <c r="FL7" s="11">
        <f t="shared" si="72"/>
        <v>50.11</v>
      </c>
      <c r="FM7" s="11" t="str">
        <f t="shared" si="73"/>
        <v/>
      </c>
      <c r="FN7" s="11" t="str">
        <f t="shared" si="74"/>
        <v/>
      </c>
      <c r="FO7" s="11" t="str">
        <f t="shared" si="75"/>
        <v/>
      </c>
      <c r="FP7" s="11" t="str">
        <f t="shared" si="76"/>
        <v/>
      </c>
      <c r="FQ7" s="11" t="str">
        <f t="shared" si="77"/>
        <v/>
      </c>
      <c r="FR7" s="11" t="str">
        <f t="shared" si="78"/>
        <v/>
      </c>
      <c r="FS7" s="11">
        <f t="shared" si="79"/>
        <v>50.11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1" t="str">
        <f t="shared" si="80"/>
        <v/>
      </c>
      <c r="GO7" s="41" t="str">
        <f t="shared" si="81"/>
        <v/>
      </c>
      <c r="GP7" s="41" t="str">
        <f t="shared" si="82"/>
        <v/>
      </c>
      <c r="GQ7" s="41" t="str">
        <f t="shared" si="83"/>
        <v/>
      </c>
      <c r="GR7" s="41" t="str">
        <f t="shared" si="84"/>
        <v/>
      </c>
      <c r="GS7" s="41" t="str">
        <f t="shared" si="85"/>
        <v/>
      </c>
      <c r="GT7" s="41" t="str">
        <f t="shared" si="86"/>
        <v/>
      </c>
      <c r="GU7" s="41" t="str">
        <f t="shared" si="87"/>
        <v/>
      </c>
      <c r="GV7" s="41" t="str">
        <f t="shared" si="88"/>
        <v/>
      </c>
      <c r="GW7" s="41" t="str">
        <f t="shared" si="89"/>
        <v/>
      </c>
      <c r="GX7" s="41" t="str">
        <f t="shared" si="90"/>
        <v/>
      </c>
      <c r="GY7" s="41" t="str">
        <f t="shared" si="91"/>
        <v/>
      </c>
      <c r="GZ7" s="41" t="str">
        <f t="shared" si="92"/>
        <v/>
      </c>
      <c r="HA7" s="41" t="str">
        <f t="shared" si="93"/>
        <v/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 t="shared" si="94"/>
        <v/>
      </c>
      <c r="HW7" s="11" t="str">
        <f t="shared" si="95"/>
        <v/>
      </c>
      <c r="HX7" s="11" t="str">
        <f t="shared" si="96"/>
        <v/>
      </c>
      <c r="HY7" s="11" t="str">
        <f t="shared" si="97"/>
        <v/>
      </c>
      <c r="HZ7" s="11" t="str">
        <f t="shared" si="98"/>
        <v/>
      </c>
      <c r="IA7" s="11" t="str">
        <f t="shared" si="99"/>
        <v/>
      </c>
      <c r="IB7" s="11" t="str">
        <f t="shared" si="100"/>
        <v/>
      </c>
      <c r="IC7" s="11" t="str">
        <f t="shared" si="101"/>
        <v/>
      </c>
      <c r="ID7" s="11" t="str">
        <f t="shared" si="102"/>
        <v/>
      </c>
      <c r="IE7" s="11" t="str">
        <f t="shared" si="103"/>
        <v/>
      </c>
      <c r="IF7" s="11" t="str">
        <f t="shared" si="104"/>
        <v/>
      </c>
      <c r="IG7" s="11" t="str">
        <f t="shared" si="105"/>
        <v/>
      </c>
      <c r="IH7" s="11" t="str">
        <f t="shared" si="106"/>
        <v/>
      </c>
      <c r="II7" s="11" t="str">
        <f t="shared" si="107"/>
        <v/>
      </c>
      <c r="IJ7" s="17">
        <v>13.4</v>
      </c>
      <c r="IK7" s="17">
        <v>9</v>
      </c>
      <c r="IL7" s="17">
        <v>13.6</v>
      </c>
      <c r="IM7" s="17">
        <v>14.5</v>
      </c>
      <c r="IN7" s="17">
        <v>0.2</v>
      </c>
      <c r="IO7" s="17">
        <v>13.1</v>
      </c>
      <c r="IP7" s="17">
        <v>9.1</v>
      </c>
      <c r="IQ7" s="17">
        <v>13.6</v>
      </c>
      <c r="IR7" s="17">
        <v>14.5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1">
        <f t="shared" si="108"/>
        <v>13.6</v>
      </c>
      <c r="JE7" s="41">
        <f t="shared" si="109"/>
        <v>14.5</v>
      </c>
      <c r="JF7" s="41">
        <f t="shared" si="110"/>
        <v>50.3</v>
      </c>
      <c r="JG7" s="41">
        <f t="shared" si="111"/>
        <v>13.6</v>
      </c>
      <c r="JH7" s="41">
        <f t="shared" si="112"/>
        <v>14.5</v>
      </c>
      <c r="JI7" s="41">
        <f t="shared" si="113"/>
        <v>50.3</v>
      </c>
      <c r="JJ7" s="41">
        <f t="shared" si="114"/>
        <v>50.3</v>
      </c>
      <c r="JK7" s="41" t="str">
        <f t="shared" si="115"/>
        <v/>
      </c>
      <c r="JL7" s="41" t="str">
        <f t="shared" si="116"/>
        <v/>
      </c>
      <c r="JM7" s="41" t="str">
        <f t="shared" si="117"/>
        <v/>
      </c>
      <c r="JN7" s="41" t="str">
        <f t="shared" si="118"/>
        <v/>
      </c>
      <c r="JO7" s="41" t="str">
        <f t="shared" si="119"/>
        <v/>
      </c>
      <c r="JP7" s="41" t="str">
        <f t="shared" si="120"/>
        <v/>
      </c>
      <c r="JQ7" s="41">
        <f t="shared" si="121"/>
        <v>50.3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 t="shared" si="122"/>
        <v/>
      </c>
      <c r="KM7" s="11" t="str">
        <f t="shared" si="123"/>
        <v/>
      </c>
      <c r="KN7" s="11" t="str">
        <f t="shared" si="124"/>
        <v/>
      </c>
      <c r="KO7" s="11" t="str">
        <f t="shared" si="125"/>
        <v/>
      </c>
      <c r="KP7" s="11" t="str">
        <f t="shared" si="126"/>
        <v/>
      </c>
      <c r="KQ7" s="11" t="str">
        <f t="shared" si="127"/>
        <v/>
      </c>
      <c r="KR7" s="11" t="str">
        <f t="shared" si="128"/>
        <v/>
      </c>
      <c r="KS7" s="11" t="str">
        <f t="shared" si="129"/>
        <v/>
      </c>
      <c r="KT7" s="11" t="str">
        <f t="shared" si="130"/>
        <v/>
      </c>
      <c r="KU7" s="11" t="str">
        <f t="shared" si="131"/>
        <v/>
      </c>
      <c r="KV7" s="11" t="str">
        <f t="shared" si="132"/>
        <v/>
      </c>
      <c r="KW7" s="11" t="str">
        <f t="shared" si="133"/>
        <v/>
      </c>
      <c r="KX7" s="11" t="str">
        <f t="shared" si="134"/>
        <v/>
      </c>
      <c r="KY7" s="11" t="str">
        <f t="shared" si="135"/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1" t="str">
        <f t="shared" si="136"/>
        <v/>
      </c>
      <c r="LU7" s="41" t="str">
        <f t="shared" si="137"/>
        <v/>
      </c>
      <c r="LV7" s="41" t="str">
        <f t="shared" si="138"/>
        <v/>
      </c>
      <c r="LW7" s="41" t="str">
        <f t="shared" si="139"/>
        <v/>
      </c>
      <c r="LX7" s="41" t="str">
        <f t="shared" si="140"/>
        <v/>
      </c>
      <c r="LY7" s="41" t="str">
        <f t="shared" si="141"/>
        <v/>
      </c>
      <c r="LZ7" s="41" t="str">
        <f t="shared" si="142"/>
        <v/>
      </c>
      <c r="MA7" s="41" t="str">
        <f t="shared" si="143"/>
        <v/>
      </c>
      <c r="MB7" s="41" t="str">
        <f t="shared" si="144"/>
        <v/>
      </c>
      <c r="MC7" s="41" t="str">
        <f t="shared" si="145"/>
        <v/>
      </c>
      <c r="MD7" s="41" t="str">
        <f t="shared" si="146"/>
        <v/>
      </c>
      <c r="ME7" s="41" t="str">
        <f t="shared" si="147"/>
        <v/>
      </c>
      <c r="MF7" s="41" t="str">
        <f t="shared" si="148"/>
        <v/>
      </c>
      <c r="MG7" s="41" t="str">
        <f t="shared" si="149"/>
        <v/>
      </c>
      <c r="MH7" s="18">
        <v>12.8</v>
      </c>
      <c r="MI7" s="18">
        <v>9.1999999999999993</v>
      </c>
      <c r="MJ7" s="18">
        <v>13.6</v>
      </c>
      <c r="MK7" s="18">
        <v>14.37</v>
      </c>
      <c r="ML7" s="18">
        <v>0</v>
      </c>
      <c r="MM7" s="18">
        <v>14.3</v>
      </c>
      <c r="MN7" s="18">
        <v>9.1</v>
      </c>
      <c r="MO7" s="18">
        <v>13.6</v>
      </c>
      <c r="MP7" s="18">
        <v>14.7</v>
      </c>
      <c r="MQ7" s="18">
        <v>0</v>
      </c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>
        <f t="shared" si="150"/>
        <v>13.6</v>
      </c>
      <c r="NC7" s="11">
        <f t="shared" si="151"/>
        <v>14.37</v>
      </c>
      <c r="ND7" s="11">
        <f t="shared" si="152"/>
        <v>49.97</v>
      </c>
      <c r="NE7" s="11">
        <f t="shared" si="153"/>
        <v>13.6</v>
      </c>
      <c r="NF7" s="11">
        <f t="shared" si="154"/>
        <v>14.7</v>
      </c>
      <c r="NG7" s="11">
        <f t="shared" si="155"/>
        <v>51.7</v>
      </c>
      <c r="NH7" s="11">
        <f t="shared" si="156"/>
        <v>51.7</v>
      </c>
      <c r="NI7" s="11" t="str">
        <f t="shared" si="157"/>
        <v/>
      </c>
      <c r="NJ7" s="11" t="str">
        <f t="shared" si="158"/>
        <v/>
      </c>
      <c r="NK7" s="11" t="str">
        <f t="shared" si="159"/>
        <v/>
      </c>
      <c r="NL7" s="11" t="str">
        <f t="shared" si="160"/>
        <v/>
      </c>
      <c r="NM7" s="11" t="str">
        <f t="shared" si="161"/>
        <v/>
      </c>
      <c r="NN7" s="11" t="str">
        <f t="shared" si="162"/>
        <v/>
      </c>
      <c r="NO7" s="11">
        <f t="shared" si="163"/>
        <v>51.7</v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1" t="str">
        <f t="shared" si="164"/>
        <v/>
      </c>
      <c r="OK7" s="41" t="str">
        <f t="shared" si="165"/>
        <v/>
      </c>
      <c r="OL7" s="41" t="str">
        <f t="shared" si="166"/>
        <v/>
      </c>
      <c r="OM7" s="41" t="str">
        <f t="shared" si="167"/>
        <v/>
      </c>
      <c r="ON7" s="41" t="str">
        <f t="shared" si="168"/>
        <v/>
      </c>
      <c r="OO7" s="41" t="str">
        <f t="shared" si="169"/>
        <v/>
      </c>
      <c r="OP7" s="41" t="str">
        <f t="shared" si="170"/>
        <v/>
      </c>
      <c r="OQ7" s="41" t="str">
        <f t="shared" si="171"/>
        <v/>
      </c>
      <c r="OR7" s="41" t="str">
        <f t="shared" si="172"/>
        <v/>
      </c>
      <c r="OS7" s="41" t="str">
        <f t="shared" si="173"/>
        <v/>
      </c>
      <c r="OT7" s="41" t="str">
        <f t="shared" si="174"/>
        <v/>
      </c>
      <c r="OU7" s="41" t="str">
        <f t="shared" si="175"/>
        <v/>
      </c>
      <c r="OV7" s="41" t="str">
        <f t="shared" si="176"/>
        <v/>
      </c>
      <c r="OW7" s="41" t="str">
        <f t="shared" si="177"/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 t="shared" si="178"/>
        <v/>
      </c>
      <c r="PS7" s="11" t="str">
        <f t="shared" si="179"/>
        <v/>
      </c>
      <c r="PT7" s="11" t="str">
        <f t="shared" si="180"/>
        <v/>
      </c>
      <c r="PU7" s="11" t="str">
        <f t="shared" si="181"/>
        <v/>
      </c>
      <c r="PV7" s="11" t="str">
        <f t="shared" si="182"/>
        <v/>
      </c>
      <c r="PW7" s="11" t="str">
        <f t="shared" si="183"/>
        <v/>
      </c>
      <c r="PX7" s="11" t="str">
        <f t="shared" si="184"/>
        <v/>
      </c>
      <c r="PY7" s="11" t="str">
        <f t="shared" si="185"/>
        <v/>
      </c>
      <c r="PZ7" s="11" t="str">
        <f t="shared" si="186"/>
        <v/>
      </c>
      <c r="QA7" s="11" t="str">
        <f t="shared" si="187"/>
        <v/>
      </c>
      <c r="QB7" s="11" t="str">
        <f t="shared" si="188"/>
        <v/>
      </c>
      <c r="QC7" s="11" t="str">
        <f t="shared" si="189"/>
        <v/>
      </c>
      <c r="QD7" s="11" t="str">
        <f t="shared" si="190"/>
        <v/>
      </c>
      <c r="QE7" s="11" t="str">
        <f t="shared" si="191"/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1" t="str">
        <f t="shared" si="192"/>
        <v/>
      </c>
      <c r="RA7" s="41" t="str">
        <f t="shared" si="193"/>
        <v/>
      </c>
      <c r="RB7" s="41" t="str">
        <f t="shared" si="194"/>
        <v/>
      </c>
      <c r="RC7" s="41" t="str">
        <f t="shared" si="195"/>
        <v/>
      </c>
      <c r="RD7" s="41" t="str">
        <f t="shared" si="196"/>
        <v/>
      </c>
      <c r="RE7" s="41" t="str">
        <f t="shared" si="197"/>
        <v/>
      </c>
      <c r="RF7" s="41" t="str">
        <f t="shared" si="198"/>
        <v/>
      </c>
      <c r="RG7" s="41" t="str">
        <f t="shared" si="199"/>
        <v/>
      </c>
      <c r="RH7" s="41" t="str">
        <f t="shared" si="200"/>
        <v/>
      </c>
      <c r="RI7" s="41" t="str">
        <f t="shared" si="201"/>
        <v/>
      </c>
      <c r="RJ7" s="41" t="str">
        <f t="shared" si="202"/>
        <v/>
      </c>
      <c r="RK7" s="41" t="str">
        <f t="shared" si="203"/>
        <v/>
      </c>
      <c r="RL7" s="41" t="str">
        <f t="shared" si="204"/>
        <v/>
      </c>
      <c r="RM7" s="41" t="str">
        <f t="shared" si="205"/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 t="shared" si="206"/>
        <v/>
      </c>
      <c r="SI7" s="11" t="str">
        <f t="shared" si="207"/>
        <v/>
      </c>
      <c r="SJ7" s="11" t="str">
        <f t="shared" si="208"/>
        <v/>
      </c>
      <c r="SK7" s="11" t="str">
        <f t="shared" si="209"/>
        <v/>
      </c>
      <c r="SL7" s="11" t="str">
        <f t="shared" si="210"/>
        <v/>
      </c>
      <c r="SM7" s="11" t="str">
        <f t="shared" si="211"/>
        <v/>
      </c>
      <c r="SN7" s="11" t="str">
        <f t="shared" si="212"/>
        <v/>
      </c>
      <c r="SO7" s="11" t="str">
        <f t="shared" si="213"/>
        <v/>
      </c>
      <c r="SP7" s="11" t="str">
        <f t="shared" si="214"/>
        <v/>
      </c>
      <c r="SQ7" s="11" t="str">
        <f t="shared" si="215"/>
        <v/>
      </c>
      <c r="SR7" s="11" t="str">
        <f t="shared" si="216"/>
        <v/>
      </c>
      <c r="SS7" s="11" t="str">
        <f t="shared" si="217"/>
        <v/>
      </c>
      <c r="ST7" s="11" t="str">
        <f t="shared" si="218"/>
        <v/>
      </c>
      <c r="SU7" s="11" t="str">
        <f t="shared" si="219"/>
        <v/>
      </c>
      <c r="SV7" s="23">
        <f t="shared" si="220"/>
        <v>8.4</v>
      </c>
      <c r="SW7" s="23">
        <f t="shared" si="221"/>
        <v>5.6</v>
      </c>
      <c r="SX7" s="23">
        <f t="shared" si="222"/>
        <v>8.5</v>
      </c>
      <c r="SY7" s="23">
        <f t="shared" si="223"/>
        <v>8.9649999999999999</v>
      </c>
      <c r="SZ7" s="23">
        <f t="shared" si="224"/>
        <v>0</v>
      </c>
      <c r="TA7" s="23">
        <f t="shared" si="225"/>
        <v>12.6</v>
      </c>
      <c r="TB7" s="23">
        <f t="shared" si="226"/>
        <v>7.6</v>
      </c>
      <c r="TC7" s="23">
        <f t="shared" si="227"/>
        <v>11.85</v>
      </c>
      <c r="TD7" s="23">
        <f t="shared" si="228"/>
        <v>12.765000000000001</v>
      </c>
      <c r="TE7" s="23">
        <f t="shared" si="229"/>
        <v>0</v>
      </c>
      <c r="TF7" s="23">
        <f t="shared" si="230"/>
        <v>9.8999999999999986</v>
      </c>
      <c r="TG7" s="23">
        <f t="shared" si="231"/>
        <v>5.9499999999999993</v>
      </c>
      <c r="TH7" s="23">
        <f t="shared" si="232"/>
        <v>9.35</v>
      </c>
      <c r="TI7" s="23">
        <f t="shared" si="233"/>
        <v>9.7949999999999999</v>
      </c>
      <c r="TJ7" s="23">
        <f t="shared" si="234"/>
        <v>0</v>
      </c>
      <c r="TK7" s="28" t="s">
        <v>57</v>
      </c>
      <c r="TL7" s="41">
        <f t="shared" si="235"/>
        <v>8.5</v>
      </c>
      <c r="TM7" s="41">
        <f t="shared" si="236"/>
        <v>8.9649999999999999</v>
      </c>
      <c r="TN7" s="41">
        <f t="shared" si="237"/>
        <v>31.465</v>
      </c>
      <c r="TO7" s="41">
        <f t="shared" si="238"/>
        <v>11.85</v>
      </c>
      <c r="TP7" s="41">
        <f t="shared" si="239"/>
        <v>12.765000000000001</v>
      </c>
      <c r="TQ7" s="41">
        <f t="shared" si="240"/>
        <v>44.814999999999998</v>
      </c>
      <c r="TR7" s="41">
        <f t="shared" si="241"/>
        <v>44.814999999999998</v>
      </c>
      <c r="TS7" s="41">
        <f t="shared" si="242"/>
        <v>9.35</v>
      </c>
      <c r="TT7" s="41">
        <f t="shared" si="243"/>
        <v>9.7949999999999999</v>
      </c>
      <c r="TU7" s="41">
        <f t="shared" si="244"/>
        <v>34.994999999999997</v>
      </c>
      <c r="TV7" s="41">
        <f t="shared" si="245"/>
        <v>79.81</v>
      </c>
    </row>
    <row r="8" spans="1:542" x14ac:dyDescent="0.2">
      <c r="A8" s="4" cm="1">
        <f t="array" ref="A8">IF(AND(H8&lt;&gt;"",H8&lt;&gt;"No DD"),SUMPRODUCT((H$4:H$18&lt;&gt;"")*(H$4:H$18&lt;&gt;"No DD")*(E$4:E$18&gt;E8))+1,IF(H8="No DD",SUMPRODUCT((H$4:H$18="No DD")*(E$4:E$18&gt;E8))+1+SUMPRODUCT((H$4:H$18&lt;&gt;"")*(H$4:H$18&lt;&gt;"No DD")),""))</f>
        <v>5</v>
      </c>
      <c r="B8" s="5" t="s">
        <v>156</v>
      </c>
      <c r="C8" s="4" t="s">
        <v>3</v>
      </c>
      <c r="D8" s="4">
        <v>2004</v>
      </c>
      <c r="E8" s="9">
        <f t="shared" si="0"/>
        <v>236.68002363200523</v>
      </c>
      <c r="F8" s="3" t="str">
        <f t="shared" si="1"/>
        <v>P</v>
      </c>
      <c r="G8" s="3" t="str">
        <f t="shared" si="2"/>
        <v>P</v>
      </c>
      <c r="H8" s="37" t="str">
        <f t="shared" si="3"/>
        <v>Excellence</v>
      </c>
      <c r="I8" s="3" t="str">
        <f t="shared" si="4"/>
        <v>P</v>
      </c>
      <c r="J8" s="8">
        <f>IF(COUNT(AQ8,AT8,BR8,BU8,CS8,CV8)&gt;0,LARGE((AQ8,AT8,BR8,BU8,CS8,CV8),1),0)</f>
        <v>52.349999999999994</v>
      </c>
      <c r="K8" s="8" t="str">
        <f t="shared" si="5"/>
        <v>2023 Domestic 3rd Trial</v>
      </c>
      <c r="L8" s="8">
        <f>IF(COUNT(AQ8,AT8,BR8,BU8,CS8,CV8)&gt;1,LARGE((AQ8,AT8,BR8,BU8,CS8,CV8),2),0)</f>
        <v>51.870000000000005</v>
      </c>
      <c r="M8" s="8" t="str">
        <f t="shared" si="6"/>
        <v>2023 Domestic 3rd Trial</v>
      </c>
      <c r="N8" s="8">
        <f>IF(COUNT(AQ8,AT8,BR8,BU8,CS8,CV8)&gt;2,LARGE((AQ8,AT8,BR8,BU8,CS8,CV8),3),0)</f>
        <v>51.149999999999991</v>
      </c>
      <c r="O8" s="8" t="str">
        <f t="shared" si="7"/>
        <v>2023 Elite Canada</v>
      </c>
      <c r="P8" s="8">
        <f t="shared" si="8"/>
        <v>52.400000000000006</v>
      </c>
      <c r="Q8" s="8" t="str">
        <f t="shared" si="9"/>
        <v>2023 Nationals</v>
      </c>
      <c r="R8" s="8">
        <f t="shared" si="10"/>
        <v>13.6</v>
      </c>
      <c r="S8" s="8" t="str">
        <f t="shared" si="11"/>
        <v>2023 Domestic 3rd Trial</v>
      </c>
      <c r="T8" s="8">
        <f t="shared" si="12"/>
        <v>14.95</v>
      </c>
      <c r="U8" s="8" t="str">
        <f t="shared" si="13"/>
        <v>2023 Domestic 3rd Trial</v>
      </c>
      <c r="V8" s="8">
        <f t="shared" si="14"/>
        <v>0.36000000000001364</v>
      </c>
      <c r="W8" s="11" t="str">
        <f t="shared" si="15"/>
        <v>(Prelim)</v>
      </c>
      <c r="X8" s="8" t="str">
        <f t="shared" si="16"/>
        <v>2023 WAGC (Nov 18)</v>
      </c>
      <c r="Y8" s="23">
        <v>11.2</v>
      </c>
      <c r="Z8" s="23">
        <v>9.1</v>
      </c>
      <c r="AA8" s="23">
        <v>11.5</v>
      </c>
      <c r="AB8" s="23">
        <v>14.25</v>
      </c>
      <c r="AC8" s="23">
        <v>0</v>
      </c>
      <c r="AD8" s="23">
        <v>14.8</v>
      </c>
      <c r="AE8" s="23">
        <v>9.6</v>
      </c>
      <c r="AF8" s="23">
        <v>12.7</v>
      </c>
      <c r="AG8" s="23">
        <v>14.05</v>
      </c>
      <c r="AH8" s="23">
        <v>0</v>
      </c>
      <c r="AI8" s="23">
        <v>14.9</v>
      </c>
      <c r="AJ8" s="23">
        <v>9.6999999999999993</v>
      </c>
      <c r="AK8" s="23">
        <v>12.7</v>
      </c>
      <c r="AL8" s="23">
        <v>14.33</v>
      </c>
      <c r="AM8" s="23">
        <v>0</v>
      </c>
      <c r="AN8" s="28"/>
      <c r="AO8" s="39">
        <f t="shared" si="17"/>
        <v>11.5</v>
      </c>
      <c r="AP8" s="39">
        <f t="shared" si="18"/>
        <v>14.25</v>
      </c>
      <c r="AQ8" s="41">
        <f t="shared" si="19"/>
        <v>46.05</v>
      </c>
      <c r="AR8" s="41">
        <f t="shared" si="20"/>
        <v>12.7</v>
      </c>
      <c r="AS8" s="41">
        <f t="shared" si="21"/>
        <v>14.05</v>
      </c>
      <c r="AT8" s="41">
        <f t="shared" si="22"/>
        <v>51.149999999999991</v>
      </c>
      <c r="AU8" s="41">
        <f t="shared" si="23"/>
        <v>51.149999999999991</v>
      </c>
      <c r="AV8" s="41">
        <f t="shared" si="24"/>
        <v>12.7</v>
      </c>
      <c r="AW8" s="41">
        <f t="shared" si="25"/>
        <v>14.33</v>
      </c>
      <c r="AX8" s="41">
        <f t="shared" si="26"/>
        <v>51.629999999999995</v>
      </c>
      <c r="AY8" s="41">
        <f t="shared" si="27"/>
        <v>102.77999999999999</v>
      </c>
      <c r="AZ8" s="27">
        <v>13.5</v>
      </c>
      <c r="BA8" s="27">
        <v>9.8000000000000007</v>
      </c>
      <c r="BB8" s="27">
        <v>13.4</v>
      </c>
      <c r="BC8" s="27">
        <v>14.14</v>
      </c>
      <c r="BD8" s="27">
        <v>0</v>
      </c>
      <c r="BE8" s="27">
        <v>1.4</v>
      </c>
      <c r="BF8" s="27">
        <v>0.8</v>
      </c>
      <c r="BG8" s="27">
        <v>2</v>
      </c>
      <c r="BH8" s="27">
        <v>1.53</v>
      </c>
      <c r="BI8" s="27">
        <v>0</v>
      </c>
      <c r="BJ8" s="27">
        <v>14.9</v>
      </c>
      <c r="BK8" s="27">
        <v>9.1999999999999993</v>
      </c>
      <c r="BL8" s="27">
        <v>13.6</v>
      </c>
      <c r="BM8" s="27">
        <v>14.7</v>
      </c>
      <c r="BN8" s="27">
        <v>0</v>
      </c>
      <c r="BO8" s="29"/>
      <c r="BP8" s="40">
        <f t="shared" si="28"/>
        <v>13.4</v>
      </c>
      <c r="BQ8" s="40">
        <f t="shared" si="29"/>
        <v>14.14</v>
      </c>
      <c r="BR8" s="11">
        <f t="shared" si="30"/>
        <v>50.84</v>
      </c>
      <c r="BS8" s="11">
        <f t="shared" si="31"/>
        <v>2</v>
      </c>
      <c r="BT8" s="11">
        <f t="shared" si="32"/>
        <v>1.53</v>
      </c>
      <c r="BU8" s="11">
        <f t="shared" si="33"/>
        <v>5.73</v>
      </c>
      <c r="BV8" s="11">
        <f t="shared" si="34"/>
        <v>50.84</v>
      </c>
      <c r="BW8" s="11">
        <f t="shared" si="35"/>
        <v>13.6</v>
      </c>
      <c r="BX8" s="11">
        <f t="shared" si="36"/>
        <v>14.7</v>
      </c>
      <c r="BY8" s="11">
        <f t="shared" si="37"/>
        <v>52.400000000000006</v>
      </c>
      <c r="BZ8" s="11">
        <f t="shared" si="38"/>
        <v>103.24000000000001</v>
      </c>
      <c r="CA8" s="23">
        <v>14.3</v>
      </c>
      <c r="CB8" s="23">
        <v>9.4</v>
      </c>
      <c r="CC8" s="23">
        <v>13.4</v>
      </c>
      <c r="CD8" s="23">
        <v>14.77</v>
      </c>
      <c r="CE8" s="23">
        <v>0</v>
      </c>
      <c r="CF8" s="23">
        <v>14.2</v>
      </c>
      <c r="CG8" s="23">
        <v>9.6</v>
      </c>
      <c r="CH8" s="23">
        <v>13.6</v>
      </c>
      <c r="CI8" s="23">
        <v>14.95</v>
      </c>
      <c r="CJ8" s="23">
        <v>0</v>
      </c>
      <c r="CK8" s="23">
        <v>13.1</v>
      </c>
      <c r="CL8" s="23">
        <v>8.3000000000000007</v>
      </c>
      <c r="CM8" s="23">
        <v>13.6</v>
      </c>
      <c r="CN8" s="23">
        <v>14.1</v>
      </c>
      <c r="CO8" s="23">
        <v>0</v>
      </c>
      <c r="CP8" s="28"/>
      <c r="CQ8" s="39">
        <f t="shared" si="39"/>
        <v>13.4</v>
      </c>
      <c r="CR8" s="39">
        <f t="shared" si="40"/>
        <v>14.77</v>
      </c>
      <c r="CS8" s="41">
        <f t="shared" si="41"/>
        <v>51.870000000000005</v>
      </c>
      <c r="CT8" s="41">
        <f t="shared" si="42"/>
        <v>13.6</v>
      </c>
      <c r="CU8" s="41">
        <f t="shared" si="43"/>
        <v>14.95</v>
      </c>
      <c r="CV8" s="41">
        <f t="shared" si="44"/>
        <v>52.349999999999994</v>
      </c>
      <c r="CW8" s="41">
        <f t="shared" si="45"/>
        <v>52.349999999999994</v>
      </c>
      <c r="CX8" s="41">
        <f t="shared" si="46"/>
        <v>13.6</v>
      </c>
      <c r="CY8" s="41">
        <f t="shared" si="47"/>
        <v>14.1</v>
      </c>
      <c r="CZ8" s="41">
        <f t="shared" si="48"/>
        <v>49.1</v>
      </c>
      <c r="DA8" s="41">
        <f t="shared" si="49"/>
        <v>101.44999999999999</v>
      </c>
      <c r="DB8" s="52">
        <f t="shared" si="50"/>
        <v>0.36000000000001364</v>
      </c>
      <c r="DC8" s="52" t="str">
        <f t="shared" si="51"/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1" t="str">
        <f t="shared" si="52"/>
        <v/>
      </c>
      <c r="DY8" s="41" t="str">
        <f t="shared" si="53"/>
        <v/>
      </c>
      <c r="DZ8" s="41" t="str">
        <f t="shared" si="54"/>
        <v/>
      </c>
      <c r="EA8" s="41" t="str">
        <f t="shared" si="55"/>
        <v/>
      </c>
      <c r="EB8" s="41" t="str">
        <f t="shared" si="56"/>
        <v/>
      </c>
      <c r="EC8" s="41" t="str">
        <f t="shared" si="57"/>
        <v/>
      </c>
      <c r="ED8" s="41" t="str">
        <f t="shared" si="58"/>
        <v/>
      </c>
      <c r="EE8" s="41" t="str">
        <f t="shared" si="59"/>
        <v/>
      </c>
      <c r="EF8" s="41" t="str">
        <f t="shared" si="60"/>
        <v/>
      </c>
      <c r="EG8" s="41" t="str">
        <f t="shared" si="61"/>
        <v/>
      </c>
      <c r="EH8" s="41" t="str">
        <f t="shared" si="62"/>
        <v/>
      </c>
      <c r="EI8" s="41" t="str">
        <f t="shared" si="63"/>
        <v/>
      </c>
      <c r="EJ8" s="41" t="str">
        <f t="shared" si="64"/>
        <v/>
      </c>
      <c r="EK8" s="41" t="str">
        <f t="shared" si="65"/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 t="shared" si="66"/>
        <v/>
      </c>
      <c r="FG8" s="11" t="str">
        <f t="shared" si="67"/>
        <v/>
      </c>
      <c r="FH8" s="11" t="str">
        <f t="shared" si="68"/>
        <v/>
      </c>
      <c r="FI8" s="11" t="str">
        <f t="shared" si="69"/>
        <v/>
      </c>
      <c r="FJ8" s="11" t="str">
        <f t="shared" si="70"/>
        <v/>
      </c>
      <c r="FK8" s="11" t="str">
        <f t="shared" si="71"/>
        <v/>
      </c>
      <c r="FL8" s="11" t="str">
        <f t="shared" si="72"/>
        <v/>
      </c>
      <c r="FM8" s="11" t="str">
        <f t="shared" si="73"/>
        <v/>
      </c>
      <c r="FN8" s="11" t="str">
        <f t="shared" si="74"/>
        <v/>
      </c>
      <c r="FO8" s="11" t="str">
        <f t="shared" si="75"/>
        <v/>
      </c>
      <c r="FP8" s="11" t="str">
        <f t="shared" si="76"/>
        <v/>
      </c>
      <c r="FQ8" s="11" t="str">
        <f t="shared" si="77"/>
        <v/>
      </c>
      <c r="FR8" s="11" t="str">
        <f t="shared" si="78"/>
        <v/>
      </c>
      <c r="FS8" s="11" t="str">
        <f t="shared" si="79"/>
        <v/>
      </c>
      <c r="FT8" s="17">
        <v>13.8</v>
      </c>
      <c r="FU8" s="17">
        <v>9.5</v>
      </c>
      <c r="FV8" s="17">
        <v>12.7</v>
      </c>
      <c r="FW8" s="17">
        <v>14.7</v>
      </c>
      <c r="FX8" s="17">
        <v>0</v>
      </c>
      <c r="FY8" s="17">
        <v>14</v>
      </c>
      <c r="FZ8" s="17">
        <v>8.8000000000000007</v>
      </c>
      <c r="GA8" s="17">
        <v>12.9</v>
      </c>
      <c r="GB8" s="17">
        <v>14.44</v>
      </c>
      <c r="GC8" s="17">
        <v>0</v>
      </c>
      <c r="GD8" s="17"/>
      <c r="GE8" s="17"/>
      <c r="GF8" s="17"/>
      <c r="GG8" s="17"/>
      <c r="GH8" s="17"/>
      <c r="GI8" s="17">
        <v>14.2</v>
      </c>
      <c r="GJ8" s="17">
        <v>9.4</v>
      </c>
      <c r="GK8" s="17">
        <v>12.9</v>
      </c>
      <c r="GL8" s="17">
        <v>14.59</v>
      </c>
      <c r="GM8" s="17">
        <v>0</v>
      </c>
      <c r="GN8" s="41">
        <f t="shared" si="80"/>
        <v>12.7</v>
      </c>
      <c r="GO8" s="41">
        <f t="shared" si="81"/>
        <v>14.7</v>
      </c>
      <c r="GP8" s="41">
        <f t="shared" si="82"/>
        <v>50.7</v>
      </c>
      <c r="GQ8" s="41">
        <f t="shared" si="83"/>
        <v>12.9</v>
      </c>
      <c r="GR8" s="41">
        <f t="shared" si="84"/>
        <v>14.44</v>
      </c>
      <c r="GS8" s="41">
        <f t="shared" si="85"/>
        <v>50.14</v>
      </c>
      <c r="GT8" s="41">
        <f t="shared" si="86"/>
        <v>50.7</v>
      </c>
      <c r="GU8" s="41" t="str">
        <f t="shared" si="87"/>
        <v/>
      </c>
      <c r="GV8" s="41" t="str">
        <f t="shared" si="88"/>
        <v/>
      </c>
      <c r="GW8" s="41" t="str">
        <f t="shared" si="89"/>
        <v/>
      </c>
      <c r="GX8" s="41">
        <f t="shared" si="90"/>
        <v>12.9</v>
      </c>
      <c r="GY8" s="41">
        <f t="shared" si="91"/>
        <v>14.59</v>
      </c>
      <c r="GZ8" s="41">
        <f t="shared" si="92"/>
        <v>51.09</v>
      </c>
      <c r="HA8" s="41">
        <f t="shared" si="93"/>
        <v>101.79</v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 t="shared" si="94"/>
        <v/>
      </c>
      <c r="HW8" s="11" t="str">
        <f t="shared" si="95"/>
        <v/>
      </c>
      <c r="HX8" s="11" t="str">
        <f t="shared" si="96"/>
        <v/>
      </c>
      <c r="HY8" s="11" t="str">
        <f t="shared" si="97"/>
        <v/>
      </c>
      <c r="HZ8" s="11" t="str">
        <f t="shared" si="98"/>
        <v/>
      </c>
      <c r="IA8" s="11" t="str">
        <f t="shared" si="99"/>
        <v/>
      </c>
      <c r="IB8" s="11" t="str">
        <f t="shared" si="100"/>
        <v/>
      </c>
      <c r="IC8" s="11" t="str">
        <f t="shared" si="101"/>
        <v/>
      </c>
      <c r="ID8" s="11" t="str">
        <f t="shared" si="102"/>
        <v/>
      </c>
      <c r="IE8" s="11" t="str">
        <f t="shared" si="103"/>
        <v/>
      </c>
      <c r="IF8" s="11" t="str">
        <f t="shared" si="104"/>
        <v/>
      </c>
      <c r="IG8" s="11" t="str">
        <f t="shared" si="105"/>
        <v/>
      </c>
      <c r="IH8" s="11" t="str">
        <f t="shared" si="106"/>
        <v/>
      </c>
      <c r="II8" s="11" t="str">
        <f t="shared" si="107"/>
        <v/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1" t="str">
        <f t="shared" si="108"/>
        <v/>
      </c>
      <c r="JE8" s="41" t="str">
        <f t="shared" si="109"/>
        <v/>
      </c>
      <c r="JF8" s="41" t="str">
        <f t="shared" si="110"/>
        <v/>
      </c>
      <c r="JG8" s="41" t="str">
        <f t="shared" si="111"/>
        <v/>
      </c>
      <c r="JH8" s="41" t="str">
        <f t="shared" si="112"/>
        <v/>
      </c>
      <c r="JI8" s="41" t="str">
        <f t="shared" si="113"/>
        <v/>
      </c>
      <c r="JJ8" s="41" t="str">
        <f t="shared" si="114"/>
        <v/>
      </c>
      <c r="JK8" s="41" t="str">
        <f t="shared" si="115"/>
        <v/>
      </c>
      <c r="JL8" s="41" t="str">
        <f t="shared" si="116"/>
        <v/>
      </c>
      <c r="JM8" s="41" t="str">
        <f t="shared" si="117"/>
        <v/>
      </c>
      <c r="JN8" s="41" t="str">
        <f t="shared" si="118"/>
        <v/>
      </c>
      <c r="JO8" s="41" t="str">
        <f t="shared" si="119"/>
        <v/>
      </c>
      <c r="JP8" s="41" t="str">
        <f t="shared" si="120"/>
        <v/>
      </c>
      <c r="JQ8" s="41" t="str">
        <f t="shared" si="121"/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 t="shared" si="122"/>
        <v/>
      </c>
      <c r="KM8" s="11" t="str">
        <f t="shared" si="123"/>
        <v/>
      </c>
      <c r="KN8" s="11" t="str">
        <f t="shared" si="124"/>
        <v/>
      </c>
      <c r="KO8" s="11" t="str">
        <f t="shared" si="125"/>
        <v/>
      </c>
      <c r="KP8" s="11" t="str">
        <f t="shared" si="126"/>
        <v/>
      </c>
      <c r="KQ8" s="11" t="str">
        <f t="shared" si="127"/>
        <v/>
      </c>
      <c r="KR8" s="11" t="str">
        <f t="shared" si="128"/>
        <v/>
      </c>
      <c r="KS8" s="11" t="str">
        <f t="shared" si="129"/>
        <v/>
      </c>
      <c r="KT8" s="11" t="str">
        <f t="shared" si="130"/>
        <v/>
      </c>
      <c r="KU8" s="11" t="str">
        <f t="shared" si="131"/>
        <v/>
      </c>
      <c r="KV8" s="11" t="str">
        <f t="shared" si="132"/>
        <v/>
      </c>
      <c r="KW8" s="11" t="str">
        <f t="shared" si="133"/>
        <v/>
      </c>
      <c r="KX8" s="11" t="str">
        <f t="shared" si="134"/>
        <v/>
      </c>
      <c r="KY8" s="11" t="str">
        <f t="shared" si="135"/>
        <v/>
      </c>
      <c r="KZ8" s="17">
        <v>12.9</v>
      </c>
      <c r="LA8" s="17">
        <v>9.1</v>
      </c>
      <c r="LB8" s="17">
        <v>13.4</v>
      </c>
      <c r="LC8" s="17">
        <v>14.46</v>
      </c>
      <c r="LD8" s="17">
        <v>0</v>
      </c>
      <c r="LE8" s="17">
        <v>12.1</v>
      </c>
      <c r="LF8" s="17">
        <v>8.9</v>
      </c>
      <c r="LG8" s="17">
        <v>12.2</v>
      </c>
      <c r="LH8" s="17">
        <v>14.38</v>
      </c>
      <c r="LI8" s="17">
        <v>0</v>
      </c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1">
        <f t="shared" si="136"/>
        <v>13.4</v>
      </c>
      <c r="LU8" s="41">
        <f t="shared" si="137"/>
        <v>14.46</v>
      </c>
      <c r="LV8" s="41">
        <f t="shared" si="138"/>
        <v>49.86</v>
      </c>
      <c r="LW8" s="41">
        <f t="shared" si="139"/>
        <v>12.2</v>
      </c>
      <c r="LX8" s="41">
        <f t="shared" si="140"/>
        <v>14.38</v>
      </c>
      <c r="LY8" s="41">
        <f t="shared" si="141"/>
        <v>47.580000000000005</v>
      </c>
      <c r="LZ8" s="41">
        <f t="shared" si="142"/>
        <v>49.86</v>
      </c>
      <c r="MA8" s="41" t="str">
        <f t="shared" si="143"/>
        <v/>
      </c>
      <c r="MB8" s="41" t="str">
        <f t="shared" si="144"/>
        <v/>
      </c>
      <c r="MC8" s="41" t="str">
        <f t="shared" si="145"/>
        <v/>
      </c>
      <c r="MD8" s="41" t="str">
        <f t="shared" si="146"/>
        <v/>
      </c>
      <c r="ME8" s="41" t="str">
        <f t="shared" si="147"/>
        <v/>
      </c>
      <c r="MF8" s="41" t="str">
        <f t="shared" si="148"/>
        <v/>
      </c>
      <c r="MG8" s="41">
        <f t="shared" si="149"/>
        <v>49.86</v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 t="shared" si="150"/>
        <v/>
      </c>
      <c r="NC8" s="11" t="str">
        <f t="shared" si="151"/>
        <v/>
      </c>
      <c r="ND8" s="11" t="str">
        <f t="shared" si="152"/>
        <v/>
      </c>
      <c r="NE8" s="11" t="str">
        <f t="shared" si="153"/>
        <v/>
      </c>
      <c r="NF8" s="11" t="str">
        <f t="shared" si="154"/>
        <v/>
      </c>
      <c r="NG8" s="11" t="str">
        <f t="shared" si="155"/>
        <v/>
      </c>
      <c r="NH8" s="11" t="str">
        <f t="shared" si="156"/>
        <v/>
      </c>
      <c r="NI8" s="11" t="str">
        <f t="shared" si="157"/>
        <v/>
      </c>
      <c r="NJ8" s="11" t="str">
        <f t="shared" si="158"/>
        <v/>
      </c>
      <c r="NK8" s="11" t="str">
        <f t="shared" si="159"/>
        <v/>
      </c>
      <c r="NL8" s="11" t="str">
        <f t="shared" si="160"/>
        <v/>
      </c>
      <c r="NM8" s="11" t="str">
        <f t="shared" si="161"/>
        <v/>
      </c>
      <c r="NN8" s="11" t="str">
        <f t="shared" si="162"/>
        <v/>
      </c>
      <c r="NO8" s="11" t="str">
        <f t="shared" si="163"/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1" t="str">
        <f t="shared" si="164"/>
        <v/>
      </c>
      <c r="OK8" s="41" t="str">
        <f t="shared" si="165"/>
        <v/>
      </c>
      <c r="OL8" s="41" t="str">
        <f t="shared" si="166"/>
        <v/>
      </c>
      <c r="OM8" s="41" t="str">
        <f t="shared" si="167"/>
        <v/>
      </c>
      <c r="ON8" s="41" t="str">
        <f t="shared" si="168"/>
        <v/>
      </c>
      <c r="OO8" s="41" t="str">
        <f t="shared" si="169"/>
        <v/>
      </c>
      <c r="OP8" s="41" t="str">
        <f t="shared" si="170"/>
        <v/>
      </c>
      <c r="OQ8" s="41" t="str">
        <f t="shared" si="171"/>
        <v/>
      </c>
      <c r="OR8" s="41" t="str">
        <f t="shared" si="172"/>
        <v/>
      </c>
      <c r="OS8" s="41" t="str">
        <f t="shared" si="173"/>
        <v/>
      </c>
      <c r="OT8" s="41" t="str">
        <f t="shared" si="174"/>
        <v/>
      </c>
      <c r="OU8" s="41" t="str">
        <f t="shared" si="175"/>
        <v/>
      </c>
      <c r="OV8" s="41" t="str">
        <f t="shared" si="176"/>
        <v/>
      </c>
      <c r="OW8" s="41" t="str">
        <f t="shared" si="177"/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 t="shared" si="178"/>
        <v/>
      </c>
      <c r="PS8" s="11" t="str">
        <f t="shared" si="179"/>
        <v/>
      </c>
      <c r="PT8" s="11" t="str">
        <f t="shared" si="180"/>
        <v/>
      </c>
      <c r="PU8" s="11" t="str">
        <f t="shared" si="181"/>
        <v/>
      </c>
      <c r="PV8" s="11" t="str">
        <f t="shared" si="182"/>
        <v/>
      </c>
      <c r="PW8" s="11" t="str">
        <f t="shared" si="183"/>
        <v/>
      </c>
      <c r="PX8" s="11" t="str">
        <f t="shared" si="184"/>
        <v/>
      </c>
      <c r="PY8" s="11" t="str">
        <f t="shared" si="185"/>
        <v/>
      </c>
      <c r="PZ8" s="11" t="str">
        <f t="shared" si="186"/>
        <v/>
      </c>
      <c r="QA8" s="11" t="str">
        <f t="shared" si="187"/>
        <v/>
      </c>
      <c r="QB8" s="11" t="str">
        <f t="shared" si="188"/>
        <v/>
      </c>
      <c r="QC8" s="11" t="str">
        <f t="shared" si="189"/>
        <v/>
      </c>
      <c r="QD8" s="11" t="str">
        <f t="shared" si="190"/>
        <v/>
      </c>
      <c r="QE8" s="11" t="str">
        <f t="shared" si="191"/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1" t="str">
        <f t="shared" si="192"/>
        <v/>
      </c>
      <c r="RA8" s="41" t="str">
        <f t="shared" si="193"/>
        <v/>
      </c>
      <c r="RB8" s="41" t="str">
        <f t="shared" si="194"/>
        <v/>
      </c>
      <c r="RC8" s="41" t="str">
        <f t="shared" si="195"/>
        <v/>
      </c>
      <c r="RD8" s="41" t="str">
        <f t="shared" si="196"/>
        <v/>
      </c>
      <c r="RE8" s="41" t="str">
        <f t="shared" si="197"/>
        <v/>
      </c>
      <c r="RF8" s="41" t="str">
        <f t="shared" si="198"/>
        <v/>
      </c>
      <c r="RG8" s="41" t="str">
        <f t="shared" si="199"/>
        <v/>
      </c>
      <c r="RH8" s="41" t="str">
        <f t="shared" si="200"/>
        <v/>
      </c>
      <c r="RI8" s="41" t="str">
        <f t="shared" si="201"/>
        <v/>
      </c>
      <c r="RJ8" s="41" t="str">
        <f t="shared" si="202"/>
        <v/>
      </c>
      <c r="RK8" s="41" t="str">
        <f t="shared" si="203"/>
        <v/>
      </c>
      <c r="RL8" s="41" t="str">
        <f t="shared" si="204"/>
        <v/>
      </c>
      <c r="RM8" s="41" t="str">
        <f t="shared" si="205"/>
        <v/>
      </c>
      <c r="RN8" s="18">
        <v>13.7</v>
      </c>
      <c r="RO8" s="18">
        <v>9</v>
      </c>
      <c r="RP8" s="18">
        <v>13.2</v>
      </c>
      <c r="RQ8" s="18">
        <v>14.45</v>
      </c>
      <c r="RR8" s="18">
        <v>0</v>
      </c>
      <c r="RS8" s="18">
        <v>14.3</v>
      </c>
      <c r="RT8" s="18">
        <v>9.1999999999999993</v>
      </c>
      <c r="RU8" s="18">
        <v>13.6</v>
      </c>
      <c r="RV8" s="18">
        <v>14.41</v>
      </c>
      <c r="RW8" s="18">
        <v>0</v>
      </c>
      <c r="RX8" s="18"/>
      <c r="RY8" s="18"/>
      <c r="RZ8" s="18"/>
      <c r="SA8" s="18"/>
      <c r="SB8" s="18"/>
      <c r="SC8" s="18">
        <v>14.7</v>
      </c>
      <c r="SD8" s="18">
        <v>9.1</v>
      </c>
      <c r="SE8" s="18">
        <v>13.6</v>
      </c>
      <c r="SF8" s="18">
        <v>14.43</v>
      </c>
      <c r="SG8" s="18">
        <v>0</v>
      </c>
      <c r="SH8" s="11">
        <f t="shared" si="206"/>
        <v>13.2</v>
      </c>
      <c r="SI8" s="11">
        <f t="shared" si="207"/>
        <v>14.45</v>
      </c>
      <c r="SJ8" s="11">
        <f t="shared" si="208"/>
        <v>50.349999999999994</v>
      </c>
      <c r="SK8" s="11">
        <f t="shared" si="209"/>
        <v>13.6</v>
      </c>
      <c r="SL8" s="11">
        <f t="shared" si="210"/>
        <v>14.41</v>
      </c>
      <c r="SM8" s="11">
        <f t="shared" si="211"/>
        <v>51.510000000000005</v>
      </c>
      <c r="SN8" s="11">
        <f t="shared" si="212"/>
        <v>51.510000000000005</v>
      </c>
      <c r="SO8" s="11" t="str">
        <f t="shared" si="213"/>
        <v/>
      </c>
      <c r="SP8" s="11" t="str">
        <f t="shared" si="214"/>
        <v/>
      </c>
      <c r="SQ8" s="11" t="str">
        <f t="shared" si="215"/>
        <v/>
      </c>
      <c r="SR8" s="11">
        <f t="shared" si="216"/>
        <v>13.6</v>
      </c>
      <c r="SS8" s="11">
        <f t="shared" si="217"/>
        <v>14.43</v>
      </c>
      <c r="ST8" s="11">
        <f t="shared" si="218"/>
        <v>51.83</v>
      </c>
      <c r="SU8" s="11">
        <f t="shared" si="219"/>
        <v>103.34</v>
      </c>
      <c r="SV8" s="23">
        <f t="shared" si="220"/>
        <v>13.9</v>
      </c>
      <c r="SW8" s="23">
        <f t="shared" si="221"/>
        <v>9.6000000000000014</v>
      </c>
      <c r="SX8" s="23">
        <f t="shared" si="222"/>
        <v>13.4</v>
      </c>
      <c r="SY8" s="23">
        <f t="shared" si="223"/>
        <v>14.455</v>
      </c>
      <c r="SZ8" s="23">
        <f t="shared" si="224"/>
        <v>0</v>
      </c>
      <c r="TA8" s="23">
        <f t="shared" si="225"/>
        <v>7.8</v>
      </c>
      <c r="TB8" s="23">
        <f t="shared" si="226"/>
        <v>5.2</v>
      </c>
      <c r="TC8" s="23">
        <f t="shared" si="227"/>
        <v>7.8</v>
      </c>
      <c r="TD8" s="23">
        <f t="shared" si="228"/>
        <v>8.24</v>
      </c>
      <c r="TE8" s="23">
        <f t="shared" si="229"/>
        <v>0</v>
      </c>
      <c r="TF8" s="23">
        <f t="shared" si="230"/>
        <v>14</v>
      </c>
      <c r="TG8" s="23">
        <f t="shared" si="231"/>
        <v>8.75</v>
      </c>
      <c r="TH8" s="23">
        <f t="shared" si="232"/>
        <v>13.6</v>
      </c>
      <c r="TI8" s="23">
        <f t="shared" si="233"/>
        <v>14.399999999999999</v>
      </c>
      <c r="TJ8" s="23">
        <f t="shared" si="234"/>
        <v>0</v>
      </c>
      <c r="TK8" s="28" t="s">
        <v>57</v>
      </c>
      <c r="TL8" s="41">
        <f t="shared" si="235"/>
        <v>13.4</v>
      </c>
      <c r="TM8" s="41">
        <f t="shared" si="236"/>
        <v>14.455</v>
      </c>
      <c r="TN8" s="41">
        <f t="shared" si="237"/>
        <v>51.354999999999997</v>
      </c>
      <c r="TO8" s="41">
        <f t="shared" si="238"/>
        <v>7.8</v>
      </c>
      <c r="TP8" s="41">
        <f t="shared" si="239"/>
        <v>8.24</v>
      </c>
      <c r="TQ8" s="41">
        <f t="shared" si="240"/>
        <v>29.04</v>
      </c>
      <c r="TR8" s="41">
        <f t="shared" si="241"/>
        <v>51.354999999999997</v>
      </c>
      <c r="TS8" s="41">
        <f t="shared" si="242"/>
        <v>13.6</v>
      </c>
      <c r="TT8" s="41">
        <f t="shared" si="243"/>
        <v>14.399999999999999</v>
      </c>
      <c r="TU8" s="41">
        <f t="shared" si="244"/>
        <v>50.75</v>
      </c>
      <c r="TV8" s="41">
        <f t="shared" si="245"/>
        <v>102.10499999999999</v>
      </c>
    </row>
    <row r="9" spans="1:542" x14ac:dyDescent="0.2">
      <c r="A9" s="4" cm="1">
        <f t="array" ref="A9">IF(AND(H9&lt;&gt;"",H9&lt;&gt;"No DD"),SUMPRODUCT((H$4:H$18&lt;&gt;"")*(H$4:H$18&lt;&gt;"No DD")*(E$4:E$18&gt;E9))+1,IF(H9="No DD",SUMPRODUCT((H$4:H$18="No DD")*(E$4:E$18&gt;E9))+1+SUMPRODUCT((H$4:H$18&lt;&gt;"")*(H$4:H$18&lt;&gt;"No DD")),""))</f>
        <v>6</v>
      </c>
      <c r="B9" s="5" t="s">
        <v>128</v>
      </c>
      <c r="C9" s="4" t="s">
        <v>3</v>
      </c>
      <c r="D9" s="4">
        <v>2001</v>
      </c>
      <c r="E9" s="9">
        <f t="shared" si="0"/>
        <v>233.33002333300516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IF(COUNT(AQ9,AT9,BR9,BU9,CS9,CV9)&gt;0,LARGE((AQ9,AT9,BR9,BU9,CS9,CV9),1),0)</f>
        <v>51.32</v>
      </c>
      <c r="K9" s="8" t="str">
        <f t="shared" si="5"/>
        <v>2023 Domestic 3rd Trial</v>
      </c>
      <c r="L9" s="8">
        <f>IF(COUNT(AQ9,AT9,BR9,BU9,CS9,CV9)&gt;1,LARGE((AQ9,AT9,BR9,BU9,CS9,CV9),2),0)</f>
        <v>51.309999999999995</v>
      </c>
      <c r="M9" s="8" t="str">
        <f t="shared" si="6"/>
        <v>2023 Nationals</v>
      </c>
      <c r="N9" s="8">
        <f>IF(COUNT(AQ9,AT9,BR9,BU9,CS9,CV9)&gt;2,LARGE((AQ9,AT9,BR9,BU9,CS9,CV9),3),0)</f>
        <v>50.86</v>
      </c>
      <c r="O9" s="8" t="str">
        <f t="shared" si="7"/>
        <v>2023 Domestic 3rd Trial</v>
      </c>
      <c r="P9" s="8">
        <f t="shared" si="8"/>
        <v>51.52</v>
      </c>
      <c r="Q9" s="8" t="str">
        <f t="shared" si="9"/>
        <v>2023 Domestic 3rd Trial</v>
      </c>
      <c r="R9" s="8">
        <f t="shared" si="10"/>
        <v>13.1</v>
      </c>
      <c r="S9" s="8" t="str">
        <f t="shared" si="11"/>
        <v>2023 Domestic 3rd Trial</v>
      </c>
      <c r="T9" s="8">
        <f t="shared" si="12"/>
        <v>15.22</v>
      </c>
      <c r="U9" s="8" t="str">
        <f t="shared" si="13"/>
        <v>2023 Domestic 3rd Trial</v>
      </c>
      <c r="V9" s="8" t="str">
        <f t="shared" si="14"/>
        <v/>
      </c>
      <c r="W9" s="11" t="str">
        <f t="shared" si="15"/>
        <v/>
      </c>
      <c r="X9" s="8" t="str">
        <f t="shared" si="16"/>
        <v/>
      </c>
      <c r="Y9" s="23">
        <v>11.3</v>
      </c>
      <c r="Z9" s="23">
        <v>8.6</v>
      </c>
      <c r="AA9" s="23">
        <v>11.6</v>
      </c>
      <c r="AB9" s="23">
        <v>14.67</v>
      </c>
      <c r="AC9" s="23">
        <v>0</v>
      </c>
      <c r="AD9" s="23">
        <v>14.4</v>
      </c>
      <c r="AE9" s="23">
        <v>9.3000000000000007</v>
      </c>
      <c r="AF9" s="23">
        <v>12.2</v>
      </c>
      <c r="AG9" s="23">
        <v>14.52</v>
      </c>
      <c r="AH9" s="23">
        <v>0</v>
      </c>
      <c r="AI9" s="23">
        <v>12</v>
      </c>
      <c r="AJ9" s="23">
        <v>7.2</v>
      </c>
      <c r="AK9" s="23">
        <v>10.4</v>
      </c>
      <c r="AL9" s="23">
        <v>12.07</v>
      </c>
      <c r="AM9" s="23">
        <v>0</v>
      </c>
      <c r="AN9" s="28"/>
      <c r="AO9" s="39">
        <f t="shared" si="17"/>
        <v>11.6</v>
      </c>
      <c r="AP9" s="39">
        <f t="shared" si="18"/>
        <v>14.67</v>
      </c>
      <c r="AQ9" s="41">
        <f t="shared" si="19"/>
        <v>46.17</v>
      </c>
      <c r="AR9" s="41">
        <f t="shared" si="20"/>
        <v>12.2</v>
      </c>
      <c r="AS9" s="41">
        <f t="shared" si="21"/>
        <v>14.52</v>
      </c>
      <c r="AT9" s="41">
        <f t="shared" si="22"/>
        <v>50.42</v>
      </c>
      <c r="AU9" s="41">
        <f t="shared" si="23"/>
        <v>50.42</v>
      </c>
      <c r="AV9" s="41">
        <f t="shared" si="24"/>
        <v>10.4</v>
      </c>
      <c r="AW9" s="41">
        <f t="shared" si="25"/>
        <v>12.07</v>
      </c>
      <c r="AX9" s="41">
        <f t="shared" si="26"/>
        <v>41.67</v>
      </c>
      <c r="AY9" s="41">
        <f t="shared" si="27"/>
        <v>92.09</v>
      </c>
      <c r="AZ9" s="27">
        <v>13.8</v>
      </c>
      <c r="BA9" s="27">
        <v>9.1999999999999993</v>
      </c>
      <c r="BB9" s="27">
        <v>13.1</v>
      </c>
      <c r="BC9" s="27">
        <v>14.14</v>
      </c>
      <c r="BD9" s="27">
        <v>0</v>
      </c>
      <c r="BE9" s="27">
        <v>14.6</v>
      </c>
      <c r="BF9" s="27">
        <v>9.1</v>
      </c>
      <c r="BG9" s="27">
        <v>13.1</v>
      </c>
      <c r="BH9" s="27">
        <v>14.51</v>
      </c>
      <c r="BI9" s="27">
        <v>0</v>
      </c>
      <c r="BJ9" s="27">
        <v>14.4</v>
      </c>
      <c r="BK9" s="27">
        <v>8.9</v>
      </c>
      <c r="BL9" s="27">
        <v>12.9</v>
      </c>
      <c r="BM9" s="27">
        <v>14.58</v>
      </c>
      <c r="BN9" s="27">
        <v>0</v>
      </c>
      <c r="BO9" s="29"/>
      <c r="BP9" s="40">
        <f t="shared" si="28"/>
        <v>13.1</v>
      </c>
      <c r="BQ9" s="40">
        <f t="shared" si="29"/>
        <v>14.14</v>
      </c>
      <c r="BR9" s="11">
        <f t="shared" si="30"/>
        <v>50.24</v>
      </c>
      <c r="BS9" s="11">
        <f t="shared" si="31"/>
        <v>13.1</v>
      </c>
      <c r="BT9" s="11">
        <f t="shared" si="32"/>
        <v>14.51</v>
      </c>
      <c r="BU9" s="11">
        <f t="shared" si="33"/>
        <v>51.309999999999995</v>
      </c>
      <c r="BV9" s="11">
        <f t="shared" si="34"/>
        <v>51.309999999999995</v>
      </c>
      <c r="BW9" s="11">
        <f t="shared" si="35"/>
        <v>12.9</v>
      </c>
      <c r="BX9" s="11">
        <f t="shared" si="36"/>
        <v>14.58</v>
      </c>
      <c r="BY9" s="11">
        <f t="shared" si="37"/>
        <v>50.78</v>
      </c>
      <c r="BZ9" s="11">
        <f t="shared" si="38"/>
        <v>102.09</v>
      </c>
      <c r="CA9" s="23">
        <v>14.4</v>
      </c>
      <c r="CB9" s="23">
        <v>8.6999999999999993</v>
      </c>
      <c r="CC9" s="23">
        <v>13.1</v>
      </c>
      <c r="CD9" s="23">
        <v>14.66</v>
      </c>
      <c r="CE9" s="23">
        <v>0</v>
      </c>
      <c r="CF9" s="23">
        <v>14.3</v>
      </c>
      <c r="CG9" s="23">
        <v>9</v>
      </c>
      <c r="CH9" s="23">
        <v>13.1</v>
      </c>
      <c r="CI9" s="23">
        <v>14.92</v>
      </c>
      <c r="CJ9" s="23">
        <v>0</v>
      </c>
      <c r="CK9" s="23">
        <v>14.9</v>
      </c>
      <c r="CL9" s="23">
        <v>8.3000000000000007</v>
      </c>
      <c r="CM9" s="23">
        <v>13.1</v>
      </c>
      <c r="CN9" s="23">
        <v>15.22</v>
      </c>
      <c r="CO9" s="23">
        <v>0</v>
      </c>
      <c r="CP9" s="28"/>
      <c r="CQ9" s="39">
        <f t="shared" si="39"/>
        <v>13.1</v>
      </c>
      <c r="CR9" s="39">
        <f t="shared" si="40"/>
        <v>14.66</v>
      </c>
      <c r="CS9" s="41">
        <f t="shared" si="41"/>
        <v>50.86</v>
      </c>
      <c r="CT9" s="41">
        <f t="shared" si="42"/>
        <v>13.1</v>
      </c>
      <c r="CU9" s="41">
        <f t="shared" si="43"/>
        <v>14.92</v>
      </c>
      <c r="CV9" s="41">
        <f t="shared" si="44"/>
        <v>51.32</v>
      </c>
      <c r="CW9" s="41">
        <f t="shared" si="45"/>
        <v>51.32</v>
      </c>
      <c r="CX9" s="41">
        <f t="shared" si="46"/>
        <v>13.1</v>
      </c>
      <c r="CY9" s="41">
        <f t="shared" si="47"/>
        <v>15.22</v>
      </c>
      <c r="CZ9" s="41">
        <f t="shared" si="48"/>
        <v>51.52</v>
      </c>
      <c r="DA9" s="41">
        <f t="shared" si="49"/>
        <v>102.84</v>
      </c>
      <c r="DB9" s="52" t="str">
        <f t="shared" si="50"/>
        <v/>
      </c>
      <c r="DC9" s="52" t="str">
        <f t="shared" si="51"/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1" t="str">
        <f t="shared" si="52"/>
        <v/>
      </c>
      <c r="DY9" s="41" t="str">
        <f t="shared" si="53"/>
        <v/>
      </c>
      <c r="DZ9" s="41" t="str">
        <f t="shared" si="54"/>
        <v/>
      </c>
      <c r="EA9" s="41" t="str">
        <f t="shared" si="55"/>
        <v/>
      </c>
      <c r="EB9" s="41" t="str">
        <f t="shared" si="56"/>
        <v/>
      </c>
      <c r="EC9" s="41" t="str">
        <f t="shared" si="57"/>
        <v/>
      </c>
      <c r="ED9" s="41" t="str">
        <f t="shared" si="58"/>
        <v/>
      </c>
      <c r="EE9" s="41" t="str">
        <f t="shared" si="59"/>
        <v/>
      </c>
      <c r="EF9" s="41" t="str">
        <f t="shared" si="60"/>
        <v/>
      </c>
      <c r="EG9" s="41" t="str">
        <f t="shared" si="61"/>
        <v/>
      </c>
      <c r="EH9" s="41" t="str">
        <f t="shared" si="62"/>
        <v/>
      </c>
      <c r="EI9" s="41" t="str">
        <f t="shared" si="63"/>
        <v/>
      </c>
      <c r="EJ9" s="41" t="str">
        <f t="shared" si="64"/>
        <v/>
      </c>
      <c r="EK9" s="41" t="str">
        <f t="shared" si="65"/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 t="shared" si="66"/>
        <v/>
      </c>
      <c r="FG9" s="11" t="str">
        <f t="shared" si="67"/>
        <v/>
      </c>
      <c r="FH9" s="11" t="str">
        <f t="shared" si="68"/>
        <v/>
      </c>
      <c r="FI9" s="11" t="str">
        <f t="shared" si="69"/>
        <v/>
      </c>
      <c r="FJ9" s="11" t="str">
        <f t="shared" si="70"/>
        <v/>
      </c>
      <c r="FK9" s="11" t="str">
        <f t="shared" si="71"/>
        <v/>
      </c>
      <c r="FL9" s="11" t="str">
        <f t="shared" si="72"/>
        <v/>
      </c>
      <c r="FM9" s="11" t="str">
        <f t="shared" si="73"/>
        <v/>
      </c>
      <c r="FN9" s="11" t="str">
        <f t="shared" si="74"/>
        <v/>
      </c>
      <c r="FO9" s="11" t="str">
        <f t="shared" si="75"/>
        <v/>
      </c>
      <c r="FP9" s="11" t="str">
        <f t="shared" si="76"/>
        <v/>
      </c>
      <c r="FQ9" s="11" t="str">
        <f t="shared" si="77"/>
        <v/>
      </c>
      <c r="FR9" s="11" t="str">
        <f t="shared" si="78"/>
        <v/>
      </c>
      <c r="FS9" s="11" t="str">
        <f t="shared" si="79"/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1" t="str">
        <f t="shared" si="80"/>
        <v/>
      </c>
      <c r="GO9" s="41" t="str">
        <f t="shared" si="81"/>
        <v/>
      </c>
      <c r="GP9" s="41" t="str">
        <f t="shared" si="82"/>
        <v/>
      </c>
      <c r="GQ9" s="41" t="str">
        <f t="shared" si="83"/>
        <v/>
      </c>
      <c r="GR9" s="41" t="str">
        <f t="shared" si="84"/>
        <v/>
      </c>
      <c r="GS9" s="41" t="str">
        <f t="shared" si="85"/>
        <v/>
      </c>
      <c r="GT9" s="41" t="str">
        <f t="shared" si="86"/>
        <v/>
      </c>
      <c r="GU9" s="41" t="str">
        <f t="shared" si="87"/>
        <v/>
      </c>
      <c r="GV9" s="41" t="str">
        <f t="shared" si="88"/>
        <v/>
      </c>
      <c r="GW9" s="41" t="str">
        <f t="shared" si="89"/>
        <v/>
      </c>
      <c r="GX9" s="41" t="str">
        <f t="shared" si="90"/>
        <v/>
      </c>
      <c r="GY9" s="41" t="str">
        <f t="shared" si="91"/>
        <v/>
      </c>
      <c r="GZ9" s="41" t="str">
        <f t="shared" si="92"/>
        <v/>
      </c>
      <c r="HA9" s="41" t="str">
        <f t="shared" si="93"/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 t="shared" si="94"/>
        <v/>
      </c>
      <c r="HW9" s="11" t="str">
        <f t="shared" si="95"/>
        <v/>
      </c>
      <c r="HX9" s="11" t="str">
        <f t="shared" si="96"/>
        <v/>
      </c>
      <c r="HY9" s="11" t="str">
        <f t="shared" si="97"/>
        <v/>
      </c>
      <c r="HZ9" s="11" t="str">
        <f t="shared" si="98"/>
        <v/>
      </c>
      <c r="IA9" s="11" t="str">
        <f t="shared" si="99"/>
        <v/>
      </c>
      <c r="IB9" s="11" t="str">
        <f t="shared" si="100"/>
        <v/>
      </c>
      <c r="IC9" s="11" t="str">
        <f t="shared" si="101"/>
        <v/>
      </c>
      <c r="ID9" s="11" t="str">
        <f t="shared" si="102"/>
        <v/>
      </c>
      <c r="IE9" s="11" t="str">
        <f t="shared" si="103"/>
        <v/>
      </c>
      <c r="IF9" s="11" t="str">
        <f t="shared" si="104"/>
        <v/>
      </c>
      <c r="IG9" s="11" t="str">
        <f t="shared" si="105"/>
        <v/>
      </c>
      <c r="IH9" s="11" t="str">
        <f t="shared" si="106"/>
        <v/>
      </c>
      <c r="II9" s="11" t="str">
        <f t="shared" si="107"/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1" t="str">
        <f t="shared" si="108"/>
        <v/>
      </c>
      <c r="JE9" s="41" t="str">
        <f t="shared" si="109"/>
        <v/>
      </c>
      <c r="JF9" s="41" t="str">
        <f t="shared" si="110"/>
        <v/>
      </c>
      <c r="JG9" s="41" t="str">
        <f t="shared" si="111"/>
        <v/>
      </c>
      <c r="JH9" s="41" t="str">
        <f t="shared" si="112"/>
        <v/>
      </c>
      <c r="JI9" s="41" t="str">
        <f t="shared" si="113"/>
        <v/>
      </c>
      <c r="JJ9" s="41" t="str">
        <f t="shared" si="114"/>
        <v/>
      </c>
      <c r="JK9" s="41" t="str">
        <f t="shared" si="115"/>
        <v/>
      </c>
      <c r="JL9" s="41" t="str">
        <f t="shared" si="116"/>
        <v/>
      </c>
      <c r="JM9" s="41" t="str">
        <f t="shared" si="117"/>
        <v/>
      </c>
      <c r="JN9" s="41" t="str">
        <f t="shared" si="118"/>
        <v/>
      </c>
      <c r="JO9" s="41" t="str">
        <f t="shared" si="119"/>
        <v/>
      </c>
      <c r="JP9" s="41" t="str">
        <f t="shared" si="120"/>
        <v/>
      </c>
      <c r="JQ9" s="41" t="str">
        <f t="shared" si="121"/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 t="shared" si="122"/>
        <v/>
      </c>
      <c r="KM9" s="11" t="str">
        <f t="shared" si="123"/>
        <v/>
      </c>
      <c r="KN9" s="11" t="str">
        <f t="shared" si="124"/>
        <v/>
      </c>
      <c r="KO9" s="11" t="str">
        <f t="shared" si="125"/>
        <v/>
      </c>
      <c r="KP9" s="11" t="str">
        <f t="shared" si="126"/>
        <v/>
      </c>
      <c r="KQ9" s="11" t="str">
        <f t="shared" si="127"/>
        <v/>
      </c>
      <c r="KR9" s="11" t="str">
        <f t="shared" si="128"/>
        <v/>
      </c>
      <c r="KS9" s="11" t="str">
        <f t="shared" si="129"/>
        <v/>
      </c>
      <c r="KT9" s="11" t="str">
        <f t="shared" si="130"/>
        <v/>
      </c>
      <c r="KU9" s="11" t="str">
        <f t="shared" si="131"/>
        <v/>
      </c>
      <c r="KV9" s="11" t="str">
        <f t="shared" si="132"/>
        <v/>
      </c>
      <c r="KW9" s="11" t="str">
        <f t="shared" si="133"/>
        <v/>
      </c>
      <c r="KX9" s="11" t="str">
        <f t="shared" si="134"/>
        <v/>
      </c>
      <c r="KY9" s="11" t="str">
        <f t="shared" si="135"/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1" t="str">
        <f t="shared" si="136"/>
        <v/>
      </c>
      <c r="LU9" s="41" t="str">
        <f t="shared" si="137"/>
        <v/>
      </c>
      <c r="LV9" s="41" t="str">
        <f t="shared" si="138"/>
        <v/>
      </c>
      <c r="LW9" s="41" t="str">
        <f t="shared" si="139"/>
        <v/>
      </c>
      <c r="LX9" s="41" t="str">
        <f t="shared" si="140"/>
        <v/>
      </c>
      <c r="LY9" s="41" t="str">
        <f t="shared" si="141"/>
        <v/>
      </c>
      <c r="LZ9" s="41" t="str">
        <f t="shared" si="142"/>
        <v/>
      </c>
      <c r="MA9" s="41" t="str">
        <f t="shared" si="143"/>
        <v/>
      </c>
      <c r="MB9" s="41" t="str">
        <f t="shared" si="144"/>
        <v/>
      </c>
      <c r="MC9" s="41" t="str">
        <f t="shared" si="145"/>
        <v/>
      </c>
      <c r="MD9" s="41" t="str">
        <f t="shared" si="146"/>
        <v/>
      </c>
      <c r="ME9" s="41" t="str">
        <f t="shared" si="147"/>
        <v/>
      </c>
      <c r="MF9" s="41" t="str">
        <f t="shared" si="148"/>
        <v/>
      </c>
      <c r="MG9" s="41" t="str">
        <f t="shared" si="149"/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 t="shared" si="150"/>
        <v/>
      </c>
      <c r="NC9" s="11" t="str">
        <f t="shared" si="151"/>
        <v/>
      </c>
      <c r="ND9" s="11" t="str">
        <f t="shared" si="152"/>
        <v/>
      </c>
      <c r="NE9" s="11" t="str">
        <f t="shared" si="153"/>
        <v/>
      </c>
      <c r="NF9" s="11" t="str">
        <f t="shared" si="154"/>
        <v/>
      </c>
      <c r="NG9" s="11" t="str">
        <f t="shared" si="155"/>
        <v/>
      </c>
      <c r="NH9" s="11" t="str">
        <f t="shared" si="156"/>
        <v/>
      </c>
      <c r="NI9" s="11" t="str">
        <f t="shared" si="157"/>
        <v/>
      </c>
      <c r="NJ9" s="11" t="str">
        <f t="shared" si="158"/>
        <v/>
      </c>
      <c r="NK9" s="11" t="str">
        <f t="shared" si="159"/>
        <v/>
      </c>
      <c r="NL9" s="11" t="str">
        <f t="shared" si="160"/>
        <v/>
      </c>
      <c r="NM9" s="11" t="str">
        <f t="shared" si="161"/>
        <v/>
      </c>
      <c r="NN9" s="11" t="str">
        <f t="shared" si="162"/>
        <v/>
      </c>
      <c r="NO9" s="11" t="str">
        <f t="shared" si="163"/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1" t="str">
        <f t="shared" si="164"/>
        <v/>
      </c>
      <c r="OK9" s="41" t="str">
        <f t="shared" si="165"/>
        <v/>
      </c>
      <c r="OL9" s="41" t="str">
        <f t="shared" si="166"/>
        <v/>
      </c>
      <c r="OM9" s="41" t="str">
        <f t="shared" si="167"/>
        <v/>
      </c>
      <c r="ON9" s="41" t="str">
        <f t="shared" si="168"/>
        <v/>
      </c>
      <c r="OO9" s="41" t="str">
        <f t="shared" si="169"/>
        <v/>
      </c>
      <c r="OP9" s="41" t="str">
        <f t="shared" si="170"/>
        <v/>
      </c>
      <c r="OQ9" s="41" t="str">
        <f t="shared" si="171"/>
        <v/>
      </c>
      <c r="OR9" s="41" t="str">
        <f t="shared" si="172"/>
        <v/>
      </c>
      <c r="OS9" s="41" t="str">
        <f t="shared" si="173"/>
        <v/>
      </c>
      <c r="OT9" s="41" t="str">
        <f t="shared" si="174"/>
        <v/>
      </c>
      <c r="OU9" s="41" t="str">
        <f t="shared" si="175"/>
        <v/>
      </c>
      <c r="OV9" s="41" t="str">
        <f t="shared" si="176"/>
        <v/>
      </c>
      <c r="OW9" s="41" t="str">
        <f t="shared" si="177"/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 t="shared" si="178"/>
        <v/>
      </c>
      <c r="PS9" s="11" t="str">
        <f t="shared" si="179"/>
        <v/>
      </c>
      <c r="PT9" s="11" t="str">
        <f t="shared" si="180"/>
        <v/>
      </c>
      <c r="PU9" s="11" t="str">
        <f t="shared" si="181"/>
        <v/>
      </c>
      <c r="PV9" s="11" t="str">
        <f t="shared" si="182"/>
        <v/>
      </c>
      <c r="PW9" s="11" t="str">
        <f t="shared" si="183"/>
        <v/>
      </c>
      <c r="PX9" s="11" t="str">
        <f t="shared" si="184"/>
        <v/>
      </c>
      <c r="PY9" s="11" t="str">
        <f t="shared" si="185"/>
        <v/>
      </c>
      <c r="PZ9" s="11" t="str">
        <f t="shared" si="186"/>
        <v/>
      </c>
      <c r="QA9" s="11" t="str">
        <f t="shared" si="187"/>
        <v/>
      </c>
      <c r="QB9" s="11" t="str">
        <f t="shared" si="188"/>
        <v/>
      </c>
      <c r="QC9" s="11" t="str">
        <f t="shared" si="189"/>
        <v/>
      </c>
      <c r="QD9" s="11" t="str">
        <f t="shared" si="190"/>
        <v/>
      </c>
      <c r="QE9" s="11" t="str">
        <f t="shared" si="191"/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1" t="str">
        <f t="shared" si="192"/>
        <v/>
      </c>
      <c r="RA9" s="41" t="str">
        <f t="shared" si="193"/>
        <v/>
      </c>
      <c r="RB9" s="41" t="str">
        <f t="shared" si="194"/>
        <v/>
      </c>
      <c r="RC9" s="41" t="str">
        <f t="shared" si="195"/>
        <v/>
      </c>
      <c r="RD9" s="41" t="str">
        <f t="shared" si="196"/>
        <v/>
      </c>
      <c r="RE9" s="41" t="str">
        <f t="shared" si="197"/>
        <v/>
      </c>
      <c r="RF9" s="41" t="str">
        <f t="shared" si="198"/>
        <v/>
      </c>
      <c r="RG9" s="41" t="str">
        <f t="shared" si="199"/>
        <v/>
      </c>
      <c r="RH9" s="41" t="str">
        <f t="shared" si="200"/>
        <v/>
      </c>
      <c r="RI9" s="41" t="str">
        <f t="shared" si="201"/>
        <v/>
      </c>
      <c r="RJ9" s="41" t="str">
        <f t="shared" si="202"/>
        <v/>
      </c>
      <c r="RK9" s="41" t="str">
        <f t="shared" si="203"/>
        <v/>
      </c>
      <c r="RL9" s="41" t="str">
        <f t="shared" si="204"/>
        <v/>
      </c>
      <c r="RM9" s="41" t="str">
        <f t="shared" si="205"/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 t="shared" si="206"/>
        <v/>
      </c>
      <c r="SI9" s="11" t="str">
        <f t="shared" si="207"/>
        <v/>
      </c>
      <c r="SJ9" s="11" t="str">
        <f t="shared" si="208"/>
        <v/>
      </c>
      <c r="SK9" s="11" t="str">
        <f t="shared" si="209"/>
        <v/>
      </c>
      <c r="SL9" s="11" t="str">
        <f t="shared" si="210"/>
        <v/>
      </c>
      <c r="SM9" s="11" t="str">
        <f t="shared" si="211"/>
        <v/>
      </c>
      <c r="SN9" s="11" t="str">
        <f t="shared" si="212"/>
        <v/>
      </c>
      <c r="SO9" s="11" t="str">
        <f t="shared" si="213"/>
        <v/>
      </c>
      <c r="SP9" s="11" t="str">
        <f t="shared" si="214"/>
        <v/>
      </c>
      <c r="SQ9" s="11" t="str">
        <f t="shared" si="215"/>
        <v/>
      </c>
      <c r="SR9" s="11" t="str">
        <f t="shared" si="216"/>
        <v/>
      </c>
      <c r="SS9" s="11" t="str">
        <f t="shared" si="217"/>
        <v/>
      </c>
      <c r="ST9" s="11" t="str">
        <f t="shared" si="218"/>
        <v/>
      </c>
      <c r="SU9" s="11" t="str">
        <f t="shared" si="219"/>
        <v/>
      </c>
      <c r="SV9" s="23">
        <f t="shared" si="220"/>
        <v>14.100000000000001</v>
      </c>
      <c r="SW9" s="23">
        <f t="shared" si="221"/>
        <v>8.9499999999999993</v>
      </c>
      <c r="SX9" s="23">
        <f t="shared" si="222"/>
        <v>13.1</v>
      </c>
      <c r="SY9" s="23">
        <f t="shared" si="223"/>
        <v>14.4</v>
      </c>
      <c r="SZ9" s="23">
        <f t="shared" si="224"/>
        <v>0</v>
      </c>
      <c r="TA9" s="23">
        <f t="shared" si="225"/>
        <v>14.45</v>
      </c>
      <c r="TB9" s="23">
        <f t="shared" si="226"/>
        <v>9.0500000000000007</v>
      </c>
      <c r="TC9" s="23">
        <f t="shared" si="227"/>
        <v>13.1</v>
      </c>
      <c r="TD9" s="23">
        <f t="shared" si="228"/>
        <v>14.715</v>
      </c>
      <c r="TE9" s="23">
        <f t="shared" si="229"/>
        <v>0</v>
      </c>
      <c r="TF9" s="23">
        <f t="shared" si="230"/>
        <v>14.65</v>
      </c>
      <c r="TG9" s="23">
        <f t="shared" si="231"/>
        <v>8.6000000000000014</v>
      </c>
      <c r="TH9" s="23">
        <f t="shared" si="232"/>
        <v>13</v>
      </c>
      <c r="TI9" s="23">
        <f t="shared" si="233"/>
        <v>14.9</v>
      </c>
      <c r="TJ9" s="23">
        <f t="shared" si="234"/>
        <v>0</v>
      </c>
      <c r="TK9" s="28" t="s">
        <v>57</v>
      </c>
      <c r="TL9" s="41">
        <f t="shared" si="235"/>
        <v>13.1</v>
      </c>
      <c r="TM9" s="41">
        <f t="shared" si="236"/>
        <v>14.4</v>
      </c>
      <c r="TN9" s="41">
        <f t="shared" si="237"/>
        <v>50.55</v>
      </c>
      <c r="TO9" s="41">
        <f t="shared" si="238"/>
        <v>13.1</v>
      </c>
      <c r="TP9" s="41">
        <f t="shared" si="239"/>
        <v>14.715</v>
      </c>
      <c r="TQ9" s="41">
        <f t="shared" si="240"/>
        <v>51.314999999999998</v>
      </c>
      <c r="TR9" s="41">
        <f t="shared" si="241"/>
        <v>51.314999999999998</v>
      </c>
      <c r="TS9" s="41">
        <f t="shared" si="242"/>
        <v>13</v>
      </c>
      <c r="TT9" s="41">
        <f t="shared" si="243"/>
        <v>14.9</v>
      </c>
      <c r="TU9" s="41">
        <f t="shared" si="244"/>
        <v>51.15</v>
      </c>
      <c r="TV9" s="41">
        <f t="shared" si="245"/>
        <v>102.465</v>
      </c>
    </row>
    <row r="10" spans="1:542" x14ac:dyDescent="0.2">
      <c r="A10" s="4" cm="1">
        <f t="array" ref="A10">IF(AND(H10&lt;&gt;"",H10&lt;&gt;"No DD"),SUMPRODUCT((H$4:H$18&lt;&gt;"")*(H$4:H$18&lt;&gt;"No DD")*(E$4:E$18&gt;E10))+1,IF(H10="No DD",SUMPRODUCT((H$4:H$18="No DD")*(E$4:E$18&gt;E10))+1+SUMPRODUCT((H$4:H$18&lt;&gt;"")*(H$4:H$18&lt;&gt;"No DD")),""))</f>
        <v>7</v>
      </c>
      <c r="B10" s="5" t="s">
        <v>185</v>
      </c>
      <c r="C10" s="4" t="s">
        <v>8</v>
      </c>
      <c r="D10" s="4">
        <v>2006</v>
      </c>
      <c r="E10" s="9">
        <f t="shared" si="0"/>
        <v>228.90002289000509</v>
      </c>
      <c r="F10" s="3" t="str">
        <f t="shared" si="1"/>
        <v>P</v>
      </c>
      <c r="G10" s="3" t="str">
        <f t="shared" si="2"/>
        <v>P</v>
      </c>
      <c r="H10" s="37" t="str">
        <f t="shared" si="3"/>
        <v>National Team</v>
      </c>
      <c r="I10" s="3" t="str">
        <f t="shared" si="4"/>
        <v/>
      </c>
      <c r="J10" s="8">
        <f>IF(COUNT(AQ10,AT10,BR10,BU10,CS10,CV10)&gt;0,LARGE((AQ10,AT10,BR10,BU10,CS10,CV10),1),0)</f>
        <v>50.75</v>
      </c>
      <c r="K10" s="8" t="str">
        <f t="shared" si="5"/>
        <v>2023 Elite Canada</v>
      </c>
      <c r="L10" s="8">
        <f>IF(COUNT(AQ10,AT10,BR10,BU10,CS10,CV10)&gt;1,LARGE((AQ10,AT10,BR10,BU10,CS10,CV10),2),0)</f>
        <v>50.14</v>
      </c>
      <c r="M10" s="8" t="str">
        <f t="shared" si="6"/>
        <v>2023 Domestic 3rd Trial</v>
      </c>
      <c r="N10" s="8">
        <f>IF(COUNT(AQ10,AT10,BR10,BU10,CS10,CV10)&gt;2,LARGE((AQ10,AT10,BR10,BU10,CS10,CV10),3),0)</f>
        <v>49.47</v>
      </c>
      <c r="O10" s="8" t="str">
        <f t="shared" si="7"/>
        <v>2023 Domestic 3rd Trial</v>
      </c>
      <c r="P10" s="8">
        <f t="shared" si="8"/>
        <v>51.17</v>
      </c>
      <c r="Q10" s="8" t="str">
        <f t="shared" si="9"/>
        <v>2023 Elite Canada</v>
      </c>
      <c r="R10" s="8">
        <f t="shared" si="10"/>
        <v>12.7</v>
      </c>
      <c r="S10" s="8" t="str">
        <f t="shared" si="11"/>
        <v>2023 Domestic 3rd Trial</v>
      </c>
      <c r="T10" s="8">
        <f t="shared" si="12"/>
        <v>14.67</v>
      </c>
      <c r="U10" s="8" t="str">
        <f t="shared" si="13"/>
        <v>2023 Domestic 3rd Trial</v>
      </c>
      <c r="V10" s="8" t="str">
        <f t="shared" si="14"/>
        <v/>
      </c>
      <c r="W10" s="11" t="str">
        <f t="shared" si="15"/>
        <v/>
      </c>
      <c r="X10" s="8" t="str">
        <f t="shared" si="16"/>
        <v/>
      </c>
      <c r="Y10" s="23">
        <v>14.6</v>
      </c>
      <c r="Z10" s="23">
        <v>9.6</v>
      </c>
      <c r="AA10" s="23">
        <v>11.2</v>
      </c>
      <c r="AB10" s="23">
        <v>15.35</v>
      </c>
      <c r="AC10" s="23">
        <v>0</v>
      </c>
      <c r="AD10" s="23">
        <v>14.2</v>
      </c>
      <c r="AE10" s="23">
        <v>9</v>
      </c>
      <c r="AF10" s="23">
        <v>11.2</v>
      </c>
      <c r="AG10" s="23">
        <v>14.57</v>
      </c>
      <c r="AH10" s="23">
        <v>0</v>
      </c>
      <c r="AI10" s="23">
        <v>15.4</v>
      </c>
      <c r="AJ10" s="23">
        <v>9.3000000000000007</v>
      </c>
      <c r="AK10" s="23">
        <v>11.2</v>
      </c>
      <c r="AL10" s="23">
        <v>15.27</v>
      </c>
      <c r="AM10" s="23">
        <v>0</v>
      </c>
      <c r="AN10" s="28"/>
      <c r="AO10" s="39">
        <f t="shared" si="17"/>
        <v>11.2</v>
      </c>
      <c r="AP10" s="39">
        <f t="shared" si="18"/>
        <v>15.35</v>
      </c>
      <c r="AQ10" s="41">
        <f t="shared" si="19"/>
        <v>50.75</v>
      </c>
      <c r="AR10" s="41">
        <f t="shared" si="20"/>
        <v>11.2</v>
      </c>
      <c r="AS10" s="41">
        <f t="shared" si="21"/>
        <v>14.57</v>
      </c>
      <c r="AT10" s="41">
        <f t="shared" si="22"/>
        <v>48.97</v>
      </c>
      <c r="AU10" s="41">
        <f t="shared" si="23"/>
        <v>50.75</v>
      </c>
      <c r="AV10" s="41">
        <f t="shared" si="24"/>
        <v>11.2</v>
      </c>
      <c r="AW10" s="41">
        <f t="shared" si="25"/>
        <v>15.27</v>
      </c>
      <c r="AX10" s="41">
        <f t="shared" si="26"/>
        <v>51.17</v>
      </c>
      <c r="AY10" s="41">
        <f t="shared" si="27"/>
        <v>101.92</v>
      </c>
      <c r="AZ10" s="27">
        <v>4.5999999999999996</v>
      </c>
      <c r="BA10" s="27">
        <v>2.8</v>
      </c>
      <c r="BB10" s="27">
        <v>4</v>
      </c>
      <c r="BC10" s="27">
        <v>4.4400000000000004</v>
      </c>
      <c r="BD10" s="27">
        <v>0</v>
      </c>
      <c r="BE10" s="27">
        <v>1.7</v>
      </c>
      <c r="BF10" s="27">
        <v>1</v>
      </c>
      <c r="BG10" s="27">
        <v>1.5</v>
      </c>
      <c r="BH10" s="27">
        <v>1.55</v>
      </c>
      <c r="BI10" s="27">
        <v>0</v>
      </c>
      <c r="BJ10" s="27"/>
      <c r="BK10" s="27"/>
      <c r="BL10" s="27"/>
      <c r="BM10" s="27"/>
      <c r="BN10" s="27"/>
      <c r="BO10" s="29"/>
      <c r="BP10" s="40">
        <f t="shared" si="28"/>
        <v>4</v>
      </c>
      <c r="BQ10" s="40">
        <f t="shared" si="29"/>
        <v>4.4400000000000004</v>
      </c>
      <c r="BR10" s="11">
        <f t="shared" si="30"/>
        <v>15.84</v>
      </c>
      <c r="BS10" s="11">
        <f t="shared" si="31"/>
        <v>1.5</v>
      </c>
      <c r="BT10" s="11">
        <f t="shared" si="32"/>
        <v>1.55</v>
      </c>
      <c r="BU10" s="11">
        <f t="shared" si="33"/>
        <v>5.75</v>
      </c>
      <c r="BV10" s="11">
        <f t="shared" si="34"/>
        <v>15.84</v>
      </c>
      <c r="BW10" s="11" t="str">
        <f t="shared" si="35"/>
        <v/>
      </c>
      <c r="BX10" s="11" t="str">
        <f t="shared" si="36"/>
        <v/>
      </c>
      <c r="BY10" s="11" t="str">
        <f t="shared" si="37"/>
        <v/>
      </c>
      <c r="BZ10" s="11">
        <f t="shared" si="38"/>
        <v>15.84</v>
      </c>
      <c r="CA10" s="23">
        <v>13.5</v>
      </c>
      <c r="CB10" s="23">
        <v>9.1</v>
      </c>
      <c r="CC10" s="23">
        <v>12.4</v>
      </c>
      <c r="CD10" s="23">
        <v>14.47</v>
      </c>
      <c r="CE10" s="23">
        <v>0</v>
      </c>
      <c r="CF10" s="23">
        <v>14.6</v>
      </c>
      <c r="CG10" s="23">
        <v>8.8000000000000007</v>
      </c>
      <c r="CH10" s="23">
        <v>12.4</v>
      </c>
      <c r="CI10" s="23">
        <v>14.34</v>
      </c>
      <c r="CJ10" s="23">
        <v>0</v>
      </c>
      <c r="CK10" s="23">
        <v>13.8</v>
      </c>
      <c r="CL10" s="23">
        <v>9.5</v>
      </c>
      <c r="CM10" s="23">
        <v>12.7</v>
      </c>
      <c r="CN10" s="23">
        <v>14.67</v>
      </c>
      <c r="CO10" s="23">
        <v>0</v>
      </c>
      <c r="CP10" s="28"/>
      <c r="CQ10" s="39">
        <f t="shared" si="39"/>
        <v>12.4</v>
      </c>
      <c r="CR10" s="39">
        <f t="shared" si="40"/>
        <v>14.47</v>
      </c>
      <c r="CS10" s="41">
        <f t="shared" si="41"/>
        <v>49.47</v>
      </c>
      <c r="CT10" s="41">
        <f t="shared" si="42"/>
        <v>12.4</v>
      </c>
      <c r="CU10" s="41">
        <f t="shared" si="43"/>
        <v>14.34</v>
      </c>
      <c r="CV10" s="41">
        <f t="shared" si="44"/>
        <v>50.14</v>
      </c>
      <c r="CW10" s="41">
        <f t="shared" si="45"/>
        <v>50.14</v>
      </c>
      <c r="CX10" s="41">
        <f t="shared" si="46"/>
        <v>12.7</v>
      </c>
      <c r="CY10" s="41">
        <f t="shared" si="47"/>
        <v>14.67</v>
      </c>
      <c r="CZ10" s="41">
        <f t="shared" si="48"/>
        <v>50.67</v>
      </c>
      <c r="DA10" s="41">
        <f t="shared" si="49"/>
        <v>100.81</v>
      </c>
      <c r="DB10" s="52" t="str">
        <f t="shared" si="50"/>
        <v/>
      </c>
      <c r="DC10" s="52" t="str">
        <f t="shared" si="51"/>
        <v/>
      </c>
      <c r="DD10" s="17"/>
      <c r="DE10" s="17"/>
      <c r="DF10" s="17"/>
      <c r="DG10" s="17"/>
      <c r="DH10" s="17"/>
      <c r="DI10" s="17">
        <v>14.6</v>
      </c>
      <c r="DJ10" s="17">
        <v>9.5</v>
      </c>
      <c r="DK10" s="17">
        <v>10.5</v>
      </c>
      <c r="DL10" s="17">
        <v>14.47</v>
      </c>
      <c r="DM10" s="17">
        <v>0</v>
      </c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1" t="str">
        <f t="shared" si="52"/>
        <v/>
      </c>
      <c r="DY10" s="41" t="str">
        <f t="shared" si="53"/>
        <v/>
      </c>
      <c r="DZ10" s="41" t="str">
        <f t="shared" si="54"/>
        <v/>
      </c>
      <c r="EA10" s="41">
        <f t="shared" si="55"/>
        <v>10.5</v>
      </c>
      <c r="EB10" s="41">
        <f t="shared" si="56"/>
        <v>14.47</v>
      </c>
      <c r="EC10" s="41">
        <f t="shared" si="57"/>
        <v>49.07</v>
      </c>
      <c r="ED10" s="41">
        <f t="shared" si="58"/>
        <v>49.07</v>
      </c>
      <c r="EE10" s="41" t="str">
        <f t="shared" si="59"/>
        <v/>
      </c>
      <c r="EF10" s="41" t="str">
        <f t="shared" si="60"/>
        <v/>
      </c>
      <c r="EG10" s="41" t="str">
        <f t="shared" si="61"/>
        <v/>
      </c>
      <c r="EH10" s="41" t="str">
        <f t="shared" si="62"/>
        <v/>
      </c>
      <c r="EI10" s="41" t="str">
        <f t="shared" si="63"/>
        <v/>
      </c>
      <c r="EJ10" s="41" t="str">
        <f t="shared" si="64"/>
        <v/>
      </c>
      <c r="EK10" s="41">
        <f t="shared" si="65"/>
        <v>49.07</v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 t="shared" si="66"/>
        <v/>
      </c>
      <c r="FG10" s="11" t="str">
        <f t="shared" si="67"/>
        <v/>
      </c>
      <c r="FH10" s="11" t="str">
        <f t="shared" si="68"/>
        <v/>
      </c>
      <c r="FI10" s="11" t="str">
        <f t="shared" si="69"/>
        <v/>
      </c>
      <c r="FJ10" s="11" t="str">
        <f t="shared" si="70"/>
        <v/>
      </c>
      <c r="FK10" s="11" t="str">
        <f t="shared" si="71"/>
        <v/>
      </c>
      <c r="FL10" s="11" t="str">
        <f t="shared" si="72"/>
        <v/>
      </c>
      <c r="FM10" s="11" t="str">
        <f t="shared" si="73"/>
        <v/>
      </c>
      <c r="FN10" s="11" t="str">
        <f t="shared" si="74"/>
        <v/>
      </c>
      <c r="FO10" s="11" t="str">
        <f t="shared" si="75"/>
        <v/>
      </c>
      <c r="FP10" s="11" t="str">
        <f t="shared" si="76"/>
        <v/>
      </c>
      <c r="FQ10" s="11" t="str">
        <f t="shared" si="77"/>
        <v/>
      </c>
      <c r="FR10" s="11" t="str">
        <f t="shared" si="78"/>
        <v/>
      </c>
      <c r="FS10" s="11" t="str">
        <f t="shared" si="79"/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1" t="str">
        <f t="shared" si="80"/>
        <v/>
      </c>
      <c r="GO10" s="41" t="str">
        <f t="shared" si="81"/>
        <v/>
      </c>
      <c r="GP10" s="41" t="str">
        <f t="shared" si="82"/>
        <v/>
      </c>
      <c r="GQ10" s="41" t="str">
        <f t="shared" si="83"/>
        <v/>
      </c>
      <c r="GR10" s="41" t="str">
        <f t="shared" si="84"/>
        <v/>
      </c>
      <c r="GS10" s="41" t="str">
        <f t="shared" si="85"/>
        <v/>
      </c>
      <c r="GT10" s="41" t="str">
        <f t="shared" si="86"/>
        <v/>
      </c>
      <c r="GU10" s="41" t="str">
        <f t="shared" si="87"/>
        <v/>
      </c>
      <c r="GV10" s="41" t="str">
        <f t="shared" si="88"/>
        <v/>
      </c>
      <c r="GW10" s="41" t="str">
        <f t="shared" si="89"/>
        <v/>
      </c>
      <c r="GX10" s="41" t="str">
        <f t="shared" si="90"/>
        <v/>
      </c>
      <c r="GY10" s="41" t="str">
        <f t="shared" si="91"/>
        <v/>
      </c>
      <c r="GZ10" s="41" t="str">
        <f t="shared" si="92"/>
        <v/>
      </c>
      <c r="HA10" s="41" t="str">
        <f t="shared" si="93"/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 t="shared" si="94"/>
        <v/>
      </c>
      <c r="HW10" s="11" t="str">
        <f t="shared" si="95"/>
        <v/>
      </c>
      <c r="HX10" s="11" t="str">
        <f t="shared" si="96"/>
        <v/>
      </c>
      <c r="HY10" s="11" t="str">
        <f t="shared" si="97"/>
        <v/>
      </c>
      <c r="HZ10" s="11" t="str">
        <f t="shared" si="98"/>
        <v/>
      </c>
      <c r="IA10" s="11" t="str">
        <f t="shared" si="99"/>
        <v/>
      </c>
      <c r="IB10" s="11" t="str">
        <f t="shared" si="100"/>
        <v/>
      </c>
      <c r="IC10" s="11" t="str">
        <f t="shared" si="101"/>
        <v/>
      </c>
      <c r="ID10" s="11" t="str">
        <f t="shared" si="102"/>
        <v/>
      </c>
      <c r="IE10" s="11" t="str">
        <f t="shared" si="103"/>
        <v/>
      </c>
      <c r="IF10" s="11" t="str">
        <f t="shared" si="104"/>
        <v/>
      </c>
      <c r="IG10" s="11" t="str">
        <f t="shared" si="105"/>
        <v/>
      </c>
      <c r="IH10" s="11" t="str">
        <f t="shared" si="106"/>
        <v/>
      </c>
      <c r="II10" s="11" t="str">
        <f t="shared" si="107"/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1" t="str">
        <f t="shared" si="108"/>
        <v/>
      </c>
      <c r="JE10" s="41" t="str">
        <f t="shared" si="109"/>
        <v/>
      </c>
      <c r="JF10" s="41" t="str">
        <f t="shared" si="110"/>
        <v/>
      </c>
      <c r="JG10" s="41" t="str">
        <f t="shared" si="111"/>
        <v/>
      </c>
      <c r="JH10" s="41" t="str">
        <f t="shared" si="112"/>
        <v/>
      </c>
      <c r="JI10" s="41" t="str">
        <f t="shared" si="113"/>
        <v/>
      </c>
      <c r="JJ10" s="41" t="str">
        <f t="shared" si="114"/>
        <v/>
      </c>
      <c r="JK10" s="41" t="str">
        <f t="shared" si="115"/>
        <v/>
      </c>
      <c r="JL10" s="41" t="str">
        <f t="shared" si="116"/>
        <v/>
      </c>
      <c r="JM10" s="41" t="str">
        <f t="shared" si="117"/>
        <v/>
      </c>
      <c r="JN10" s="41" t="str">
        <f t="shared" si="118"/>
        <v/>
      </c>
      <c r="JO10" s="41" t="str">
        <f t="shared" si="119"/>
        <v/>
      </c>
      <c r="JP10" s="41" t="str">
        <f t="shared" si="120"/>
        <v/>
      </c>
      <c r="JQ10" s="41" t="str">
        <f t="shared" si="121"/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 t="shared" si="122"/>
        <v/>
      </c>
      <c r="KM10" s="11" t="str">
        <f t="shared" si="123"/>
        <v/>
      </c>
      <c r="KN10" s="11" t="str">
        <f t="shared" si="124"/>
        <v/>
      </c>
      <c r="KO10" s="11" t="str">
        <f t="shared" si="125"/>
        <v/>
      </c>
      <c r="KP10" s="11" t="str">
        <f t="shared" si="126"/>
        <v/>
      </c>
      <c r="KQ10" s="11" t="str">
        <f t="shared" si="127"/>
        <v/>
      </c>
      <c r="KR10" s="11" t="str">
        <f t="shared" si="128"/>
        <v/>
      </c>
      <c r="KS10" s="11" t="str">
        <f t="shared" si="129"/>
        <v/>
      </c>
      <c r="KT10" s="11" t="str">
        <f t="shared" si="130"/>
        <v/>
      </c>
      <c r="KU10" s="11" t="str">
        <f t="shared" si="131"/>
        <v/>
      </c>
      <c r="KV10" s="11" t="str">
        <f t="shared" si="132"/>
        <v/>
      </c>
      <c r="KW10" s="11" t="str">
        <f t="shared" si="133"/>
        <v/>
      </c>
      <c r="KX10" s="11" t="str">
        <f t="shared" si="134"/>
        <v/>
      </c>
      <c r="KY10" s="11" t="str">
        <f t="shared" si="135"/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1" t="str">
        <f t="shared" si="136"/>
        <v/>
      </c>
      <c r="LU10" s="41" t="str">
        <f t="shared" si="137"/>
        <v/>
      </c>
      <c r="LV10" s="41" t="str">
        <f t="shared" si="138"/>
        <v/>
      </c>
      <c r="LW10" s="41" t="str">
        <f t="shared" si="139"/>
        <v/>
      </c>
      <c r="LX10" s="41" t="str">
        <f t="shared" si="140"/>
        <v/>
      </c>
      <c r="LY10" s="41" t="str">
        <f t="shared" si="141"/>
        <v/>
      </c>
      <c r="LZ10" s="41" t="str">
        <f t="shared" si="142"/>
        <v/>
      </c>
      <c r="MA10" s="41" t="str">
        <f t="shared" si="143"/>
        <v/>
      </c>
      <c r="MB10" s="41" t="str">
        <f t="shared" si="144"/>
        <v/>
      </c>
      <c r="MC10" s="41" t="str">
        <f t="shared" si="145"/>
        <v/>
      </c>
      <c r="MD10" s="41" t="str">
        <f t="shared" si="146"/>
        <v/>
      </c>
      <c r="ME10" s="41" t="str">
        <f t="shared" si="147"/>
        <v/>
      </c>
      <c r="MF10" s="41" t="str">
        <f t="shared" si="148"/>
        <v/>
      </c>
      <c r="MG10" s="41" t="str">
        <f t="shared" si="149"/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 t="shared" si="150"/>
        <v/>
      </c>
      <c r="NC10" s="11" t="str">
        <f t="shared" si="151"/>
        <v/>
      </c>
      <c r="ND10" s="11" t="str">
        <f t="shared" si="152"/>
        <v/>
      </c>
      <c r="NE10" s="11" t="str">
        <f t="shared" si="153"/>
        <v/>
      </c>
      <c r="NF10" s="11" t="str">
        <f t="shared" si="154"/>
        <v/>
      </c>
      <c r="NG10" s="11" t="str">
        <f t="shared" si="155"/>
        <v/>
      </c>
      <c r="NH10" s="11" t="str">
        <f t="shared" si="156"/>
        <v/>
      </c>
      <c r="NI10" s="11" t="str">
        <f t="shared" si="157"/>
        <v/>
      </c>
      <c r="NJ10" s="11" t="str">
        <f t="shared" si="158"/>
        <v/>
      </c>
      <c r="NK10" s="11" t="str">
        <f t="shared" si="159"/>
        <v/>
      </c>
      <c r="NL10" s="11" t="str">
        <f t="shared" si="160"/>
        <v/>
      </c>
      <c r="NM10" s="11" t="str">
        <f t="shared" si="161"/>
        <v/>
      </c>
      <c r="NN10" s="11" t="str">
        <f t="shared" si="162"/>
        <v/>
      </c>
      <c r="NO10" s="11" t="str">
        <f t="shared" si="163"/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1" t="str">
        <f t="shared" si="164"/>
        <v/>
      </c>
      <c r="OK10" s="41" t="str">
        <f t="shared" si="165"/>
        <v/>
      </c>
      <c r="OL10" s="41" t="str">
        <f t="shared" si="166"/>
        <v/>
      </c>
      <c r="OM10" s="41" t="str">
        <f t="shared" si="167"/>
        <v/>
      </c>
      <c r="ON10" s="41" t="str">
        <f t="shared" si="168"/>
        <v/>
      </c>
      <c r="OO10" s="41" t="str">
        <f t="shared" si="169"/>
        <v/>
      </c>
      <c r="OP10" s="41" t="str">
        <f t="shared" si="170"/>
        <v/>
      </c>
      <c r="OQ10" s="41" t="str">
        <f t="shared" si="171"/>
        <v/>
      </c>
      <c r="OR10" s="41" t="str">
        <f t="shared" si="172"/>
        <v/>
      </c>
      <c r="OS10" s="41" t="str">
        <f t="shared" si="173"/>
        <v/>
      </c>
      <c r="OT10" s="41" t="str">
        <f t="shared" si="174"/>
        <v/>
      </c>
      <c r="OU10" s="41" t="str">
        <f t="shared" si="175"/>
        <v/>
      </c>
      <c r="OV10" s="41" t="str">
        <f t="shared" si="176"/>
        <v/>
      </c>
      <c r="OW10" s="41" t="str">
        <f t="shared" si="177"/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 t="shared" si="178"/>
        <v/>
      </c>
      <c r="PS10" s="11" t="str">
        <f t="shared" si="179"/>
        <v/>
      </c>
      <c r="PT10" s="11" t="str">
        <f t="shared" si="180"/>
        <v/>
      </c>
      <c r="PU10" s="11" t="str">
        <f t="shared" si="181"/>
        <v/>
      </c>
      <c r="PV10" s="11" t="str">
        <f t="shared" si="182"/>
        <v/>
      </c>
      <c r="PW10" s="11" t="str">
        <f t="shared" si="183"/>
        <v/>
      </c>
      <c r="PX10" s="11" t="str">
        <f t="shared" si="184"/>
        <v/>
      </c>
      <c r="PY10" s="11" t="str">
        <f t="shared" si="185"/>
        <v/>
      </c>
      <c r="PZ10" s="11" t="str">
        <f t="shared" si="186"/>
        <v/>
      </c>
      <c r="QA10" s="11" t="str">
        <f t="shared" si="187"/>
        <v/>
      </c>
      <c r="QB10" s="11" t="str">
        <f t="shared" si="188"/>
        <v/>
      </c>
      <c r="QC10" s="11" t="str">
        <f t="shared" si="189"/>
        <v/>
      </c>
      <c r="QD10" s="11" t="str">
        <f t="shared" si="190"/>
        <v/>
      </c>
      <c r="QE10" s="11" t="str">
        <f t="shared" si="191"/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1" t="str">
        <f t="shared" si="192"/>
        <v/>
      </c>
      <c r="RA10" s="41" t="str">
        <f t="shared" si="193"/>
        <v/>
      </c>
      <c r="RB10" s="41" t="str">
        <f t="shared" si="194"/>
        <v/>
      </c>
      <c r="RC10" s="41" t="str">
        <f t="shared" si="195"/>
        <v/>
      </c>
      <c r="RD10" s="41" t="str">
        <f t="shared" si="196"/>
        <v/>
      </c>
      <c r="RE10" s="41" t="str">
        <f t="shared" si="197"/>
        <v/>
      </c>
      <c r="RF10" s="41" t="str">
        <f t="shared" si="198"/>
        <v/>
      </c>
      <c r="RG10" s="41" t="str">
        <f t="shared" si="199"/>
        <v/>
      </c>
      <c r="RH10" s="41" t="str">
        <f t="shared" si="200"/>
        <v/>
      </c>
      <c r="RI10" s="41" t="str">
        <f t="shared" si="201"/>
        <v/>
      </c>
      <c r="RJ10" s="41" t="str">
        <f t="shared" si="202"/>
        <v/>
      </c>
      <c r="RK10" s="41" t="str">
        <f t="shared" si="203"/>
        <v/>
      </c>
      <c r="RL10" s="41" t="str">
        <f t="shared" si="204"/>
        <v/>
      </c>
      <c r="RM10" s="41" t="str">
        <f t="shared" si="205"/>
        <v/>
      </c>
      <c r="RN10" s="18">
        <v>5.6</v>
      </c>
      <c r="RO10" s="18">
        <v>3.3</v>
      </c>
      <c r="RP10" s="18">
        <v>5.2</v>
      </c>
      <c r="RQ10" s="18">
        <v>5.9</v>
      </c>
      <c r="RR10" s="18">
        <v>0</v>
      </c>
      <c r="RS10" s="18">
        <v>3</v>
      </c>
      <c r="RT10" s="18">
        <v>2</v>
      </c>
      <c r="RU10" s="18">
        <v>2.7</v>
      </c>
      <c r="RV10" s="18">
        <v>3.03</v>
      </c>
      <c r="RW10" s="18">
        <v>0</v>
      </c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>
        <f t="shared" si="206"/>
        <v>5.2</v>
      </c>
      <c r="SI10" s="11">
        <f t="shared" si="207"/>
        <v>5.9</v>
      </c>
      <c r="SJ10" s="11">
        <f t="shared" si="208"/>
        <v>20</v>
      </c>
      <c r="SK10" s="11">
        <f t="shared" si="209"/>
        <v>2.7</v>
      </c>
      <c r="SL10" s="11">
        <f t="shared" si="210"/>
        <v>3.03</v>
      </c>
      <c r="SM10" s="11">
        <f t="shared" si="211"/>
        <v>10.73</v>
      </c>
      <c r="SN10" s="11">
        <f t="shared" si="212"/>
        <v>20</v>
      </c>
      <c r="SO10" s="11" t="str">
        <f t="shared" si="213"/>
        <v/>
      </c>
      <c r="SP10" s="11" t="str">
        <f t="shared" si="214"/>
        <v/>
      </c>
      <c r="SQ10" s="11" t="str">
        <f t="shared" si="215"/>
        <v/>
      </c>
      <c r="SR10" s="11" t="str">
        <f t="shared" si="216"/>
        <v/>
      </c>
      <c r="SS10" s="11" t="str">
        <f t="shared" si="217"/>
        <v/>
      </c>
      <c r="ST10" s="11" t="str">
        <f t="shared" si="218"/>
        <v/>
      </c>
      <c r="SU10" s="11">
        <f t="shared" si="219"/>
        <v>20</v>
      </c>
      <c r="SV10" s="23">
        <f t="shared" si="220"/>
        <v>9.0500000000000007</v>
      </c>
      <c r="SW10" s="23">
        <f t="shared" si="221"/>
        <v>5.9499999999999993</v>
      </c>
      <c r="SX10" s="23">
        <f t="shared" si="222"/>
        <v>8.1999999999999993</v>
      </c>
      <c r="SY10" s="23">
        <f t="shared" si="223"/>
        <v>9.4550000000000001</v>
      </c>
      <c r="SZ10" s="23">
        <f t="shared" si="224"/>
        <v>0</v>
      </c>
      <c r="TA10" s="23">
        <f t="shared" si="225"/>
        <v>8.15</v>
      </c>
      <c r="TB10" s="23">
        <f t="shared" si="226"/>
        <v>4.9000000000000004</v>
      </c>
      <c r="TC10" s="23">
        <f t="shared" si="227"/>
        <v>6.95</v>
      </c>
      <c r="TD10" s="23">
        <f t="shared" si="228"/>
        <v>7.9450000000000003</v>
      </c>
      <c r="TE10" s="23">
        <f t="shared" si="229"/>
        <v>0</v>
      </c>
      <c r="TF10" s="23">
        <f t="shared" si="230"/>
        <v>6.9</v>
      </c>
      <c r="TG10" s="23">
        <f t="shared" si="231"/>
        <v>4.75</v>
      </c>
      <c r="TH10" s="23">
        <f t="shared" si="232"/>
        <v>6.35</v>
      </c>
      <c r="TI10" s="23">
        <f t="shared" si="233"/>
        <v>7.335</v>
      </c>
      <c r="TJ10" s="23">
        <f t="shared" si="234"/>
        <v>0</v>
      </c>
      <c r="TK10" s="28" t="s">
        <v>57</v>
      </c>
      <c r="TL10" s="41">
        <f t="shared" si="235"/>
        <v>8.1999999999999993</v>
      </c>
      <c r="TM10" s="41">
        <f t="shared" si="236"/>
        <v>9.4550000000000001</v>
      </c>
      <c r="TN10" s="41">
        <f t="shared" si="237"/>
        <v>32.655000000000001</v>
      </c>
      <c r="TO10" s="41">
        <f t="shared" si="238"/>
        <v>6.95</v>
      </c>
      <c r="TP10" s="41">
        <f t="shared" si="239"/>
        <v>7.9450000000000003</v>
      </c>
      <c r="TQ10" s="41">
        <f t="shared" si="240"/>
        <v>27.945</v>
      </c>
      <c r="TR10" s="41">
        <f t="shared" si="241"/>
        <v>32.655000000000001</v>
      </c>
      <c r="TS10" s="41">
        <f t="shared" si="242"/>
        <v>6.35</v>
      </c>
      <c r="TT10" s="41">
        <f t="shared" si="243"/>
        <v>7.335</v>
      </c>
      <c r="TU10" s="41">
        <f t="shared" si="244"/>
        <v>25.335000000000001</v>
      </c>
      <c r="TV10" s="41">
        <f t="shared" si="245"/>
        <v>57.99</v>
      </c>
    </row>
    <row r="11" spans="1:542" x14ac:dyDescent="0.2">
      <c r="A11" s="4" cm="1">
        <f t="array" ref="A11">IF(AND(H11&lt;&gt;"",H11&lt;&gt;"No DD"),SUMPRODUCT((H$4:H$18&lt;&gt;"")*(H$4:H$18&lt;&gt;"No DD")*(E$4:E$18&gt;E11))+1,IF(H11="No DD",SUMPRODUCT((H$4:H$18="No DD")*(E$4:E$18&gt;E11))+1+SUMPRODUCT((H$4:H$18&lt;&gt;"")*(H$4:H$18&lt;&gt;"No DD")),""))</f>
        <v>8</v>
      </c>
      <c r="B11" s="5" t="s">
        <v>98</v>
      </c>
      <c r="C11" s="4" t="s">
        <v>5</v>
      </c>
      <c r="D11" s="4">
        <v>1999</v>
      </c>
      <c r="E11" s="9">
        <f t="shared" si="0"/>
        <v>228.37002283700508</v>
      </c>
      <c r="F11" s="3" t="str">
        <f t="shared" si="1"/>
        <v>P</v>
      </c>
      <c r="G11" s="3" t="str">
        <f t="shared" si="2"/>
        <v>P</v>
      </c>
      <c r="H11" s="37" t="str">
        <f t="shared" si="3"/>
        <v>Worlds Team</v>
      </c>
      <c r="I11" s="3" t="str">
        <f t="shared" si="4"/>
        <v>P</v>
      </c>
      <c r="J11" s="8">
        <f>IF(COUNT(AQ11,AT11,BR11,BU11,CS11,CV11)&gt;0,LARGE((AQ11,AT11,BR11,BU11,CS11,CV11),1),0)</f>
        <v>50.91</v>
      </c>
      <c r="K11" s="8" t="str">
        <f t="shared" si="5"/>
        <v>2023 Domestic 3rd Trial</v>
      </c>
      <c r="L11" s="8">
        <f>IF(COUNT(AQ11,AT11,BR11,BU11,CS11,CV11)&gt;1,LARGE((AQ11,AT11,BR11,BU11,CS11,CV11),2),0)</f>
        <v>50.790000000000006</v>
      </c>
      <c r="M11" s="8" t="str">
        <f t="shared" si="6"/>
        <v>2023 Domestic 3rd Trial</v>
      </c>
      <c r="N11" s="8">
        <f>IF(COUNT(AQ11,AT11,BR11,BU11,CS11,CV11)&gt;2,LARGE((AQ11,AT11,BR11,BU11,CS11,CV11),3),0)</f>
        <v>47.91</v>
      </c>
      <c r="O11" s="8" t="str">
        <f t="shared" si="7"/>
        <v>2023 Elite Canada</v>
      </c>
      <c r="P11" s="8">
        <f t="shared" si="8"/>
        <v>51.430000000000007</v>
      </c>
      <c r="Q11" s="8" t="str">
        <f t="shared" si="9"/>
        <v>2023 Domestic 3rd Trial</v>
      </c>
      <c r="R11" s="8">
        <f t="shared" si="10"/>
        <v>13.1</v>
      </c>
      <c r="S11" s="8" t="str">
        <f t="shared" si="11"/>
        <v>2023 Domestic 3rd Trial</v>
      </c>
      <c r="T11" s="8">
        <f t="shared" si="12"/>
        <v>14.23</v>
      </c>
      <c r="U11" s="8" t="str">
        <f t="shared" si="13"/>
        <v>2023 Domestic 3rd Trial</v>
      </c>
      <c r="V11" s="8" t="str">
        <f t="shared" si="14"/>
        <v/>
      </c>
      <c r="W11" s="11" t="str">
        <f t="shared" si="15"/>
        <v/>
      </c>
      <c r="X11" s="8" t="str">
        <f t="shared" si="16"/>
        <v/>
      </c>
      <c r="Y11" s="23">
        <v>4.0999999999999996</v>
      </c>
      <c r="Z11" s="23">
        <v>2.8</v>
      </c>
      <c r="AA11" s="23">
        <v>3.8</v>
      </c>
      <c r="AB11" s="23">
        <v>4.32</v>
      </c>
      <c r="AC11" s="23">
        <v>0</v>
      </c>
      <c r="AD11" s="23">
        <v>13.5</v>
      </c>
      <c r="AE11" s="23">
        <v>9.3000000000000007</v>
      </c>
      <c r="AF11" s="23">
        <v>12</v>
      </c>
      <c r="AG11" s="23">
        <v>13.11</v>
      </c>
      <c r="AH11" s="23">
        <v>0</v>
      </c>
      <c r="AI11" s="23">
        <v>12.2</v>
      </c>
      <c r="AJ11" s="23">
        <v>8.6</v>
      </c>
      <c r="AK11" s="23">
        <v>11.3</v>
      </c>
      <c r="AL11" s="23">
        <v>12.49</v>
      </c>
      <c r="AM11" s="23">
        <v>0</v>
      </c>
      <c r="AN11" s="28"/>
      <c r="AO11" s="39">
        <f t="shared" si="17"/>
        <v>3.8</v>
      </c>
      <c r="AP11" s="39">
        <f t="shared" si="18"/>
        <v>4.32</v>
      </c>
      <c r="AQ11" s="41">
        <f t="shared" si="19"/>
        <v>15.02</v>
      </c>
      <c r="AR11" s="41">
        <f t="shared" si="20"/>
        <v>12</v>
      </c>
      <c r="AS11" s="41">
        <f t="shared" si="21"/>
        <v>13.11</v>
      </c>
      <c r="AT11" s="41">
        <f t="shared" si="22"/>
        <v>47.91</v>
      </c>
      <c r="AU11" s="41">
        <f t="shared" si="23"/>
        <v>47.91</v>
      </c>
      <c r="AV11" s="41">
        <f t="shared" si="24"/>
        <v>11.3</v>
      </c>
      <c r="AW11" s="41">
        <f t="shared" si="25"/>
        <v>12.49</v>
      </c>
      <c r="AX11" s="41">
        <f t="shared" si="26"/>
        <v>44.589999999999996</v>
      </c>
      <c r="AY11" s="41">
        <f t="shared" si="27"/>
        <v>92.5</v>
      </c>
      <c r="AZ11" s="27">
        <v>7.1</v>
      </c>
      <c r="BA11" s="27">
        <v>4.4000000000000004</v>
      </c>
      <c r="BB11" s="27">
        <v>6.5</v>
      </c>
      <c r="BC11" s="27">
        <v>6.94</v>
      </c>
      <c r="BD11" s="27">
        <v>0</v>
      </c>
      <c r="BE11" s="27">
        <v>1.6</v>
      </c>
      <c r="BF11" s="27">
        <v>1</v>
      </c>
      <c r="BG11" s="27">
        <v>1.5</v>
      </c>
      <c r="BH11" s="27">
        <v>1.45</v>
      </c>
      <c r="BI11" s="27">
        <v>0</v>
      </c>
      <c r="BJ11" s="27"/>
      <c r="BK11" s="27"/>
      <c r="BL11" s="27"/>
      <c r="BM11" s="27"/>
      <c r="BN11" s="27"/>
      <c r="BO11" s="29"/>
      <c r="BP11" s="40">
        <f t="shared" si="28"/>
        <v>6.5</v>
      </c>
      <c r="BQ11" s="40">
        <f t="shared" si="29"/>
        <v>6.94</v>
      </c>
      <c r="BR11" s="11">
        <f t="shared" si="30"/>
        <v>24.94</v>
      </c>
      <c r="BS11" s="11">
        <f t="shared" si="31"/>
        <v>1.5</v>
      </c>
      <c r="BT11" s="11">
        <f t="shared" si="32"/>
        <v>1.45</v>
      </c>
      <c r="BU11" s="11">
        <f t="shared" si="33"/>
        <v>5.55</v>
      </c>
      <c r="BV11" s="11">
        <f t="shared" si="34"/>
        <v>24.94</v>
      </c>
      <c r="BW11" s="11" t="str">
        <f t="shared" si="35"/>
        <v/>
      </c>
      <c r="BX11" s="11" t="str">
        <f t="shared" si="36"/>
        <v/>
      </c>
      <c r="BY11" s="11" t="str">
        <f t="shared" si="37"/>
        <v/>
      </c>
      <c r="BZ11" s="11">
        <f t="shared" si="38"/>
        <v>24.94</v>
      </c>
      <c r="CA11" s="23">
        <v>14.4</v>
      </c>
      <c r="CB11" s="23">
        <v>9.4</v>
      </c>
      <c r="CC11" s="23">
        <v>12.9</v>
      </c>
      <c r="CD11" s="23">
        <v>14.09</v>
      </c>
      <c r="CE11" s="23">
        <v>0</v>
      </c>
      <c r="CF11" s="23">
        <v>14.8</v>
      </c>
      <c r="CG11" s="23">
        <v>9.1999999999999993</v>
      </c>
      <c r="CH11" s="23">
        <v>12.9</v>
      </c>
      <c r="CI11" s="23">
        <v>14.01</v>
      </c>
      <c r="CJ11" s="23">
        <v>0</v>
      </c>
      <c r="CK11" s="23">
        <v>14.6</v>
      </c>
      <c r="CL11" s="23">
        <v>9.5</v>
      </c>
      <c r="CM11" s="23">
        <v>13.1</v>
      </c>
      <c r="CN11" s="23">
        <v>14.23</v>
      </c>
      <c r="CO11" s="23">
        <v>0</v>
      </c>
      <c r="CP11" s="28"/>
      <c r="CQ11" s="39">
        <f t="shared" si="39"/>
        <v>12.9</v>
      </c>
      <c r="CR11" s="39">
        <f t="shared" si="40"/>
        <v>14.09</v>
      </c>
      <c r="CS11" s="41">
        <f t="shared" si="41"/>
        <v>50.790000000000006</v>
      </c>
      <c r="CT11" s="41">
        <f t="shared" si="42"/>
        <v>12.9</v>
      </c>
      <c r="CU11" s="41">
        <f t="shared" si="43"/>
        <v>14.01</v>
      </c>
      <c r="CV11" s="41">
        <f t="shared" si="44"/>
        <v>50.91</v>
      </c>
      <c r="CW11" s="41">
        <f t="shared" si="45"/>
        <v>50.91</v>
      </c>
      <c r="CX11" s="41">
        <f t="shared" si="46"/>
        <v>13.1</v>
      </c>
      <c r="CY11" s="41">
        <f t="shared" si="47"/>
        <v>14.23</v>
      </c>
      <c r="CZ11" s="41">
        <f t="shared" si="48"/>
        <v>51.430000000000007</v>
      </c>
      <c r="DA11" s="41">
        <f t="shared" si="49"/>
        <v>102.34</v>
      </c>
      <c r="DB11" s="52" t="str">
        <f t="shared" si="50"/>
        <v/>
      </c>
      <c r="DC11" s="52" t="str">
        <f t="shared" si="51"/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1" t="str">
        <f t="shared" si="52"/>
        <v/>
      </c>
      <c r="DY11" s="41" t="str">
        <f t="shared" si="53"/>
        <v/>
      </c>
      <c r="DZ11" s="41" t="str">
        <f t="shared" si="54"/>
        <v/>
      </c>
      <c r="EA11" s="41" t="str">
        <f t="shared" si="55"/>
        <v/>
      </c>
      <c r="EB11" s="41" t="str">
        <f t="shared" si="56"/>
        <v/>
      </c>
      <c r="EC11" s="41" t="str">
        <f t="shared" si="57"/>
        <v/>
      </c>
      <c r="ED11" s="41" t="str">
        <f t="shared" si="58"/>
        <v/>
      </c>
      <c r="EE11" s="41" t="str">
        <f t="shared" si="59"/>
        <v/>
      </c>
      <c r="EF11" s="41" t="str">
        <f t="shared" si="60"/>
        <v/>
      </c>
      <c r="EG11" s="41" t="str">
        <f t="shared" si="61"/>
        <v/>
      </c>
      <c r="EH11" s="41" t="str">
        <f t="shared" si="62"/>
        <v/>
      </c>
      <c r="EI11" s="41" t="str">
        <f t="shared" si="63"/>
        <v/>
      </c>
      <c r="EJ11" s="41" t="str">
        <f t="shared" si="64"/>
        <v/>
      </c>
      <c r="EK11" s="41" t="str">
        <f t="shared" si="65"/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 t="shared" si="66"/>
        <v/>
      </c>
      <c r="FG11" s="11" t="str">
        <f t="shared" si="67"/>
        <v/>
      </c>
      <c r="FH11" s="11" t="str">
        <f t="shared" si="68"/>
        <v/>
      </c>
      <c r="FI11" s="11" t="str">
        <f t="shared" si="69"/>
        <v/>
      </c>
      <c r="FJ11" s="11" t="str">
        <f t="shared" si="70"/>
        <v/>
      </c>
      <c r="FK11" s="11" t="str">
        <f t="shared" si="71"/>
        <v/>
      </c>
      <c r="FL11" s="11" t="str">
        <f t="shared" si="72"/>
        <v/>
      </c>
      <c r="FM11" s="11" t="str">
        <f t="shared" si="73"/>
        <v/>
      </c>
      <c r="FN11" s="11" t="str">
        <f t="shared" si="74"/>
        <v/>
      </c>
      <c r="FO11" s="11" t="str">
        <f t="shared" si="75"/>
        <v/>
      </c>
      <c r="FP11" s="11" t="str">
        <f t="shared" si="76"/>
        <v/>
      </c>
      <c r="FQ11" s="11" t="str">
        <f t="shared" si="77"/>
        <v/>
      </c>
      <c r="FR11" s="11" t="str">
        <f t="shared" si="78"/>
        <v/>
      </c>
      <c r="FS11" s="11" t="str">
        <f t="shared" si="79"/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1" t="str">
        <f t="shared" si="80"/>
        <v/>
      </c>
      <c r="GO11" s="41" t="str">
        <f t="shared" si="81"/>
        <v/>
      </c>
      <c r="GP11" s="41" t="str">
        <f t="shared" si="82"/>
        <v/>
      </c>
      <c r="GQ11" s="41" t="str">
        <f t="shared" si="83"/>
        <v/>
      </c>
      <c r="GR11" s="41" t="str">
        <f t="shared" si="84"/>
        <v/>
      </c>
      <c r="GS11" s="41" t="str">
        <f t="shared" si="85"/>
        <v/>
      </c>
      <c r="GT11" s="41" t="str">
        <f t="shared" si="86"/>
        <v/>
      </c>
      <c r="GU11" s="41" t="str">
        <f t="shared" si="87"/>
        <v/>
      </c>
      <c r="GV11" s="41" t="str">
        <f t="shared" si="88"/>
        <v/>
      </c>
      <c r="GW11" s="41" t="str">
        <f t="shared" si="89"/>
        <v/>
      </c>
      <c r="GX11" s="41" t="str">
        <f t="shared" si="90"/>
        <v/>
      </c>
      <c r="GY11" s="41" t="str">
        <f t="shared" si="91"/>
        <v/>
      </c>
      <c r="GZ11" s="41" t="str">
        <f t="shared" si="92"/>
        <v/>
      </c>
      <c r="HA11" s="41" t="str">
        <f t="shared" si="93"/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 t="shared" si="94"/>
        <v/>
      </c>
      <c r="HW11" s="11" t="str">
        <f t="shared" si="95"/>
        <v/>
      </c>
      <c r="HX11" s="11" t="str">
        <f t="shared" si="96"/>
        <v/>
      </c>
      <c r="HY11" s="11" t="str">
        <f t="shared" si="97"/>
        <v/>
      </c>
      <c r="HZ11" s="11" t="str">
        <f t="shared" si="98"/>
        <v/>
      </c>
      <c r="IA11" s="11" t="str">
        <f t="shared" si="99"/>
        <v/>
      </c>
      <c r="IB11" s="11" t="str">
        <f t="shared" si="100"/>
        <v/>
      </c>
      <c r="IC11" s="11" t="str">
        <f t="shared" si="101"/>
        <v/>
      </c>
      <c r="ID11" s="11" t="str">
        <f t="shared" si="102"/>
        <v/>
      </c>
      <c r="IE11" s="11" t="str">
        <f t="shared" si="103"/>
        <v/>
      </c>
      <c r="IF11" s="11" t="str">
        <f t="shared" si="104"/>
        <v/>
      </c>
      <c r="IG11" s="11" t="str">
        <f t="shared" si="105"/>
        <v/>
      </c>
      <c r="IH11" s="11" t="str">
        <f t="shared" si="106"/>
        <v/>
      </c>
      <c r="II11" s="11" t="str">
        <f t="shared" si="107"/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1" t="str">
        <f t="shared" si="108"/>
        <v/>
      </c>
      <c r="JE11" s="41" t="str">
        <f t="shared" si="109"/>
        <v/>
      </c>
      <c r="JF11" s="41" t="str">
        <f t="shared" si="110"/>
        <v/>
      </c>
      <c r="JG11" s="41" t="str">
        <f t="shared" si="111"/>
        <v/>
      </c>
      <c r="JH11" s="41" t="str">
        <f t="shared" si="112"/>
        <v/>
      </c>
      <c r="JI11" s="41" t="str">
        <f t="shared" si="113"/>
        <v/>
      </c>
      <c r="JJ11" s="41" t="str">
        <f t="shared" si="114"/>
        <v/>
      </c>
      <c r="JK11" s="41" t="str">
        <f t="shared" si="115"/>
        <v/>
      </c>
      <c r="JL11" s="41" t="str">
        <f t="shared" si="116"/>
        <v/>
      </c>
      <c r="JM11" s="41" t="str">
        <f t="shared" si="117"/>
        <v/>
      </c>
      <c r="JN11" s="41" t="str">
        <f t="shared" si="118"/>
        <v/>
      </c>
      <c r="JO11" s="41" t="str">
        <f t="shared" si="119"/>
        <v/>
      </c>
      <c r="JP11" s="41" t="str">
        <f t="shared" si="120"/>
        <v/>
      </c>
      <c r="JQ11" s="41" t="str">
        <f t="shared" si="121"/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 t="shared" si="122"/>
        <v/>
      </c>
      <c r="KM11" s="11" t="str">
        <f t="shared" si="123"/>
        <v/>
      </c>
      <c r="KN11" s="11" t="str">
        <f t="shared" si="124"/>
        <v/>
      </c>
      <c r="KO11" s="11" t="str">
        <f t="shared" si="125"/>
        <v/>
      </c>
      <c r="KP11" s="11" t="str">
        <f t="shared" si="126"/>
        <v/>
      </c>
      <c r="KQ11" s="11" t="str">
        <f t="shared" si="127"/>
        <v/>
      </c>
      <c r="KR11" s="11" t="str">
        <f t="shared" si="128"/>
        <v/>
      </c>
      <c r="KS11" s="11" t="str">
        <f t="shared" si="129"/>
        <v/>
      </c>
      <c r="KT11" s="11" t="str">
        <f t="shared" si="130"/>
        <v/>
      </c>
      <c r="KU11" s="11" t="str">
        <f t="shared" si="131"/>
        <v/>
      </c>
      <c r="KV11" s="11" t="str">
        <f t="shared" si="132"/>
        <v/>
      </c>
      <c r="KW11" s="11" t="str">
        <f t="shared" si="133"/>
        <v/>
      </c>
      <c r="KX11" s="11" t="str">
        <f t="shared" si="134"/>
        <v/>
      </c>
      <c r="KY11" s="11" t="str">
        <f t="shared" si="135"/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1" t="str">
        <f t="shared" si="136"/>
        <v/>
      </c>
      <c r="LU11" s="41" t="str">
        <f t="shared" si="137"/>
        <v/>
      </c>
      <c r="LV11" s="41" t="str">
        <f t="shared" si="138"/>
        <v/>
      </c>
      <c r="LW11" s="41" t="str">
        <f t="shared" si="139"/>
        <v/>
      </c>
      <c r="LX11" s="41" t="str">
        <f t="shared" si="140"/>
        <v/>
      </c>
      <c r="LY11" s="41" t="str">
        <f t="shared" si="141"/>
        <v/>
      </c>
      <c r="LZ11" s="41" t="str">
        <f t="shared" si="142"/>
        <v/>
      </c>
      <c r="MA11" s="41" t="str">
        <f t="shared" si="143"/>
        <v/>
      </c>
      <c r="MB11" s="41" t="str">
        <f t="shared" si="144"/>
        <v/>
      </c>
      <c r="MC11" s="41" t="str">
        <f t="shared" si="145"/>
        <v/>
      </c>
      <c r="MD11" s="41" t="str">
        <f t="shared" si="146"/>
        <v/>
      </c>
      <c r="ME11" s="41" t="str">
        <f t="shared" si="147"/>
        <v/>
      </c>
      <c r="MF11" s="41" t="str">
        <f t="shared" si="148"/>
        <v/>
      </c>
      <c r="MG11" s="41" t="str">
        <f t="shared" si="149"/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 t="shared" si="150"/>
        <v/>
      </c>
      <c r="NC11" s="11" t="str">
        <f t="shared" si="151"/>
        <v/>
      </c>
      <c r="ND11" s="11" t="str">
        <f t="shared" si="152"/>
        <v/>
      </c>
      <c r="NE11" s="11" t="str">
        <f t="shared" si="153"/>
        <v/>
      </c>
      <c r="NF11" s="11" t="str">
        <f t="shared" si="154"/>
        <v/>
      </c>
      <c r="NG11" s="11" t="str">
        <f t="shared" si="155"/>
        <v/>
      </c>
      <c r="NH11" s="11" t="str">
        <f t="shared" si="156"/>
        <v/>
      </c>
      <c r="NI11" s="11" t="str">
        <f t="shared" si="157"/>
        <v/>
      </c>
      <c r="NJ11" s="11" t="str">
        <f t="shared" si="158"/>
        <v/>
      </c>
      <c r="NK11" s="11" t="str">
        <f t="shared" si="159"/>
        <v/>
      </c>
      <c r="NL11" s="11" t="str">
        <f t="shared" si="160"/>
        <v/>
      </c>
      <c r="NM11" s="11" t="str">
        <f t="shared" si="161"/>
        <v/>
      </c>
      <c r="NN11" s="11" t="str">
        <f t="shared" si="162"/>
        <v/>
      </c>
      <c r="NO11" s="11" t="str">
        <f t="shared" si="163"/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1" t="str">
        <f t="shared" si="164"/>
        <v/>
      </c>
      <c r="OK11" s="41" t="str">
        <f t="shared" si="165"/>
        <v/>
      </c>
      <c r="OL11" s="41" t="str">
        <f t="shared" si="166"/>
        <v/>
      </c>
      <c r="OM11" s="41" t="str">
        <f t="shared" si="167"/>
        <v/>
      </c>
      <c r="ON11" s="41" t="str">
        <f t="shared" si="168"/>
        <v/>
      </c>
      <c r="OO11" s="41" t="str">
        <f t="shared" si="169"/>
        <v/>
      </c>
      <c r="OP11" s="41" t="str">
        <f t="shared" si="170"/>
        <v/>
      </c>
      <c r="OQ11" s="41" t="str">
        <f t="shared" si="171"/>
        <v/>
      </c>
      <c r="OR11" s="41" t="str">
        <f t="shared" si="172"/>
        <v/>
      </c>
      <c r="OS11" s="41" t="str">
        <f t="shared" si="173"/>
        <v/>
      </c>
      <c r="OT11" s="41" t="str">
        <f t="shared" si="174"/>
        <v/>
      </c>
      <c r="OU11" s="41" t="str">
        <f t="shared" si="175"/>
        <v/>
      </c>
      <c r="OV11" s="41" t="str">
        <f t="shared" si="176"/>
        <v/>
      </c>
      <c r="OW11" s="41" t="str">
        <f t="shared" si="177"/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 t="shared" si="178"/>
        <v/>
      </c>
      <c r="PS11" s="11" t="str">
        <f t="shared" si="179"/>
        <v/>
      </c>
      <c r="PT11" s="11" t="str">
        <f t="shared" si="180"/>
        <v/>
      </c>
      <c r="PU11" s="11" t="str">
        <f t="shared" si="181"/>
        <v/>
      </c>
      <c r="PV11" s="11" t="str">
        <f t="shared" si="182"/>
        <v/>
      </c>
      <c r="PW11" s="11" t="str">
        <f t="shared" si="183"/>
        <v/>
      </c>
      <c r="PX11" s="11" t="str">
        <f t="shared" si="184"/>
        <v/>
      </c>
      <c r="PY11" s="11" t="str">
        <f t="shared" si="185"/>
        <v/>
      </c>
      <c r="PZ11" s="11" t="str">
        <f t="shared" si="186"/>
        <v/>
      </c>
      <c r="QA11" s="11" t="str">
        <f t="shared" si="187"/>
        <v/>
      </c>
      <c r="QB11" s="11" t="str">
        <f t="shared" si="188"/>
        <v/>
      </c>
      <c r="QC11" s="11" t="str">
        <f t="shared" si="189"/>
        <v/>
      </c>
      <c r="QD11" s="11" t="str">
        <f t="shared" si="190"/>
        <v/>
      </c>
      <c r="QE11" s="11" t="str">
        <f t="shared" si="191"/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1" t="str">
        <f t="shared" si="192"/>
        <v/>
      </c>
      <c r="RA11" s="41" t="str">
        <f t="shared" si="193"/>
        <v/>
      </c>
      <c r="RB11" s="41" t="str">
        <f t="shared" si="194"/>
        <v/>
      </c>
      <c r="RC11" s="41" t="str">
        <f t="shared" si="195"/>
        <v/>
      </c>
      <c r="RD11" s="41" t="str">
        <f t="shared" si="196"/>
        <v/>
      </c>
      <c r="RE11" s="41" t="str">
        <f t="shared" si="197"/>
        <v/>
      </c>
      <c r="RF11" s="41" t="str">
        <f t="shared" si="198"/>
        <v/>
      </c>
      <c r="RG11" s="41" t="str">
        <f t="shared" si="199"/>
        <v/>
      </c>
      <c r="RH11" s="41" t="str">
        <f t="shared" si="200"/>
        <v/>
      </c>
      <c r="RI11" s="41" t="str">
        <f t="shared" si="201"/>
        <v/>
      </c>
      <c r="RJ11" s="41" t="str">
        <f t="shared" si="202"/>
        <v/>
      </c>
      <c r="RK11" s="41" t="str">
        <f t="shared" si="203"/>
        <v/>
      </c>
      <c r="RL11" s="41" t="str">
        <f t="shared" si="204"/>
        <v/>
      </c>
      <c r="RM11" s="41" t="str">
        <f t="shared" si="205"/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 t="shared" si="206"/>
        <v/>
      </c>
      <c r="SI11" s="11" t="str">
        <f t="shared" si="207"/>
        <v/>
      </c>
      <c r="SJ11" s="11" t="str">
        <f t="shared" si="208"/>
        <v/>
      </c>
      <c r="SK11" s="11" t="str">
        <f t="shared" si="209"/>
        <v/>
      </c>
      <c r="SL11" s="11" t="str">
        <f t="shared" si="210"/>
        <v/>
      </c>
      <c r="SM11" s="11" t="str">
        <f t="shared" si="211"/>
        <v/>
      </c>
      <c r="SN11" s="11" t="str">
        <f t="shared" si="212"/>
        <v/>
      </c>
      <c r="SO11" s="11" t="str">
        <f t="shared" si="213"/>
        <v/>
      </c>
      <c r="SP11" s="11" t="str">
        <f t="shared" si="214"/>
        <v/>
      </c>
      <c r="SQ11" s="11" t="str">
        <f t="shared" si="215"/>
        <v/>
      </c>
      <c r="SR11" s="11" t="str">
        <f t="shared" si="216"/>
        <v/>
      </c>
      <c r="SS11" s="11" t="str">
        <f t="shared" si="217"/>
        <v/>
      </c>
      <c r="ST11" s="11" t="str">
        <f t="shared" si="218"/>
        <v/>
      </c>
      <c r="SU11" s="11" t="str">
        <f t="shared" si="219"/>
        <v/>
      </c>
      <c r="SV11" s="23">
        <f t="shared" si="220"/>
        <v>10.75</v>
      </c>
      <c r="SW11" s="23">
        <f t="shared" si="221"/>
        <v>6.9</v>
      </c>
      <c r="SX11" s="23">
        <f t="shared" si="222"/>
        <v>9.6999999999999993</v>
      </c>
      <c r="SY11" s="23">
        <f t="shared" si="223"/>
        <v>10.515000000000001</v>
      </c>
      <c r="SZ11" s="23">
        <f t="shared" si="224"/>
        <v>0</v>
      </c>
      <c r="TA11" s="23">
        <f t="shared" si="225"/>
        <v>8.2000000000000011</v>
      </c>
      <c r="TB11" s="23">
        <f t="shared" si="226"/>
        <v>5.0999999999999996</v>
      </c>
      <c r="TC11" s="23">
        <f t="shared" si="227"/>
        <v>7.2</v>
      </c>
      <c r="TD11" s="23">
        <f t="shared" si="228"/>
        <v>7.7299999999999995</v>
      </c>
      <c r="TE11" s="23">
        <f t="shared" si="229"/>
        <v>0</v>
      </c>
      <c r="TF11" s="23">
        <f t="shared" si="230"/>
        <v>7.3</v>
      </c>
      <c r="TG11" s="23">
        <f t="shared" si="231"/>
        <v>4.75</v>
      </c>
      <c r="TH11" s="23">
        <f t="shared" si="232"/>
        <v>6.55</v>
      </c>
      <c r="TI11" s="23">
        <f t="shared" si="233"/>
        <v>7.1150000000000002</v>
      </c>
      <c r="TJ11" s="23">
        <f t="shared" si="234"/>
        <v>0</v>
      </c>
      <c r="TK11" s="28" t="s">
        <v>57</v>
      </c>
      <c r="TL11" s="41">
        <f t="shared" si="235"/>
        <v>9.6999999999999993</v>
      </c>
      <c r="TM11" s="41">
        <f t="shared" si="236"/>
        <v>10.515000000000001</v>
      </c>
      <c r="TN11" s="41">
        <f t="shared" si="237"/>
        <v>37.864999999999995</v>
      </c>
      <c r="TO11" s="41">
        <f t="shared" si="238"/>
        <v>7.2</v>
      </c>
      <c r="TP11" s="41">
        <f t="shared" si="239"/>
        <v>7.7299999999999995</v>
      </c>
      <c r="TQ11" s="41">
        <f t="shared" si="240"/>
        <v>28.23</v>
      </c>
      <c r="TR11" s="41">
        <f t="shared" si="241"/>
        <v>37.864999999999995</v>
      </c>
      <c r="TS11" s="41">
        <f t="shared" si="242"/>
        <v>6.55</v>
      </c>
      <c r="TT11" s="41">
        <f t="shared" si="243"/>
        <v>7.1150000000000002</v>
      </c>
      <c r="TU11" s="41">
        <f t="shared" si="244"/>
        <v>25.715000000000003</v>
      </c>
      <c r="TV11" s="41">
        <f t="shared" si="245"/>
        <v>63.58</v>
      </c>
    </row>
    <row r="12" spans="1:542" x14ac:dyDescent="0.2">
      <c r="A12" s="4" cm="1">
        <f t="array" ref="A12">IF(AND(H12&lt;&gt;"",H12&lt;&gt;"No DD"),SUMPRODUCT((H$4:H$18&lt;&gt;"")*(H$4:H$18&lt;&gt;"No DD")*(E$4:E$18&gt;E12))+1,IF(H12="No DD",SUMPRODUCT((H$4:H$18="No DD")*(E$4:E$18&gt;E12))+1+SUMPRODUCT((H$4:H$18&lt;&gt;"")*(H$4:H$18&lt;&gt;"No DD")),""))</f>
        <v>9</v>
      </c>
      <c r="B12" s="5" t="s">
        <v>83</v>
      </c>
      <c r="C12" s="4" t="s">
        <v>6</v>
      </c>
      <c r="D12" s="4">
        <v>2002</v>
      </c>
      <c r="E12" s="9">
        <f t="shared" si="0"/>
        <v>226.17002261700503</v>
      </c>
      <c r="F12" s="3" t="str">
        <f t="shared" si="1"/>
        <v>P</v>
      </c>
      <c r="G12" s="3" t="str">
        <f t="shared" si="2"/>
        <v>P</v>
      </c>
      <c r="H12" s="37" t="str">
        <f t="shared" si="3"/>
        <v>National Team</v>
      </c>
      <c r="I12" s="3" t="str">
        <f t="shared" si="4"/>
        <v/>
      </c>
      <c r="J12" s="8">
        <f>IF(COUNT(AQ12,AT12,BR12,BU12,CS12,CV12)&gt;0,LARGE((AQ12,AT12,BR12,BU12,CS12,CV12),1),0)</f>
        <v>50.08</v>
      </c>
      <c r="K12" s="8" t="str">
        <f t="shared" si="5"/>
        <v>2023 Nationals</v>
      </c>
      <c r="L12" s="8">
        <f>IF(COUNT(AQ12,AT12,BR12,BU12,CS12,CV12)&gt;1,LARGE((AQ12,AT12,BR12,BU12,CS12,CV12),2),0)</f>
        <v>49.940000000000005</v>
      </c>
      <c r="M12" s="8" t="str">
        <f t="shared" si="6"/>
        <v>2023 Nationals</v>
      </c>
      <c r="N12" s="8">
        <f>IF(COUNT(AQ12,AT12,BR12,BU12,CS12,CV12)&gt;2,LARGE((AQ12,AT12,BR12,BU12,CS12,CV12),3),0)</f>
        <v>49.150000000000006</v>
      </c>
      <c r="O12" s="8" t="str">
        <f t="shared" si="7"/>
        <v>2023 Domestic 3rd Trial</v>
      </c>
      <c r="P12" s="8">
        <f t="shared" si="8"/>
        <v>50.56</v>
      </c>
      <c r="Q12" s="8" t="str">
        <f t="shared" si="9"/>
        <v>2023 Nationals</v>
      </c>
      <c r="R12" s="8">
        <f t="shared" si="10"/>
        <v>12.7</v>
      </c>
      <c r="S12" s="8" t="str">
        <f t="shared" si="11"/>
        <v>2023 Nationals</v>
      </c>
      <c r="T12" s="8">
        <f t="shared" si="12"/>
        <v>13.74</v>
      </c>
      <c r="U12" s="8" t="str">
        <f t="shared" si="13"/>
        <v>2023 Nationals</v>
      </c>
      <c r="V12" s="8" t="str">
        <f t="shared" si="14"/>
        <v/>
      </c>
      <c r="W12" s="11" t="str">
        <f t="shared" si="15"/>
        <v/>
      </c>
      <c r="X12" s="8" t="str">
        <f t="shared" si="16"/>
        <v/>
      </c>
      <c r="Y12" s="23">
        <v>7.8</v>
      </c>
      <c r="Z12" s="23">
        <v>5.4</v>
      </c>
      <c r="AA12" s="23">
        <v>8.1</v>
      </c>
      <c r="AB12" s="23">
        <v>8.59</v>
      </c>
      <c r="AC12" s="23">
        <v>0</v>
      </c>
      <c r="AD12" s="23">
        <v>2</v>
      </c>
      <c r="AE12" s="23">
        <v>0.9</v>
      </c>
      <c r="AF12" s="23">
        <v>0.6</v>
      </c>
      <c r="AG12" s="23">
        <v>1.59</v>
      </c>
      <c r="AH12" s="23">
        <v>0</v>
      </c>
      <c r="AI12" s="23"/>
      <c r="AJ12" s="23"/>
      <c r="AK12" s="23"/>
      <c r="AL12" s="23"/>
      <c r="AM12" s="23"/>
      <c r="AN12" s="28"/>
      <c r="AO12" s="39">
        <f t="shared" si="17"/>
        <v>8.1</v>
      </c>
      <c r="AP12" s="39">
        <f t="shared" si="18"/>
        <v>8.59</v>
      </c>
      <c r="AQ12" s="41">
        <f t="shared" si="19"/>
        <v>29.889999999999997</v>
      </c>
      <c r="AR12" s="41">
        <f t="shared" si="20"/>
        <v>0.6</v>
      </c>
      <c r="AS12" s="41">
        <f t="shared" si="21"/>
        <v>1.59</v>
      </c>
      <c r="AT12" s="41">
        <f t="shared" si="22"/>
        <v>5.09</v>
      </c>
      <c r="AU12" s="41">
        <f t="shared" si="23"/>
        <v>29.889999999999997</v>
      </c>
      <c r="AV12" s="41" t="str">
        <f t="shared" si="24"/>
        <v/>
      </c>
      <c r="AW12" s="41" t="str">
        <f t="shared" si="25"/>
        <v/>
      </c>
      <c r="AX12" s="41" t="str">
        <f t="shared" si="26"/>
        <v/>
      </c>
      <c r="AY12" s="41">
        <f t="shared" si="27"/>
        <v>29.889999999999997</v>
      </c>
      <c r="AZ12" s="27">
        <v>14.5</v>
      </c>
      <c r="BA12" s="27">
        <v>9</v>
      </c>
      <c r="BB12" s="27">
        <v>12.7</v>
      </c>
      <c r="BC12" s="27">
        <v>13.74</v>
      </c>
      <c r="BD12" s="27">
        <v>0</v>
      </c>
      <c r="BE12" s="27">
        <v>14.6</v>
      </c>
      <c r="BF12" s="27">
        <v>9.1999999999999993</v>
      </c>
      <c r="BG12" s="27">
        <v>12.4</v>
      </c>
      <c r="BH12" s="27">
        <v>13.88</v>
      </c>
      <c r="BI12" s="27">
        <v>0</v>
      </c>
      <c r="BJ12" s="27">
        <v>15.2</v>
      </c>
      <c r="BK12" s="27">
        <v>9.1999999999999993</v>
      </c>
      <c r="BL12" s="27">
        <v>12</v>
      </c>
      <c r="BM12" s="27">
        <v>14.16</v>
      </c>
      <c r="BN12" s="27">
        <v>0</v>
      </c>
      <c r="BO12" s="29"/>
      <c r="BP12" s="40">
        <f t="shared" si="28"/>
        <v>12.7</v>
      </c>
      <c r="BQ12" s="40">
        <f t="shared" si="29"/>
        <v>13.74</v>
      </c>
      <c r="BR12" s="11">
        <f t="shared" si="30"/>
        <v>49.940000000000005</v>
      </c>
      <c r="BS12" s="11">
        <f t="shared" si="31"/>
        <v>12.4</v>
      </c>
      <c r="BT12" s="11">
        <f t="shared" si="32"/>
        <v>13.88</v>
      </c>
      <c r="BU12" s="11">
        <f t="shared" si="33"/>
        <v>50.08</v>
      </c>
      <c r="BV12" s="11">
        <f t="shared" si="34"/>
        <v>50.08</v>
      </c>
      <c r="BW12" s="11">
        <f t="shared" si="35"/>
        <v>12</v>
      </c>
      <c r="BX12" s="11">
        <f t="shared" si="36"/>
        <v>14.16</v>
      </c>
      <c r="BY12" s="11">
        <f t="shared" si="37"/>
        <v>50.56</v>
      </c>
      <c r="BZ12" s="11">
        <f t="shared" si="38"/>
        <v>100.64</v>
      </c>
      <c r="CA12" s="23">
        <v>14.5</v>
      </c>
      <c r="CB12" s="23">
        <v>8.9</v>
      </c>
      <c r="CC12" s="23">
        <v>11.3</v>
      </c>
      <c r="CD12" s="23">
        <v>14.45</v>
      </c>
      <c r="CE12" s="23">
        <v>0</v>
      </c>
      <c r="CF12" s="23">
        <v>11.3</v>
      </c>
      <c r="CG12" s="23">
        <v>9.1999999999999993</v>
      </c>
      <c r="CH12" s="23">
        <v>12.4</v>
      </c>
      <c r="CI12" s="23">
        <v>14.05</v>
      </c>
      <c r="CJ12" s="23">
        <v>0</v>
      </c>
      <c r="CK12" s="23">
        <v>13.9</v>
      </c>
      <c r="CL12" s="23">
        <v>9</v>
      </c>
      <c r="CM12" s="23">
        <v>12.4</v>
      </c>
      <c r="CN12" s="23">
        <v>14.16</v>
      </c>
      <c r="CO12" s="23">
        <v>0</v>
      </c>
      <c r="CP12" s="28"/>
      <c r="CQ12" s="39">
        <f t="shared" si="39"/>
        <v>11.3</v>
      </c>
      <c r="CR12" s="39">
        <f t="shared" si="40"/>
        <v>14.45</v>
      </c>
      <c r="CS12" s="41">
        <f t="shared" si="41"/>
        <v>49.150000000000006</v>
      </c>
      <c r="CT12" s="41">
        <f t="shared" si="42"/>
        <v>12.4</v>
      </c>
      <c r="CU12" s="41">
        <f t="shared" si="43"/>
        <v>14.05</v>
      </c>
      <c r="CV12" s="41">
        <f t="shared" si="44"/>
        <v>46.95</v>
      </c>
      <c r="CW12" s="41">
        <f t="shared" si="45"/>
        <v>49.150000000000006</v>
      </c>
      <c r="CX12" s="41">
        <f t="shared" si="46"/>
        <v>12.4</v>
      </c>
      <c r="CY12" s="41">
        <f t="shared" si="47"/>
        <v>14.16</v>
      </c>
      <c r="CZ12" s="41">
        <f t="shared" si="48"/>
        <v>49.459999999999994</v>
      </c>
      <c r="DA12" s="41">
        <f t="shared" si="49"/>
        <v>98.61</v>
      </c>
      <c r="DB12" s="52" t="str">
        <f t="shared" si="50"/>
        <v/>
      </c>
      <c r="DC12" s="52" t="str">
        <f t="shared" si="51"/>
        <v/>
      </c>
      <c r="DD12" s="17">
        <v>13.7</v>
      </c>
      <c r="DE12" s="17">
        <v>9.3000000000000007</v>
      </c>
      <c r="DF12" s="17">
        <v>11.8</v>
      </c>
      <c r="DG12" s="17">
        <v>13.62</v>
      </c>
      <c r="DH12" s="17">
        <v>0</v>
      </c>
      <c r="DI12" s="17">
        <v>1.2</v>
      </c>
      <c r="DJ12" s="17">
        <v>0.7</v>
      </c>
      <c r="DK12" s="17">
        <v>1.7</v>
      </c>
      <c r="DL12" s="17">
        <v>1.52</v>
      </c>
      <c r="DM12" s="17">
        <v>0</v>
      </c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1">
        <f t="shared" si="52"/>
        <v>11.8</v>
      </c>
      <c r="DY12" s="41">
        <f t="shared" si="53"/>
        <v>13.62</v>
      </c>
      <c r="DZ12" s="41">
        <f t="shared" si="54"/>
        <v>48.419999999999995</v>
      </c>
      <c r="EA12" s="41">
        <f t="shared" si="55"/>
        <v>1.7</v>
      </c>
      <c r="EB12" s="41">
        <f t="shared" si="56"/>
        <v>1.52</v>
      </c>
      <c r="EC12" s="41">
        <f t="shared" si="57"/>
        <v>5.1199999999999992</v>
      </c>
      <c r="ED12" s="41">
        <f t="shared" si="58"/>
        <v>48.419999999999995</v>
      </c>
      <c r="EE12" s="41" t="str">
        <f t="shared" si="59"/>
        <v/>
      </c>
      <c r="EF12" s="41" t="str">
        <f t="shared" si="60"/>
        <v/>
      </c>
      <c r="EG12" s="41" t="str">
        <f t="shared" si="61"/>
        <v/>
      </c>
      <c r="EH12" s="41" t="str">
        <f t="shared" si="62"/>
        <v/>
      </c>
      <c r="EI12" s="41" t="str">
        <f t="shared" si="63"/>
        <v/>
      </c>
      <c r="EJ12" s="41" t="str">
        <f t="shared" si="64"/>
        <v/>
      </c>
      <c r="EK12" s="41">
        <f t="shared" si="65"/>
        <v>48.419999999999995</v>
      </c>
      <c r="EL12" s="18">
        <v>11.6</v>
      </c>
      <c r="EM12" s="18">
        <v>8.9</v>
      </c>
      <c r="EN12" s="18">
        <v>11.7</v>
      </c>
      <c r="EO12" s="18">
        <v>13.42</v>
      </c>
      <c r="EP12" s="18">
        <v>0</v>
      </c>
      <c r="EQ12" s="18">
        <v>1.2</v>
      </c>
      <c r="ER12" s="18">
        <v>1</v>
      </c>
      <c r="ES12" s="18">
        <v>1.7</v>
      </c>
      <c r="ET12" s="18">
        <v>1.5</v>
      </c>
      <c r="EU12" s="18">
        <v>0</v>
      </c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>
        <f t="shared" si="66"/>
        <v>11.7</v>
      </c>
      <c r="FG12" s="11">
        <f t="shared" si="67"/>
        <v>13.42</v>
      </c>
      <c r="FH12" s="11">
        <f t="shared" si="68"/>
        <v>45.620000000000005</v>
      </c>
      <c r="FI12" s="11">
        <f t="shared" si="69"/>
        <v>1.7</v>
      </c>
      <c r="FJ12" s="11">
        <f t="shared" si="70"/>
        <v>1.5</v>
      </c>
      <c r="FK12" s="11">
        <f t="shared" si="71"/>
        <v>5.4</v>
      </c>
      <c r="FL12" s="11">
        <f t="shared" si="72"/>
        <v>45.620000000000005</v>
      </c>
      <c r="FM12" s="11" t="str">
        <f t="shared" si="73"/>
        <v/>
      </c>
      <c r="FN12" s="11" t="str">
        <f t="shared" si="74"/>
        <v/>
      </c>
      <c r="FO12" s="11" t="str">
        <f t="shared" si="75"/>
        <v/>
      </c>
      <c r="FP12" s="11" t="str">
        <f t="shared" si="76"/>
        <v/>
      </c>
      <c r="FQ12" s="11" t="str">
        <f t="shared" si="77"/>
        <v/>
      </c>
      <c r="FR12" s="11" t="str">
        <f t="shared" si="78"/>
        <v/>
      </c>
      <c r="FS12" s="11">
        <f t="shared" si="79"/>
        <v>45.620000000000005</v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1" t="str">
        <f t="shared" si="80"/>
        <v/>
      </c>
      <c r="GO12" s="41" t="str">
        <f t="shared" si="81"/>
        <v/>
      </c>
      <c r="GP12" s="41" t="str">
        <f t="shared" si="82"/>
        <v/>
      </c>
      <c r="GQ12" s="41" t="str">
        <f t="shared" si="83"/>
        <v/>
      </c>
      <c r="GR12" s="41" t="str">
        <f t="shared" si="84"/>
        <v/>
      </c>
      <c r="GS12" s="41" t="str">
        <f t="shared" si="85"/>
        <v/>
      </c>
      <c r="GT12" s="41" t="str">
        <f t="shared" si="86"/>
        <v/>
      </c>
      <c r="GU12" s="41" t="str">
        <f t="shared" si="87"/>
        <v/>
      </c>
      <c r="GV12" s="41" t="str">
        <f t="shared" si="88"/>
        <v/>
      </c>
      <c r="GW12" s="41" t="str">
        <f t="shared" si="89"/>
        <v/>
      </c>
      <c r="GX12" s="41" t="str">
        <f t="shared" si="90"/>
        <v/>
      </c>
      <c r="GY12" s="41" t="str">
        <f t="shared" si="91"/>
        <v/>
      </c>
      <c r="GZ12" s="41" t="str">
        <f t="shared" si="92"/>
        <v/>
      </c>
      <c r="HA12" s="41" t="str">
        <f t="shared" si="93"/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 t="shared" si="94"/>
        <v/>
      </c>
      <c r="HW12" s="11" t="str">
        <f t="shared" si="95"/>
        <v/>
      </c>
      <c r="HX12" s="11" t="str">
        <f t="shared" si="96"/>
        <v/>
      </c>
      <c r="HY12" s="11" t="str">
        <f t="shared" si="97"/>
        <v/>
      </c>
      <c r="HZ12" s="11" t="str">
        <f t="shared" si="98"/>
        <v/>
      </c>
      <c r="IA12" s="11" t="str">
        <f t="shared" si="99"/>
        <v/>
      </c>
      <c r="IB12" s="11" t="str">
        <f t="shared" si="100"/>
        <v/>
      </c>
      <c r="IC12" s="11" t="str">
        <f t="shared" si="101"/>
        <v/>
      </c>
      <c r="ID12" s="11" t="str">
        <f t="shared" si="102"/>
        <v/>
      </c>
      <c r="IE12" s="11" t="str">
        <f t="shared" si="103"/>
        <v/>
      </c>
      <c r="IF12" s="11" t="str">
        <f t="shared" si="104"/>
        <v/>
      </c>
      <c r="IG12" s="11" t="str">
        <f t="shared" si="105"/>
        <v/>
      </c>
      <c r="IH12" s="11" t="str">
        <f t="shared" si="106"/>
        <v/>
      </c>
      <c r="II12" s="11" t="str">
        <f t="shared" si="107"/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1" t="str">
        <f t="shared" si="108"/>
        <v/>
      </c>
      <c r="JE12" s="41" t="str">
        <f t="shared" si="109"/>
        <v/>
      </c>
      <c r="JF12" s="41" t="str">
        <f t="shared" si="110"/>
        <v/>
      </c>
      <c r="JG12" s="41" t="str">
        <f t="shared" si="111"/>
        <v/>
      </c>
      <c r="JH12" s="41" t="str">
        <f t="shared" si="112"/>
        <v/>
      </c>
      <c r="JI12" s="41" t="str">
        <f t="shared" si="113"/>
        <v/>
      </c>
      <c r="JJ12" s="41" t="str">
        <f t="shared" si="114"/>
        <v/>
      </c>
      <c r="JK12" s="41" t="str">
        <f t="shared" si="115"/>
        <v/>
      </c>
      <c r="JL12" s="41" t="str">
        <f t="shared" si="116"/>
        <v/>
      </c>
      <c r="JM12" s="41" t="str">
        <f t="shared" si="117"/>
        <v/>
      </c>
      <c r="JN12" s="41" t="str">
        <f t="shared" si="118"/>
        <v/>
      </c>
      <c r="JO12" s="41" t="str">
        <f t="shared" si="119"/>
        <v/>
      </c>
      <c r="JP12" s="41" t="str">
        <f t="shared" si="120"/>
        <v/>
      </c>
      <c r="JQ12" s="41" t="str">
        <f t="shared" si="121"/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 t="shared" si="122"/>
        <v/>
      </c>
      <c r="KM12" s="11" t="str">
        <f t="shared" si="123"/>
        <v/>
      </c>
      <c r="KN12" s="11" t="str">
        <f t="shared" si="124"/>
        <v/>
      </c>
      <c r="KO12" s="11" t="str">
        <f t="shared" si="125"/>
        <v/>
      </c>
      <c r="KP12" s="11" t="str">
        <f t="shared" si="126"/>
        <v/>
      </c>
      <c r="KQ12" s="11" t="str">
        <f t="shared" si="127"/>
        <v/>
      </c>
      <c r="KR12" s="11" t="str">
        <f t="shared" si="128"/>
        <v/>
      </c>
      <c r="KS12" s="11" t="str">
        <f t="shared" si="129"/>
        <v/>
      </c>
      <c r="KT12" s="11" t="str">
        <f t="shared" si="130"/>
        <v/>
      </c>
      <c r="KU12" s="11" t="str">
        <f t="shared" si="131"/>
        <v/>
      </c>
      <c r="KV12" s="11" t="str">
        <f t="shared" si="132"/>
        <v/>
      </c>
      <c r="KW12" s="11" t="str">
        <f t="shared" si="133"/>
        <v/>
      </c>
      <c r="KX12" s="11" t="str">
        <f t="shared" si="134"/>
        <v/>
      </c>
      <c r="KY12" s="11" t="str">
        <f t="shared" si="135"/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1" t="str">
        <f t="shared" si="136"/>
        <v/>
      </c>
      <c r="LU12" s="41" t="str">
        <f t="shared" si="137"/>
        <v/>
      </c>
      <c r="LV12" s="41" t="str">
        <f t="shared" si="138"/>
        <v/>
      </c>
      <c r="LW12" s="41" t="str">
        <f t="shared" si="139"/>
        <v/>
      </c>
      <c r="LX12" s="41" t="str">
        <f t="shared" si="140"/>
        <v/>
      </c>
      <c r="LY12" s="41" t="str">
        <f t="shared" si="141"/>
        <v/>
      </c>
      <c r="LZ12" s="41" t="str">
        <f t="shared" si="142"/>
        <v/>
      </c>
      <c r="MA12" s="41" t="str">
        <f t="shared" si="143"/>
        <v/>
      </c>
      <c r="MB12" s="41" t="str">
        <f t="shared" si="144"/>
        <v/>
      </c>
      <c r="MC12" s="41" t="str">
        <f t="shared" si="145"/>
        <v/>
      </c>
      <c r="MD12" s="41" t="str">
        <f t="shared" si="146"/>
        <v/>
      </c>
      <c r="ME12" s="41" t="str">
        <f t="shared" si="147"/>
        <v/>
      </c>
      <c r="MF12" s="41" t="str">
        <f t="shared" si="148"/>
        <v/>
      </c>
      <c r="MG12" s="41" t="str">
        <f t="shared" si="149"/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 t="shared" si="150"/>
        <v/>
      </c>
      <c r="NC12" s="11" t="str">
        <f t="shared" si="151"/>
        <v/>
      </c>
      <c r="ND12" s="11" t="str">
        <f t="shared" si="152"/>
        <v/>
      </c>
      <c r="NE12" s="11" t="str">
        <f t="shared" si="153"/>
        <v/>
      </c>
      <c r="NF12" s="11" t="str">
        <f t="shared" si="154"/>
        <v/>
      </c>
      <c r="NG12" s="11" t="str">
        <f t="shared" si="155"/>
        <v/>
      </c>
      <c r="NH12" s="11" t="str">
        <f t="shared" si="156"/>
        <v/>
      </c>
      <c r="NI12" s="11" t="str">
        <f t="shared" si="157"/>
        <v/>
      </c>
      <c r="NJ12" s="11" t="str">
        <f t="shared" si="158"/>
        <v/>
      </c>
      <c r="NK12" s="11" t="str">
        <f t="shared" si="159"/>
        <v/>
      </c>
      <c r="NL12" s="11" t="str">
        <f t="shared" si="160"/>
        <v/>
      </c>
      <c r="NM12" s="11" t="str">
        <f t="shared" si="161"/>
        <v/>
      </c>
      <c r="NN12" s="11" t="str">
        <f t="shared" si="162"/>
        <v/>
      </c>
      <c r="NO12" s="11" t="str">
        <f t="shared" si="163"/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1" t="str">
        <f t="shared" si="164"/>
        <v/>
      </c>
      <c r="OK12" s="41" t="str">
        <f t="shared" si="165"/>
        <v/>
      </c>
      <c r="OL12" s="41" t="str">
        <f t="shared" si="166"/>
        <v/>
      </c>
      <c r="OM12" s="41" t="str">
        <f t="shared" si="167"/>
        <v/>
      </c>
      <c r="ON12" s="41" t="str">
        <f t="shared" si="168"/>
        <v/>
      </c>
      <c r="OO12" s="41" t="str">
        <f t="shared" si="169"/>
        <v/>
      </c>
      <c r="OP12" s="41" t="str">
        <f t="shared" si="170"/>
        <v/>
      </c>
      <c r="OQ12" s="41" t="str">
        <f t="shared" si="171"/>
        <v/>
      </c>
      <c r="OR12" s="41" t="str">
        <f t="shared" si="172"/>
        <v/>
      </c>
      <c r="OS12" s="41" t="str">
        <f t="shared" si="173"/>
        <v/>
      </c>
      <c r="OT12" s="41" t="str">
        <f t="shared" si="174"/>
        <v/>
      </c>
      <c r="OU12" s="41" t="str">
        <f t="shared" si="175"/>
        <v/>
      </c>
      <c r="OV12" s="41" t="str">
        <f t="shared" si="176"/>
        <v/>
      </c>
      <c r="OW12" s="41" t="str">
        <f t="shared" si="177"/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 t="shared" si="178"/>
        <v/>
      </c>
      <c r="PS12" s="11" t="str">
        <f t="shared" si="179"/>
        <v/>
      </c>
      <c r="PT12" s="11" t="str">
        <f t="shared" si="180"/>
        <v/>
      </c>
      <c r="PU12" s="11" t="str">
        <f t="shared" si="181"/>
        <v/>
      </c>
      <c r="PV12" s="11" t="str">
        <f t="shared" si="182"/>
        <v/>
      </c>
      <c r="PW12" s="11" t="str">
        <f t="shared" si="183"/>
        <v/>
      </c>
      <c r="PX12" s="11" t="str">
        <f t="shared" si="184"/>
        <v/>
      </c>
      <c r="PY12" s="11" t="str">
        <f t="shared" si="185"/>
        <v/>
      </c>
      <c r="PZ12" s="11" t="str">
        <f t="shared" si="186"/>
        <v/>
      </c>
      <c r="QA12" s="11" t="str">
        <f t="shared" si="187"/>
        <v/>
      </c>
      <c r="QB12" s="11" t="str">
        <f t="shared" si="188"/>
        <v/>
      </c>
      <c r="QC12" s="11" t="str">
        <f t="shared" si="189"/>
        <v/>
      </c>
      <c r="QD12" s="11" t="str">
        <f t="shared" si="190"/>
        <v/>
      </c>
      <c r="QE12" s="11" t="str">
        <f t="shared" si="191"/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1" t="str">
        <f t="shared" si="192"/>
        <v/>
      </c>
      <c r="RA12" s="41" t="str">
        <f t="shared" si="193"/>
        <v/>
      </c>
      <c r="RB12" s="41" t="str">
        <f t="shared" si="194"/>
        <v/>
      </c>
      <c r="RC12" s="41" t="str">
        <f t="shared" si="195"/>
        <v/>
      </c>
      <c r="RD12" s="41" t="str">
        <f t="shared" si="196"/>
        <v/>
      </c>
      <c r="RE12" s="41" t="str">
        <f t="shared" si="197"/>
        <v/>
      </c>
      <c r="RF12" s="41" t="str">
        <f t="shared" si="198"/>
        <v/>
      </c>
      <c r="RG12" s="41" t="str">
        <f t="shared" si="199"/>
        <v/>
      </c>
      <c r="RH12" s="41" t="str">
        <f t="shared" si="200"/>
        <v/>
      </c>
      <c r="RI12" s="41" t="str">
        <f t="shared" si="201"/>
        <v/>
      </c>
      <c r="RJ12" s="41" t="str">
        <f t="shared" si="202"/>
        <v/>
      </c>
      <c r="RK12" s="41" t="str">
        <f t="shared" si="203"/>
        <v/>
      </c>
      <c r="RL12" s="41" t="str">
        <f t="shared" si="204"/>
        <v/>
      </c>
      <c r="RM12" s="41" t="str">
        <f t="shared" si="205"/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 t="shared" si="206"/>
        <v/>
      </c>
      <c r="SI12" s="11" t="str">
        <f t="shared" si="207"/>
        <v/>
      </c>
      <c r="SJ12" s="11" t="str">
        <f t="shared" si="208"/>
        <v/>
      </c>
      <c r="SK12" s="11" t="str">
        <f t="shared" si="209"/>
        <v/>
      </c>
      <c r="SL12" s="11" t="str">
        <f t="shared" si="210"/>
        <v/>
      </c>
      <c r="SM12" s="11" t="str">
        <f t="shared" si="211"/>
        <v/>
      </c>
      <c r="SN12" s="11" t="str">
        <f t="shared" si="212"/>
        <v/>
      </c>
      <c r="SO12" s="11" t="str">
        <f t="shared" si="213"/>
        <v/>
      </c>
      <c r="SP12" s="11" t="str">
        <f t="shared" si="214"/>
        <v/>
      </c>
      <c r="SQ12" s="11" t="str">
        <f t="shared" si="215"/>
        <v/>
      </c>
      <c r="SR12" s="11" t="str">
        <f t="shared" si="216"/>
        <v/>
      </c>
      <c r="SS12" s="11" t="str">
        <f t="shared" si="217"/>
        <v/>
      </c>
      <c r="ST12" s="11" t="str">
        <f t="shared" si="218"/>
        <v/>
      </c>
      <c r="SU12" s="11" t="str">
        <f t="shared" si="219"/>
        <v/>
      </c>
      <c r="SV12" s="23">
        <f t="shared" si="220"/>
        <v>14.5</v>
      </c>
      <c r="SW12" s="23">
        <f t="shared" si="221"/>
        <v>8.9499999999999993</v>
      </c>
      <c r="SX12" s="23">
        <f t="shared" si="222"/>
        <v>12</v>
      </c>
      <c r="SY12" s="23">
        <f t="shared" si="223"/>
        <v>14.094999999999999</v>
      </c>
      <c r="SZ12" s="23">
        <f t="shared" si="224"/>
        <v>0</v>
      </c>
      <c r="TA12" s="23">
        <f t="shared" si="225"/>
        <v>12.95</v>
      </c>
      <c r="TB12" s="23">
        <f t="shared" si="226"/>
        <v>9.1999999999999993</v>
      </c>
      <c r="TC12" s="23">
        <f t="shared" si="227"/>
        <v>12.4</v>
      </c>
      <c r="TD12" s="23">
        <f t="shared" si="228"/>
        <v>13.965</v>
      </c>
      <c r="TE12" s="23">
        <f t="shared" si="229"/>
        <v>0</v>
      </c>
      <c r="TF12" s="23">
        <f t="shared" si="230"/>
        <v>14.55</v>
      </c>
      <c r="TG12" s="23">
        <f t="shared" si="231"/>
        <v>9.1</v>
      </c>
      <c r="TH12" s="23">
        <f t="shared" si="232"/>
        <v>12.2</v>
      </c>
      <c r="TI12" s="23">
        <f t="shared" si="233"/>
        <v>14.16</v>
      </c>
      <c r="TJ12" s="23">
        <f t="shared" si="234"/>
        <v>0</v>
      </c>
      <c r="TK12" s="28" t="s">
        <v>57</v>
      </c>
      <c r="TL12" s="41">
        <f t="shared" si="235"/>
        <v>12</v>
      </c>
      <c r="TM12" s="41">
        <f t="shared" si="236"/>
        <v>14.094999999999999</v>
      </c>
      <c r="TN12" s="41">
        <f t="shared" si="237"/>
        <v>49.545000000000002</v>
      </c>
      <c r="TO12" s="41">
        <f t="shared" si="238"/>
        <v>12.4</v>
      </c>
      <c r="TP12" s="41">
        <f t="shared" si="239"/>
        <v>13.965</v>
      </c>
      <c r="TQ12" s="41">
        <f t="shared" si="240"/>
        <v>48.515000000000001</v>
      </c>
      <c r="TR12" s="41">
        <f t="shared" si="241"/>
        <v>49.545000000000002</v>
      </c>
      <c r="TS12" s="41">
        <f t="shared" si="242"/>
        <v>12.2</v>
      </c>
      <c r="TT12" s="41">
        <f t="shared" si="243"/>
        <v>14.16</v>
      </c>
      <c r="TU12" s="41">
        <f t="shared" si="244"/>
        <v>50.009999999999991</v>
      </c>
      <c r="TV12" s="41">
        <f t="shared" si="245"/>
        <v>99.554999999999993</v>
      </c>
    </row>
    <row r="13" spans="1:542" x14ac:dyDescent="0.2">
      <c r="A13" s="4" cm="1">
        <f t="array" ref="A13">IF(AND(H13&lt;&gt;"",H13&lt;&gt;"No DD"),SUMPRODUCT((H$4:H$18&lt;&gt;"")*(H$4:H$18&lt;&gt;"No DD")*(E$4:E$18&gt;E13))+1,IF(H13="No DD",SUMPRODUCT((H$4:H$18="No DD")*(E$4:E$18&gt;E13))+1+SUMPRODUCT((H$4:H$18&lt;&gt;"")*(H$4:H$18&lt;&gt;"No DD")),""))</f>
        <v>10</v>
      </c>
      <c r="B13" s="5" t="s">
        <v>27</v>
      </c>
      <c r="C13" s="4" t="s">
        <v>6</v>
      </c>
      <c r="D13" s="4">
        <v>1992</v>
      </c>
      <c r="E13" s="9">
        <f t="shared" si="0"/>
        <v>82.080002878999991</v>
      </c>
      <c r="F13" s="3" t="str">
        <f t="shared" si="1"/>
        <v>P</v>
      </c>
      <c r="G13" s="3" t="str">
        <f t="shared" si="2"/>
        <v>P</v>
      </c>
      <c r="H13" s="37" t="str">
        <f t="shared" si="3"/>
        <v>Excellence</v>
      </c>
      <c r="I13" s="3" t="str">
        <f t="shared" si="4"/>
        <v>P</v>
      </c>
      <c r="J13" s="8">
        <f>IF(COUNT(AQ13,AT13,BR13,BU13,CS13,CV13)&gt;0,LARGE((AQ13,AT13,BR13,BU13,CS13,CV13),1),0)</f>
        <v>0</v>
      </c>
      <c r="K13" s="8" t="str">
        <f t="shared" si="5"/>
        <v/>
      </c>
      <c r="L13" s="8">
        <f>IF(COUNT(AQ13,AT13,BR13,BU13,CS13,CV13)&gt;1,LARGE((AQ13,AT13,BR13,BU13,CS13,CV13),2),0)</f>
        <v>0</v>
      </c>
      <c r="M13" s="8" t="str">
        <f t="shared" si="6"/>
        <v/>
      </c>
      <c r="N13" s="8">
        <f>IF(COUNT(AQ13,AT13,BR13,BU13,CS13,CV13)&gt;2,LARGE((AQ13,AT13,BR13,BU13,CS13,CV13),3),0)</f>
        <v>0</v>
      </c>
      <c r="O13" s="8" t="str">
        <f t="shared" si="7"/>
        <v/>
      </c>
      <c r="P13" s="8">
        <f t="shared" si="8"/>
        <v>0</v>
      </c>
      <c r="Q13" s="8" t="str">
        <f t="shared" si="9"/>
        <v/>
      </c>
      <c r="R13" s="8">
        <f t="shared" si="10"/>
        <v>14</v>
      </c>
      <c r="S13" s="8" t="str">
        <f t="shared" si="11"/>
        <v>2023 World Cup POR 2 (July 8)</v>
      </c>
      <c r="T13" s="8">
        <f t="shared" si="12"/>
        <v>14.79</v>
      </c>
      <c r="U13" s="8" t="str">
        <f t="shared" si="13"/>
        <v>2023 World Cup POR 2 (July 8)</v>
      </c>
      <c r="V13" s="8">
        <f t="shared" si="14"/>
        <v>53.29</v>
      </c>
      <c r="W13" s="11" t="str">
        <f t="shared" si="15"/>
        <v>(Prelim)</v>
      </c>
      <c r="X13" s="8" t="str">
        <f t="shared" si="16"/>
        <v>2023 Pan Am [Club] Championships (May 14)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3"/>
      <c r="AJ13" s="23"/>
      <c r="AK13" s="23"/>
      <c r="AL13" s="23"/>
      <c r="AM13" s="23"/>
      <c r="AN13" s="28"/>
      <c r="AO13" s="39" t="str">
        <f t="shared" si="17"/>
        <v/>
      </c>
      <c r="AP13" s="39" t="str">
        <f t="shared" si="18"/>
        <v/>
      </c>
      <c r="AQ13" s="41" t="str">
        <f t="shared" si="19"/>
        <v/>
      </c>
      <c r="AR13" s="41" t="str">
        <f t="shared" si="20"/>
        <v/>
      </c>
      <c r="AS13" s="41" t="str">
        <f t="shared" si="21"/>
        <v/>
      </c>
      <c r="AT13" s="41" t="str">
        <f t="shared" si="22"/>
        <v/>
      </c>
      <c r="AU13" s="41" t="str">
        <f t="shared" si="23"/>
        <v/>
      </c>
      <c r="AV13" s="41" t="str">
        <f t="shared" si="24"/>
        <v/>
      </c>
      <c r="AW13" s="41" t="str">
        <f t="shared" si="25"/>
        <v/>
      </c>
      <c r="AX13" s="41" t="str">
        <f t="shared" si="26"/>
        <v/>
      </c>
      <c r="AY13" s="41" t="str">
        <f t="shared" si="27"/>
        <v/>
      </c>
      <c r="AZ13" s="22"/>
      <c r="BA13" s="22"/>
      <c r="BB13" s="22"/>
      <c r="BC13" s="22"/>
      <c r="BD13" s="22"/>
      <c r="BE13" s="22"/>
      <c r="BF13" s="22"/>
      <c r="BG13" s="22"/>
      <c r="BH13" s="22"/>
      <c r="BI13" s="22"/>
      <c r="BJ13" s="22"/>
      <c r="BK13" s="22"/>
      <c r="BL13" s="22"/>
      <c r="BM13" s="22"/>
      <c r="BN13" s="22"/>
      <c r="BO13" s="29"/>
      <c r="BP13" s="40" t="str">
        <f t="shared" si="28"/>
        <v/>
      </c>
      <c r="BQ13" s="40" t="str">
        <f t="shared" si="29"/>
        <v/>
      </c>
      <c r="BR13" s="11" t="str">
        <f t="shared" si="30"/>
        <v/>
      </c>
      <c r="BS13" s="11" t="str">
        <f t="shared" si="31"/>
        <v/>
      </c>
      <c r="BT13" s="11" t="str">
        <f t="shared" si="32"/>
        <v/>
      </c>
      <c r="BU13" s="11" t="str">
        <f t="shared" si="33"/>
        <v/>
      </c>
      <c r="BV13" s="11" t="str">
        <f t="shared" si="34"/>
        <v/>
      </c>
      <c r="BW13" s="11" t="str">
        <f t="shared" si="35"/>
        <v/>
      </c>
      <c r="BX13" s="11" t="str">
        <f t="shared" si="36"/>
        <v/>
      </c>
      <c r="BY13" s="11" t="str">
        <f t="shared" si="37"/>
        <v/>
      </c>
      <c r="BZ13" s="11" t="str">
        <f t="shared" si="38"/>
        <v/>
      </c>
      <c r="CA13" s="23"/>
      <c r="CB13" s="23"/>
      <c r="CC13" s="23"/>
      <c r="CD13" s="23"/>
      <c r="CE13" s="23"/>
      <c r="CF13" s="23"/>
      <c r="CG13" s="23"/>
      <c r="CH13" s="23"/>
      <c r="CI13" s="23"/>
      <c r="CJ13" s="23"/>
      <c r="CK13" s="23"/>
      <c r="CL13" s="23"/>
      <c r="CM13" s="23"/>
      <c r="CN13" s="23"/>
      <c r="CO13" s="23"/>
      <c r="CP13" s="28"/>
      <c r="CQ13" s="39" t="str">
        <f t="shared" si="39"/>
        <v/>
      </c>
      <c r="CR13" s="39" t="str">
        <f t="shared" si="40"/>
        <v/>
      </c>
      <c r="CS13" s="41" t="str">
        <f t="shared" si="41"/>
        <v/>
      </c>
      <c r="CT13" s="41" t="str">
        <f t="shared" si="42"/>
        <v/>
      </c>
      <c r="CU13" s="41" t="str">
        <f t="shared" si="43"/>
        <v/>
      </c>
      <c r="CV13" s="41" t="str">
        <f t="shared" si="44"/>
        <v/>
      </c>
      <c r="CW13" s="41" t="str">
        <f t="shared" si="45"/>
        <v/>
      </c>
      <c r="CX13" s="41" t="str">
        <f t="shared" si="46"/>
        <v/>
      </c>
      <c r="CY13" s="41" t="str">
        <f t="shared" si="47"/>
        <v/>
      </c>
      <c r="CZ13" s="41" t="str">
        <f t="shared" si="48"/>
        <v/>
      </c>
      <c r="DA13" s="41" t="str">
        <f t="shared" si="49"/>
        <v/>
      </c>
      <c r="DB13" s="52">
        <f t="shared" si="50"/>
        <v>53.29</v>
      </c>
      <c r="DC13" s="52">
        <f t="shared" si="51"/>
        <v>53.24</v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1" t="str">
        <f t="shared" si="52"/>
        <v/>
      </c>
      <c r="DY13" s="41" t="str">
        <f t="shared" si="53"/>
        <v/>
      </c>
      <c r="DZ13" s="41" t="str">
        <f t="shared" si="54"/>
        <v/>
      </c>
      <c r="EA13" s="41" t="str">
        <f t="shared" si="55"/>
        <v/>
      </c>
      <c r="EB13" s="41" t="str">
        <f t="shared" si="56"/>
        <v/>
      </c>
      <c r="EC13" s="41" t="str">
        <f t="shared" si="57"/>
        <v/>
      </c>
      <c r="ED13" s="41" t="str">
        <f t="shared" si="58"/>
        <v/>
      </c>
      <c r="EE13" s="41" t="str">
        <f t="shared" si="59"/>
        <v/>
      </c>
      <c r="EF13" s="41" t="str">
        <f t="shared" si="60"/>
        <v/>
      </c>
      <c r="EG13" s="41" t="str">
        <f t="shared" si="61"/>
        <v/>
      </c>
      <c r="EH13" s="41" t="str">
        <f t="shared" si="62"/>
        <v/>
      </c>
      <c r="EI13" s="41" t="str">
        <f t="shared" si="63"/>
        <v/>
      </c>
      <c r="EJ13" s="41" t="str">
        <f t="shared" si="64"/>
        <v/>
      </c>
      <c r="EK13" s="41" t="str">
        <f t="shared" si="65"/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 t="shared" si="66"/>
        <v/>
      </c>
      <c r="FG13" s="11" t="str">
        <f t="shared" si="67"/>
        <v/>
      </c>
      <c r="FH13" s="11" t="str">
        <f t="shared" si="68"/>
        <v/>
      </c>
      <c r="FI13" s="11" t="str">
        <f t="shared" si="69"/>
        <v/>
      </c>
      <c r="FJ13" s="11" t="str">
        <f t="shared" si="70"/>
        <v/>
      </c>
      <c r="FK13" s="11" t="str">
        <f t="shared" si="71"/>
        <v/>
      </c>
      <c r="FL13" s="11" t="str">
        <f t="shared" si="72"/>
        <v/>
      </c>
      <c r="FM13" s="11" t="str">
        <f t="shared" si="73"/>
        <v/>
      </c>
      <c r="FN13" s="11" t="str">
        <f t="shared" si="74"/>
        <v/>
      </c>
      <c r="FO13" s="11" t="str">
        <f t="shared" si="75"/>
        <v/>
      </c>
      <c r="FP13" s="11" t="str">
        <f t="shared" si="76"/>
        <v/>
      </c>
      <c r="FQ13" s="11" t="str">
        <f t="shared" si="77"/>
        <v/>
      </c>
      <c r="FR13" s="11" t="str">
        <f t="shared" si="78"/>
        <v/>
      </c>
      <c r="FS13" s="11" t="str">
        <f t="shared" si="79"/>
        <v/>
      </c>
      <c r="FT13" s="17">
        <v>15</v>
      </c>
      <c r="FU13" s="17">
        <v>9.4</v>
      </c>
      <c r="FV13" s="17">
        <v>14</v>
      </c>
      <c r="FW13" s="17">
        <v>14.71</v>
      </c>
      <c r="FX13" s="17">
        <v>0</v>
      </c>
      <c r="FY13" s="17">
        <v>15</v>
      </c>
      <c r="FZ13" s="17">
        <v>9.6</v>
      </c>
      <c r="GA13" s="17">
        <v>14</v>
      </c>
      <c r="GB13" s="17">
        <v>14.69</v>
      </c>
      <c r="GC13" s="17">
        <v>0</v>
      </c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1">
        <f t="shared" si="80"/>
        <v>14</v>
      </c>
      <c r="GO13" s="41">
        <f t="shared" si="81"/>
        <v>14.71</v>
      </c>
      <c r="GP13" s="41">
        <f t="shared" si="82"/>
        <v>53.11</v>
      </c>
      <c r="GQ13" s="41">
        <f t="shared" si="83"/>
        <v>14</v>
      </c>
      <c r="GR13" s="41">
        <f t="shared" si="84"/>
        <v>14.69</v>
      </c>
      <c r="GS13" s="41">
        <f t="shared" si="85"/>
        <v>53.29</v>
      </c>
      <c r="GT13" s="41">
        <f t="shared" si="86"/>
        <v>53.29</v>
      </c>
      <c r="GU13" s="41" t="str">
        <f t="shared" si="87"/>
        <v/>
      </c>
      <c r="GV13" s="41" t="str">
        <f t="shared" si="88"/>
        <v/>
      </c>
      <c r="GW13" s="41" t="str">
        <f t="shared" si="89"/>
        <v/>
      </c>
      <c r="GX13" s="41" t="str">
        <f t="shared" si="90"/>
        <v/>
      </c>
      <c r="GY13" s="41" t="str">
        <f t="shared" si="91"/>
        <v/>
      </c>
      <c r="GZ13" s="41" t="str">
        <f t="shared" si="92"/>
        <v/>
      </c>
      <c r="HA13" s="41">
        <f t="shared" si="93"/>
        <v>53.29</v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>
        <v>15.2</v>
      </c>
      <c r="HR13" s="18">
        <v>9.5</v>
      </c>
      <c r="HS13" s="18">
        <v>14</v>
      </c>
      <c r="HT13" s="18">
        <v>14.54</v>
      </c>
      <c r="HU13" s="18">
        <v>0</v>
      </c>
      <c r="HV13" s="11" t="str">
        <f t="shared" si="94"/>
        <v/>
      </c>
      <c r="HW13" s="11" t="str">
        <f t="shared" si="95"/>
        <v/>
      </c>
      <c r="HX13" s="11" t="str">
        <f t="shared" si="96"/>
        <v/>
      </c>
      <c r="HY13" s="11" t="str">
        <f t="shared" si="97"/>
        <v/>
      </c>
      <c r="HZ13" s="11" t="str">
        <f t="shared" si="98"/>
        <v/>
      </c>
      <c r="IA13" s="11" t="str">
        <f t="shared" si="99"/>
        <v/>
      </c>
      <c r="IB13" s="11" t="str">
        <f t="shared" si="100"/>
        <v/>
      </c>
      <c r="IC13" s="11" t="str">
        <f t="shared" si="101"/>
        <v/>
      </c>
      <c r="ID13" s="11" t="str">
        <f t="shared" si="102"/>
        <v/>
      </c>
      <c r="IE13" s="11" t="str">
        <f t="shared" si="103"/>
        <v/>
      </c>
      <c r="IF13" s="11">
        <f t="shared" si="104"/>
        <v>14</v>
      </c>
      <c r="IG13" s="11">
        <f t="shared" si="105"/>
        <v>14.54</v>
      </c>
      <c r="IH13" s="11">
        <f t="shared" si="106"/>
        <v>53.24</v>
      </c>
      <c r="II13" s="11">
        <f t="shared" si="107"/>
        <v>53.24</v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1" t="str">
        <f t="shared" si="108"/>
        <v/>
      </c>
      <c r="JE13" s="41" t="str">
        <f t="shared" si="109"/>
        <v/>
      </c>
      <c r="JF13" s="41" t="str">
        <f t="shared" si="110"/>
        <v/>
      </c>
      <c r="JG13" s="41" t="str">
        <f t="shared" si="111"/>
        <v/>
      </c>
      <c r="JH13" s="41" t="str">
        <f t="shared" si="112"/>
        <v/>
      </c>
      <c r="JI13" s="41" t="str">
        <f t="shared" si="113"/>
        <v/>
      </c>
      <c r="JJ13" s="41" t="str">
        <f t="shared" si="114"/>
        <v/>
      </c>
      <c r="JK13" s="41" t="str">
        <f t="shared" si="115"/>
        <v/>
      </c>
      <c r="JL13" s="41" t="str">
        <f t="shared" si="116"/>
        <v/>
      </c>
      <c r="JM13" s="41" t="str">
        <f t="shared" si="117"/>
        <v/>
      </c>
      <c r="JN13" s="41" t="str">
        <f t="shared" si="118"/>
        <v/>
      </c>
      <c r="JO13" s="41" t="str">
        <f t="shared" si="119"/>
        <v/>
      </c>
      <c r="JP13" s="41" t="str">
        <f t="shared" si="120"/>
        <v/>
      </c>
      <c r="JQ13" s="41" t="str">
        <f t="shared" si="121"/>
        <v/>
      </c>
      <c r="JR13" s="18">
        <v>13.8</v>
      </c>
      <c r="JS13" s="18">
        <v>9.6</v>
      </c>
      <c r="JT13" s="18">
        <v>14</v>
      </c>
      <c r="JU13" s="18">
        <v>14.79</v>
      </c>
      <c r="JV13" s="18">
        <v>0</v>
      </c>
      <c r="JW13" s="18">
        <v>14.1</v>
      </c>
      <c r="JX13" s="18">
        <v>9</v>
      </c>
      <c r="JY13" s="18">
        <v>13.7</v>
      </c>
      <c r="JZ13" s="18">
        <v>14.43</v>
      </c>
      <c r="KA13" s="18">
        <v>0</v>
      </c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>
        <f t="shared" si="122"/>
        <v>14</v>
      </c>
      <c r="KM13" s="11">
        <f t="shared" si="123"/>
        <v>14.79</v>
      </c>
      <c r="KN13" s="11">
        <f t="shared" si="124"/>
        <v>52.19</v>
      </c>
      <c r="KO13" s="11">
        <f t="shared" si="125"/>
        <v>13.7</v>
      </c>
      <c r="KP13" s="11">
        <f t="shared" si="126"/>
        <v>14.43</v>
      </c>
      <c r="KQ13" s="11">
        <f t="shared" si="127"/>
        <v>51.23</v>
      </c>
      <c r="KR13" s="11">
        <f t="shared" si="128"/>
        <v>52.19</v>
      </c>
      <c r="KS13" s="11" t="str">
        <f t="shared" si="129"/>
        <v/>
      </c>
      <c r="KT13" s="11" t="str">
        <f t="shared" si="130"/>
        <v/>
      </c>
      <c r="KU13" s="11" t="str">
        <f t="shared" si="131"/>
        <v/>
      </c>
      <c r="KV13" s="11" t="str">
        <f t="shared" si="132"/>
        <v/>
      </c>
      <c r="KW13" s="11" t="str">
        <f t="shared" si="133"/>
        <v/>
      </c>
      <c r="KX13" s="11" t="str">
        <f t="shared" si="134"/>
        <v/>
      </c>
      <c r="KY13" s="11">
        <f t="shared" si="135"/>
        <v>52.19</v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1" t="str">
        <f t="shared" si="136"/>
        <v/>
      </c>
      <c r="LU13" s="41" t="str">
        <f t="shared" si="137"/>
        <v/>
      </c>
      <c r="LV13" s="41" t="str">
        <f t="shared" si="138"/>
        <v/>
      </c>
      <c r="LW13" s="41" t="str">
        <f t="shared" si="139"/>
        <v/>
      </c>
      <c r="LX13" s="41" t="str">
        <f t="shared" si="140"/>
        <v/>
      </c>
      <c r="LY13" s="41" t="str">
        <f t="shared" si="141"/>
        <v/>
      </c>
      <c r="LZ13" s="41" t="str">
        <f t="shared" si="142"/>
        <v/>
      </c>
      <c r="MA13" s="41" t="str">
        <f t="shared" si="143"/>
        <v/>
      </c>
      <c r="MB13" s="41" t="str">
        <f t="shared" si="144"/>
        <v/>
      </c>
      <c r="MC13" s="41" t="str">
        <f t="shared" si="145"/>
        <v/>
      </c>
      <c r="MD13" s="41" t="str">
        <f t="shared" si="146"/>
        <v/>
      </c>
      <c r="ME13" s="41" t="str">
        <f t="shared" si="147"/>
        <v/>
      </c>
      <c r="MF13" s="41" t="str">
        <f t="shared" si="148"/>
        <v/>
      </c>
      <c r="MG13" s="41" t="str">
        <f t="shared" si="149"/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 t="shared" si="150"/>
        <v/>
      </c>
      <c r="NC13" s="11" t="str">
        <f t="shared" si="151"/>
        <v/>
      </c>
      <c r="ND13" s="11" t="str">
        <f t="shared" si="152"/>
        <v/>
      </c>
      <c r="NE13" s="11" t="str">
        <f t="shared" si="153"/>
        <v/>
      </c>
      <c r="NF13" s="11" t="str">
        <f t="shared" si="154"/>
        <v/>
      </c>
      <c r="NG13" s="11" t="str">
        <f t="shared" si="155"/>
        <v/>
      </c>
      <c r="NH13" s="11" t="str">
        <f t="shared" si="156"/>
        <v/>
      </c>
      <c r="NI13" s="11" t="str">
        <f t="shared" si="157"/>
        <v/>
      </c>
      <c r="NJ13" s="11" t="str">
        <f t="shared" si="158"/>
        <v/>
      </c>
      <c r="NK13" s="11" t="str">
        <f t="shared" si="159"/>
        <v/>
      </c>
      <c r="NL13" s="11" t="str">
        <f t="shared" si="160"/>
        <v/>
      </c>
      <c r="NM13" s="11" t="str">
        <f t="shared" si="161"/>
        <v/>
      </c>
      <c r="NN13" s="11" t="str">
        <f t="shared" si="162"/>
        <v/>
      </c>
      <c r="NO13" s="11" t="str">
        <f t="shared" si="163"/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1" t="str">
        <f t="shared" si="164"/>
        <v/>
      </c>
      <c r="OK13" s="41" t="str">
        <f t="shared" si="165"/>
        <v/>
      </c>
      <c r="OL13" s="41" t="str">
        <f t="shared" si="166"/>
        <v/>
      </c>
      <c r="OM13" s="41" t="str">
        <f t="shared" si="167"/>
        <v/>
      </c>
      <c r="ON13" s="41" t="str">
        <f t="shared" si="168"/>
        <v/>
      </c>
      <c r="OO13" s="41" t="str">
        <f t="shared" si="169"/>
        <v/>
      </c>
      <c r="OP13" s="41" t="str">
        <f t="shared" si="170"/>
        <v/>
      </c>
      <c r="OQ13" s="41" t="str">
        <f t="shared" si="171"/>
        <v/>
      </c>
      <c r="OR13" s="41" t="str">
        <f t="shared" si="172"/>
        <v/>
      </c>
      <c r="OS13" s="41" t="str">
        <f t="shared" si="173"/>
        <v/>
      </c>
      <c r="OT13" s="41" t="str">
        <f t="shared" si="174"/>
        <v/>
      </c>
      <c r="OU13" s="41" t="str">
        <f t="shared" si="175"/>
        <v/>
      </c>
      <c r="OV13" s="41" t="str">
        <f t="shared" si="176"/>
        <v/>
      </c>
      <c r="OW13" s="41" t="str">
        <f t="shared" si="177"/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 t="shared" si="178"/>
        <v/>
      </c>
      <c r="PS13" s="11" t="str">
        <f t="shared" si="179"/>
        <v/>
      </c>
      <c r="PT13" s="11" t="str">
        <f t="shared" si="180"/>
        <v/>
      </c>
      <c r="PU13" s="11" t="str">
        <f t="shared" si="181"/>
        <v/>
      </c>
      <c r="PV13" s="11" t="str">
        <f t="shared" si="182"/>
        <v/>
      </c>
      <c r="PW13" s="11" t="str">
        <f t="shared" si="183"/>
        <v/>
      </c>
      <c r="PX13" s="11" t="str">
        <f t="shared" si="184"/>
        <v/>
      </c>
      <c r="PY13" s="11" t="str">
        <f t="shared" si="185"/>
        <v/>
      </c>
      <c r="PZ13" s="11" t="str">
        <f t="shared" si="186"/>
        <v/>
      </c>
      <c r="QA13" s="11" t="str">
        <f t="shared" si="187"/>
        <v/>
      </c>
      <c r="QB13" s="11" t="str">
        <f t="shared" si="188"/>
        <v/>
      </c>
      <c r="QC13" s="11" t="str">
        <f t="shared" si="189"/>
        <v/>
      </c>
      <c r="QD13" s="11" t="str">
        <f t="shared" si="190"/>
        <v/>
      </c>
      <c r="QE13" s="11" t="str">
        <f t="shared" si="191"/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1" t="str">
        <f t="shared" si="192"/>
        <v/>
      </c>
      <c r="RA13" s="41" t="str">
        <f t="shared" si="193"/>
        <v/>
      </c>
      <c r="RB13" s="41" t="str">
        <f t="shared" si="194"/>
        <v/>
      </c>
      <c r="RC13" s="41" t="str">
        <f t="shared" si="195"/>
        <v/>
      </c>
      <c r="RD13" s="41" t="str">
        <f t="shared" si="196"/>
        <v/>
      </c>
      <c r="RE13" s="41" t="str">
        <f t="shared" si="197"/>
        <v/>
      </c>
      <c r="RF13" s="41" t="str">
        <f t="shared" si="198"/>
        <v/>
      </c>
      <c r="RG13" s="41" t="str">
        <f t="shared" si="199"/>
        <v/>
      </c>
      <c r="RH13" s="41" t="str">
        <f t="shared" si="200"/>
        <v/>
      </c>
      <c r="RI13" s="41" t="str">
        <f t="shared" si="201"/>
        <v/>
      </c>
      <c r="RJ13" s="41" t="str">
        <f t="shared" si="202"/>
        <v/>
      </c>
      <c r="RK13" s="41" t="str">
        <f t="shared" si="203"/>
        <v/>
      </c>
      <c r="RL13" s="41" t="str">
        <f t="shared" si="204"/>
        <v/>
      </c>
      <c r="RM13" s="41" t="str">
        <f t="shared" si="205"/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 t="shared" si="206"/>
        <v/>
      </c>
      <c r="SI13" s="11" t="str">
        <f t="shared" si="207"/>
        <v/>
      </c>
      <c r="SJ13" s="11" t="str">
        <f t="shared" si="208"/>
        <v/>
      </c>
      <c r="SK13" s="11" t="str">
        <f t="shared" si="209"/>
        <v/>
      </c>
      <c r="SL13" s="11" t="str">
        <f t="shared" si="210"/>
        <v/>
      </c>
      <c r="SM13" s="11" t="str">
        <f t="shared" si="211"/>
        <v/>
      </c>
      <c r="SN13" s="11" t="str">
        <f t="shared" si="212"/>
        <v/>
      </c>
      <c r="SO13" s="11" t="str">
        <f t="shared" si="213"/>
        <v/>
      </c>
      <c r="SP13" s="11" t="str">
        <f t="shared" si="214"/>
        <v/>
      </c>
      <c r="SQ13" s="11" t="str">
        <f t="shared" si="215"/>
        <v/>
      </c>
      <c r="SR13" s="11" t="str">
        <f t="shared" si="216"/>
        <v/>
      </c>
      <c r="SS13" s="11" t="str">
        <f t="shared" si="217"/>
        <v/>
      </c>
      <c r="ST13" s="11" t="str">
        <f t="shared" si="218"/>
        <v/>
      </c>
      <c r="SU13" s="11" t="str">
        <f t="shared" si="219"/>
        <v/>
      </c>
      <c r="SV13" s="23">
        <f t="shared" si="220"/>
        <v>0</v>
      </c>
      <c r="SW13" s="23">
        <f t="shared" si="221"/>
        <v>0</v>
      </c>
      <c r="SX13" s="23">
        <f t="shared" si="222"/>
        <v>0</v>
      </c>
      <c r="SY13" s="23">
        <f t="shared" si="223"/>
        <v>0</v>
      </c>
      <c r="SZ13" s="23">
        <f t="shared" si="224"/>
        <v>0</v>
      </c>
      <c r="TA13" s="23">
        <f t="shared" si="225"/>
        <v>0</v>
      </c>
      <c r="TB13" s="23">
        <f t="shared" si="226"/>
        <v>0</v>
      </c>
      <c r="TC13" s="23">
        <f t="shared" si="227"/>
        <v>0</v>
      </c>
      <c r="TD13" s="23">
        <f t="shared" si="228"/>
        <v>0</v>
      </c>
      <c r="TE13" s="23">
        <f t="shared" si="229"/>
        <v>0</v>
      </c>
      <c r="TF13" s="23">
        <f t="shared" si="230"/>
        <v>0</v>
      </c>
      <c r="TG13" s="23">
        <f t="shared" si="231"/>
        <v>0</v>
      </c>
      <c r="TH13" s="23">
        <f t="shared" si="232"/>
        <v>0</v>
      </c>
      <c r="TI13" s="23">
        <f t="shared" si="233"/>
        <v>0</v>
      </c>
      <c r="TJ13" s="23">
        <f t="shared" si="234"/>
        <v>0</v>
      </c>
      <c r="TK13" s="28" t="s">
        <v>57</v>
      </c>
      <c r="TL13" s="41" t="str">
        <f t="shared" si="235"/>
        <v/>
      </c>
      <c r="TM13" s="41" t="str">
        <f t="shared" si="236"/>
        <v/>
      </c>
      <c r="TN13" s="41" t="str">
        <f t="shared" si="237"/>
        <v/>
      </c>
      <c r="TO13" s="41" t="str">
        <f t="shared" si="238"/>
        <v/>
      </c>
      <c r="TP13" s="41" t="str">
        <f t="shared" si="239"/>
        <v/>
      </c>
      <c r="TQ13" s="41" t="str">
        <f t="shared" si="240"/>
        <v/>
      </c>
      <c r="TR13" s="41" t="str">
        <f t="shared" si="241"/>
        <v/>
      </c>
      <c r="TS13" s="41" t="str">
        <f t="shared" si="242"/>
        <v/>
      </c>
      <c r="TT13" s="41" t="str">
        <f t="shared" si="243"/>
        <v/>
      </c>
      <c r="TU13" s="41" t="str">
        <f t="shared" si="244"/>
        <v/>
      </c>
      <c r="TV13" s="41" t="str">
        <f t="shared" si="245"/>
        <v/>
      </c>
    </row>
    <row r="14" spans="1:542" x14ac:dyDescent="0.2">
      <c r="A14" s="4" cm="1">
        <f t="array" ref="A14">IF(AND(H14&lt;&gt;"",H14&lt;&gt;"No DD"),SUMPRODUCT((H$4:H$18&lt;&gt;"")*(H$4:H$18&lt;&gt;"No DD")*(E$4:E$18&gt;E14))+1,IF(H14="No DD",SUMPRODUCT((H$4:H$18="No DD")*(E$4:E$18&gt;E14))+1+SUMPRODUCT((H$4:H$18&lt;&gt;"")*(H$4:H$18&lt;&gt;"No DD")),""))</f>
        <v>11</v>
      </c>
      <c r="B14" s="5" t="s">
        <v>184</v>
      </c>
      <c r="C14" s="4" t="s">
        <v>3</v>
      </c>
      <c r="D14" s="4">
        <v>2006</v>
      </c>
      <c r="E14" s="9">
        <f t="shared" si="0"/>
        <v>225.12002250200493</v>
      </c>
      <c r="F14" s="3" t="str">
        <f t="shared" si="1"/>
        <v/>
      </c>
      <c r="G14" s="3" t="str">
        <f t="shared" si="2"/>
        <v>P</v>
      </c>
      <c r="H14" s="37" t="str">
        <f t="shared" si="3"/>
        <v>No DD</v>
      </c>
      <c r="I14" s="3" t="str">
        <f t="shared" si="4"/>
        <v/>
      </c>
      <c r="J14" s="8">
        <f>IF(COUNT(AQ14,AT14,BR14,BU14,CS14,CV14)&gt;0,LARGE((AQ14,AT14,BR14,BU14,CS14,CV14),1),0)</f>
        <v>49.31</v>
      </c>
      <c r="K14" s="8" t="str">
        <f t="shared" si="5"/>
        <v>2023 Elite Canada</v>
      </c>
      <c r="L14" s="8">
        <f>IF(COUNT(AQ14,AT14,BR14,BU14,CS14,CV14)&gt;1,LARGE((AQ14,AT14,BR14,BU14,CS14,CV14),2),0)</f>
        <v>49.09</v>
      </c>
      <c r="M14" s="8" t="str">
        <f t="shared" si="6"/>
        <v>2023 Elite Canada</v>
      </c>
      <c r="N14" s="8">
        <f>IF(COUNT(AQ14,AT14,BR14,BU14,CS14,CV14)&gt;2,LARGE((AQ14,AT14,BR14,BU14,CS14,CV14),3),0)</f>
        <v>48.790000000000006</v>
      </c>
      <c r="O14" s="8" t="str">
        <f t="shared" si="7"/>
        <v>2023 Domestic 3rd Trial</v>
      </c>
      <c r="P14" s="8">
        <f t="shared" si="8"/>
        <v>50.55</v>
      </c>
      <c r="Q14" s="8" t="str">
        <f t="shared" si="9"/>
        <v>2023 Elite Canada</v>
      </c>
      <c r="R14" s="8">
        <f t="shared" si="10"/>
        <v>13</v>
      </c>
      <c r="S14" s="8" t="str">
        <f t="shared" si="11"/>
        <v>2023 Nationals</v>
      </c>
      <c r="T14" s="8">
        <f t="shared" si="12"/>
        <v>14.280000000000001</v>
      </c>
      <c r="U14" s="8" t="str">
        <f t="shared" si="13"/>
        <v>2023 Domestic 3rd Trial</v>
      </c>
      <c r="V14" s="8">
        <f t="shared" si="14"/>
        <v>9.9999999999994316E-2</v>
      </c>
      <c r="W14" s="11" t="str">
        <f t="shared" si="15"/>
        <v>(Prelim)</v>
      </c>
      <c r="X14" s="8" t="str">
        <f t="shared" si="16"/>
        <v>2023 Pan Am [Club] Championships (May 14)</v>
      </c>
      <c r="Y14" s="23">
        <v>14.8</v>
      </c>
      <c r="Z14" s="23">
        <v>9</v>
      </c>
      <c r="AA14" s="23">
        <v>11.3</v>
      </c>
      <c r="AB14" s="23">
        <v>13.99</v>
      </c>
      <c r="AC14" s="23">
        <v>0</v>
      </c>
      <c r="AD14" s="23">
        <v>14.7</v>
      </c>
      <c r="AE14" s="23">
        <v>9.6</v>
      </c>
      <c r="AF14" s="23">
        <v>11.1</v>
      </c>
      <c r="AG14" s="23">
        <v>13.91</v>
      </c>
      <c r="AH14" s="23">
        <v>0</v>
      </c>
      <c r="AI14" s="23">
        <v>14.3</v>
      </c>
      <c r="AJ14" s="23">
        <v>9.1</v>
      </c>
      <c r="AK14" s="23">
        <v>12.4</v>
      </c>
      <c r="AL14" s="23">
        <v>14.75</v>
      </c>
      <c r="AM14" s="23">
        <v>0</v>
      </c>
      <c r="AN14" s="28"/>
      <c r="AO14" s="39">
        <f t="shared" si="17"/>
        <v>11.3</v>
      </c>
      <c r="AP14" s="39">
        <f t="shared" si="18"/>
        <v>13.99</v>
      </c>
      <c r="AQ14" s="41">
        <f t="shared" si="19"/>
        <v>49.09</v>
      </c>
      <c r="AR14" s="41">
        <f t="shared" si="20"/>
        <v>11.1</v>
      </c>
      <c r="AS14" s="41">
        <f t="shared" si="21"/>
        <v>13.91</v>
      </c>
      <c r="AT14" s="41">
        <f t="shared" si="22"/>
        <v>49.31</v>
      </c>
      <c r="AU14" s="41">
        <f t="shared" si="23"/>
        <v>49.31</v>
      </c>
      <c r="AV14" s="41">
        <f t="shared" si="24"/>
        <v>12.4</v>
      </c>
      <c r="AW14" s="41">
        <f t="shared" si="25"/>
        <v>14.75</v>
      </c>
      <c r="AX14" s="41">
        <f t="shared" si="26"/>
        <v>50.55</v>
      </c>
      <c r="AY14" s="41">
        <f t="shared" si="27"/>
        <v>99.86</v>
      </c>
      <c r="AZ14" s="27">
        <v>1.6</v>
      </c>
      <c r="BA14" s="27">
        <v>1</v>
      </c>
      <c r="BB14" s="27">
        <v>1.5</v>
      </c>
      <c r="BC14" s="27">
        <v>1.52</v>
      </c>
      <c r="BD14" s="27">
        <v>0</v>
      </c>
      <c r="BE14" s="27">
        <v>13.8</v>
      </c>
      <c r="BF14" s="27">
        <v>9.1</v>
      </c>
      <c r="BG14" s="27">
        <v>12</v>
      </c>
      <c r="BH14" s="27">
        <v>13.37</v>
      </c>
      <c r="BI14" s="27">
        <v>0</v>
      </c>
      <c r="BJ14" s="27">
        <v>13.2</v>
      </c>
      <c r="BK14" s="27">
        <v>9</v>
      </c>
      <c r="BL14" s="27">
        <v>13</v>
      </c>
      <c r="BM14" s="27">
        <v>13.81</v>
      </c>
      <c r="BN14" s="27">
        <v>0</v>
      </c>
      <c r="BO14" s="29"/>
      <c r="BP14" s="40">
        <f t="shared" si="28"/>
        <v>1.5</v>
      </c>
      <c r="BQ14" s="40">
        <f t="shared" si="29"/>
        <v>1.52</v>
      </c>
      <c r="BR14" s="11">
        <f t="shared" si="30"/>
        <v>5.6199999999999992</v>
      </c>
      <c r="BS14" s="11">
        <f t="shared" si="31"/>
        <v>12</v>
      </c>
      <c r="BT14" s="11">
        <f t="shared" si="32"/>
        <v>13.37</v>
      </c>
      <c r="BU14" s="11">
        <f t="shared" si="33"/>
        <v>48.269999999999996</v>
      </c>
      <c r="BV14" s="11">
        <f t="shared" si="34"/>
        <v>48.269999999999996</v>
      </c>
      <c r="BW14" s="11">
        <f t="shared" si="35"/>
        <v>13</v>
      </c>
      <c r="BX14" s="11">
        <f t="shared" si="36"/>
        <v>13.81</v>
      </c>
      <c r="BY14" s="11">
        <f t="shared" si="37"/>
        <v>49.010000000000005</v>
      </c>
      <c r="BZ14" s="11">
        <f t="shared" si="38"/>
        <v>97.28</v>
      </c>
      <c r="CA14" s="23">
        <v>8.2000000000000011</v>
      </c>
      <c r="CB14" s="23">
        <v>5</v>
      </c>
      <c r="CC14" s="23">
        <v>6.4</v>
      </c>
      <c r="CD14" s="23">
        <v>7.7549999999999999</v>
      </c>
      <c r="CE14" s="23">
        <v>0</v>
      </c>
      <c r="CF14" s="23">
        <v>14.25</v>
      </c>
      <c r="CG14" s="23">
        <v>9.35</v>
      </c>
      <c r="CH14" s="23">
        <v>11.55</v>
      </c>
      <c r="CI14" s="23">
        <v>13.64</v>
      </c>
      <c r="CJ14" s="23">
        <v>0</v>
      </c>
      <c r="CK14" s="23">
        <v>13.75</v>
      </c>
      <c r="CL14" s="23">
        <v>9.0500000000000007</v>
      </c>
      <c r="CM14" s="23">
        <v>12.7</v>
      </c>
      <c r="CN14" s="23">
        <v>14.280000000000001</v>
      </c>
      <c r="CO14" s="23">
        <v>0</v>
      </c>
      <c r="CP14" s="28" t="s">
        <v>57</v>
      </c>
      <c r="CQ14" s="39">
        <f t="shared" si="39"/>
        <v>6.4</v>
      </c>
      <c r="CR14" s="39">
        <f t="shared" si="40"/>
        <v>7.7549999999999999</v>
      </c>
      <c r="CS14" s="41">
        <f t="shared" si="41"/>
        <v>27.355</v>
      </c>
      <c r="CT14" s="41">
        <f t="shared" si="42"/>
        <v>11.55</v>
      </c>
      <c r="CU14" s="41">
        <f t="shared" si="43"/>
        <v>13.64</v>
      </c>
      <c r="CV14" s="41">
        <f t="shared" si="44"/>
        <v>48.790000000000006</v>
      </c>
      <c r="CW14" s="41">
        <f t="shared" si="45"/>
        <v>48.790000000000006</v>
      </c>
      <c r="CX14" s="41">
        <f t="shared" si="46"/>
        <v>12.7</v>
      </c>
      <c r="CY14" s="41">
        <f t="shared" si="47"/>
        <v>14.280000000000001</v>
      </c>
      <c r="CZ14" s="41">
        <f t="shared" si="48"/>
        <v>49.78</v>
      </c>
      <c r="DA14" s="41">
        <f t="shared" si="49"/>
        <v>98.570000000000007</v>
      </c>
      <c r="DB14" s="52">
        <f t="shared" si="50"/>
        <v>9.9999999999994316E-2</v>
      </c>
      <c r="DC14" s="52" t="str">
        <f t="shared" si="51"/>
        <v/>
      </c>
      <c r="DD14" s="17"/>
      <c r="DE14" s="17"/>
      <c r="DF14" s="17"/>
      <c r="DG14" s="17"/>
      <c r="DH14" s="17"/>
      <c r="DI14" s="17">
        <v>12.1</v>
      </c>
      <c r="DJ14" s="17">
        <v>9.1</v>
      </c>
      <c r="DK14" s="17">
        <v>11.3</v>
      </c>
      <c r="DL14" s="17">
        <v>13.48</v>
      </c>
      <c r="DM14" s="17">
        <v>0</v>
      </c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1" t="str">
        <f t="shared" si="52"/>
        <v/>
      </c>
      <c r="DY14" s="41" t="str">
        <f t="shared" si="53"/>
        <v/>
      </c>
      <c r="DZ14" s="41" t="str">
        <f t="shared" si="54"/>
        <v/>
      </c>
      <c r="EA14" s="41">
        <f t="shared" si="55"/>
        <v>11.3</v>
      </c>
      <c r="EB14" s="41">
        <f t="shared" si="56"/>
        <v>13.48</v>
      </c>
      <c r="EC14" s="41">
        <f t="shared" si="57"/>
        <v>45.980000000000004</v>
      </c>
      <c r="ED14" s="41">
        <f t="shared" si="58"/>
        <v>45.980000000000004</v>
      </c>
      <c r="EE14" s="41" t="str">
        <f t="shared" si="59"/>
        <v/>
      </c>
      <c r="EF14" s="41" t="str">
        <f t="shared" si="60"/>
        <v/>
      </c>
      <c r="EG14" s="41" t="str">
        <f t="shared" si="61"/>
        <v/>
      </c>
      <c r="EH14" s="41" t="str">
        <f t="shared" si="62"/>
        <v/>
      </c>
      <c r="EI14" s="41" t="str">
        <f t="shared" si="63"/>
        <v/>
      </c>
      <c r="EJ14" s="41" t="str">
        <f t="shared" si="64"/>
        <v/>
      </c>
      <c r="EK14" s="41">
        <f t="shared" si="65"/>
        <v>45.980000000000004</v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 t="shared" si="66"/>
        <v/>
      </c>
      <c r="FG14" s="11" t="str">
        <f t="shared" si="67"/>
        <v/>
      </c>
      <c r="FH14" s="11" t="str">
        <f t="shared" si="68"/>
        <v/>
      </c>
      <c r="FI14" s="11" t="str">
        <f t="shared" si="69"/>
        <v/>
      </c>
      <c r="FJ14" s="11" t="str">
        <f t="shared" si="70"/>
        <v/>
      </c>
      <c r="FK14" s="11" t="str">
        <f t="shared" si="71"/>
        <v/>
      </c>
      <c r="FL14" s="11" t="str">
        <f t="shared" si="72"/>
        <v/>
      </c>
      <c r="FM14" s="11" t="str">
        <f t="shared" si="73"/>
        <v/>
      </c>
      <c r="FN14" s="11" t="str">
        <f t="shared" si="74"/>
        <v/>
      </c>
      <c r="FO14" s="11" t="str">
        <f t="shared" si="75"/>
        <v/>
      </c>
      <c r="FP14" s="11" t="str">
        <f t="shared" si="76"/>
        <v/>
      </c>
      <c r="FQ14" s="11" t="str">
        <f t="shared" si="77"/>
        <v/>
      </c>
      <c r="FR14" s="11" t="str">
        <f t="shared" si="78"/>
        <v/>
      </c>
      <c r="FS14" s="11" t="str">
        <f t="shared" si="79"/>
        <v/>
      </c>
      <c r="FT14" s="17">
        <v>13.3</v>
      </c>
      <c r="FU14" s="17">
        <v>9.3000000000000007</v>
      </c>
      <c r="FV14" s="17">
        <v>12.4</v>
      </c>
      <c r="FW14" s="17">
        <v>13.89</v>
      </c>
      <c r="FX14" s="17">
        <v>0</v>
      </c>
      <c r="FY14" s="17">
        <v>13</v>
      </c>
      <c r="FZ14" s="17">
        <v>9.1</v>
      </c>
      <c r="GA14" s="17">
        <v>12.2</v>
      </c>
      <c r="GB14" s="17">
        <v>13.41</v>
      </c>
      <c r="GC14" s="17">
        <v>0</v>
      </c>
      <c r="GD14" s="17"/>
      <c r="GE14" s="17"/>
      <c r="GF14" s="17"/>
      <c r="GG14" s="17"/>
      <c r="GH14" s="17"/>
      <c r="GI14" s="17">
        <v>1.4</v>
      </c>
      <c r="GJ14" s="17">
        <v>0.9</v>
      </c>
      <c r="GK14" s="17">
        <v>1.5</v>
      </c>
      <c r="GL14" s="17">
        <v>1.5</v>
      </c>
      <c r="GM14" s="17">
        <v>0</v>
      </c>
      <c r="GN14" s="41">
        <f t="shared" si="80"/>
        <v>12.4</v>
      </c>
      <c r="GO14" s="41">
        <f t="shared" si="81"/>
        <v>13.89</v>
      </c>
      <c r="GP14" s="41">
        <f t="shared" si="82"/>
        <v>48.89</v>
      </c>
      <c r="GQ14" s="41">
        <f t="shared" si="83"/>
        <v>12.2</v>
      </c>
      <c r="GR14" s="41">
        <f t="shared" si="84"/>
        <v>13.41</v>
      </c>
      <c r="GS14" s="41">
        <f t="shared" si="85"/>
        <v>47.709999999999994</v>
      </c>
      <c r="GT14" s="41">
        <f t="shared" si="86"/>
        <v>48.89</v>
      </c>
      <c r="GU14" s="41" t="str">
        <f t="shared" si="87"/>
        <v/>
      </c>
      <c r="GV14" s="41" t="str">
        <f t="shared" si="88"/>
        <v/>
      </c>
      <c r="GW14" s="41" t="str">
        <f t="shared" si="89"/>
        <v/>
      </c>
      <c r="GX14" s="41">
        <f t="shared" si="90"/>
        <v>1.5</v>
      </c>
      <c r="GY14" s="41">
        <f t="shared" si="91"/>
        <v>1.5</v>
      </c>
      <c r="GZ14" s="41">
        <f t="shared" si="92"/>
        <v>5.3</v>
      </c>
      <c r="HA14" s="41">
        <f t="shared" si="93"/>
        <v>54.19</v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 t="shared" si="94"/>
        <v/>
      </c>
      <c r="HW14" s="11" t="str">
        <f t="shared" si="95"/>
        <v/>
      </c>
      <c r="HX14" s="11" t="str">
        <f t="shared" si="96"/>
        <v/>
      </c>
      <c r="HY14" s="11" t="str">
        <f t="shared" si="97"/>
        <v/>
      </c>
      <c r="HZ14" s="11" t="str">
        <f t="shared" si="98"/>
        <v/>
      </c>
      <c r="IA14" s="11" t="str">
        <f t="shared" si="99"/>
        <v/>
      </c>
      <c r="IB14" s="11" t="str">
        <f t="shared" si="100"/>
        <v/>
      </c>
      <c r="IC14" s="11" t="str">
        <f t="shared" si="101"/>
        <v/>
      </c>
      <c r="ID14" s="11" t="str">
        <f t="shared" si="102"/>
        <v/>
      </c>
      <c r="IE14" s="11" t="str">
        <f t="shared" si="103"/>
        <v/>
      </c>
      <c r="IF14" s="11" t="str">
        <f t="shared" si="104"/>
        <v/>
      </c>
      <c r="IG14" s="11" t="str">
        <f t="shared" si="105"/>
        <v/>
      </c>
      <c r="IH14" s="11" t="str">
        <f t="shared" si="106"/>
        <v/>
      </c>
      <c r="II14" s="11" t="str">
        <f t="shared" si="107"/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1" t="str">
        <f t="shared" si="108"/>
        <v/>
      </c>
      <c r="JE14" s="41" t="str">
        <f t="shared" si="109"/>
        <v/>
      </c>
      <c r="JF14" s="41" t="str">
        <f t="shared" si="110"/>
        <v/>
      </c>
      <c r="JG14" s="41" t="str">
        <f t="shared" si="111"/>
        <v/>
      </c>
      <c r="JH14" s="41" t="str">
        <f t="shared" si="112"/>
        <v/>
      </c>
      <c r="JI14" s="41" t="str">
        <f t="shared" si="113"/>
        <v/>
      </c>
      <c r="JJ14" s="41" t="str">
        <f t="shared" si="114"/>
        <v/>
      </c>
      <c r="JK14" s="41" t="str">
        <f t="shared" si="115"/>
        <v/>
      </c>
      <c r="JL14" s="41" t="str">
        <f t="shared" si="116"/>
        <v/>
      </c>
      <c r="JM14" s="41" t="str">
        <f t="shared" si="117"/>
        <v/>
      </c>
      <c r="JN14" s="41" t="str">
        <f t="shared" si="118"/>
        <v/>
      </c>
      <c r="JO14" s="41" t="str">
        <f t="shared" si="119"/>
        <v/>
      </c>
      <c r="JP14" s="41" t="str">
        <f t="shared" si="120"/>
        <v/>
      </c>
      <c r="JQ14" s="41" t="str">
        <f t="shared" si="121"/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 t="shared" si="122"/>
        <v/>
      </c>
      <c r="KM14" s="11" t="str">
        <f t="shared" si="123"/>
        <v/>
      </c>
      <c r="KN14" s="11" t="str">
        <f t="shared" si="124"/>
        <v/>
      </c>
      <c r="KO14" s="11" t="str">
        <f t="shared" si="125"/>
        <v/>
      </c>
      <c r="KP14" s="11" t="str">
        <f t="shared" si="126"/>
        <v/>
      </c>
      <c r="KQ14" s="11" t="str">
        <f t="shared" si="127"/>
        <v/>
      </c>
      <c r="KR14" s="11" t="str">
        <f t="shared" si="128"/>
        <v/>
      </c>
      <c r="KS14" s="11" t="str">
        <f t="shared" si="129"/>
        <v/>
      </c>
      <c r="KT14" s="11" t="str">
        <f t="shared" si="130"/>
        <v/>
      </c>
      <c r="KU14" s="11" t="str">
        <f t="shared" si="131"/>
        <v/>
      </c>
      <c r="KV14" s="11" t="str">
        <f t="shared" si="132"/>
        <v/>
      </c>
      <c r="KW14" s="11" t="str">
        <f t="shared" si="133"/>
        <v/>
      </c>
      <c r="KX14" s="11" t="str">
        <f t="shared" si="134"/>
        <v/>
      </c>
      <c r="KY14" s="11" t="str">
        <f t="shared" si="135"/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1" t="str">
        <f t="shared" si="136"/>
        <v/>
      </c>
      <c r="LU14" s="41" t="str">
        <f t="shared" si="137"/>
        <v/>
      </c>
      <c r="LV14" s="41" t="str">
        <f t="shared" si="138"/>
        <v/>
      </c>
      <c r="LW14" s="41" t="str">
        <f t="shared" si="139"/>
        <v/>
      </c>
      <c r="LX14" s="41" t="str">
        <f t="shared" si="140"/>
        <v/>
      </c>
      <c r="LY14" s="41" t="str">
        <f t="shared" si="141"/>
        <v/>
      </c>
      <c r="LZ14" s="41" t="str">
        <f t="shared" si="142"/>
        <v/>
      </c>
      <c r="MA14" s="41" t="str">
        <f t="shared" si="143"/>
        <v/>
      </c>
      <c r="MB14" s="41" t="str">
        <f t="shared" si="144"/>
        <v/>
      </c>
      <c r="MC14" s="41" t="str">
        <f t="shared" si="145"/>
        <v/>
      </c>
      <c r="MD14" s="41" t="str">
        <f t="shared" si="146"/>
        <v/>
      </c>
      <c r="ME14" s="41" t="str">
        <f t="shared" si="147"/>
        <v/>
      </c>
      <c r="MF14" s="41" t="str">
        <f t="shared" si="148"/>
        <v/>
      </c>
      <c r="MG14" s="41" t="str">
        <f t="shared" si="149"/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 t="shared" si="150"/>
        <v/>
      </c>
      <c r="NC14" s="11" t="str">
        <f t="shared" si="151"/>
        <v/>
      </c>
      <c r="ND14" s="11" t="str">
        <f t="shared" si="152"/>
        <v/>
      </c>
      <c r="NE14" s="11" t="str">
        <f t="shared" si="153"/>
        <v/>
      </c>
      <c r="NF14" s="11" t="str">
        <f t="shared" si="154"/>
        <v/>
      </c>
      <c r="NG14" s="11" t="str">
        <f t="shared" si="155"/>
        <v/>
      </c>
      <c r="NH14" s="11" t="str">
        <f t="shared" si="156"/>
        <v/>
      </c>
      <c r="NI14" s="11" t="str">
        <f t="shared" si="157"/>
        <v/>
      </c>
      <c r="NJ14" s="11" t="str">
        <f t="shared" si="158"/>
        <v/>
      </c>
      <c r="NK14" s="11" t="str">
        <f t="shared" si="159"/>
        <v/>
      </c>
      <c r="NL14" s="11" t="str">
        <f t="shared" si="160"/>
        <v/>
      </c>
      <c r="NM14" s="11" t="str">
        <f t="shared" si="161"/>
        <v/>
      </c>
      <c r="NN14" s="11" t="str">
        <f t="shared" si="162"/>
        <v/>
      </c>
      <c r="NO14" s="11" t="str">
        <f t="shared" si="163"/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1" t="str">
        <f t="shared" si="164"/>
        <v/>
      </c>
      <c r="OK14" s="41" t="str">
        <f t="shared" si="165"/>
        <v/>
      </c>
      <c r="OL14" s="41" t="str">
        <f t="shared" si="166"/>
        <v/>
      </c>
      <c r="OM14" s="41" t="str">
        <f t="shared" si="167"/>
        <v/>
      </c>
      <c r="ON14" s="41" t="str">
        <f t="shared" si="168"/>
        <v/>
      </c>
      <c r="OO14" s="41" t="str">
        <f t="shared" si="169"/>
        <v/>
      </c>
      <c r="OP14" s="41" t="str">
        <f t="shared" si="170"/>
        <v/>
      </c>
      <c r="OQ14" s="41" t="str">
        <f t="shared" si="171"/>
        <v/>
      </c>
      <c r="OR14" s="41" t="str">
        <f t="shared" si="172"/>
        <v/>
      </c>
      <c r="OS14" s="41" t="str">
        <f t="shared" si="173"/>
        <v/>
      </c>
      <c r="OT14" s="41" t="str">
        <f t="shared" si="174"/>
        <v/>
      </c>
      <c r="OU14" s="41" t="str">
        <f t="shared" si="175"/>
        <v/>
      </c>
      <c r="OV14" s="41" t="str">
        <f t="shared" si="176"/>
        <v/>
      </c>
      <c r="OW14" s="41" t="str">
        <f t="shared" si="177"/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 t="shared" si="178"/>
        <v/>
      </c>
      <c r="PS14" s="11" t="str">
        <f t="shared" si="179"/>
        <v/>
      </c>
      <c r="PT14" s="11" t="str">
        <f t="shared" si="180"/>
        <v/>
      </c>
      <c r="PU14" s="11" t="str">
        <f t="shared" si="181"/>
        <v/>
      </c>
      <c r="PV14" s="11" t="str">
        <f t="shared" si="182"/>
        <v/>
      </c>
      <c r="PW14" s="11" t="str">
        <f t="shared" si="183"/>
        <v/>
      </c>
      <c r="PX14" s="11" t="str">
        <f t="shared" si="184"/>
        <v/>
      </c>
      <c r="PY14" s="11" t="str">
        <f t="shared" si="185"/>
        <v/>
      </c>
      <c r="PZ14" s="11" t="str">
        <f t="shared" si="186"/>
        <v/>
      </c>
      <c r="QA14" s="11" t="str">
        <f t="shared" si="187"/>
        <v/>
      </c>
      <c r="QB14" s="11" t="str">
        <f t="shared" si="188"/>
        <v/>
      </c>
      <c r="QC14" s="11" t="str">
        <f t="shared" si="189"/>
        <v/>
      </c>
      <c r="QD14" s="11" t="str">
        <f t="shared" si="190"/>
        <v/>
      </c>
      <c r="QE14" s="11" t="str">
        <f t="shared" si="191"/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1" t="str">
        <f t="shared" si="192"/>
        <v/>
      </c>
      <c r="RA14" s="41" t="str">
        <f t="shared" si="193"/>
        <v/>
      </c>
      <c r="RB14" s="41" t="str">
        <f t="shared" si="194"/>
        <v/>
      </c>
      <c r="RC14" s="41" t="str">
        <f t="shared" si="195"/>
        <v/>
      </c>
      <c r="RD14" s="41" t="str">
        <f t="shared" si="196"/>
        <v/>
      </c>
      <c r="RE14" s="41" t="str">
        <f t="shared" si="197"/>
        <v/>
      </c>
      <c r="RF14" s="41" t="str">
        <f t="shared" si="198"/>
        <v/>
      </c>
      <c r="RG14" s="41" t="str">
        <f t="shared" si="199"/>
        <v/>
      </c>
      <c r="RH14" s="41" t="str">
        <f t="shared" si="200"/>
        <v/>
      </c>
      <c r="RI14" s="41" t="str">
        <f t="shared" si="201"/>
        <v/>
      </c>
      <c r="RJ14" s="41" t="str">
        <f t="shared" si="202"/>
        <v/>
      </c>
      <c r="RK14" s="41" t="str">
        <f t="shared" si="203"/>
        <v/>
      </c>
      <c r="RL14" s="41" t="str">
        <f t="shared" si="204"/>
        <v/>
      </c>
      <c r="RM14" s="41" t="str">
        <f t="shared" si="205"/>
        <v/>
      </c>
      <c r="RN14" s="18">
        <v>12.9</v>
      </c>
      <c r="RO14" s="18">
        <v>9</v>
      </c>
      <c r="RP14" s="18">
        <v>12.2</v>
      </c>
      <c r="RQ14" s="18">
        <v>13.26</v>
      </c>
      <c r="RR14" s="18">
        <v>0</v>
      </c>
      <c r="RS14" s="18">
        <v>8.4</v>
      </c>
      <c r="RT14" s="18">
        <v>5.3</v>
      </c>
      <c r="RU14" s="18">
        <v>7.5</v>
      </c>
      <c r="RV14" s="18">
        <v>8.26</v>
      </c>
      <c r="RW14" s="18">
        <v>0</v>
      </c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>
        <f t="shared" si="206"/>
        <v>12.2</v>
      </c>
      <c r="SI14" s="11">
        <f t="shared" si="207"/>
        <v>13.26</v>
      </c>
      <c r="SJ14" s="11">
        <f t="shared" si="208"/>
        <v>47.359999999999992</v>
      </c>
      <c r="SK14" s="11">
        <f t="shared" si="209"/>
        <v>7.5</v>
      </c>
      <c r="SL14" s="11">
        <f t="shared" si="210"/>
        <v>8.26</v>
      </c>
      <c r="SM14" s="11">
        <f t="shared" si="211"/>
        <v>29.46</v>
      </c>
      <c r="SN14" s="11">
        <f t="shared" si="212"/>
        <v>47.359999999999992</v>
      </c>
      <c r="SO14" s="11" t="str">
        <f t="shared" si="213"/>
        <v/>
      </c>
      <c r="SP14" s="11" t="str">
        <f t="shared" si="214"/>
        <v/>
      </c>
      <c r="SQ14" s="11" t="str">
        <f t="shared" si="215"/>
        <v/>
      </c>
      <c r="SR14" s="11" t="str">
        <f t="shared" si="216"/>
        <v/>
      </c>
      <c r="SS14" s="11" t="str">
        <f t="shared" si="217"/>
        <v/>
      </c>
      <c r="ST14" s="11" t="str">
        <f t="shared" si="218"/>
        <v/>
      </c>
      <c r="SU14" s="11">
        <f t="shared" si="219"/>
        <v>47.359999999999992</v>
      </c>
      <c r="SV14" s="23">
        <f t="shared" si="220"/>
        <v>8.2000000000000011</v>
      </c>
      <c r="SW14" s="23">
        <f t="shared" si="221"/>
        <v>5</v>
      </c>
      <c r="SX14" s="23">
        <f t="shared" si="222"/>
        <v>6.4</v>
      </c>
      <c r="SY14" s="23">
        <f t="shared" si="223"/>
        <v>7.7549999999999999</v>
      </c>
      <c r="SZ14" s="23">
        <f t="shared" si="224"/>
        <v>0</v>
      </c>
      <c r="TA14" s="23">
        <f t="shared" si="225"/>
        <v>14.25</v>
      </c>
      <c r="TB14" s="23">
        <f t="shared" si="226"/>
        <v>9.35</v>
      </c>
      <c r="TC14" s="23">
        <f t="shared" si="227"/>
        <v>11.55</v>
      </c>
      <c r="TD14" s="23">
        <f t="shared" si="228"/>
        <v>13.64</v>
      </c>
      <c r="TE14" s="23">
        <f t="shared" si="229"/>
        <v>0</v>
      </c>
      <c r="TF14" s="23">
        <f t="shared" si="230"/>
        <v>13.75</v>
      </c>
      <c r="TG14" s="23">
        <f t="shared" si="231"/>
        <v>9.0500000000000007</v>
      </c>
      <c r="TH14" s="23">
        <f t="shared" si="232"/>
        <v>12.7</v>
      </c>
      <c r="TI14" s="23">
        <f t="shared" si="233"/>
        <v>14.280000000000001</v>
      </c>
      <c r="TJ14" s="23">
        <f t="shared" si="234"/>
        <v>0</v>
      </c>
      <c r="TK14" s="28" t="s">
        <v>57</v>
      </c>
      <c r="TL14" s="41">
        <f t="shared" si="235"/>
        <v>6.4</v>
      </c>
      <c r="TM14" s="41">
        <f t="shared" si="236"/>
        <v>7.7549999999999999</v>
      </c>
      <c r="TN14" s="41">
        <f t="shared" si="237"/>
        <v>27.355</v>
      </c>
      <c r="TO14" s="41">
        <f t="shared" si="238"/>
        <v>11.55</v>
      </c>
      <c r="TP14" s="41">
        <f t="shared" si="239"/>
        <v>13.64</v>
      </c>
      <c r="TQ14" s="41">
        <f t="shared" si="240"/>
        <v>48.790000000000006</v>
      </c>
      <c r="TR14" s="41">
        <f t="shared" si="241"/>
        <v>48.790000000000006</v>
      </c>
      <c r="TS14" s="41">
        <f t="shared" si="242"/>
        <v>12.7</v>
      </c>
      <c r="TT14" s="41">
        <f t="shared" si="243"/>
        <v>14.280000000000001</v>
      </c>
      <c r="TU14" s="41">
        <f t="shared" si="244"/>
        <v>49.78</v>
      </c>
      <c r="TV14" s="41">
        <f t="shared" si="245"/>
        <v>98.570000000000007</v>
      </c>
    </row>
    <row r="15" spans="1:542" x14ac:dyDescent="0.2">
      <c r="A15" s="4" t="str" cm="1">
        <f t="array" ref="A15">IF(AND(H15&lt;&gt;"",H15&lt;&gt;"No DD"),SUMPRODUCT((H$4:H$18&lt;&gt;"")*(H$4:H$18&lt;&gt;"No DD")*(E$4:E$18&gt;E15))+1,IF(H15="No DD",SUMPRODUCT((H$4:H$18="No DD")*(E$4:E$18&gt;E15))+1+SUMPRODUCT((H$4:H$18&lt;&gt;"")*(H$4:H$18&lt;&gt;"No DD")),""))</f>
        <v/>
      </c>
      <c r="B15" s="5" t="s">
        <v>155</v>
      </c>
      <c r="C15" s="4" t="s">
        <v>5</v>
      </c>
      <c r="D15" s="4">
        <v>2004</v>
      </c>
      <c r="E15" s="9">
        <f t="shared" si="0"/>
        <v>193.14001931400472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IF(COUNT(AQ15,AT15,BR15,BU15,CS15,CV15)&gt;0,LARGE((AQ15,AT15,BR15,BU15,CS15,CV15),1),0)</f>
        <v>47.3</v>
      </c>
      <c r="K15" s="8" t="str">
        <f t="shared" si="5"/>
        <v>2023 Nationals</v>
      </c>
      <c r="L15" s="8">
        <f>IF(COUNT(AQ15,AT15,BR15,BU15,CS15,CV15)&gt;1,LARGE((AQ15,AT15,BR15,BU15,CS15,CV15),2),0)</f>
        <v>47.12</v>
      </c>
      <c r="M15" s="8" t="str">
        <f t="shared" si="6"/>
        <v>2023 Nationals</v>
      </c>
      <c r="N15" s="8">
        <f>IF(COUNT(AQ15,AT15,BR15,BU15,CS15,CV15)&gt;2,LARGE((AQ15,AT15,BR15,BU15,CS15,CV15),3),0)</f>
        <v>44.34</v>
      </c>
      <c r="O15" s="8" t="str">
        <f t="shared" si="7"/>
        <v>2023 Domestic 3rd Trial</v>
      </c>
      <c r="P15" s="8">
        <f t="shared" si="8"/>
        <v>42.98</v>
      </c>
      <c r="Q15" s="8" t="str">
        <f t="shared" si="9"/>
        <v>2023 Nationals</v>
      </c>
      <c r="R15" s="8">
        <f t="shared" si="10"/>
        <v>11.4</v>
      </c>
      <c r="S15" s="8" t="str">
        <f t="shared" si="11"/>
        <v>2023 Nationals</v>
      </c>
      <c r="T15" s="8">
        <f t="shared" si="12"/>
        <v>0</v>
      </c>
      <c r="U15" s="8" t="str">
        <f t="shared" si="13"/>
        <v/>
      </c>
      <c r="V15" s="8" t="str">
        <f t="shared" si="14"/>
        <v/>
      </c>
      <c r="W15" s="11" t="str">
        <f t="shared" si="15"/>
        <v/>
      </c>
      <c r="X15" s="8" t="str">
        <f t="shared" si="16"/>
        <v/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3"/>
      <c r="AJ15" s="23"/>
      <c r="AK15" s="23"/>
      <c r="AL15" s="23"/>
      <c r="AM15" s="23"/>
      <c r="AN15" s="28"/>
      <c r="AO15" s="39" t="str">
        <f t="shared" si="17"/>
        <v/>
      </c>
      <c r="AP15" s="39" t="str">
        <f t="shared" si="18"/>
        <v/>
      </c>
      <c r="AQ15" s="41" t="str">
        <f t="shared" si="19"/>
        <v/>
      </c>
      <c r="AR15" s="41" t="str">
        <f t="shared" si="20"/>
        <v/>
      </c>
      <c r="AS15" s="41" t="str">
        <f t="shared" si="21"/>
        <v/>
      </c>
      <c r="AT15" s="41" t="str">
        <f t="shared" si="22"/>
        <v/>
      </c>
      <c r="AU15" s="41" t="str">
        <f t="shared" si="23"/>
        <v/>
      </c>
      <c r="AV15" s="41" t="str">
        <f t="shared" si="24"/>
        <v/>
      </c>
      <c r="AW15" s="41" t="str">
        <f t="shared" si="25"/>
        <v/>
      </c>
      <c r="AX15" s="41" t="str">
        <f t="shared" si="26"/>
        <v/>
      </c>
      <c r="AY15" s="41" t="str">
        <f t="shared" si="27"/>
        <v/>
      </c>
      <c r="AZ15" s="27">
        <v>13.4</v>
      </c>
      <c r="BA15" s="27">
        <v>8.9</v>
      </c>
      <c r="BB15" s="27">
        <v>11.2</v>
      </c>
      <c r="BC15" s="27">
        <v>13.62</v>
      </c>
      <c r="BD15" s="27">
        <v>0</v>
      </c>
      <c r="BE15" s="27">
        <v>13.7</v>
      </c>
      <c r="BF15" s="27">
        <v>8.6999999999999993</v>
      </c>
      <c r="BG15" s="27">
        <v>11.4</v>
      </c>
      <c r="BH15" s="27">
        <v>13.5</v>
      </c>
      <c r="BI15" s="27">
        <v>0</v>
      </c>
      <c r="BJ15" s="27">
        <v>12.3</v>
      </c>
      <c r="BK15" s="27">
        <v>8.6</v>
      </c>
      <c r="BL15" s="27">
        <v>10.1</v>
      </c>
      <c r="BM15" s="27">
        <v>13.08</v>
      </c>
      <c r="BN15" s="27">
        <v>1.1000000000000001</v>
      </c>
      <c r="BO15" s="29"/>
      <c r="BP15" s="40">
        <f t="shared" si="28"/>
        <v>11.2</v>
      </c>
      <c r="BQ15" s="40">
        <f t="shared" si="29"/>
        <v>13.62</v>
      </c>
      <c r="BR15" s="11">
        <f t="shared" si="30"/>
        <v>47.12</v>
      </c>
      <c r="BS15" s="11">
        <f t="shared" si="31"/>
        <v>11.4</v>
      </c>
      <c r="BT15" s="11">
        <f t="shared" si="32"/>
        <v>13.5</v>
      </c>
      <c r="BU15" s="11">
        <f t="shared" si="33"/>
        <v>47.3</v>
      </c>
      <c r="BV15" s="11">
        <f t="shared" si="34"/>
        <v>47.3</v>
      </c>
      <c r="BW15" s="11">
        <f t="shared" si="35"/>
        <v>10.1</v>
      </c>
      <c r="BX15" s="11">
        <f t="shared" si="36"/>
        <v>13.08</v>
      </c>
      <c r="BY15" s="11">
        <f t="shared" si="37"/>
        <v>42.98</v>
      </c>
      <c r="BZ15" s="11">
        <f t="shared" si="38"/>
        <v>90.28</v>
      </c>
      <c r="CA15" s="23">
        <v>11.9</v>
      </c>
      <c r="CB15" s="23">
        <v>8.6</v>
      </c>
      <c r="CC15" s="23">
        <v>10.3</v>
      </c>
      <c r="CD15" s="23">
        <v>14.44</v>
      </c>
      <c r="CE15" s="23">
        <v>0.9</v>
      </c>
      <c r="CF15" s="23">
        <v>5.2</v>
      </c>
      <c r="CG15" s="23">
        <v>3.2</v>
      </c>
      <c r="CH15" s="23">
        <v>3.7</v>
      </c>
      <c r="CI15" s="23">
        <v>5.93</v>
      </c>
      <c r="CJ15" s="23">
        <v>0.2</v>
      </c>
      <c r="CK15" s="23">
        <v>11.3</v>
      </c>
      <c r="CL15" s="23">
        <v>7.2</v>
      </c>
      <c r="CM15" s="23">
        <v>9.1999999999999993</v>
      </c>
      <c r="CN15" s="23">
        <v>11.73</v>
      </c>
      <c r="CO15" s="23">
        <v>0</v>
      </c>
      <c r="CP15" s="28"/>
      <c r="CQ15" s="39">
        <f t="shared" si="39"/>
        <v>10.3</v>
      </c>
      <c r="CR15" s="39">
        <f t="shared" si="40"/>
        <v>14.44</v>
      </c>
      <c r="CS15" s="41">
        <f t="shared" si="41"/>
        <v>44.34</v>
      </c>
      <c r="CT15" s="41">
        <f t="shared" si="42"/>
        <v>3.7</v>
      </c>
      <c r="CU15" s="41">
        <f t="shared" si="43"/>
        <v>5.93</v>
      </c>
      <c r="CV15" s="41">
        <f t="shared" si="44"/>
        <v>17.830000000000002</v>
      </c>
      <c r="CW15" s="41">
        <f t="shared" si="45"/>
        <v>44.34</v>
      </c>
      <c r="CX15" s="41">
        <f t="shared" si="46"/>
        <v>9.1999999999999993</v>
      </c>
      <c r="CY15" s="41">
        <f t="shared" si="47"/>
        <v>11.73</v>
      </c>
      <c r="CZ15" s="41">
        <f t="shared" si="48"/>
        <v>39.43</v>
      </c>
      <c r="DA15" s="41">
        <f t="shared" si="49"/>
        <v>83.77000000000001</v>
      </c>
      <c r="DB15" s="52" t="str">
        <f t="shared" si="50"/>
        <v/>
      </c>
      <c r="DC15" s="52" t="str">
        <f t="shared" si="51"/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1" t="str">
        <f t="shared" si="52"/>
        <v/>
      </c>
      <c r="DY15" s="41" t="str">
        <f t="shared" si="53"/>
        <v/>
      </c>
      <c r="DZ15" s="41" t="str">
        <f t="shared" si="54"/>
        <v/>
      </c>
      <c r="EA15" s="41" t="str">
        <f t="shared" si="55"/>
        <v/>
      </c>
      <c r="EB15" s="41" t="str">
        <f t="shared" si="56"/>
        <v/>
      </c>
      <c r="EC15" s="41" t="str">
        <f t="shared" si="57"/>
        <v/>
      </c>
      <c r="ED15" s="41" t="str">
        <f t="shared" si="58"/>
        <v/>
      </c>
      <c r="EE15" s="41" t="str">
        <f t="shared" si="59"/>
        <v/>
      </c>
      <c r="EF15" s="41" t="str">
        <f t="shared" si="60"/>
        <v/>
      </c>
      <c r="EG15" s="41" t="str">
        <f t="shared" si="61"/>
        <v/>
      </c>
      <c r="EH15" s="41" t="str">
        <f t="shared" si="62"/>
        <v/>
      </c>
      <c r="EI15" s="41" t="str">
        <f t="shared" si="63"/>
        <v/>
      </c>
      <c r="EJ15" s="41" t="str">
        <f t="shared" si="64"/>
        <v/>
      </c>
      <c r="EK15" s="41" t="str">
        <f t="shared" si="65"/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 t="shared" si="66"/>
        <v/>
      </c>
      <c r="FG15" s="11" t="str">
        <f t="shared" si="67"/>
        <v/>
      </c>
      <c r="FH15" s="11" t="str">
        <f t="shared" si="68"/>
        <v/>
      </c>
      <c r="FI15" s="11" t="str">
        <f t="shared" si="69"/>
        <v/>
      </c>
      <c r="FJ15" s="11" t="str">
        <f t="shared" si="70"/>
        <v/>
      </c>
      <c r="FK15" s="11" t="str">
        <f t="shared" si="71"/>
        <v/>
      </c>
      <c r="FL15" s="11" t="str">
        <f t="shared" si="72"/>
        <v/>
      </c>
      <c r="FM15" s="11" t="str">
        <f t="shared" si="73"/>
        <v/>
      </c>
      <c r="FN15" s="11" t="str">
        <f t="shared" si="74"/>
        <v/>
      </c>
      <c r="FO15" s="11" t="str">
        <f t="shared" si="75"/>
        <v/>
      </c>
      <c r="FP15" s="11" t="str">
        <f t="shared" si="76"/>
        <v/>
      </c>
      <c r="FQ15" s="11" t="str">
        <f t="shared" si="77"/>
        <v/>
      </c>
      <c r="FR15" s="11" t="str">
        <f t="shared" si="78"/>
        <v/>
      </c>
      <c r="FS15" s="11" t="str">
        <f t="shared" si="79"/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1" t="str">
        <f t="shared" si="80"/>
        <v/>
      </c>
      <c r="GO15" s="41" t="str">
        <f t="shared" si="81"/>
        <v/>
      </c>
      <c r="GP15" s="41" t="str">
        <f t="shared" si="82"/>
        <v/>
      </c>
      <c r="GQ15" s="41" t="str">
        <f t="shared" si="83"/>
        <v/>
      </c>
      <c r="GR15" s="41" t="str">
        <f t="shared" si="84"/>
        <v/>
      </c>
      <c r="GS15" s="41" t="str">
        <f t="shared" si="85"/>
        <v/>
      </c>
      <c r="GT15" s="41" t="str">
        <f t="shared" si="86"/>
        <v/>
      </c>
      <c r="GU15" s="41" t="str">
        <f t="shared" si="87"/>
        <v/>
      </c>
      <c r="GV15" s="41" t="str">
        <f t="shared" si="88"/>
        <v/>
      </c>
      <c r="GW15" s="41" t="str">
        <f t="shared" si="89"/>
        <v/>
      </c>
      <c r="GX15" s="41" t="str">
        <f t="shared" si="90"/>
        <v/>
      </c>
      <c r="GY15" s="41" t="str">
        <f t="shared" si="91"/>
        <v/>
      </c>
      <c r="GZ15" s="41" t="str">
        <f t="shared" si="92"/>
        <v/>
      </c>
      <c r="HA15" s="41" t="str">
        <f t="shared" si="93"/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 t="shared" si="94"/>
        <v/>
      </c>
      <c r="HW15" s="11" t="str">
        <f t="shared" si="95"/>
        <v/>
      </c>
      <c r="HX15" s="11" t="str">
        <f t="shared" si="96"/>
        <v/>
      </c>
      <c r="HY15" s="11" t="str">
        <f t="shared" si="97"/>
        <v/>
      </c>
      <c r="HZ15" s="11" t="str">
        <f t="shared" si="98"/>
        <v/>
      </c>
      <c r="IA15" s="11" t="str">
        <f t="shared" si="99"/>
        <v/>
      </c>
      <c r="IB15" s="11" t="str">
        <f t="shared" si="100"/>
        <v/>
      </c>
      <c r="IC15" s="11" t="str">
        <f t="shared" si="101"/>
        <v/>
      </c>
      <c r="ID15" s="11" t="str">
        <f t="shared" si="102"/>
        <v/>
      </c>
      <c r="IE15" s="11" t="str">
        <f t="shared" si="103"/>
        <v/>
      </c>
      <c r="IF15" s="11" t="str">
        <f t="shared" si="104"/>
        <v/>
      </c>
      <c r="IG15" s="11" t="str">
        <f t="shared" si="105"/>
        <v/>
      </c>
      <c r="IH15" s="11" t="str">
        <f t="shared" si="106"/>
        <v/>
      </c>
      <c r="II15" s="11" t="str">
        <f t="shared" si="107"/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1" t="str">
        <f t="shared" si="108"/>
        <v/>
      </c>
      <c r="JE15" s="41" t="str">
        <f t="shared" si="109"/>
        <v/>
      </c>
      <c r="JF15" s="41" t="str">
        <f t="shared" si="110"/>
        <v/>
      </c>
      <c r="JG15" s="41" t="str">
        <f t="shared" si="111"/>
        <v/>
      </c>
      <c r="JH15" s="41" t="str">
        <f t="shared" si="112"/>
        <v/>
      </c>
      <c r="JI15" s="41" t="str">
        <f t="shared" si="113"/>
        <v/>
      </c>
      <c r="JJ15" s="41" t="str">
        <f t="shared" si="114"/>
        <v/>
      </c>
      <c r="JK15" s="41" t="str">
        <f t="shared" si="115"/>
        <v/>
      </c>
      <c r="JL15" s="41" t="str">
        <f t="shared" si="116"/>
        <v/>
      </c>
      <c r="JM15" s="41" t="str">
        <f t="shared" si="117"/>
        <v/>
      </c>
      <c r="JN15" s="41" t="str">
        <f t="shared" si="118"/>
        <v/>
      </c>
      <c r="JO15" s="41" t="str">
        <f t="shared" si="119"/>
        <v/>
      </c>
      <c r="JP15" s="41" t="str">
        <f t="shared" si="120"/>
        <v/>
      </c>
      <c r="JQ15" s="41" t="str">
        <f t="shared" si="121"/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 t="shared" si="122"/>
        <v/>
      </c>
      <c r="KM15" s="11" t="str">
        <f t="shared" si="123"/>
        <v/>
      </c>
      <c r="KN15" s="11" t="str">
        <f t="shared" si="124"/>
        <v/>
      </c>
      <c r="KO15" s="11" t="str">
        <f t="shared" si="125"/>
        <v/>
      </c>
      <c r="KP15" s="11" t="str">
        <f t="shared" si="126"/>
        <v/>
      </c>
      <c r="KQ15" s="11" t="str">
        <f t="shared" si="127"/>
        <v/>
      </c>
      <c r="KR15" s="11" t="str">
        <f t="shared" si="128"/>
        <v/>
      </c>
      <c r="KS15" s="11" t="str">
        <f t="shared" si="129"/>
        <v/>
      </c>
      <c r="KT15" s="11" t="str">
        <f t="shared" si="130"/>
        <v/>
      </c>
      <c r="KU15" s="11" t="str">
        <f t="shared" si="131"/>
        <v/>
      </c>
      <c r="KV15" s="11" t="str">
        <f t="shared" si="132"/>
        <v/>
      </c>
      <c r="KW15" s="11" t="str">
        <f t="shared" si="133"/>
        <v/>
      </c>
      <c r="KX15" s="11" t="str">
        <f t="shared" si="134"/>
        <v/>
      </c>
      <c r="KY15" s="11" t="str">
        <f t="shared" si="135"/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1" t="str">
        <f t="shared" si="136"/>
        <v/>
      </c>
      <c r="LU15" s="41" t="str">
        <f t="shared" si="137"/>
        <v/>
      </c>
      <c r="LV15" s="41" t="str">
        <f t="shared" si="138"/>
        <v/>
      </c>
      <c r="LW15" s="41" t="str">
        <f t="shared" si="139"/>
        <v/>
      </c>
      <c r="LX15" s="41" t="str">
        <f t="shared" si="140"/>
        <v/>
      </c>
      <c r="LY15" s="41" t="str">
        <f t="shared" si="141"/>
        <v/>
      </c>
      <c r="LZ15" s="41" t="str">
        <f t="shared" si="142"/>
        <v/>
      </c>
      <c r="MA15" s="41" t="str">
        <f t="shared" si="143"/>
        <v/>
      </c>
      <c r="MB15" s="41" t="str">
        <f t="shared" si="144"/>
        <v/>
      </c>
      <c r="MC15" s="41" t="str">
        <f t="shared" si="145"/>
        <v/>
      </c>
      <c r="MD15" s="41" t="str">
        <f t="shared" si="146"/>
        <v/>
      </c>
      <c r="ME15" s="41" t="str">
        <f t="shared" si="147"/>
        <v/>
      </c>
      <c r="MF15" s="41" t="str">
        <f t="shared" si="148"/>
        <v/>
      </c>
      <c r="MG15" s="41" t="str">
        <f t="shared" si="149"/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 t="shared" si="150"/>
        <v/>
      </c>
      <c r="NC15" s="11" t="str">
        <f t="shared" si="151"/>
        <v/>
      </c>
      <c r="ND15" s="11" t="str">
        <f t="shared" si="152"/>
        <v/>
      </c>
      <c r="NE15" s="11" t="str">
        <f t="shared" si="153"/>
        <v/>
      </c>
      <c r="NF15" s="11" t="str">
        <f t="shared" si="154"/>
        <v/>
      </c>
      <c r="NG15" s="11" t="str">
        <f t="shared" si="155"/>
        <v/>
      </c>
      <c r="NH15" s="11" t="str">
        <f t="shared" si="156"/>
        <v/>
      </c>
      <c r="NI15" s="11" t="str">
        <f t="shared" si="157"/>
        <v/>
      </c>
      <c r="NJ15" s="11" t="str">
        <f t="shared" si="158"/>
        <v/>
      </c>
      <c r="NK15" s="11" t="str">
        <f t="shared" si="159"/>
        <v/>
      </c>
      <c r="NL15" s="11" t="str">
        <f t="shared" si="160"/>
        <v/>
      </c>
      <c r="NM15" s="11" t="str">
        <f t="shared" si="161"/>
        <v/>
      </c>
      <c r="NN15" s="11" t="str">
        <f t="shared" si="162"/>
        <v/>
      </c>
      <c r="NO15" s="11" t="str">
        <f t="shared" si="163"/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1" t="str">
        <f t="shared" si="164"/>
        <v/>
      </c>
      <c r="OK15" s="41" t="str">
        <f t="shared" si="165"/>
        <v/>
      </c>
      <c r="OL15" s="41" t="str">
        <f t="shared" si="166"/>
        <v/>
      </c>
      <c r="OM15" s="41" t="str">
        <f t="shared" si="167"/>
        <v/>
      </c>
      <c r="ON15" s="41" t="str">
        <f t="shared" si="168"/>
        <v/>
      </c>
      <c r="OO15" s="41" t="str">
        <f t="shared" si="169"/>
        <v/>
      </c>
      <c r="OP15" s="41" t="str">
        <f t="shared" si="170"/>
        <v/>
      </c>
      <c r="OQ15" s="41" t="str">
        <f t="shared" si="171"/>
        <v/>
      </c>
      <c r="OR15" s="41" t="str">
        <f t="shared" si="172"/>
        <v/>
      </c>
      <c r="OS15" s="41" t="str">
        <f t="shared" si="173"/>
        <v/>
      </c>
      <c r="OT15" s="41" t="str">
        <f t="shared" si="174"/>
        <v/>
      </c>
      <c r="OU15" s="41" t="str">
        <f t="shared" si="175"/>
        <v/>
      </c>
      <c r="OV15" s="41" t="str">
        <f t="shared" si="176"/>
        <v/>
      </c>
      <c r="OW15" s="41" t="str">
        <f t="shared" si="177"/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 t="shared" si="178"/>
        <v/>
      </c>
      <c r="PS15" s="11" t="str">
        <f t="shared" si="179"/>
        <v/>
      </c>
      <c r="PT15" s="11" t="str">
        <f t="shared" si="180"/>
        <v/>
      </c>
      <c r="PU15" s="11" t="str">
        <f t="shared" si="181"/>
        <v/>
      </c>
      <c r="PV15" s="11" t="str">
        <f t="shared" si="182"/>
        <v/>
      </c>
      <c r="PW15" s="11" t="str">
        <f t="shared" si="183"/>
        <v/>
      </c>
      <c r="PX15" s="11" t="str">
        <f t="shared" si="184"/>
        <v/>
      </c>
      <c r="PY15" s="11" t="str">
        <f t="shared" si="185"/>
        <v/>
      </c>
      <c r="PZ15" s="11" t="str">
        <f t="shared" si="186"/>
        <v/>
      </c>
      <c r="QA15" s="11" t="str">
        <f t="shared" si="187"/>
        <v/>
      </c>
      <c r="QB15" s="11" t="str">
        <f t="shared" si="188"/>
        <v/>
      </c>
      <c r="QC15" s="11" t="str">
        <f t="shared" si="189"/>
        <v/>
      </c>
      <c r="QD15" s="11" t="str">
        <f t="shared" si="190"/>
        <v/>
      </c>
      <c r="QE15" s="11" t="str">
        <f t="shared" si="191"/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1" t="str">
        <f t="shared" si="192"/>
        <v/>
      </c>
      <c r="RA15" s="41" t="str">
        <f t="shared" si="193"/>
        <v/>
      </c>
      <c r="RB15" s="41" t="str">
        <f t="shared" si="194"/>
        <v/>
      </c>
      <c r="RC15" s="41" t="str">
        <f t="shared" si="195"/>
        <v/>
      </c>
      <c r="RD15" s="41" t="str">
        <f t="shared" si="196"/>
        <v/>
      </c>
      <c r="RE15" s="41" t="str">
        <f t="shared" si="197"/>
        <v/>
      </c>
      <c r="RF15" s="41" t="str">
        <f t="shared" si="198"/>
        <v/>
      </c>
      <c r="RG15" s="41" t="str">
        <f t="shared" si="199"/>
        <v/>
      </c>
      <c r="RH15" s="41" t="str">
        <f t="shared" si="200"/>
        <v/>
      </c>
      <c r="RI15" s="41" t="str">
        <f t="shared" si="201"/>
        <v/>
      </c>
      <c r="RJ15" s="41" t="str">
        <f t="shared" si="202"/>
        <v/>
      </c>
      <c r="RK15" s="41" t="str">
        <f t="shared" si="203"/>
        <v/>
      </c>
      <c r="RL15" s="41" t="str">
        <f t="shared" si="204"/>
        <v/>
      </c>
      <c r="RM15" s="41" t="str">
        <f t="shared" si="205"/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 t="shared" si="206"/>
        <v/>
      </c>
      <c r="SI15" s="11" t="str">
        <f t="shared" si="207"/>
        <v/>
      </c>
      <c r="SJ15" s="11" t="str">
        <f t="shared" si="208"/>
        <v/>
      </c>
      <c r="SK15" s="11" t="str">
        <f t="shared" si="209"/>
        <v/>
      </c>
      <c r="SL15" s="11" t="str">
        <f t="shared" si="210"/>
        <v/>
      </c>
      <c r="SM15" s="11" t="str">
        <f t="shared" si="211"/>
        <v/>
      </c>
      <c r="SN15" s="11" t="str">
        <f t="shared" si="212"/>
        <v/>
      </c>
      <c r="SO15" s="11" t="str">
        <f t="shared" si="213"/>
        <v/>
      </c>
      <c r="SP15" s="11" t="str">
        <f t="shared" si="214"/>
        <v/>
      </c>
      <c r="SQ15" s="11" t="str">
        <f t="shared" si="215"/>
        <v/>
      </c>
      <c r="SR15" s="11" t="str">
        <f t="shared" si="216"/>
        <v/>
      </c>
      <c r="SS15" s="11" t="str">
        <f t="shared" si="217"/>
        <v/>
      </c>
      <c r="ST15" s="11" t="str">
        <f t="shared" si="218"/>
        <v/>
      </c>
      <c r="SU15" s="11" t="str">
        <f t="shared" si="219"/>
        <v/>
      </c>
      <c r="SV15" s="23">
        <f t="shared" si="220"/>
        <v>12.65</v>
      </c>
      <c r="SW15" s="23">
        <f t="shared" si="221"/>
        <v>8.75</v>
      </c>
      <c r="SX15" s="23">
        <f t="shared" si="222"/>
        <v>10.75</v>
      </c>
      <c r="SY15" s="23">
        <f t="shared" si="223"/>
        <v>14.03</v>
      </c>
      <c r="SZ15" s="23">
        <f t="shared" si="224"/>
        <v>0.45</v>
      </c>
      <c r="TA15" s="23">
        <f t="shared" si="225"/>
        <v>9.4499999999999993</v>
      </c>
      <c r="TB15" s="23">
        <f t="shared" si="226"/>
        <v>5.9499999999999993</v>
      </c>
      <c r="TC15" s="23">
        <f t="shared" si="227"/>
        <v>7.5500000000000007</v>
      </c>
      <c r="TD15" s="23">
        <f t="shared" si="228"/>
        <v>9.7149999999999999</v>
      </c>
      <c r="TE15" s="23">
        <f t="shared" si="229"/>
        <v>0.1</v>
      </c>
      <c r="TF15" s="23">
        <f t="shared" si="230"/>
        <v>11.8</v>
      </c>
      <c r="TG15" s="23">
        <f t="shared" si="231"/>
        <v>7.9</v>
      </c>
      <c r="TH15" s="23">
        <f t="shared" si="232"/>
        <v>9.6499999999999986</v>
      </c>
      <c r="TI15" s="23">
        <f t="shared" si="233"/>
        <v>12.405000000000001</v>
      </c>
      <c r="TJ15" s="23">
        <f t="shared" si="234"/>
        <v>0.55000000000000004</v>
      </c>
      <c r="TK15" s="28" t="s">
        <v>57</v>
      </c>
      <c r="TL15" s="41">
        <f t="shared" si="235"/>
        <v>10.75</v>
      </c>
      <c r="TM15" s="41">
        <f t="shared" si="236"/>
        <v>14.03</v>
      </c>
      <c r="TN15" s="41">
        <f t="shared" si="237"/>
        <v>45.73</v>
      </c>
      <c r="TO15" s="41">
        <f t="shared" si="238"/>
        <v>7.5500000000000007</v>
      </c>
      <c r="TP15" s="41">
        <f t="shared" si="239"/>
        <v>9.7149999999999999</v>
      </c>
      <c r="TQ15" s="41">
        <f t="shared" si="240"/>
        <v>32.564999999999998</v>
      </c>
      <c r="TR15" s="41">
        <f t="shared" si="241"/>
        <v>45.73</v>
      </c>
      <c r="TS15" s="41">
        <f t="shared" si="242"/>
        <v>9.6499999999999986</v>
      </c>
      <c r="TT15" s="41">
        <f t="shared" si="243"/>
        <v>12.405000000000001</v>
      </c>
      <c r="TU15" s="41">
        <f t="shared" si="244"/>
        <v>41.205000000000005</v>
      </c>
      <c r="TV15" s="41">
        <f t="shared" si="245"/>
        <v>86.935000000000002</v>
      </c>
    </row>
    <row r="16" spans="1:542" x14ac:dyDescent="0.2">
      <c r="A16" s="4" t="str" cm="1">
        <f t="array" ref="A16">IF(AND(H16&lt;&gt;"",H16&lt;&gt;"No DD"),SUMPRODUCT((H$4:H$18&lt;&gt;"")*(H$4:H$18&lt;&gt;"No DD")*(E$4:E$18&gt;E16))+1,IF(H16="No DD",SUMPRODUCT((H$4:H$18="No DD")*(E$4:E$18&gt;E16))+1+SUMPRODUCT((H$4:H$18&lt;&gt;"")*(H$4:H$18&lt;&gt;"No DD")),""))</f>
        <v/>
      </c>
      <c r="B16" s="5" t="s">
        <v>134</v>
      </c>
      <c r="C16" s="4" t="s">
        <v>39</v>
      </c>
      <c r="D16" s="4">
        <v>2000</v>
      </c>
      <c r="E16" s="9">
        <f t="shared" si="0"/>
        <v>115.97001159700453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IF(COUNT(AQ16,AT16,BR16,BU16,CS16,CV16)&gt;0,LARGE((AQ16,AT16,BR16,BU16,CS16,CV16),1),0)</f>
        <v>45.39</v>
      </c>
      <c r="K16" s="8" t="str">
        <f t="shared" si="5"/>
        <v>2023 Elite Canada</v>
      </c>
      <c r="L16" s="8">
        <f>IF(COUNT(AQ16,AT16,BR16,BU16,CS16,CV16)&gt;1,LARGE((AQ16,AT16,BR16,BU16,CS16,CV16),2),0)</f>
        <v>19.53</v>
      </c>
      <c r="M16" s="8" t="str">
        <f t="shared" si="6"/>
        <v>2023 Nationals</v>
      </c>
      <c r="N16" s="8">
        <f>IF(COUNT(AQ16,AT16,BR16,BU16,CS16,CV16)&gt;2,LARGE((AQ16,AT16,BR16,BU16,CS16,CV16),3),0)</f>
        <v>10.129999999999999</v>
      </c>
      <c r="O16" s="8" t="str">
        <f t="shared" si="7"/>
        <v>2023 Elite Canada</v>
      </c>
      <c r="P16" s="8">
        <f t="shared" si="8"/>
        <v>30.52</v>
      </c>
      <c r="Q16" s="8" t="str">
        <f t="shared" si="9"/>
        <v>2023 Elite Canada</v>
      </c>
      <c r="R16" s="8">
        <f t="shared" si="10"/>
        <v>10.4</v>
      </c>
      <c r="S16" s="8" t="str">
        <f t="shared" si="11"/>
        <v>2023 Elite Canada</v>
      </c>
      <c r="T16" s="8">
        <f t="shared" si="12"/>
        <v>0</v>
      </c>
      <c r="U16" s="8" t="str">
        <f t="shared" si="13"/>
        <v/>
      </c>
      <c r="V16" s="8" t="str">
        <f t="shared" si="14"/>
        <v/>
      </c>
      <c r="W16" s="11" t="str">
        <f t="shared" si="15"/>
        <v/>
      </c>
      <c r="X16" s="8" t="str">
        <f t="shared" si="16"/>
        <v/>
      </c>
      <c r="Y16" s="23">
        <v>12.4</v>
      </c>
      <c r="Z16" s="23">
        <v>8.6</v>
      </c>
      <c r="AA16" s="23">
        <v>10.4</v>
      </c>
      <c r="AB16" s="23">
        <v>13.99</v>
      </c>
      <c r="AC16" s="23">
        <v>0</v>
      </c>
      <c r="AD16" s="23">
        <v>2.6</v>
      </c>
      <c r="AE16" s="23">
        <v>2</v>
      </c>
      <c r="AF16" s="23">
        <v>2.5</v>
      </c>
      <c r="AG16" s="23">
        <v>3.03</v>
      </c>
      <c r="AH16" s="23">
        <v>0</v>
      </c>
      <c r="AI16" s="23">
        <v>8.4</v>
      </c>
      <c r="AJ16" s="23">
        <v>5.8</v>
      </c>
      <c r="AK16" s="23">
        <v>6.8</v>
      </c>
      <c r="AL16" s="23">
        <v>9.52</v>
      </c>
      <c r="AM16" s="23">
        <v>0</v>
      </c>
      <c r="AN16" s="28"/>
      <c r="AO16" s="39">
        <f t="shared" si="17"/>
        <v>10.4</v>
      </c>
      <c r="AP16" s="39">
        <f t="shared" si="18"/>
        <v>13.99</v>
      </c>
      <c r="AQ16" s="41">
        <f t="shared" si="19"/>
        <v>45.39</v>
      </c>
      <c r="AR16" s="41">
        <f t="shared" si="20"/>
        <v>2.5</v>
      </c>
      <c r="AS16" s="41">
        <f t="shared" si="21"/>
        <v>3.03</v>
      </c>
      <c r="AT16" s="41">
        <f t="shared" si="22"/>
        <v>10.129999999999999</v>
      </c>
      <c r="AU16" s="41">
        <f t="shared" si="23"/>
        <v>45.39</v>
      </c>
      <c r="AV16" s="41">
        <f t="shared" si="24"/>
        <v>6.8</v>
      </c>
      <c r="AW16" s="41">
        <f t="shared" si="25"/>
        <v>9.52</v>
      </c>
      <c r="AX16" s="41">
        <f t="shared" si="26"/>
        <v>30.52</v>
      </c>
      <c r="AY16" s="41">
        <f t="shared" si="27"/>
        <v>75.91</v>
      </c>
      <c r="AZ16" s="27">
        <v>3.1</v>
      </c>
      <c r="BA16" s="27">
        <v>1.8</v>
      </c>
      <c r="BB16" s="27">
        <v>2</v>
      </c>
      <c r="BC16" s="27">
        <v>2.94</v>
      </c>
      <c r="BD16" s="27">
        <v>0</v>
      </c>
      <c r="BE16" s="27">
        <v>5.9</v>
      </c>
      <c r="BF16" s="27">
        <v>3.4</v>
      </c>
      <c r="BG16" s="27">
        <v>4.4000000000000004</v>
      </c>
      <c r="BH16" s="27">
        <v>5.83</v>
      </c>
      <c r="BI16" s="27">
        <v>0</v>
      </c>
      <c r="BJ16" s="27"/>
      <c r="BK16" s="27"/>
      <c r="BL16" s="27"/>
      <c r="BM16" s="27"/>
      <c r="BN16" s="27"/>
      <c r="BO16" s="29"/>
      <c r="BP16" s="40">
        <f t="shared" si="28"/>
        <v>2</v>
      </c>
      <c r="BQ16" s="40">
        <f t="shared" si="29"/>
        <v>2.94</v>
      </c>
      <c r="BR16" s="11">
        <f t="shared" si="30"/>
        <v>9.84</v>
      </c>
      <c r="BS16" s="11">
        <f t="shared" si="31"/>
        <v>4.4000000000000004</v>
      </c>
      <c r="BT16" s="11">
        <f t="shared" si="32"/>
        <v>5.83</v>
      </c>
      <c r="BU16" s="11">
        <f t="shared" si="33"/>
        <v>19.53</v>
      </c>
      <c r="BV16" s="11">
        <f t="shared" si="34"/>
        <v>19.53</v>
      </c>
      <c r="BW16" s="11" t="str">
        <f t="shared" si="35"/>
        <v/>
      </c>
      <c r="BX16" s="11" t="str">
        <f t="shared" si="36"/>
        <v/>
      </c>
      <c r="BY16" s="11" t="str">
        <f t="shared" si="37"/>
        <v/>
      </c>
      <c r="BZ16" s="11">
        <f t="shared" si="38"/>
        <v>19.53</v>
      </c>
      <c r="CA16" s="23"/>
      <c r="CB16" s="23"/>
      <c r="CC16" s="23"/>
      <c r="CD16" s="23"/>
      <c r="CE16" s="23"/>
      <c r="CF16" s="23"/>
      <c r="CG16" s="23"/>
      <c r="CH16" s="23"/>
      <c r="CI16" s="23"/>
      <c r="CJ16" s="23"/>
      <c r="CK16" s="23"/>
      <c r="CL16" s="23"/>
      <c r="CM16" s="23"/>
      <c r="CN16" s="23"/>
      <c r="CO16" s="23"/>
      <c r="CP16" s="28"/>
      <c r="CQ16" s="39" t="str">
        <f t="shared" si="39"/>
        <v/>
      </c>
      <c r="CR16" s="39" t="str">
        <f t="shared" si="40"/>
        <v/>
      </c>
      <c r="CS16" s="41" t="str">
        <f t="shared" si="41"/>
        <v/>
      </c>
      <c r="CT16" s="41" t="str">
        <f t="shared" si="42"/>
        <v/>
      </c>
      <c r="CU16" s="41" t="str">
        <f t="shared" si="43"/>
        <v/>
      </c>
      <c r="CV16" s="41" t="str">
        <f t="shared" si="44"/>
        <v/>
      </c>
      <c r="CW16" s="41" t="str">
        <f t="shared" si="45"/>
        <v/>
      </c>
      <c r="CX16" s="41" t="str">
        <f t="shared" si="46"/>
        <v/>
      </c>
      <c r="CY16" s="41" t="str">
        <f t="shared" si="47"/>
        <v/>
      </c>
      <c r="CZ16" s="41" t="str">
        <f t="shared" si="48"/>
        <v/>
      </c>
      <c r="DA16" s="41" t="str">
        <f t="shared" si="49"/>
        <v/>
      </c>
      <c r="DB16" s="52" t="str">
        <f t="shared" si="50"/>
        <v/>
      </c>
      <c r="DC16" s="52" t="str">
        <f t="shared" si="51"/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1" t="str">
        <f t="shared" si="52"/>
        <v/>
      </c>
      <c r="DY16" s="41" t="str">
        <f t="shared" si="53"/>
        <v/>
      </c>
      <c r="DZ16" s="41" t="str">
        <f t="shared" si="54"/>
        <v/>
      </c>
      <c r="EA16" s="41" t="str">
        <f t="shared" si="55"/>
        <v/>
      </c>
      <c r="EB16" s="41" t="str">
        <f t="shared" si="56"/>
        <v/>
      </c>
      <c r="EC16" s="41" t="str">
        <f t="shared" si="57"/>
        <v/>
      </c>
      <c r="ED16" s="41" t="str">
        <f t="shared" si="58"/>
        <v/>
      </c>
      <c r="EE16" s="41" t="str">
        <f t="shared" si="59"/>
        <v/>
      </c>
      <c r="EF16" s="41" t="str">
        <f t="shared" si="60"/>
        <v/>
      </c>
      <c r="EG16" s="41" t="str">
        <f t="shared" si="61"/>
        <v/>
      </c>
      <c r="EH16" s="41" t="str">
        <f t="shared" si="62"/>
        <v/>
      </c>
      <c r="EI16" s="41" t="str">
        <f t="shared" si="63"/>
        <v/>
      </c>
      <c r="EJ16" s="41" t="str">
        <f t="shared" si="64"/>
        <v/>
      </c>
      <c r="EK16" s="41" t="str">
        <f t="shared" si="65"/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 t="shared" si="66"/>
        <v/>
      </c>
      <c r="FG16" s="11" t="str">
        <f t="shared" si="67"/>
        <v/>
      </c>
      <c r="FH16" s="11" t="str">
        <f t="shared" si="68"/>
        <v/>
      </c>
      <c r="FI16" s="11" t="str">
        <f t="shared" si="69"/>
        <v/>
      </c>
      <c r="FJ16" s="11" t="str">
        <f t="shared" si="70"/>
        <v/>
      </c>
      <c r="FK16" s="11" t="str">
        <f t="shared" si="71"/>
        <v/>
      </c>
      <c r="FL16" s="11" t="str">
        <f t="shared" si="72"/>
        <v/>
      </c>
      <c r="FM16" s="11" t="str">
        <f t="shared" si="73"/>
        <v/>
      </c>
      <c r="FN16" s="11" t="str">
        <f t="shared" si="74"/>
        <v/>
      </c>
      <c r="FO16" s="11" t="str">
        <f t="shared" si="75"/>
        <v/>
      </c>
      <c r="FP16" s="11" t="str">
        <f t="shared" si="76"/>
        <v/>
      </c>
      <c r="FQ16" s="11" t="str">
        <f t="shared" si="77"/>
        <v/>
      </c>
      <c r="FR16" s="11" t="str">
        <f t="shared" si="78"/>
        <v/>
      </c>
      <c r="FS16" s="11" t="str">
        <f t="shared" si="79"/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1" t="str">
        <f t="shared" si="80"/>
        <v/>
      </c>
      <c r="GO16" s="41" t="str">
        <f t="shared" si="81"/>
        <v/>
      </c>
      <c r="GP16" s="41" t="str">
        <f t="shared" si="82"/>
        <v/>
      </c>
      <c r="GQ16" s="41" t="str">
        <f t="shared" si="83"/>
        <v/>
      </c>
      <c r="GR16" s="41" t="str">
        <f t="shared" si="84"/>
        <v/>
      </c>
      <c r="GS16" s="41" t="str">
        <f t="shared" si="85"/>
        <v/>
      </c>
      <c r="GT16" s="41" t="str">
        <f t="shared" si="86"/>
        <v/>
      </c>
      <c r="GU16" s="41" t="str">
        <f t="shared" si="87"/>
        <v/>
      </c>
      <c r="GV16" s="41" t="str">
        <f t="shared" si="88"/>
        <v/>
      </c>
      <c r="GW16" s="41" t="str">
        <f t="shared" si="89"/>
        <v/>
      </c>
      <c r="GX16" s="41" t="str">
        <f t="shared" si="90"/>
        <v/>
      </c>
      <c r="GY16" s="41" t="str">
        <f t="shared" si="91"/>
        <v/>
      </c>
      <c r="GZ16" s="41" t="str">
        <f t="shared" si="92"/>
        <v/>
      </c>
      <c r="HA16" s="41" t="str">
        <f t="shared" si="93"/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 t="shared" si="94"/>
        <v/>
      </c>
      <c r="HW16" s="11" t="str">
        <f t="shared" si="95"/>
        <v/>
      </c>
      <c r="HX16" s="11" t="str">
        <f t="shared" si="96"/>
        <v/>
      </c>
      <c r="HY16" s="11" t="str">
        <f t="shared" si="97"/>
        <v/>
      </c>
      <c r="HZ16" s="11" t="str">
        <f t="shared" si="98"/>
        <v/>
      </c>
      <c r="IA16" s="11" t="str">
        <f t="shared" si="99"/>
        <v/>
      </c>
      <c r="IB16" s="11" t="str">
        <f t="shared" si="100"/>
        <v/>
      </c>
      <c r="IC16" s="11" t="str">
        <f t="shared" si="101"/>
        <v/>
      </c>
      <c r="ID16" s="11" t="str">
        <f t="shared" si="102"/>
        <v/>
      </c>
      <c r="IE16" s="11" t="str">
        <f t="shared" si="103"/>
        <v/>
      </c>
      <c r="IF16" s="11" t="str">
        <f t="shared" si="104"/>
        <v/>
      </c>
      <c r="IG16" s="11" t="str">
        <f t="shared" si="105"/>
        <v/>
      </c>
      <c r="IH16" s="11" t="str">
        <f t="shared" si="106"/>
        <v/>
      </c>
      <c r="II16" s="11" t="str">
        <f t="shared" si="107"/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1" t="str">
        <f t="shared" si="108"/>
        <v/>
      </c>
      <c r="JE16" s="41" t="str">
        <f t="shared" si="109"/>
        <v/>
      </c>
      <c r="JF16" s="41" t="str">
        <f t="shared" si="110"/>
        <v/>
      </c>
      <c r="JG16" s="41" t="str">
        <f t="shared" si="111"/>
        <v/>
      </c>
      <c r="JH16" s="41" t="str">
        <f t="shared" si="112"/>
        <v/>
      </c>
      <c r="JI16" s="41" t="str">
        <f t="shared" si="113"/>
        <v/>
      </c>
      <c r="JJ16" s="41" t="str">
        <f t="shared" si="114"/>
        <v/>
      </c>
      <c r="JK16" s="41" t="str">
        <f t="shared" si="115"/>
        <v/>
      </c>
      <c r="JL16" s="41" t="str">
        <f t="shared" si="116"/>
        <v/>
      </c>
      <c r="JM16" s="41" t="str">
        <f t="shared" si="117"/>
        <v/>
      </c>
      <c r="JN16" s="41" t="str">
        <f t="shared" si="118"/>
        <v/>
      </c>
      <c r="JO16" s="41" t="str">
        <f t="shared" si="119"/>
        <v/>
      </c>
      <c r="JP16" s="41" t="str">
        <f t="shared" si="120"/>
        <v/>
      </c>
      <c r="JQ16" s="41" t="str">
        <f t="shared" si="121"/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 t="shared" si="122"/>
        <v/>
      </c>
      <c r="KM16" s="11" t="str">
        <f t="shared" si="123"/>
        <v/>
      </c>
      <c r="KN16" s="11" t="str">
        <f t="shared" si="124"/>
        <v/>
      </c>
      <c r="KO16" s="11" t="str">
        <f t="shared" si="125"/>
        <v/>
      </c>
      <c r="KP16" s="11" t="str">
        <f t="shared" si="126"/>
        <v/>
      </c>
      <c r="KQ16" s="11" t="str">
        <f t="shared" si="127"/>
        <v/>
      </c>
      <c r="KR16" s="11" t="str">
        <f t="shared" si="128"/>
        <v/>
      </c>
      <c r="KS16" s="11" t="str">
        <f t="shared" si="129"/>
        <v/>
      </c>
      <c r="KT16" s="11" t="str">
        <f t="shared" si="130"/>
        <v/>
      </c>
      <c r="KU16" s="11" t="str">
        <f t="shared" si="131"/>
        <v/>
      </c>
      <c r="KV16" s="11" t="str">
        <f t="shared" si="132"/>
        <v/>
      </c>
      <c r="KW16" s="11" t="str">
        <f t="shared" si="133"/>
        <v/>
      </c>
      <c r="KX16" s="11" t="str">
        <f t="shared" si="134"/>
        <v/>
      </c>
      <c r="KY16" s="11" t="str">
        <f t="shared" si="135"/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1" t="str">
        <f t="shared" si="136"/>
        <v/>
      </c>
      <c r="LU16" s="41" t="str">
        <f t="shared" si="137"/>
        <v/>
      </c>
      <c r="LV16" s="41" t="str">
        <f t="shared" si="138"/>
        <v/>
      </c>
      <c r="LW16" s="41" t="str">
        <f t="shared" si="139"/>
        <v/>
      </c>
      <c r="LX16" s="41" t="str">
        <f t="shared" si="140"/>
        <v/>
      </c>
      <c r="LY16" s="41" t="str">
        <f t="shared" si="141"/>
        <v/>
      </c>
      <c r="LZ16" s="41" t="str">
        <f t="shared" si="142"/>
        <v/>
      </c>
      <c r="MA16" s="41" t="str">
        <f t="shared" si="143"/>
        <v/>
      </c>
      <c r="MB16" s="41" t="str">
        <f t="shared" si="144"/>
        <v/>
      </c>
      <c r="MC16" s="41" t="str">
        <f t="shared" si="145"/>
        <v/>
      </c>
      <c r="MD16" s="41" t="str">
        <f t="shared" si="146"/>
        <v/>
      </c>
      <c r="ME16" s="41" t="str">
        <f t="shared" si="147"/>
        <v/>
      </c>
      <c r="MF16" s="41" t="str">
        <f t="shared" si="148"/>
        <v/>
      </c>
      <c r="MG16" s="41" t="str">
        <f t="shared" si="149"/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 t="shared" si="150"/>
        <v/>
      </c>
      <c r="NC16" s="11" t="str">
        <f t="shared" si="151"/>
        <v/>
      </c>
      <c r="ND16" s="11" t="str">
        <f t="shared" si="152"/>
        <v/>
      </c>
      <c r="NE16" s="11" t="str">
        <f t="shared" si="153"/>
        <v/>
      </c>
      <c r="NF16" s="11" t="str">
        <f t="shared" si="154"/>
        <v/>
      </c>
      <c r="NG16" s="11" t="str">
        <f t="shared" si="155"/>
        <v/>
      </c>
      <c r="NH16" s="11" t="str">
        <f t="shared" si="156"/>
        <v/>
      </c>
      <c r="NI16" s="11" t="str">
        <f t="shared" si="157"/>
        <v/>
      </c>
      <c r="NJ16" s="11" t="str">
        <f t="shared" si="158"/>
        <v/>
      </c>
      <c r="NK16" s="11" t="str">
        <f t="shared" si="159"/>
        <v/>
      </c>
      <c r="NL16" s="11" t="str">
        <f t="shared" si="160"/>
        <v/>
      </c>
      <c r="NM16" s="11" t="str">
        <f t="shared" si="161"/>
        <v/>
      </c>
      <c r="NN16" s="11" t="str">
        <f t="shared" si="162"/>
        <v/>
      </c>
      <c r="NO16" s="11" t="str">
        <f t="shared" si="163"/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1" t="str">
        <f t="shared" si="164"/>
        <v/>
      </c>
      <c r="OK16" s="41" t="str">
        <f t="shared" si="165"/>
        <v/>
      </c>
      <c r="OL16" s="41" t="str">
        <f t="shared" si="166"/>
        <v/>
      </c>
      <c r="OM16" s="41" t="str">
        <f t="shared" si="167"/>
        <v/>
      </c>
      <c r="ON16" s="41" t="str">
        <f t="shared" si="168"/>
        <v/>
      </c>
      <c r="OO16" s="41" t="str">
        <f t="shared" si="169"/>
        <v/>
      </c>
      <c r="OP16" s="41" t="str">
        <f t="shared" si="170"/>
        <v/>
      </c>
      <c r="OQ16" s="41" t="str">
        <f t="shared" si="171"/>
        <v/>
      </c>
      <c r="OR16" s="41" t="str">
        <f t="shared" si="172"/>
        <v/>
      </c>
      <c r="OS16" s="41" t="str">
        <f t="shared" si="173"/>
        <v/>
      </c>
      <c r="OT16" s="41" t="str">
        <f t="shared" si="174"/>
        <v/>
      </c>
      <c r="OU16" s="41" t="str">
        <f t="shared" si="175"/>
        <v/>
      </c>
      <c r="OV16" s="41" t="str">
        <f t="shared" si="176"/>
        <v/>
      </c>
      <c r="OW16" s="41" t="str">
        <f t="shared" si="177"/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 t="shared" si="178"/>
        <v/>
      </c>
      <c r="PS16" s="11" t="str">
        <f t="shared" si="179"/>
        <v/>
      </c>
      <c r="PT16" s="11" t="str">
        <f t="shared" si="180"/>
        <v/>
      </c>
      <c r="PU16" s="11" t="str">
        <f t="shared" si="181"/>
        <v/>
      </c>
      <c r="PV16" s="11" t="str">
        <f t="shared" si="182"/>
        <v/>
      </c>
      <c r="PW16" s="11" t="str">
        <f t="shared" si="183"/>
        <v/>
      </c>
      <c r="PX16" s="11" t="str">
        <f t="shared" si="184"/>
        <v/>
      </c>
      <c r="PY16" s="11" t="str">
        <f t="shared" si="185"/>
        <v/>
      </c>
      <c r="PZ16" s="11" t="str">
        <f t="shared" si="186"/>
        <v/>
      </c>
      <c r="QA16" s="11" t="str">
        <f t="shared" si="187"/>
        <v/>
      </c>
      <c r="QB16" s="11" t="str">
        <f t="shared" si="188"/>
        <v/>
      </c>
      <c r="QC16" s="11" t="str">
        <f t="shared" si="189"/>
        <v/>
      </c>
      <c r="QD16" s="11" t="str">
        <f t="shared" si="190"/>
        <v/>
      </c>
      <c r="QE16" s="11" t="str">
        <f t="shared" si="191"/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1" t="str">
        <f t="shared" si="192"/>
        <v/>
      </c>
      <c r="RA16" s="41" t="str">
        <f t="shared" si="193"/>
        <v/>
      </c>
      <c r="RB16" s="41" t="str">
        <f t="shared" si="194"/>
        <v/>
      </c>
      <c r="RC16" s="41" t="str">
        <f t="shared" si="195"/>
        <v/>
      </c>
      <c r="RD16" s="41" t="str">
        <f t="shared" si="196"/>
        <v/>
      </c>
      <c r="RE16" s="41" t="str">
        <f t="shared" si="197"/>
        <v/>
      </c>
      <c r="RF16" s="41" t="str">
        <f t="shared" si="198"/>
        <v/>
      </c>
      <c r="RG16" s="41" t="str">
        <f t="shared" si="199"/>
        <v/>
      </c>
      <c r="RH16" s="41" t="str">
        <f t="shared" si="200"/>
        <v/>
      </c>
      <c r="RI16" s="41" t="str">
        <f t="shared" si="201"/>
        <v/>
      </c>
      <c r="RJ16" s="41" t="str">
        <f t="shared" si="202"/>
        <v/>
      </c>
      <c r="RK16" s="41" t="str">
        <f t="shared" si="203"/>
        <v/>
      </c>
      <c r="RL16" s="41" t="str">
        <f t="shared" si="204"/>
        <v/>
      </c>
      <c r="RM16" s="41" t="str">
        <f t="shared" si="205"/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 t="shared" si="206"/>
        <v/>
      </c>
      <c r="SI16" s="11" t="str">
        <f t="shared" si="207"/>
        <v/>
      </c>
      <c r="SJ16" s="11" t="str">
        <f t="shared" si="208"/>
        <v/>
      </c>
      <c r="SK16" s="11" t="str">
        <f t="shared" si="209"/>
        <v/>
      </c>
      <c r="SL16" s="11" t="str">
        <f t="shared" si="210"/>
        <v/>
      </c>
      <c r="SM16" s="11" t="str">
        <f t="shared" si="211"/>
        <v/>
      </c>
      <c r="SN16" s="11" t="str">
        <f t="shared" si="212"/>
        <v/>
      </c>
      <c r="SO16" s="11" t="str">
        <f t="shared" si="213"/>
        <v/>
      </c>
      <c r="SP16" s="11" t="str">
        <f t="shared" si="214"/>
        <v/>
      </c>
      <c r="SQ16" s="11" t="str">
        <f t="shared" si="215"/>
        <v/>
      </c>
      <c r="SR16" s="11" t="str">
        <f t="shared" si="216"/>
        <v/>
      </c>
      <c r="SS16" s="11" t="str">
        <f t="shared" si="217"/>
        <v/>
      </c>
      <c r="ST16" s="11" t="str">
        <f t="shared" si="218"/>
        <v/>
      </c>
      <c r="SU16" s="11" t="str">
        <f t="shared" si="219"/>
        <v/>
      </c>
      <c r="SV16" s="23">
        <f t="shared" si="220"/>
        <v>1.55</v>
      </c>
      <c r="SW16" s="23">
        <f t="shared" si="221"/>
        <v>0.9</v>
      </c>
      <c r="SX16" s="23">
        <f t="shared" si="222"/>
        <v>1</v>
      </c>
      <c r="SY16" s="23">
        <f t="shared" si="223"/>
        <v>1.47</v>
      </c>
      <c r="SZ16" s="23">
        <f t="shared" si="224"/>
        <v>0</v>
      </c>
      <c r="TA16" s="23">
        <f t="shared" si="225"/>
        <v>2.95</v>
      </c>
      <c r="TB16" s="23">
        <f t="shared" si="226"/>
        <v>1.7</v>
      </c>
      <c r="TC16" s="23">
        <f t="shared" si="227"/>
        <v>2.2000000000000002</v>
      </c>
      <c r="TD16" s="23">
        <f t="shared" si="228"/>
        <v>2.915</v>
      </c>
      <c r="TE16" s="23">
        <f t="shared" si="229"/>
        <v>0</v>
      </c>
      <c r="TF16" s="23">
        <f t="shared" si="230"/>
        <v>0</v>
      </c>
      <c r="TG16" s="23">
        <f t="shared" si="231"/>
        <v>0</v>
      </c>
      <c r="TH16" s="23">
        <f t="shared" si="232"/>
        <v>0</v>
      </c>
      <c r="TI16" s="23">
        <f t="shared" si="233"/>
        <v>0</v>
      </c>
      <c r="TJ16" s="23">
        <f t="shared" si="234"/>
        <v>0</v>
      </c>
      <c r="TK16" s="28" t="s">
        <v>57</v>
      </c>
      <c r="TL16" s="41">
        <f t="shared" si="235"/>
        <v>1</v>
      </c>
      <c r="TM16" s="41">
        <f t="shared" si="236"/>
        <v>1.47</v>
      </c>
      <c r="TN16" s="41">
        <f t="shared" si="237"/>
        <v>4.92</v>
      </c>
      <c r="TO16" s="41">
        <f t="shared" si="238"/>
        <v>2.2000000000000002</v>
      </c>
      <c r="TP16" s="41">
        <f t="shared" si="239"/>
        <v>2.915</v>
      </c>
      <c r="TQ16" s="41">
        <f t="shared" si="240"/>
        <v>9.7650000000000006</v>
      </c>
      <c r="TR16" s="41">
        <f t="shared" si="241"/>
        <v>9.7650000000000006</v>
      </c>
      <c r="TS16" s="41" t="str">
        <f t="shared" si="242"/>
        <v/>
      </c>
      <c r="TT16" s="41" t="str">
        <f t="shared" si="243"/>
        <v/>
      </c>
      <c r="TU16" s="41" t="str">
        <f t="shared" si="244"/>
        <v/>
      </c>
      <c r="TV16" s="41">
        <f t="shared" si="245"/>
        <v>9.7650000000000006</v>
      </c>
    </row>
    <row r="17" spans="1:544" x14ac:dyDescent="0.2">
      <c r="A17" s="4" t="str" cm="1">
        <f t="array" ref="A17">IF(AND(H17&lt;&gt;"",H17&lt;&gt;"No DD"),SUMPRODUCT((H$4:H$18&lt;&gt;"")*(H$4:H$18&lt;&gt;"No DD")*(E$4:E$18&gt;E17))+1,IF(H17="No DD",SUMPRODUCT((H$4:H$18="No DD")*(E$4:E$18&gt;E17))+1+SUMPRODUCT((H$4:H$18&lt;&gt;"")*(H$4:H$18&lt;&gt;"No DD")),""))</f>
        <v/>
      </c>
      <c r="B17" s="5" t="s">
        <v>82</v>
      </c>
      <c r="C17" s="4" t="s">
        <v>3</v>
      </c>
      <c r="D17" s="4">
        <v>2002</v>
      </c>
      <c r="E17" s="9">
        <f t="shared" si="0"/>
        <v>60.450006045004521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IF(COUNT(AQ17,AT17,BR17,BU17,CS17,CV17)&gt;0,LARGE((AQ17,AT17,BR17,BU17,CS17,CV17),1),0)</f>
        <v>45.2</v>
      </c>
      <c r="K17" s="8" t="str">
        <f t="shared" si="5"/>
        <v>2023 Elite Canada</v>
      </c>
      <c r="L17" s="8">
        <f>IF(COUNT(AQ17,AT17,BR17,BU17,CS17,CV17)&gt;1,LARGE((AQ17,AT17,BR17,BU17,CS17,CV17),2),0)</f>
        <v>5.35</v>
      </c>
      <c r="M17" s="8" t="str">
        <f t="shared" si="6"/>
        <v>2023 Elite Canada</v>
      </c>
      <c r="N17" s="8">
        <f>IF(COUNT(AQ17,AT17,BR17,BU17,CS17,CV17)&gt;2,LARGE((AQ17,AT17,BR17,BU17,CS17,CV17),3),0)</f>
        <v>0</v>
      </c>
      <c r="O17" s="8" t="str">
        <f t="shared" si="7"/>
        <v/>
      </c>
      <c r="P17" s="8">
        <f t="shared" si="8"/>
        <v>0</v>
      </c>
      <c r="Q17" s="8" t="str">
        <f t="shared" si="9"/>
        <v/>
      </c>
      <c r="R17" s="8">
        <f t="shared" si="10"/>
        <v>9.9</v>
      </c>
      <c r="S17" s="8" t="str">
        <f t="shared" si="11"/>
        <v>2023 Elite Canada</v>
      </c>
      <c r="T17" s="8">
        <f t="shared" si="12"/>
        <v>0</v>
      </c>
      <c r="U17" s="8" t="str">
        <f t="shared" si="13"/>
        <v/>
      </c>
      <c r="V17" s="8" t="str">
        <f t="shared" si="14"/>
        <v/>
      </c>
      <c r="W17" s="11" t="str">
        <f t="shared" si="15"/>
        <v/>
      </c>
      <c r="X17" s="8" t="str">
        <f t="shared" si="16"/>
        <v/>
      </c>
      <c r="Y17" s="23">
        <v>14</v>
      </c>
      <c r="Z17" s="23">
        <v>8.5</v>
      </c>
      <c r="AA17" s="23">
        <v>9.9</v>
      </c>
      <c r="AB17" s="23">
        <v>12.8</v>
      </c>
      <c r="AC17" s="23">
        <v>0</v>
      </c>
      <c r="AD17" s="23">
        <v>1.4</v>
      </c>
      <c r="AE17" s="23">
        <v>0.9</v>
      </c>
      <c r="AF17" s="23">
        <v>1.5</v>
      </c>
      <c r="AG17" s="23">
        <v>1.55</v>
      </c>
      <c r="AH17" s="23">
        <v>0</v>
      </c>
      <c r="AI17" s="23"/>
      <c r="AJ17" s="23"/>
      <c r="AK17" s="23"/>
      <c r="AL17" s="23"/>
      <c r="AM17" s="23"/>
      <c r="AN17" s="28"/>
      <c r="AO17" s="39">
        <f t="shared" si="17"/>
        <v>9.9</v>
      </c>
      <c r="AP17" s="39">
        <f t="shared" si="18"/>
        <v>12.8</v>
      </c>
      <c r="AQ17" s="41">
        <f t="shared" si="19"/>
        <v>45.2</v>
      </c>
      <c r="AR17" s="41">
        <f t="shared" si="20"/>
        <v>1.5</v>
      </c>
      <c r="AS17" s="41">
        <f t="shared" si="21"/>
        <v>1.55</v>
      </c>
      <c r="AT17" s="41">
        <f t="shared" si="22"/>
        <v>5.35</v>
      </c>
      <c r="AU17" s="41">
        <f t="shared" si="23"/>
        <v>45.2</v>
      </c>
      <c r="AV17" s="41" t="str">
        <f t="shared" si="24"/>
        <v/>
      </c>
      <c r="AW17" s="41" t="str">
        <f t="shared" si="25"/>
        <v/>
      </c>
      <c r="AX17" s="41" t="str">
        <f t="shared" si="26"/>
        <v/>
      </c>
      <c r="AY17" s="41">
        <f t="shared" si="27"/>
        <v>45.2</v>
      </c>
      <c r="AZ17" s="27"/>
      <c r="BA17" s="27"/>
      <c r="BB17" s="27"/>
      <c r="BC17" s="27"/>
      <c r="BD17" s="27"/>
      <c r="BE17" s="27"/>
      <c r="BF17" s="27"/>
      <c r="BG17" s="27"/>
      <c r="BH17" s="27"/>
      <c r="BI17" s="27"/>
      <c r="BJ17" s="27"/>
      <c r="BK17" s="27"/>
      <c r="BL17" s="27"/>
      <c r="BM17" s="27"/>
      <c r="BN17" s="27"/>
      <c r="BO17" s="29"/>
      <c r="BP17" s="40" t="str">
        <f t="shared" si="28"/>
        <v/>
      </c>
      <c r="BQ17" s="40" t="str">
        <f t="shared" si="29"/>
        <v/>
      </c>
      <c r="BR17" s="11" t="str">
        <f t="shared" si="30"/>
        <v/>
      </c>
      <c r="BS17" s="11" t="str">
        <f t="shared" si="31"/>
        <v/>
      </c>
      <c r="BT17" s="11" t="str">
        <f t="shared" si="32"/>
        <v/>
      </c>
      <c r="BU17" s="11" t="str">
        <f t="shared" si="33"/>
        <v/>
      </c>
      <c r="BV17" s="11" t="str">
        <f t="shared" si="34"/>
        <v/>
      </c>
      <c r="BW17" s="11" t="str">
        <f t="shared" si="35"/>
        <v/>
      </c>
      <c r="BX17" s="11" t="str">
        <f t="shared" si="36"/>
        <v/>
      </c>
      <c r="BY17" s="11" t="str">
        <f t="shared" si="37"/>
        <v/>
      </c>
      <c r="BZ17" s="11" t="str">
        <f t="shared" si="38"/>
        <v/>
      </c>
      <c r="CA17" s="23"/>
      <c r="CB17" s="23"/>
      <c r="CC17" s="23"/>
      <c r="CD17" s="23"/>
      <c r="CE17" s="23"/>
      <c r="CF17" s="23"/>
      <c r="CG17" s="23"/>
      <c r="CH17" s="23"/>
      <c r="CI17" s="23"/>
      <c r="CJ17" s="23"/>
      <c r="CK17" s="23"/>
      <c r="CL17" s="23"/>
      <c r="CM17" s="23"/>
      <c r="CN17" s="23"/>
      <c r="CO17" s="23"/>
      <c r="CP17" s="28"/>
      <c r="CQ17" s="39" t="str">
        <f t="shared" si="39"/>
        <v/>
      </c>
      <c r="CR17" s="39" t="str">
        <f t="shared" si="40"/>
        <v/>
      </c>
      <c r="CS17" s="41" t="str">
        <f t="shared" si="41"/>
        <v/>
      </c>
      <c r="CT17" s="41" t="str">
        <f t="shared" si="42"/>
        <v/>
      </c>
      <c r="CU17" s="41" t="str">
        <f t="shared" si="43"/>
        <v/>
      </c>
      <c r="CV17" s="41" t="str">
        <f t="shared" si="44"/>
        <v/>
      </c>
      <c r="CW17" s="41" t="str">
        <f t="shared" si="45"/>
        <v/>
      </c>
      <c r="CX17" s="41" t="str">
        <f t="shared" si="46"/>
        <v/>
      </c>
      <c r="CY17" s="41" t="str">
        <f t="shared" si="47"/>
        <v/>
      </c>
      <c r="CZ17" s="41" t="str">
        <f t="shared" si="48"/>
        <v/>
      </c>
      <c r="DA17" s="41" t="str">
        <f t="shared" si="49"/>
        <v/>
      </c>
      <c r="DB17" s="52" t="str">
        <f t="shared" si="50"/>
        <v/>
      </c>
      <c r="DC17" s="52" t="str">
        <f t="shared" si="51"/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1" t="str">
        <f t="shared" si="52"/>
        <v/>
      </c>
      <c r="DY17" s="41" t="str">
        <f t="shared" si="53"/>
        <v/>
      </c>
      <c r="DZ17" s="41" t="str">
        <f t="shared" si="54"/>
        <v/>
      </c>
      <c r="EA17" s="41" t="str">
        <f t="shared" si="55"/>
        <v/>
      </c>
      <c r="EB17" s="41" t="str">
        <f t="shared" si="56"/>
        <v/>
      </c>
      <c r="EC17" s="41" t="str">
        <f t="shared" si="57"/>
        <v/>
      </c>
      <c r="ED17" s="41" t="str">
        <f t="shared" si="58"/>
        <v/>
      </c>
      <c r="EE17" s="41" t="str">
        <f t="shared" si="59"/>
        <v/>
      </c>
      <c r="EF17" s="41" t="str">
        <f t="shared" si="60"/>
        <v/>
      </c>
      <c r="EG17" s="41" t="str">
        <f t="shared" si="61"/>
        <v/>
      </c>
      <c r="EH17" s="41" t="str">
        <f t="shared" si="62"/>
        <v/>
      </c>
      <c r="EI17" s="41" t="str">
        <f t="shared" si="63"/>
        <v/>
      </c>
      <c r="EJ17" s="41" t="str">
        <f t="shared" si="64"/>
        <v/>
      </c>
      <c r="EK17" s="41" t="str">
        <f t="shared" si="65"/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 t="shared" si="66"/>
        <v/>
      </c>
      <c r="FG17" s="11" t="str">
        <f t="shared" si="67"/>
        <v/>
      </c>
      <c r="FH17" s="11" t="str">
        <f t="shared" si="68"/>
        <v/>
      </c>
      <c r="FI17" s="11" t="str">
        <f t="shared" si="69"/>
        <v/>
      </c>
      <c r="FJ17" s="11" t="str">
        <f t="shared" si="70"/>
        <v/>
      </c>
      <c r="FK17" s="11" t="str">
        <f t="shared" si="71"/>
        <v/>
      </c>
      <c r="FL17" s="11" t="str">
        <f t="shared" si="72"/>
        <v/>
      </c>
      <c r="FM17" s="11" t="str">
        <f t="shared" si="73"/>
        <v/>
      </c>
      <c r="FN17" s="11" t="str">
        <f t="shared" si="74"/>
        <v/>
      </c>
      <c r="FO17" s="11" t="str">
        <f t="shared" si="75"/>
        <v/>
      </c>
      <c r="FP17" s="11" t="str">
        <f t="shared" si="76"/>
        <v/>
      </c>
      <c r="FQ17" s="11" t="str">
        <f t="shared" si="77"/>
        <v/>
      </c>
      <c r="FR17" s="11" t="str">
        <f t="shared" si="78"/>
        <v/>
      </c>
      <c r="FS17" s="11" t="str">
        <f t="shared" si="79"/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1" t="str">
        <f t="shared" si="80"/>
        <v/>
      </c>
      <c r="GO17" s="41" t="str">
        <f t="shared" si="81"/>
        <v/>
      </c>
      <c r="GP17" s="41" t="str">
        <f t="shared" si="82"/>
        <v/>
      </c>
      <c r="GQ17" s="41" t="str">
        <f t="shared" si="83"/>
        <v/>
      </c>
      <c r="GR17" s="41" t="str">
        <f t="shared" si="84"/>
        <v/>
      </c>
      <c r="GS17" s="41" t="str">
        <f t="shared" si="85"/>
        <v/>
      </c>
      <c r="GT17" s="41" t="str">
        <f t="shared" si="86"/>
        <v/>
      </c>
      <c r="GU17" s="41" t="str">
        <f t="shared" si="87"/>
        <v/>
      </c>
      <c r="GV17" s="41" t="str">
        <f t="shared" si="88"/>
        <v/>
      </c>
      <c r="GW17" s="41" t="str">
        <f t="shared" si="89"/>
        <v/>
      </c>
      <c r="GX17" s="41" t="str">
        <f t="shared" si="90"/>
        <v/>
      </c>
      <c r="GY17" s="41" t="str">
        <f t="shared" si="91"/>
        <v/>
      </c>
      <c r="GZ17" s="41" t="str">
        <f t="shared" si="92"/>
        <v/>
      </c>
      <c r="HA17" s="41" t="str">
        <f t="shared" si="93"/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 t="shared" si="94"/>
        <v/>
      </c>
      <c r="HW17" s="11" t="str">
        <f t="shared" si="95"/>
        <v/>
      </c>
      <c r="HX17" s="11" t="str">
        <f t="shared" si="96"/>
        <v/>
      </c>
      <c r="HY17" s="11" t="str">
        <f t="shared" si="97"/>
        <v/>
      </c>
      <c r="HZ17" s="11" t="str">
        <f t="shared" si="98"/>
        <v/>
      </c>
      <c r="IA17" s="11" t="str">
        <f t="shared" si="99"/>
        <v/>
      </c>
      <c r="IB17" s="11" t="str">
        <f t="shared" si="100"/>
        <v/>
      </c>
      <c r="IC17" s="11" t="str">
        <f t="shared" si="101"/>
        <v/>
      </c>
      <c r="ID17" s="11" t="str">
        <f t="shared" si="102"/>
        <v/>
      </c>
      <c r="IE17" s="11" t="str">
        <f t="shared" si="103"/>
        <v/>
      </c>
      <c r="IF17" s="11" t="str">
        <f t="shared" si="104"/>
        <v/>
      </c>
      <c r="IG17" s="11" t="str">
        <f t="shared" si="105"/>
        <v/>
      </c>
      <c r="IH17" s="11" t="str">
        <f t="shared" si="106"/>
        <v/>
      </c>
      <c r="II17" s="11" t="str">
        <f t="shared" si="107"/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1" t="str">
        <f t="shared" si="108"/>
        <v/>
      </c>
      <c r="JE17" s="41" t="str">
        <f t="shared" si="109"/>
        <v/>
      </c>
      <c r="JF17" s="41" t="str">
        <f t="shared" si="110"/>
        <v/>
      </c>
      <c r="JG17" s="41" t="str">
        <f t="shared" si="111"/>
        <v/>
      </c>
      <c r="JH17" s="41" t="str">
        <f t="shared" si="112"/>
        <v/>
      </c>
      <c r="JI17" s="41" t="str">
        <f t="shared" si="113"/>
        <v/>
      </c>
      <c r="JJ17" s="41" t="str">
        <f t="shared" si="114"/>
        <v/>
      </c>
      <c r="JK17" s="41" t="str">
        <f t="shared" si="115"/>
        <v/>
      </c>
      <c r="JL17" s="41" t="str">
        <f t="shared" si="116"/>
        <v/>
      </c>
      <c r="JM17" s="41" t="str">
        <f t="shared" si="117"/>
        <v/>
      </c>
      <c r="JN17" s="41" t="str">
        <f t="shared" si="118"/>
        <v/>
      </c>
      <c r="JO17" s="41" t="str">
        <f t="shared" si="119"/>
        <v/>
      </c>
      <c r="JP17" s="41" t="str">
        <f t="shared" si="120"/>
        <v/>
      </c>
      <c r="JQ17" s="41" t="str">
        <f t="shared" si="121"/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 t="shared" si="122"/>
        <v/>
      </c>
      <c r="KM17" s="11" t="str">
        <f t="shared" si="123"/>
        <v/>
      </c>
      <c r="KN17" s="11" t="str">
        <f t="shared" si="124"/>
        <v/>
      </c>
      <c r="KO17" s="11" t="str">
        <f t="shared" si="125"/>
        <v/>
      </c>
      <c r="KP17" s="11" t="str">
        <f t="shared" si="126"/>
        <v/>
      </c>
      <c r="KQ17" s="11" t="str">
        <f t="shared" si="127"/>
        <v/>
      </c>
      <c r="KR17" s="11" t="str">
        <f t="shared" si="128"/>
        <v/>
      </c>
      <c r="KS17" s="11" t="str">
        <f t="shared" si="129"/>
        <v/>
      </c>
      <c r="KT17" s="11" t="str">
        <f t="shared" si="130"/>
        <v/>
      </c>
      <c r="KU17" s="11" t="str">
        <f t="shared" si="131"/>
        <v/>
      </c>
      <c r="KV17" s="11" t="str">
        <f t="shared" si="132"/>
        <v/>
      </c>
      <c r="KW17" s="11" t="str">
        <f t="shared" si="133"/>
        <v/>
      </c>
      <c r="KX17" s="11" t="str">
        <f t="shared" si="134"/>
        <v/>
      </c>
      <c r="KY17" s="11" t="str">
        <f t="shared" si="135"/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1" t="str">
        <f t="shared" si="136"/>
        <v/>
      </c>
      <c r="LU17" s="41" t="str">
        <f t="shared" si="137"/>
        <v/>
      </c>
      <c r="LV17" s="41" t="str">
        <f t="shared" si="138"/>
        <v/>
      </c>
      <c r="LW17" s="41" t="str">
        <f t="shared" si="139"/>
        <v/>
      </c>
      <c r="LX17" s="41" t="str">
        <f t="shared" si="140"/>
        <v/>
      </c>
      <c r="LY17" s="41" t="str">
        <f t="shared" si="141"/>
        <v/>
      </c>
      <c r="LZ17" s="41" t="str">
        <f t="shared" si="142"/>
        <v/>
      </c>
      <c r="MA17" s="41" t="str">
        <f t="shared" si="143"/>
        <v/>
      </c>
      <c r="MB17" s="41" t="str">
        <f t="shared" si="144"/>
        <v/>
      </c>
      <c r="MC17" s="41" t="str">
        <f t="shared" si="145"/>
        <v/>
      </c>
      <c r="MD17" s="41" t="str">
        <f t="shared" si="146"/>
        <v/>
      </c>
      <c r="ME17" s="41" t="str">
        <f t="shared" si="147"/>
        <v/>
      </c>
      <c r="MF17" s="41" t="str">
        <f t="shared" si="148"/>
        <v/>
      </c>
      <c r="MG17" s="41" t="str">
        <f t="shared" si="149"/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 t="shared" si="150"/>
        <v/>
      </c>
      <c r="NC17" s="11" t="str">
        <f t="shared" si="151"/>
        <v/>
      </c>
      <c r="ND17" s="11" t="str">
        <f t="shared" si="152"/>
        <v/>
      </c>
      <c r="NE17" s="11" t="str">
        <f t="shared" si="153"/>
        <v/>
      </c>
      <c r="NF17" s="11" t="str">
        <f t="shared" si="154"/>
        <v/>
      </c>
      <c r="NG17" s="11" t="str">
        <f t="shared" si="155"/>
        <v/>
      </c>
      <c r="NH17" s="11" t="str">
        <f t="shared" si="156"/>
        <v/>
      </c>
      <c r="NI17" s="11" t="str">
        <f t="shared" si="157"/>
        <v/>
      </c>
      <c r="NJ17" s="11" t="str">
        <f t="shared" si="158"/>
        <v/>
      </c>
      <c r="NK17" s="11" t="str">
        <f t="shared" si="159"/>
        <v/>
      </c>
      <c r="NL17" s="11" t="str">
        <f t="shared" si="160"/>
        <v/>
      </c>
      <c r="NM17" s="11" t="str">
        <f t="shared" si="161"/>
        <v/>
      </c>
      <c r="NN17" s="11" t="str">
        <f t="shared" si="162"/>
        <v/>
      </c>
      <c r="NO17" s="11" t="str">
        <f t="shared" si="163"/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1" t="str">
        <f t="shared" si="164"/>
        <v/>
      </c>
      <c r="OK17" s="41" t="str">
        <f t="shared" si="165"/>
        <v/>
      </c>
      <c r="OL17" s="41" t="str">
        <f t="shared" si="166"/>
        <v/>
      </c>
      <c r="OM17" s="41" t="str">
        <f t="shared" si="167"/>
        <v/>
      </c>
      <c r="ON17" s="41" t="str">
        <f t="shared" si="168"/>
        <v/>
      </c>
      <c r="OO17" s="41" t="str">
        <f t="shared" si="169"/>
        <v/>
      </c>
      <c r="OP17" s="41" t="str">
        <f t="shared" si="170"/>
        <v/>
      </c>
      <c r="OQ17" s="41" t="str">
        <f t="shared" si="171"/>
        <v/>
      </c>
      <c r="OR17" s="41" t="str">
        <f t="shared" si="172"/>
        <v/>
      </c>
      <c r="OS17" s="41" t="str">
        <f t="shared" si="173"/>
        <v/>
      </c>
      <c r="OT17" s="41" t="str">
        <f t="shared" si="174"/>
        <v/>
      </c>
      <c r="OU17" s="41" t="str">
        <f t="shared" si="175"/>
        <v/>
      </c>
      <c r="OV17" s="41" t="str">
        <f t="shared" si="176"/>
        <v/>
      </c>
      <c r="OW17" s="41" t="str">
        <f t="shared" si="177"/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 t="shared" si="178"/>
        <v/>
      </c>
      <c r="PS17" s="11" t="str">
        <f t="shared" si="179"/>
        <v/>
      </c>
      <c r="PT17" s="11" t="str">
        <f t="shared" si="180"/>
        <v/>
      </c>
      <c r="PU17" s="11" t="str">
        <f t="shared" si="181"/>
        <v/>
      </c>
      <c r="PV17" s="11" t="str">
        <f t="shared" si="182"/>
        <v/>
      </c>
      <c r="PW17" s="11" t="str">
        <f t="shared" si="183"/>
        <v/>
      </c>
      <c r="PX17" s="11" t="str">
        <f t="shared" si="184"/>
        <v/>
      </c>
      <c r="PY17" s="11" t="str">
        <f t="shared" si="185"/>
        <v/>
      </c>
      <c r="PZ17" s="11" t="str">
        <f t="shared" si="186"/>
        <v/>
      </c>
      <c r="QA17" s="11" t="str">
        <f t="shared" si="187"/>
        <v/>
      </c>
      <c r="QB17" s="11" t="str">
        <f t="shared" si="188"/>
        <v/>
      </c>
      <c r="QC17" s="11" t="str">
        <f t="shared" si="189"/>
        <v/>
      </c>
      <c r="QD17" s="11" t="str">
        <f t="shared" si="190"/>
        <v/>
      </c>
      <c r="QE17" s="11" t="str">
        <f t="shared" si="191"/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1" t="str">
        <f t="shared" si="192"/>
        <v/>
      </c>
      <c r="RA17" s="41" t="str">
        <f t="shared" si="193"/>
        <v/>
      </c>
      <c r="RB17" s="41" t="str">
        <f t="shared" si="194"/>
        <v/>
      </c>
      <c r="RC17" s="41" t="str">
        <f t="shared" si="195"/>
        <v/>
      </c>
      <c r="RD17" s="41" t="str">
        <f t="shared" si="196"/>
        <v/>
      </c>
      <c r="RE17" s="41" t="str">
        <f t="shared" si="197"/>
        <v/>
      </c>
      <c r="RF17" s="41" t="str">
        <f t="shared" si="198"/>
        <v/>
      </c>
      <c r="RG17" s="41" t="str">
        <f t="shared" si="199"/>
        <v/>
      </c>
      <c r="RH17" s="41" t="str">
        <f t="shared" si="200"/>
        <v/>
      </c>
      <c r="RI17" s="41" t="str">
        <f t="shared" si="201"/>
        <v/>
      </c>
      <c r="RJ17" s="41" t="str">
        <f t="shared" si="202"/>
        <v/>
      </c>
      <c r="RK17" s="41" t="str">
        <f t="shared" si="203"/>
        <v/>
      </c>
      <c r="RL17" s="41" t="str">
        <f t="shared" si="204"/>
        <v/>
      </c>
      <c r="RM17" s="41" t="str">
        <f t="shared" si="205"/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 t="shared" si="206"/>
        <v/>
      </c>
      <c r="SI17" s="11" t="str">
        <f t="shared" si="207"/>
        <v/>
      </c>
      <c r="SJ17" s="11" t="str">
        <f t="shared" si="208"/>
        <v/>
      </c>
      <c r="SK17" s="11" t="str">
        <f t="shared" si="209"/>
        <v/>
      </c>
      <c r="SL17" s="11" t="str">
        <f t="shared" si="210"/>
        <v/>
      </c>
      <c r="SM17" s="11" t="str">
        <f t="shared" si="211"/>
        <v/>
      </c>
      <c r="SN17" s="11" t="str">
        <f t="shared" si="212"/>
        <v/>
      </c>
      <c r="SO17" s="11" t="str">
        <f t="shared" si="213"/>
        <v/>
      </c>
      <c r="SP17" s="11" t="str">
        <f t="shared" si="214"/>
        <v/>
      </c>
      <c r="SQ17" s="11" t="str">
        <f t="shared" si="215"/>
        <v/>
      </c>
      <c r="SR17" s="11" t="str">
        <f t="shared" si="216"/>
        <v/>
      </c>
      <c r="SS17" s="11" t="str">
        <f t="shared" si="217"/>
        <v/>
      </c>
      <c r="ST17" s="11" t="str">
        <f t="shared" si="218"/>
        <v/>
      </c>
      <c r="SU17" s="11" t="str">
        <f t="shared" si="219"/>
        <v/>
      </c>
      <c r="SV17" s="23">
        <f t="shared" si="220"/>
        <v>0</v>
      </c>
      <c r="SW17" s="23">
        <f t="shared" si="221"/>
        <v>0</v>
      </c>
      <c r="SX17" s="23">
        <f t="shared" si="222"/>
        <v>0</v>
      </c>
      <c r="SY17" s="23">
        <f t="shared" si="223"/>
        <v>0</v>
      </c>
      <c r="SZ17" s="23">
        <f t="shared" si="224"/>
        <v>0</v>
      </c>
      <c r="TA17" s="23">
        <f t="shared" si="225"/>
        <v>0</v>
      </c>
      <c r="TB17" s="23">
        <f t="shared" si="226"/>
        <v>0</v>
      </c>
      <c r="TC17" s="23">
        <f t="shared" si="227"/>
        <v>0</v>
      </c>
      <c r="TD17" s="23">
        <f t="shared" si="228"/>
        <v>0</v>
      </c>
      <c r="TE17" s="23">
        <f t="shared" si="229"/>
        <v>0</v>
      </c>
      <c r="TF17" s="23">
        <f t="shared" si="230"/>
        <v>0</v>
      </c>
      <c r="TG17" s="23">
        <f t="shared" si="231"/>
        <v>0</v>
      </c>
      <c r="TH17" s="23">
        <f t="shared" si="232"/>
        <v>0</v>
      </c>
      <c r="TI17" s="23">
        <f t="shared" si="233"/>
        <v>0</v>
      </c>
      <c r="TJ17" s="23">
        <f t="shared" si="234"/>
        <v>0</v>
      </c>
      <c r="TK17" s="28" t="s">
        <v>57</v>
      </c>
      <c r="TL17" s="41" t="str">
        <f t="shared" si="235"/>
        <v/>
      </c>
      <c r="TM17" s="41" t="str">
        <f t="shared" si="236"/>
        <v/>
      </c>
      <c r="TN17" s="41" t="str">
        <f t="shared" si="237"/>
        <v/>
      </c>
      <c r="TO17" s="41" t="str">
        <f t="shared" si="238"/>
        <v/>
      </c>
      <c r="TP17" s="41" t="str">
        <f t="shared" si="239"/>
        <v/>
      </c>
      <c r="TQ17" s="41" t="str">
        <f t="shared" si="240"/>
        <v/>
      </c>
      <c r="TR17" s="41" t="str">
        <f t="shared" si="241"/>
        <v/>
      </c>
      <c r="TS17" s="41" t="str">
        <f t="shared" si="242"/>
        <v/>
      </c>
      <c r="TT17" s="41" t="str">
        <f t="shared" si="243"/>
        <v/>
      </c>
      <c r="TU17" s="41" t="str">
        <f t="shared" si="244"/>
        <v/>
      </c>
      <c r="TV17" s="41" t="str">
        <f t="shared" si="245"/>
        <v/>
      </c>
    </row>
    <row r="18" spans="1:544" x14ac:dyDescent="0.2">
      <c r="B18" s="5"/>
      <c r="D18" s="1"/>
    </row>
    <row r="19" spans="1:544" x14ac:dyDescent="0.2">
      <c r="G19" s="37"/>
      <c r="I19" s="37"/>
    </row>
    <row r="20" spans="1:544" x14ac:dyDescent="0.2">
      <c r="B20" s="24" t="s">
        <v>54</v>
      </c>
      <c r="C20" s="5"/>
      <c r="G20" s="3"/>
      <c r="AR20" s="42"/>
      <c r="AS20" s="42"/>
      <c r="AT20" s="42"/>
      <c r="AV20" s="33"/>
      <c r="AW20" s="33"/>
      <c r="AY20" s="43">
        <v>12.7</v>
      </c>
      <c r="BS20" s="42"/>
      <c r="BT20" s="42"/>
      <c r="BU20" s="42"/>
      <c r="BW20" s="33"/>
      <c r="BX20" s="33"/>
      <c r="BZ20" s="43">
        <v>12.7</v>
      </c>
      <c r="CT20" s="42"/>
      <c r="CU20" s="42"/>
      <c r="CV20" s="42"/>
      <c r="CX20" s="33"/>
      <c r="CY20" s="33"/>
      <c r="DA20" s="43">
        <v>12.7</v>
      </c>
      <c r="DX20" s="5"/>
      <c r="DY20" s="5"/>
      <c r="EH20" s="2"/>
      <c r="EI20" s="2"/>
      <c r="EK20" s="43">
        <v>12.7</v>
      </c>
      <c r="FF20" s="5"/>
      <c r="FG20" s="5"/>
      <c r="FP20" s="2"/>
      <c r="FQ20" s="2"/>
      <c r="FS20" s="43">
        <v>12.7</v>
      </c>
      <c r="GN20" s="5"/>
      <c r="GO20" s="5"/>
      <c r="GX20" s="2"/>
      <c r="GY20" s="2"/>
      <c r="HA20" s="43">
        <v>12.7</v>
      </c>
      <c r="HV20" s="5"/>
      <c r="HW20" s="5"/>
      <c r="IF20" s="2"/>
      <c r="IG20" s="2"/>
      <c r="II20" s="43">
        <v>12.7</v>
      </c>
      <c r="JD20" s="5"/>
      <c r="JE20" s="5"/>
      <c r="JN20" s="2"/>
      <c r="JO20" s="2"/>
      <c r="JQ20" s="43">
        <v>12.7</v>
      </c>
      <c r="KL20" s="5"/>
      <c r="KM20" s="5"/>
      <c r="KV20" s="2"/>
      <c r="KW20" s="2"/>
      <c r="KY20" s="43">
        <v>12.7</v>
      </c>
      <c r="LT20" s="5"/>
      <c r="LU20" s="5"/>
      <c r="MD20" s="2"/>
      <c r="ME20" s="2"/>
      <c r="MG20" s="43">
        <v>12.7</v>
      </c>
      <c r="NB20" s="5"/>
      <c r="NC20" s="5"/>
      <c r="NL20" s="2"/>
      <c r="NM20" s="2"/>
      <c r="NO20" s="43">
        <v>12.7</v>
      </c>
      <c r="OJ20" s="5"/>
      <c r="OK20" s="5"/>
      <c r="OT20" s="2"/>
      <c r="OU20" s="2"/>
      <c r="OW20" s="43">
        <v>12.7</v>
      </c>
      <c r="PR20" s="5"/>
      <c r="PS20" s="5"/>
      <c r="QB20" s="2"/>
      <c r="QC20" s="2"/>
      <c r="QE20" s="43">
        <v>12.7</v>
      </c>
      <c r="QZ20" s="5"/>
      <c r="RA20" s="5"/>
      <c r="RJ20" s="2"/>
      <c r="RK20" s="2"/>
      <c r="RM20" s="43">
        <v>12.7</v>
      </c>
      <c r="SH20" s="5"/>
      <c r="SI20" s="5"/>
      <c r="SR20" s="2"/>
      <c r="SS20" s="2"/>
      <c r="SU20" s="43">
        <v>12.7</v>
      </c>
    </row>
    <row r="21" spans="1:544" x14ac:dyDescent="0.2">
      <c r="B21" s="31" t="s">
        <v>53</v>
      </c>
      <c r="C21" s="5"/>
      <c r="X21" s="2"/>
      <c r="AR21" s="42"/>
      <c r="AS21" s="42"/>
      <c r="AT21" s="42"/>
      <c r="AV21" s="33"/>
      <c r="AW21" s="33"/>
      <c r="AY21" s="44">
        <v>13.1</v>
      </c>
      <c r="BS21" s="42"/>
      <c r="BT21" s="42"/>
      <c r="BU21" s="42"/>
      <c r="BW21" s="33"/>
      <c r="BX21" s="33"/>
      <c r="BZ21" s="44">
        <v>13.1</v>
      </c>
      <c r="CT21" s="42"/>
      <c r="CU21" s="42"/>
      <c r="CV21" s="42"/>
      <c r="CX21" s="33"/>
      <c r="CY21" s="33"/>
      <c r="DA21" s="44">
        <v>13.1</v>
      </c>
      <c r="DX21" s="5"/>
      <c r="DY21" s="5"/>
      <c r="EH21" s="2"/>
      <c r="EI21" s="2"/>
      <c r="EK21" s="44">
        <v>13.1</v>
      </c>
      <c r="FF21" s="5"/>
      <c r="FG21" s="5"/>
      <c r="FP21" s="2"/>
      <c r="FQ21" s="2"/>
      <c r="FS21" s="44">
        <v>13.1</v>
      </c>
      <c r="GN21" s="5"/>
      <c r="GO21" s="5"/>
      <c r="GX21" s="2"/>
      <c r="GY21" s="2"/>
      <c r="HA21" s="44">
        <v>13.1</v>
      </c>
      <c r="HV21" s="5"/>
      <c r="HW21" s="5"/>
      <c r="IF21" s="2"/>
      <c r="IG21" s="2"/>
      <c r="II21" s="44">
        <v>13.1</v>
      </c>
      <c r="JD21" s="5"/>
      <c r="JE21" s="5"/>
      <c r="JN21" s="2"/>
      <c r="JO21" s="2"/>
      <c r="JQ21" s="44">
        <v>13.1</v>
      </c>
      <c r="KL21" s="5"/>
      <c r="KM21" s="5"/>
      <c r="KV21" s="2"/>
      <c r="KW21" s="2"/>
      <c r="KY21" s="44">
        <v>13.1</v>
      </c>
      <c r="LT21" s="5"/>
      <c r="LU21" s="5"/>
      <c r="MD21" s="2"/>
      <c r="ME21" s="2"/>
      <c r="MG21" s="44">
        <v>13.1</v>
      </c>
      <c r="NB21" s="5"/>
      <c r="NC21" s="5"/>
      <c r="NL21" s="2"/>
      <c r="NM21" s="2"/>
      <c r="NO21" s="44">
        <v>13.1</v>
      </c>
      <c r="OJ21" s="5"/>
      <c r="OK21" s="5"/>
      <c r="OT21" s="2"/>
      <c r="OU21" s="2"/>
      <c r="OW21" s="44">
        <v>13.1</v>
      </c>
      <c r="PR21" s="5"/>
      <c r="PS21" s="5"/>
      <c r="QB21" s="2"/>
      <c r="QC21" s="2"/>
      <c r="QE21" s="44">
        <v>13.1</v>
      </c>
      <c r="QZ21" s="5"/>
      <c r="RA21" s="5"/>
      <c r="RJ21" s="2"/>
      <c r="RK21" s="2"/>
      <c r="RM21" s="44">
        <v>13.1</v>
      </c>
      <c r="SH21" s="5"/>
      <c r="SI21" s="5"/>
      <c r="SR21" s="2"/>
      <c r="SS21" s="2"/>
      <c r="SU21" s="44">
        <v>13.1</v>
      </c>
    </row>
    <row r="22" spans="1:544" x14ac:dyDescent="0.2">
      <c r="A22" s="5"/>
      <c r="B22" s="32" t="s">
        <v>67</v>
      </c>
      <c r="C22" s="5"/>
      <c r="E22" s="2"/>
      <c r="AR22" s="42"/>
      <c r="AS22" s="42"/>
      <c r="AT22" s="42"/>
      <c r="AU22" s="33"/>
      <c r="AV22" s="33"/>
      <c r="AW22" s="33"/>
      <c r="AX22" s="33"/>
      <c r="AY22" s="45">
        <v>13.5</v>
      </c>
      <c r="BS22" s="42"/>
      <c r="BT22" s="42"/>
      <c r="BU22" s="42"/>
      <c r="BW22" s="33"/>
      <c r="BX22" s="33"/>
      <c r="BZ22" s="45">
        <v>13.5</v>
      </c>
      <c r="CT22" s="42"/>
      <c r="CU22" s="42"/>
      <c r="CV22" s="42"/>
      <c r="CW22" s="33"/>
      <c r="CX22" s="33"/>
      <c r="CY22" s="33"/>
      <c r="CZ22" s="33"/>
      <c r="DA22" s="45">
        <v>13.5</v>
      </c>
      <c r="DX22" s="5"/>
      <c r="DY22" s="5"/>
      <c r="EH22" s="2"/>
      <c r="EI22" s="2"/>
      <c r="EK22" s="45">
        <v>13.5</v>
      </c>
      <c r="FF22" s="5"/>
      <c r="FG22" s="5"/>
      <c r="FP22" s="2"/>
      <c r="FQ22" s="2"/>
      <c r="FS22" s="45">
        <v>13.5</v>
      </c>
      <c r="GN22" s="5"/>
      <c r="GO22" s="5"/>
      <c r="GX22" s="2"/>
      <c r="GY22" s="2"/>
      <c r="HA22" s="45">
        <v>13.5</v>
      </c>
      <c r="HV22" s="5"/>
      <c r="HW22" s="5"/>
      <c r="IF22" s="2"/>
      <c r="IG22" s="2"/>
      <c r="II22" s="45">
        <v>13.5</v>
      </c>
      <c r="JD22" s="5"/>
      <c r="JE22" s="5"/>
      <c r="JN22" s="2"/>
      <c r="JO22" s="2"/>
      <c r="JQ22" s="45">
        <v>13.5</v>
      </c>
      <c r="KL22" s="5"/>
      <c r="KM22" s="5"/>
      <c r="KV22" s="2"/>
      <c r="KW22" s="2"/>
      <c r="KY22" s="45">
        <v>13.5</v>
      </c>
      <c r="LT22" s="5"/>
      <c r="LU22" s="5"/>
      <c r="MD22" s="2"/>
      <c r="ME22" s="2"/>
      <c r="MG22" s="45">
        <v>13.5</v>
      </c>
      <c r="NB22" s="5"/>
      <c r="NC22" s="5"/>
      <c r="NL22" s="2"/>
      <c r="NM22" s="2"/>
      <c r="NO22" s="45">
        <v>13.5</v>
      </c>
      <c r="OJ22" s="5"/>
      <c r="OK22" s="5"/>
      <c r="OT22" s="2"/>
      <c r="OU22" s="2"/>
      <c r="OW22" s="45">
        <v>13.5</v>
      </c>
      <c r="PR22" s="5"/>
      <c r="PS22" s="5"/>
      <c r="QB22" s="2"/>
      <c r="QC22" s="2"/>
      <c r="QE22" s="45">
        <v>13.5</v>
      </c>
      <c r="QZ22" s="5"/>
      <c r="RA22" s="5"/>
      <c r="RJ22" s="2"/>
      <c r="RK22" s="2"/>
      <c r="RM22" s="45">
        <v>13.5</v>
      </c>
      <c r="SH22" s="5"/>
      <c r="SI22" s="5"/>
      <c r="SR22" s="2"/>
      <c r="SS22" s="2"/>
      <c r="SU22" s="45">
        <v>13.5</v>
      </c>
    </row>
    <row r="23" spans="1:544" x14ac:dyDescent="0.2">
      <c r="A23" s="5"/>
      <c r="B23" s="36" t="s">
        <v>80</v>
      </c>
      <c r="C23" s="5"/>
      <c r="E23" s="2"/>
      <c r="AR23" s="42"/>
      <c r="AS23" s="42"/>
      <c r="AT23" s="42"/>
      <c r="AU23" s="33"/>
      <c r="AV23" s="33"/>
      <c r="AW23" s="33"/>
      <c r="AX23" s="33"/>
      <c r="AY23" s="46">
        <v>14</v>
      </c>
      <c r="BS23" s="42"/>
      <c r="BT23" s="42"/>
      <c r="BU23" s="42"/>
      <c r="BW23" s="33"/>
      <c r="BX23" s="33"/>
      <c r="BZ23" s="46">
        <v>14</v>
      </c>
      <c r="CT23" s="42"/>
      <c r="CU23" s="42"/>
      <c r="CV23" s="42"/>
      <c r="CW23" s="33"/>
      <c r="CX23" s="33"/>
      <c r="CY23" s="33"/>
      <c r="CZ23" s="33"/>
      <c r="DA23" s="46">
        <v>14</v>
      </c>
      <c r="DX23" s="5"/>
      <c r="DY23" s="5"/>
      <c r="EH23" s="2"/>
      <c r="EI23" s="2"/>
      <c r="EK23" s="46">
        <v>14</v>
      </c>
      <c r="FF23" s="5"/>
      <c r="FG23" s="5"/>
      <c r="FP23" s="2"/>
      <c r="FQ23" s="2"/>
      <c r="FS23" s="46">
        <v>14</v>
      </c>
      <c r="GN23" s="5"/>
      <c r="GO23" s="5"/>
      <c r="GX23" s="2"/>
      <c r="GY23" s="2"/>
      <c r="HA23" s="46">
        <v>14</v>
      </c>
      <c r="HV23" s="5"/>
      <c r="HW23" s="5"/>
      <c r="IF23" s="2"/>
      <c r="IG23" s="2"/>
      <c r="II23" s="46">
        <v>14</v>
      </c>
      <c r="JD23" s="5"/>
      <c r="JE23" s="5"/>
      <c r="JN23" s="2"/>
      <c r="JO23" s="2"/>
      <c r="JQ23" s="46">
        <v>14</v>
      </c>
      <c r="KL23" s="5"/>
      <c r="KM23" s="5"/>
      <c r="KV23" s="2"/>
      <c r="KW23" s="2"/>
      <c r="KY23" s="46">
        <v>14</v>
      </c>
      <c r="LT23" s="5"/>
      <c r="LU23" s="5"/>
      <c r="MD23" s="2"/>
      <c r="ME23" s="2"/>
      <c r="MG23" s="46">
        <v>14</v>
      </c>
      <c r="NB23" s="5"/>
      <c r="NC23" s="5"/>
      <c r="NL23" s="2"/>
      <c r="NM23" s="2"/>
      <c r="NO23" s="46">
        <v>14</v>
      </c>
      <c r="OJ23" s="5"/>
      <c r="OK23" s="5"/>
      <c r="OT23" s="2"/>
      <c r="OU23" s="2"/>
      <c r="OW23" s="46">
        <v>14</v>
      </c>
      <c r="PR23" s="5"/>
      <c r="PS23" s="5"/>
      <c r="QB23" s="2"/>
      <c r="QC23" s="2"/>
      <c r="QE23" s="46">
        <v>14</v>
      </c>
      <c r="QZ23" s="5"/>
      <c r="RA23" s="5"/>
      <c r="RJ23" s="2"/>
      <c r="RK23" s="2"/>
      <c r="RM23" s="46">
        <v>14</v>
      </c>
      <c r="SH23" s="5"/>
      <c r="SI23" s="5"/>
      <c r="SR23" s="2"/>
      <c r="SS23" s="2"/>
      <c r="SU23" s="46">
        <v>14</v>
      </c>
    </row>
    <row r="24" spans="1:544" x14ac:dyDescent="0.2">
      <c r="A24" s="5"/>
      <c r="B24" s="35" t="s">
        <v>51</v>
      </c>
      <c r="C24" s="5"/>
      <c r="P24" s="2"/>
      <c r="AR24" s="42"/>
      <c r="AS24" s="42"/>
      <c r="AT24" s="42"/>
      <c r="AU24" s="33"/>
      <c r="AV24" s="33"/>
      <c r="AW24" s="33"/>
      <c r="AX24" s="33"/>
      <c r="AY24" s="47">
        <v>49.5</v>
      </c>
      <c r="BS24" s="42"/>
      <c r="BT24" s="42"/>
      <c r="BU24" s="42"/>
      <c r="BW24" s="33"/>
      <c r="BX24" s="33"/>
      <c r="BZ24" s="47">
        <v>49.5</v>
      </c>
      <c r="CT24" s="42"/>
      <c r="CU24" s="42"/>
      <c r="CV24" s="42"/>
      <c r="CW24" s="33"/>
      <c r="CX24" s="33"/>
      <c r="CY24" s="33"/>
      <c r="CZ24" s="33"/>
      <c r="DA24" s="47">
        <v>49.5</v>
      </c>
      <c r="DX24" s="5"/>
      <c r="DY24" s="5"/>
      <c r="EH24" s="2"/>
      <c r="EI24" s="2"/>
      <c r="EK24" s="47">
        <v>49.5</v>
      </c>
      <c r="FF24" s="5"/>
      <c r="FG24" s="5"/>
      <c r="FP24" s="2"/>
      <c r="FQ24" s="2"/>
      <c r="FS24" s="47">
        <v>49.5</v>
      </c>
      <c r="GN24" s="5"/>
      <c r="GO24" s="5"/>
      <c r="GX24" s="2"/>
      <c r="GY24" s="2"/>
      <c r="HA24" s="47">
        <v>49.5</v>
      </c>
      <c r="HV24" s="5"/>
      <c r="HW24" s="5"/>
      <c r="IF24" s="2"/>
      <c r="IG24" s="2"/>
      <c r="II24" s="47">
        <v>49.5</v>
      </c>
      <c r="JD24" s="5"/>
      <c r="JE24" s="5"/>
      <c r="JN24" s="2"/>
      <c r="JO24" s="2"/>
      <c r="JQ24" s="47">
        <v>49.5</v>
      </c>
      <c r="KL24" s="5"/>
      <c r="KM24" s="5"/>
      <c r="KV24" s="2"/>
      <c r="KW24" s="2"/>
      <c r="KY24" s="47">
        <v>49.5</v>
      </c>
      <c r="LT24" s="5"/>
      <c r="LU24" s="5"/>
      <c r="MD24" s="2"/>
      <c r="ME24" s="2"/>
      <c r="MG24" s="47">
        <v>49.5</v>
      </c>
      <c r="NB24" s="5"/>
      <c r="NC24" s="5"/>
      <c r="NL24" s="2"/>
      <c r="NM24" s="2"/>
      <c r="NO24" s="47">
        <v>49.5</v>
      </c>
      <c r="OJ24" s="5"/>
      <c r="OK24" s="5"/>
      <c r="OT24" s="2"/>
      <c r="OU24" s="2"/>
      <c r="OW24" s="47">
        <v>49.5</v>
      </c>
      <c r="PR24" s="5"/>
      <c r="PS24" s="5"/>
      <c r="QB24" s="2"/>
      <c r="QC24" s="2"/>
      <c r="QE24" s="47">
        <v>49.5</v>
      </c>
      <c r="QZ24" s="5"/>
      <c r="RA24" s="5"/>
      <c r="RJ24" s="2"/>
      <c r="RK24" s="2"/>
      <c r="RM24" s="47">
        <v>49.5</v>
      </c>
      <c r="SH24" s="5"/>
      <c r="SI24" s="5"/>
      <c r="SR24" s="2"/>
      <c r="SS24" s="2"/>
      <c r="SU24" s="47">
        <v>49.5</v>
      </c>
    </row>
    <row r="25" spans="1:544" x14ac:dyDescent="0.2">
      <c r="A25" s="5"/>
      <c r="B25" s="25" t="s">
        <v>52</v>
      </c>
      <c r="C25" s="5"/>
      <c r="P25" s="2"/>
      <c r="AR25" s="42"/>
      <c r="AS25" s="42"/>
      <c r="AT25" s="42"/>
      <c r="AU25" s="33"/>
      <c r="AV25" s="33"/>
      <c r="AW25" s="33"/>
      <c r="AX25" s="33"/>
      <c r="AY25" s="48">
        <v>51.3</v>
      </c>
      <c r="BS25" s="42"/>
      <c r="BT25" s="42"/>
      <c r="BU25" s="42"/>
      <c r="BW25" s="33"/>
      <c r="BX25" s="33"/>
      <c r="BZ25" s="48">
        <v>51.3</v>
      </c>
      <c r="CT25" s="42"/>
      <c r="CU25" s="42"/>
      <c r="CV25" s="42"/>
      <c r="CW25" s="33"/>
      <c r="CX25" s="33"/>
      <c r="CY25" s="33"/>
      <c r="CZ25" s="33"/>
      <c r="DA25" s="48">
        <v>51.3</v>
      </c>
      <c r="DX25" s="5"/>
      <c r="DY25" s="5"/>
      <c r="EH25" s="2"/>
      <c r="EI25" s="2"/>
      <c r="EK25" s="48">
        <v>51.3</v>
      </c>
      <c r="FF25" s="5"/>
      <c r="FG25" s="5"/>
      <c r="FP25" s="2"/>
      <c r="FQ25" s="2"/>
      <c r="FS25" s="48">
        <v>51.3</v>
      </c>
      <c r="GN25" s="5"/>
      <c r="GO25" s="5"/>
      <c r="GX25" s="2"/>
      <c r="GY25" s="2"/>
      <c r="HA25" s="48">
        <v>51.3</v>
      </c>
      <c r="HV25" s="5"/>
      <c r="HW25" s="5"/>
      <c r="IF25" s="2"/>
      <c r="IG25" s="2"/>
      <c r="II25" s="48">
        <v>51.3</v>
      </c>
      <c r="JD25" s="5"/>
      <c r="JE25" s="5"/>
      <c r="JN25" s="2"/>
      <c r="JO25" s="2"/>
      <c r="JQ25" s="48">
        <v>51.3</v>
      </c>
      <c r="KL25" s="5"/>
      <c r="KM25" s="5"/>
      <c r="KV25" s="2"/>
      <c r="KW25" s="2"/>
      <c r="KY25" s="48">
        <v>51.3</v>
      </c>
      <c r="LT25" s="5"/>
      <c r="LU25" s="5"/>
      <c r="MD25" s="2"/>
      <c r="ME25" s="2"/>
      <c r="MG25" s="48">
        <v>51.3</v>
      </c>
      <c r="NB25" s="5"/>
      <c r="NC25" s="5"/>
      <c r="NL25" s="2"/>
      <c r="NM25" s="2"/>
      <c r="NO25" s="48">
        <v>51.3</v>
      </c>
      <c r="OJ25" s="5"/>
      <c r="OK25" s="5"/>
      <c r="OT25" s="2"/>
      <c r="OU25" s="2"/>
      <c r="OW25" s="48">
        <v>51.3</v>
      </c>
      <c r="PR25" s="5"/>
      <c r="PS25" s="5"/>
      <c r="QB25" s="2"/>
      <c r="QC25" s="2"/>
      <c r="QE25" s="48">
        <v>51.3</v>
      </c>
      <c r="QZ25" s="5"/>
      <c r="RA25" s="5"/>
      <c r="RJ25" s="2"/>
      <c r="RK25" s="2"/>
      <c r="RM25" s="48">
        <v>51.3</v>
      </c>
      <c r="SH25" s="5"/>
      <c r="SI25" s="5"/>
      <c r="SR25" s="2"/>
      <c r="SS25" s="2"/>
      <c r="SU25" s="48">
        <v>51.3</v>
      </c>
    </row>
    <row r="26" spans="1:544" x14ac:dyDescent="0.2">
      <c r="A26" s="5"/>
      <c r="B26" s="34" t="s">
        <v>66</v>
      </c>
      <c r="C26" s="5"/>
      <c r="AR26" s="42"/>
      <c r="AS26" s="42"/>
      <c r="AT26" s="42"/>
      <c r="AU26" s="33"/>
      <c r="AV26" s="33"/>
      <c r="AW26" s="33"/>
      <c r="AX26" s="33"/>
      <c r="AY26" s="49">
        <v>52.2</v>
      </c>
      <c r="BS26" s="42"/>
      <c r="BT26" s="42"/>
      <c r="BU26" s="42"/>
      <c r="BW26" s="33"/>
      <c r="BX26" s="33"/>
      <c r="BZ26" s="49">
        <v>52.2</v>
      </c>
      <c r="CT26" s="42"/>
      <c r="CU26" s="42"/>
      <c r="CV26" s="42"/>
      <c r="CW26" s="33"/>
      <c r="CX26" s="33"/>
      <c r="CY26" s="33"/>
      <c r="CZ26" s="33"/>
      <c r="DA26" s="49">
        <v>52.2</v>
      </c>
      <c r="DX26" s="5"/>
      <c r="DY26" s="5"/>
      <c r="EH26" s="2"/>
      <c r="EI26" s="2"/>
      <c r="EJ26" s="38"/>
      <c r="EK26" s="49">
        <v>52.2</v>
      </c>
      <c r="FF26" s="5"/>
      <c r="FG26" s="5"/>
      <c r="FP26" s="2"/>
      <c r="FQ26" s="2"/>
      <c r="FR26" s="38"/>
      <c r="FS26" s="49">
        <v>52.2</v>
      </c>
      <c r="GN26" s="5"/>
      <c r="GO26" s="5"/>
      <c r="GX26" s="2"/>
      <c r="GY26" s="2"/>
      <c r="GZ26" s="38"/>
      <c r="HA26" s="49">
        <v>52.2</v>
      </c>
      <c r="HV26" s="5"/>
      <c r="HW26" s="5"/>
      <c r="IF26" s="2"/>
      <c r="IG26" s="2"/>
      <c r="IH26" s="38"/>
      <c r="II26" s="49">
        <v>52.2</v>
      </c>
      <c r="JD26" s="5"/>
      <c r="JE26" s="5"/>
      <c r="JN26" s="2"/>
      <c r="JO26" s="2"/>
      <c r="JP26" s="38"/>
      <c r="JQ26" s="49">
        <v>52.2</v>
      </c>
      <c r="KL26" s="5"/>
      <c r="KM26" s="5"/>
      <c r="KV26" s="2"/>
      <c r="KW26" s="2"/>
      <c r="KX26" s="38"/>
      <c r="KY26" s="49">
        <v>52.2</v>
      </c>
      <c r="LT26" s="5"/>
      <c r="LU26" s="5"/>
      <c r="MD26" s="2"/>
      <c r="ME26" s="2"/>
      <c r="MF26" s="38"/>
      <c r="MG26" s="49">
        <v>52.2</v>
      </c>
      <c r="NB26" s="5"/>
      <c r="NC26" s="5"/>
      <c r="NL26" s="2"/>
      <c r="NM26" s="2"/>
      <c r="NN26" s="38"/>
      <c r="NO26" s="49">
        <v>52.2</v>
      </c>
      <c r="OJ26" s="5"/>
      <c r="OK26" s="5"/>
      <c r="OT26" s="2"/>
      <c r="OU26" s="2"/>
      <c r="OV26" s="38"/>
      <c r="OW26" s="49">
        <v>52.2</v>
      </c>
      <c r="PR26" s="5"/>
      <c r="PS26" s="5"/>
      <c r="QB26" s="2"/>
      <c r="QC26" s="2"/>
      <c r="QD26" s="38"/>
      <c r="QE26" s="49">
        <v>52.2</v>
      </c>
      <c r="QZ26" s="5"/>
      <c r="RA26" s="5"/>
      <c r="RJ26" s="2"/>
      <c r="RK26" s="2"/>
      <c r="RL26" s="38"/>
      <c r="RM26" s="49">
        <v>52.2</v>
      </c>
      <c r="SH26" s="5"/>
      <c r="SI26" s="5"/>
      <c r="SR26" s="2"/>
      <c r="SS26" s="2"/>
      <c r="ST26" s="38"/>
      <c r="SU26" s="49">
        <v>52.2</v>
      </c>
    </row>
    <row r="27" spans="1:544" x14ac:dyDescent="0.2">
      <c r="A27" s="5"/>
      <c r="B27" s="26" t="s">
        <v>35</v>
      </c>
      <c r="C27" s="5"/>
      <c r="P27" s="2"/>
      <c r="AR27" s="42"/>
      <c r="AS27" s="42"/>
      <c r="AT27" s="42"/>
      <c r="AU27" s="33"/>
      <c r="AV27" s="42"/>
      <c r="AW27" s="42"/>
      <c r="AX27" s="33"/>
      <c r="AY27" s="50">
        <v>54</v>
      </c>
      <c r="BS27" s="42"/>
      <c r="BT27" s="42"/>
      <c r="BU27" s="42"/>
      <c r="BW27" s="42"/>
      <c r="BX27" s="33"/>
      <c r="BZ27" s="50">
        <v>54</v>
      </c>
      <c r="CT27" s="42"/>
      <c r="CU27" s="42"/>
      <c r="CV27" s="42"/>
      <c r="CW27" s="33"/>
      <c r="CX27" s="42"/>
      <c r="CY27" s="33"/>
      <c r="CZ27" s="33"/>
      <c r="DA27" s="50">
        <v>54</v>
      </c>
      <c r="DX27" s="5"/>
      <c r="DY27" s="5"/>
      <c r="EH27" s="42"/>
      <c r="EI27" s="2"/>
      <c r="EK27" s="50">
        <v>54</v>
      </c>
      <c r="FF27" s="5"/>
      <c r="FG27" s="5"/>
      <c r="FP27" s="42"/>
      <c r="FQ27" s="2"/>
      <c r="FS27" s="50">
        <v>54</v>
      </c>
      <c r="GN27" s="5"/>
      <c r="GO27" s="5"/>
      <c r="GX27" s="2"/>
      <c r="GY27" s="2"/>
      <c r="HA27" s="50">
        <v>54</v>
      </c>
      <c r="HV27" s="5"/>
      <c r="HW27" s="5"/>
      <c r="IF27" s="42"/>
      <c r="IG27" s="2"/>
      <c r="II27" s="50">
        <v>54</v>
      </c>
      <c r="JD27" s="5"/>
      <c r="JE27" s="5"/>
      <c r="JN27" s="2"/>
      <c r="JO27" s="2"/>
      <c r="JQ27" s="50">
        <v>54</v>
      </c>
      <c r="KL27" s="5"/>
      <c r="KM27" s="5"/>
      <c r="KV27" s="2"/>
      <c r="KW27" s="2"/>
      <c r="KY27" s="50">
        <v>54</v>
      </c>
      <c r="LT27" s="5"/>
      <c r="LU27" s="5"/>
      <c r="MD27" s="2"/>
      <c r="ME27" s="2"/>
      <c r="MG27" s="50">
        <v>54</v>
      </c>
      <c r="NB27" s="5"/>
      <c r="NC27" s="5"/>
      <c r="NL27" s="2"/>
      <c r="NM27" s="2"/>
      <c r="NO27" s="50">
        <v>54</v>
      </c>
      <c r="OJ27" s="5"/>
      <c r="OK27" s="5"/>
      <c r="OT27" s="2"/>
      <c r="OU27" s="2"/>
      <c r="OW27" s="50">
        <v>54</v>
      </c>
      <c r="PR27" s="5"/>
      <c r="PS27" s="5"/>
      <c r="QB27" s="2"/>
      <c r="QC27" s="2"/>
      <c r="QE27" s="50">
        <v>54</v>
      </c>
      <c r="QZ27" s="5"/>
      <c r="RA27" s="5"/>
      <c r="RJ27" s="2"/>
      <c r="RK27" s="2"/>
      <c r="RM27" s="50">
        <v>54</v>
      </c>
      <c r="SH27" s="5"/>
      <c r="SI27" s="5"/>
      <c r="SR27" s="2"/>
      <c r="SS27" s="2"/>
      <c r="SU27" s="50">
        <v>54</v>
      </c>
    </row>
    <row r="28" spans="1:544" s="37" customFormat="1" x14ac:dyDescent="0.2">
      <c r="A28"/>
      <c r="B28" s="30" t="s">
        <v>58</v>
      </c>
      <c r="C28" s="2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U28" s="33"/>
      <c r="AX28" s="33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W28" s="33"/>
      <c r="CZ28" s="33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A28"/>
      <c r="IB28"/>
      <c r="IC28"/>
      <c r="ID28"/>
      <c r="IE28"/>
      <c r="IF28"/>
      <c r="IG28"/>
      <c r="IH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I28"/>
      <c r="JJ28"/>
      <c r="JK28"/>
      <c r="JL28"/>
      <c r="JM28"/>
      <c r="JN28"/>
      <c r="JO28"/>
      <c r="JP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  <c r="TQ28"/>
      <c r="TR28"/>
      <c r="TS28"/>
      <c r="TT28"/>
      <c r="TU28"/>
      <c r="TV28"/>
      <c r="TW28"/>
      <c r="TX28"/>
    </row>
    <row r="29" spans="1:544" s="37" customFormat="1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Q29" s="33"/>
      <c r="AR29" s="33"/>
      <c r="AS29" s="33"/>
      <c r="AT29" s="33"/>
      <c r="AU29" s="33"/>
      <c r="AX29" s="33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S29" s="33"/>
      <c r="CT29" s="33"/>
      <c r="CU29" s="33"/>
      <c r="CV29" s="33"/>
      <c r="CW29" s="33"/>
      <c r="CZ29" s="33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A29"/>
      <c r="IB29"/>
      <c r="IC29"/>
      <c r="ID29"/>
      <c r="IE29"/>
      <c r="IF29"/>
      <c r="IG29"/>
      <c r="IH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I29"/>
      <c r="JJ29"/>
      <c r="JK29"/>
      <c r="JL29"/>
      <c r="JM29"/>
      <c r="JN29"/>
      <c r="JO29"/>
      <c r="JP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  <c r="TQ29"/>
      <c r="TR29"/>
      <c r="TS29"/>
      <c r="TT29"/>
      <c r="TU29"/>
      <c r="TV29"/>
      <c r="TW29"/>
      <c r="TX29"/>
    </row>
    <row r="30" spans="1:544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 s="10"/>
      <c r="W30" s="1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Q30" s="33"/>
      <c r="AR30" s="33"/>
      <c r="AS30" s="33"/>
      <c r="AT30" s="33"/>
      <c r="AU30" s="33"/>
      <c r="AX30" s="33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S30" s="33"/>
      <c r="CT30" s="33"/>
      <c r="CU30" s="33"/>
      <c r="CV30" s="33"/>
      <c r="CW30" s="33"/>
      <c r="CZ30" s="33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A30"/>
      <c r="IB30"/>
      <c r="IC30"/>
      <c r="ID30"/>
      <c r="IE30"/>
      <c r="IF30"/>
      <c r="IG30"/>
      <c r="IH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I30"/>
      <c r="JJ30"/>
      <c r="JK30"/>
      <c r="JL30"/>
      <c r="JM30"/>
      <c r="JN30"/>
      <c r="JO30"/>
      <c r="JP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  <c r="TQ30"/>
      <c r="TR30"/>
      <c r="TS30"/>
      <c r="TT30"/>
      <c r="TU30"/>
      <c r="TV30"/>
      <c r="TW30"/>
      <c r="TX30"/>
    </row>
    <row r="31" spans="1:544" s="37" customFormat="1" ht="17" x14ac:dyDescent="0.2">
      <c r="A31" s="5"/>
      <c r="B31" s="5"/>
      <c r="C31" s="20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 s="10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Q31" s="33"/>
      <c r="AR31" s="33"/>
      <c r="AS31" s="33"/>
      <c r="AT31" s="33"/>
      <c r="AU31" s="33"/>
      <c r="AX31" s="33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S31" s="33"/>
      <c r="CT31" s="33"/>
      <c r="CU31" s="33"/>
      <c r="CV31" s="33"/>
      <c r="CW31" s="33"/>
      <c r="CZ31" s="33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A31"/>
      <c r="IB31"/>
      <c r="IC31"/>
      <c r="ID31"/>
      <c r="IE31"/>
      <c r="IF31"/>
      <c r="IG31"/>
      <c r="IH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I31"/>
      <c r="JJ31"/>
      <c r="JK31"/>
      <c r="JL31"/>
      <c r="JM31"/>
      <c r="JN31"/>
      <c r="JO31"/>
      <c r="JP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  <c r="TQ31"/>
      <c r="TR31"/>
      <c r="TS31"/>
      <c r="TT31"/>
      <c r="TU31"/>
      <c r="TV31"/>
      <c r="TW31"/>
      <c r="TX31"/>
    </row>
    <row r="32" spans="1:544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 s="10"/>
      <c r="W32" s="10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Q32" s="33"/>
      <c r="AR32" s="33"/>
      <c r="AS32" s="33"/>
      <c r="AT32" s="33"/>
      <c r="AU32" s="33"/>
      <c r="AX32" s="33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S32" s="33"/>
      <c r="CT32" s="33"/>
      <c r="CU32" s="33"/>
      <c r="CV32" s="33"/>
      <c r="CW32" s="33"/>
      <c r="CZ32" s="33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A32"/>
      <c r="IB32"/>
      <c r="IC32"/>
      <c r="ID32"/>
      <c r="IE32"/>
      <c r="IF32"/>
      <c r="IG32"/>
      <c r="IH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I32"/>
      <c r="JJ32"/>
      <c r="JK32"/>
      <c r="JL32"/>
      <c r="JM32"/>
      <c r="JN32"/>
      <c r="JO32"/>
      <c r="JP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  <c r="TQ32"/>
      <c r="TR32"/>
      <c r="TS32"/>
      <c r="TT32"/>
      <c r="TU32"/>
      <c r="TV32"/>
      <c r="TW32"/>
      <c r="TX32"/>
    </row>
    <row r="33" spans="1:544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 s="10"/>
      <c r="W33" s="10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Q33" s="33"/>
      <c r="AR33" s="33"/>
      <c r="AS33" s="33"/>
      <c r="AT33" s="33"/>
      <c r="AU33" s="33"/>
      <c r="AX33" s="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S33" s="33"/>
      <c r="CT33" s="33"/>
      <c r="CU33" s="33"/>
      <c r="CV33" s="33"/>
      <c r="CW33" s="33"/>
      <c r="CZ33" s="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A33"/>
      <c r="IB33"/>
      <c r="IC33"/>
      <c r="ID33"/>
      <c r="IE33"/>
      <c r="IF33"/>
      <c r="IG33"/>
      <c r="IH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I33"/>
      <c r="JJ33"/>
      <c r="JK33"/>
      <c r="JL33"/>
      <c r="JM33"/>
      <c r="JN33"/>
      <c r="JO33"/>
      <c r="JP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  <c r="TQ33"/>
      <c r="TR33"/>
      <c r="TS33"/>
      <c r="TT33"/>
      <c r="TU33"/>
      <c r="TV33"/>
      <c r="TW33"/>
      <c r="TX33"/>
    </row>
    <row r="34" spans="1:544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 s="10"/>
      <c r="W34" s="10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Q34" s="33"/>
      <c r="AR34" s="33"/>
      <c r="AS34" s="33"/>
      <c r="AT34" s="33"/>
      <c r="AU34" s="33"/>
      <c r="AX34" s="33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S34" s="33"/>
      <c r="CT34" s="33"/>
      <c r="CU34" s="33"/>
      <c r="CV34" s="33"/>
      <c r="CW34" s="33"/>
      <c r="CZ34" s="33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A34"/>
      <c r="IB34"/>
      <c r="IC34"/>
      <c r="ID34"/>
      <c r="IE34"/>
      <c r="IF34"/>
      <c r="IG34"/>
      <c r="IH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I34"/>
      <c r="JJ34"/>
      <c r="JK34"/>
      <c r="JL34"/>
      <c r="JM34"/>
      <c r="JN34"/>
      <c r="JO34"/>
      <c r="JP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  <c r="TQ34"/>
      <c r="TR34"/>
      <c r="TS34"/>
      <c r="TT34"/>
      <c r="TU34"/>
      <c r="TV34"/>
      <c r="TW34"/>
      <c r="TX34"/>
    </row>
    <row r="35" spans="1:544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 s="10"/>
      <c r="W35" s="10"/>
      <c r="X35" s="10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A35"/>
      <c r="IB35"/>
      <c r="IC35"/>
      <c r="ID35"/>
      <c r="IE35"/>
      <c r="IF35"/>
      <c r="IG35"/>
      <c r="IH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I35"/>
      <c r="JJ35"/>
      <c r="JK35"/>
      <c r="JL35"/>
      <c r="JM35"/>
      <c r="JN35"/>
      <c r="JO35"/>
      <c r="JP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  <c r="TQ35"/>
      <c r="TR35"/>
      <c r="TS35"/>
      <c r="TT35"/>
      <c r="TU35"/>
      <c r="TV35"/>
      <c r="TW35"/>
      <c r="TX35"/>
    </row>
    <row r="36" spans="1:544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 s="10"/>
      <c r="W36" s="10"/>
      <c r="X36" s="10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A36"/>
      <c r="IB36"/>
      <c r="IC36"/>
      <c r="ID36"/>
      <c r="IE36"/>
      <c r="IF36"/>
      <c r="IG36"/>
      <c r="IH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I36"/>
      <c r="JJ36"/>
      <c r="JK36"/>
      <c r="JL36"/>
      <c r="JM36"/>
      <c r="JN36"/>
      <c r="JO36"/>
      <c r="JP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  <c r="TQ36"/>
      <c r="TR36"/>
      <c r="TS36"/>
      <c r="TT36"/>
      <c r="TU36"/>
      <c r="TV36"/>
      <c r="TW36"/>
      <c r="TX36"/>
    </row>
    <row r="37" spans="1:544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 s="10"/>
      <c r="W37" s="10"/>
      <c r="X37" s="10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A37"/>
      <c r="IB37"/>
      <c r="IC37"/>
      <c r="ID37"/>
      <c r="IE37"/>
      <c r="IF37"/>
      <c r="IG37"/>
      <c r="IH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I37"/>
      <c r="JJ37"/>
      <c r="JK37"/>
      <c r="JL37"/>
      <c r="JM37"/>
      <c r="JN37"/>
      <c r="JO37"/>
      <c r="JP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  <c r="TQ37"/>
      <c r="TR37"/>
      <c r="TS37"/>
      <c r="TT37"/>
      <c r="TU37"/>
      <c r="TV37"/>
      <c r="TW37"/>
      <c r="TX37"/>
    </row>
    <row r="38" spans="1:544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 s="10"/>
      <c r="W38" s="10"/>
      <c r="X38" s="10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A38"/>
      <c r="IB38"/>
      <c r="IC38"/>
      <c r="ID38"/>
      <c r="IE38"/>
      <c r="IF38"/>
      <c r="IG38"/>
      <c r="IH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I38"/>
      <c r="JJ38"/>
      <c r="JK38"/>
      <c r="JL38"/>
      <c r="JM38"/>
      <c r="JN38"/>
      <c r="JO38"/>
      <c r="JP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  <c r="TQ38"/>
      <c r="TR38"/>
      <c r="TS38"/>
      <c r="TT38"/>
      <c r="TU38"/>
      <c r="TV38"/>
      <c r="TW38"/>
      <c r="TX38"/>
    </row>
    <row r="39" spans="1:544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 s="10"/>
      <c r="W39" s="10"/>
      <c r="X39" s="10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A39"/>
      <c r="IB39"/>
      <c r="IC39"/>
      <c r="ID39"/>
      <c r="IE39"/>
      <c r="IF39"/>
      <c r="IG39"/>
      <c r="IH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I39"/>
      <c r="JJ39"/>
      <c r="JK39"/>
      <c r="JL39"/>
      <c r="JM39"/>
      <c r="JN39"/>
      <c r="JO39"/>
      <c r="JP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  <c r="TQ39"/>
      <c r="TR39"/>
      <c r="TS39"/>
      <c r="TT39"/>
      <c r="TU39"/>
      <c r="TV39"/>
      <c r="TW39"/>
      <c r="TX39"/>
    </row>
    <row r="40" spans="1:544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 s="10"/>
      <c r="W40" s="10"/>
      <c r="X40" s="1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A40"/>
      <c r="IB40"/>
      <c r="IC40"/>
      <c r="ID40"/>
      <c r="IE40"/>
      <c r="IF40"/>
      <c r="IG40"/>
      <c r="IH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I40"/>
      <c r="JJ40"/>
      <c r="JK40"/>
      <c r="JL40"/>
      <c r="JM40"/>
      <c r="JN40"/>
      <c r="JO40"/>
      <c r="JP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  <c r="TQ40"/>
      <c r="TR40"/>
      <c r="TS40"/>
      <c r="TT40"/>
      <c r="TU40"/>
      <c r="TV40"/>
      <c r="TW40"/>
      <c r="TX40"/>
    </row>
    <row r="41" spans="1:544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 s="10"/>
      <c r="W41" s="10"/>
      <c r="X41" s="10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A41"/>
      <c r="IB41"/>
      <c r="IC41"/>
      <c r="ID41"/>
      <c r="IE41"/>
      <c r="IF41"/>
      <c r="IG41"/>
      <c r="IH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I41"/>
      <c r="JJ41"/>
      <c r="JK41"/>
      <c r="JL41"/>
      <c r="JM41"/>
      <c r="JN41"/>
      <c r="JO41"/>
      <c r="JP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  <c r="TQ41"/>
      <c r="TR41"/>
      <c r="TS41"/>
      <c r="TT41"/>
      <c r="TU41"/>
      <c r="TV41"/>
      <c r="TW41"/>
      <c r="TX41"/>
    </row>
    <row r="42" spans="1:544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 s="10"/>
      <c r="W42" s="10"/>
      <c r="X42" s="10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A42"/>
      <c r="IB42"/>
      <c r="IC42"/>
      <c r="ID42"/>
      <c r="IE42"/>
      <c r="IF42"/>
      <c r="IG42"/>
      <c r="IH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I42"/>
      <c r="JJ42"/>
      <c r="JK42"/>
      <c r="JL42"/>
      <c r="JM42"/>
      <c r="JN42"/>
      <c r="JO42"/>
      <c r="JP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  <c r="TQ42"/>
      <c r="TR42"/>
      <c r="TS42"/>
      <c r="TT42"/>
      <c r="TU42"/>
      <c r="TV42"/>
      <c r="TW42"/>
      <c r="TX42"/>
    </row>
    <row r="43" spans="1:544" s="37" customFormat="1" ht="17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 s="10"/>
      <c r="W43" s="10"/>
      <c r="X43" s="10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B43"/>
      <c r="HC43"/>
      <c r="HD43"/>
      <c r="HE43"/>
      <c r="HF43"/>
      <c r="HG43"/>
      <c r="HH43"/>
      <c r="HI43"/>
      <c r="HJ43"/>
      <c r="HK43"/>
      <c r="HL43"/>
      <c r="HM43"/>
      <c r="HN43"/>
      <c r="HO43"/>
      <c r="HP43"/>
      <c r="HQ43"/>
      <c r="HR43"/>
      <c r="HS43"/>
      <c r="HT43"/>
      <c r="HU43"/>
      <c r="HV43"/>
      <c r="HW43"/>
      <c r="HX43"/>
      <c r="HY43"/>
      <c r="HZ43"/>
      <c r="IA43"/>
      <c r="IB43"/>
      <c r="IC43"/>
      <c r="ID43"/>
      <c r="IE43"/>
      <c r="IF43"/>
      <c r="IG43"/>
      <c r="IH43"/>
      <c r="IJ43"/>
      <c r="IK43"/>
      <c r="IL43"/>
      <c r="IM43"/>
      <c r="IN43"/>
      <c r="IO43"/>
      <c r="IP43"/>
      <c r="IQ43"/>
      <c r="IR43"/>
      <c r="IS43"/>
      <c r="IT43"/>
      <c r="IU43"/>
      <c r="IV43"/>
      <c r="IW43"/>
      <c r="IX43"/>
      <c r="IY43"/>
      <c r="IZ43"/>
      <c r="JA43"/>
      <c r="JB43"/>
      <c r="JC43"/>
      <c r="JD43"/>
      <c r="JE43"/>
      <c r="JF43"/>
      <c r="JG43"/>
      <c r="JH43"/>
      <c r="JI43"/>
      <c r="JJ43"/>
      <c r="JK43"/>
      <c r="JL43"/>
      <c r="JM43"/>
      <c r="JN43"/>
      <c r="JO43"/>
      <c r="JP43"/>
      <c r="JR43"/>
      <c r="JS43"/>
      <c r="JT43"/>
      <c r="JU43"/>
      <c r="JV43"/>
      <c r="JW43"/>
      <c r="JX43"/>
      <c r="JY43"/>
      <c r="JZ43"/>
      <c r="KA43"/>
      <c r="KB43"/>
      <c r="KC43"/>
      <c r="KD43"/>
      <c r="KE43"/>
      <c r="KF43"/>
      <c r="KG43"/>
      <c r="KH43"/>
      <c r="KI43"/>
      <c r="KJ43"/>
      <c r="KK43"/>
      <c r="KL43"/>
      <c r="KM43"/>
      <c r="KN43"/>
      <c r="KO43"/>
      <c r="KP43"/>
      <c r="KQ43"/>
      <c r="KR43"/>
      <c r="KS43"/>
      <c r="KT43"/>
      <c r="KU43"/>
      <c r="KV43"/>
      <c r="KW43"/>
      <c r="KX43"/>
      <c r="KY43"/>
      <c r="KZ43"/>
      <c r="LA43"/>
      <c r="LB43"/>
      <c r="LC43"/>
      <c r="LD43"/>
      <c r="LE43"/>
      <c r="LF43"/>
      <c r="LG43"/>
      <c r="LH43"/>
      <c r="LI43"/>
      <c r="LJ43"/>
      <c r="LK43"/>
      <c r="LL43"/>
      <c r="LM43"/>
      <c r="LN43"/>
      <c r="LO43"/>
      <c r="LP43"/>
      <c r="LQ43"/>
      <c r="LR43"/>
      <c r="LS43"/>
      <c r="LT43"/>
      <c r="LU43"/>
      <c r="LV43"/>
      <c r="LW43"/>
      <c r="LX43"/>
      <c r="LY43"/>
      <c r="LZ43"/>
      <c r="MA43"/>
      <c r="MB43"/>
      <c r="MC43"/>
      <c r="MD43"/>
      <c r="ME43"/>
      <c r="MF43"/>
      <c r="MG43"/>
      <c r="MH43"/>
      <c r="MI43"/>
      <c r="MJ43"/>
      <c r="MK43"/>
      <c r="ML43"/>
      <c r="MM43"/>
      <c r="MN43"/>
      <c r="MO43"/>
      <c r="MP43"/>
      <c r="MQ43"/>
      <c r="MR43"/>
      <c r="MS43"/>
      <c r="MT43"/>
      <c r="MU43"/>
      <c r="MV43"/>
      <c r="MW43"/>
      <c r="MX43"/>
      <c r="MY43"/>
      <c r="MZ43"/>
      <c r="NA43"/>
      <c r="NB43"/>
      <c r="NC43"/>
      <c r="ND43"/>
      <c r="NE43"/>
      <c r="NF43"/>
      <c r="NG43"/>
      <c r="NH43"/>
      <c r="NI43"/>
      <c r="NJ43"/>
      <c r="NK43"/>
      <c r="NL43"/>
      <c r="NM43"/>
      <c r="NN43"/>
      <c r="NO43"/>
      <c r="NP43"/>
      <c r="NQ43"/>
      <c r="NR43"/>
      <c r="NS43"/>
      <c r="NT43"/>
      <c r="NU43"/>
      <c r="NV43"/>
      <c r="NW43"/>
      <c r="NX43"/>
      <c r="NY43"/>
      <c r="NZ43"/>
      <c r="OA43"/>
      <c r="OB43"/>
      <c r="OC43"/>
      <c r="OD43"/>
      <c r="OE43"/>
      <c r="OF43"/>
      <c r="OG43"/>
      <c r="OH43"/>
      <c r="OI43"/>
      <c r="OJ43"/>
      <c r="OK43"/>
      <c r="OL43"/>
      <c r="OM43"/>
      <c r="ON43"/>
      <c r="OO43"/>
      <c r="OP43"/>
      <c r="OQ43"/>
      <c r="OR43"/>
      <c r="OS43"/>
      <c r="OT43"/>
      <c r="OU43"/>
      <c r="OV43"/>
      <c r="OW43"/>
      <c r="OX43"/>
      <c r="OY43"/>
      <c r="OZ43"/>
      <c r="PA43"/>
      <c r="PB43"/>
      <c r="PC43"/>
      <c r="PD43"/>
      <c r="PE43"/>
      <c r="PF43"/>
      <c r="PG43"/>
      <c r="PH43"/>
      <c r="PI43"/>
      <c r="PJ43"/>
      <c r="PK43"/>
      <c r="PL43"/>
      <c r="PM43"/>
      <c r="PN43"/>
      <c r="PO43"/>
      <c r="PP43"/>
      <c r="PQ43"/>
      <c r="PR43"/>
      <c r="PS43"/>
      <c r="PT43"/>
      <c r="PU43"/>
      <c r="PV43"/>
      <c r="PW43"/>
      <c r="PX43"/>
      <c r="PY43"/>
      <c r="PZ43"/>
      <c r="QA43"/>
      <c r="QB43"/>
      <c r="QC43"/>
      <c r="QD43"/>
      <c r="QE43"/>
      <c r="QF43"/>
      <c r="QG43"/>
      <c r="QH43"/>
      <c r="QI43"/>
      <c r="QJ43"/>
      <c r="QK43"/>
      <c r="QL43"/>
      <c r="QM43"/>
      <c r="QN43"/>
      <c r="QO43"/>
      <c r="QP43"/>
      <c r="QQ43"/>
      <c r="QR43"/>
      <c r="QS43"/>
      <c r="QT43"/>
      <c r="QU43"/>
      <c r="QV43"/>
      <c r="QW43"/>
      <c r="QX43"/>
      <c r="QY43"/>
      <c r="QZ43"/>
      <c r="RA43"/>
      <c r="RB43"/>
      <c r="RC43"/>
      <c r="RD43"/>
      <c r="RE43"/>
      <c r="RF43"/>
      <c r="RG43"/>
      <c r="RH43"/>
      <c r="RI43"/>
      <c r="RJ43"/>
      <c r="RK43"/>
      <c r="RL43"/>
      <c r="RM43"/>
      <c r="RN43"/>
      <c r="RO43"/>
      <c r="RP43"/>
      <c r="RQ43"/>
      <c r="RR43"/>
      <c r="RS43"/>
      <c r="RT43"/>
      <c r="RU43"/>
      <c r="RV43"/>
      <c r="RW43"/>
      <c r="RX43"/>
      <c r="RY43"/>
      <c r="RZ43"/>
      <c r="SA43"/>
      <c r="SB43"/>
      <c r="SC43"/>
      <c r="SD43"/>
      <c r="SE43"/>
      <c r="SF43"/>
      <c r="SG43"/>
      <c r="SH43"/>
      <c r="SI43"/>
      <c r="SJ43"/>
      <c r="SK43"/>
      <c r="SL43"/>
      <c r="SM43"/>
      <c r="SN43"/>
      <c r="SO43"/>
      <c r="SP43"/>
      <c r="SQ43"/>
      <c r="SR43"/>
      <c r="SS43"/>
      <c r="ST43"/>
      <c r="SU43"/>
      <c r="SV43"/>
      <c r="SW43"/>
      <c r="SX43"/>
      <c r="SY43"/>
      <c r="SZ43"/>
      <c r="TA43"/>
      <c r="TB43"/>
      <c r="TC43"/>
      <c r="TD43"/>
      <c r="TE43"/>
      <c r="TF43"/>
      <c r="TG43"/>
      <c r="TH43"/>
      <c r="TI43"/>
      <c r="TJ43"/>
      <c r="TK43"/>
      <c r="TL43"/>
      <c r="TM43"/>
      <c r="TN43"/>
      <c r="TO43"/>
      <c r="TP43"/>
      <c r="TQ43"/>
      <c r="TR43"/>
      <c r="TS43"/>
      <c r="TT43"/>
      <c r="TU43"/>
      <c r="TV43"/>
      <c r="TW43"/>
      <c r="TX43"/>
    </row>
    <row r="44" spans="1:544" ht="17" x14ac:dyDescent="0.2">
      <c r="V44" s="10"/>
      <c r="W44" s="10"/>
      <c r="X44" s="10"/>
    </row>
    <row r="45" spans="1:544" ht="17" x14ac:dyDescent="0.2">
      <c r="V45" s="10"/>
      <c r="W45" s="10"/>
      <c r="X45" s="10"/>
    </row>
    <row r="46" spans="1:544" ht="17" x14ac:dyDescent="0.2">
      <c r="V46" s="10"/>
      <c r="W46" s="10"/>
      <c r="X46" s="10"/>
    </row>
    <row r="47" spans="1:544" ht="17" x14ac:dyDescent="0.2">
      <c r="V47" s="10"/>
      <c r="W47" s="10"/>
      <c r="X47" s="10"/>
    </row>
    <row r="48" spans="1:544" ht="17" x14ac:dyDescent="0.2">
      <c r="V48" s="10"/>
      <c r="W48" s="10"/>
      <c r="X48" s="10"/>
    </row>
    <row r="49" spans="22:24" ht="17" x14ac:dyDescent="0.2">
      <c r="V49" s="10"/>
      <c r="W49" s="10"/>
      <c r="X49" s="10"/>
    </row>
  </sheetData>
  <sheetProtection sheet="1" formatCells="0" formatColumns="0" formatRows="0"/>
  <autoFilter ref="A1:TV14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6:TV17">
      <sortCondition descending="1" ref="F1:F18"/>
    </sortState>
  </autoFilter>
  <mergeCells count="101"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S1:S3"/>
    <mergeCell ref="T1:T3"/>
    <mergeCell ref="U1:U3"/>
    <mergeCell ref="V1:V3"/>
    <mergeCell ref="W1:W3"/>
    <mergeCell ref="X1:X3"/>
    <mergeCell ref="M1:M3"/>
    <mergeCell ref="N1:N3"/>
    <mergeCell ref="O1:O3"/>
    <mergeCell ref="P1:P3"/>
    <mergeCell ref="Q1:Q3"/>
    <mergeCell ref="R1:R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DI2:DM2"/>
    <mergeCell ref="NP1:OW1"/>
    <mergeCell ref="OX1:QE1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JR2:JV2"/>
    <mergeCell ref="JW2:KA2"/>
    <mergeCell ref="KB2:KF2"/>
    <mergeCell ref="KG2:KK2"/>
    <mergeCell ref="KZ2:LD2"/>
    <mergeCell ref="LE2:LI2"/>
    <mergeCell ref="HL2:HP2"/>
    <mergeCell ref="HQ2:HU2"/>
    <mergeCell ref="IJ2:IN2"/>
    <mergeCell ref="IO2:IS2"/>
    <mergeCell ref="IT2:IX2"/>
    <mergeCell ref="IY2:JC2"/>
    <mergeCell ref="NP2:NT2"/>
    <mergeCell ref="NU2:NY2"/>
    <mergeCell ref="NZ2:OD2"/>
    <mergeCell ref="OE2:OI2"/>
    <mergeCell ref="OX2:PB2"/>
    <mergeCell ref="PC2:PG2"/>
    <mergeCell ref="LJ2:LN2"/>
    <mergeCell ref="LO2:LS2"/>
    <mergeCell ref="MH2:ML2"/>
    <mergeCell ref="MM2:MQ2"/>
    <mergeCell ref="MR2:MV2"/>
    <mergeCell ref="MW2:NA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H1:H1048576">
    <cfRule type="containsText" dxfId="747" priority="36" operator="containsText" text="No DD">
      <formula>NOT(ISERROR(SEARCH("No DD",H1)))</formula>
    </cfRule>
    <cfRule type="containsText" dxfId="746" priority="37" operator="containsText" text="Merit">
      <formula>NOT(ISERROR(SEARCH("Merit",H1)))</formula>
    </cfRule>
    <cfRule type="containsText" dxfId="745" priority="38" operator="containsText" text="Excellence">
      <formula>NOT(ISERROR(SEARCH("Excellence",H1)))</formula>
    </cfRule>
    <cfRule type="containsText" dxfId="744" priority="39" operator="containsText" text="Worlds Team">
      <formula>NOT(ISERROR(SEARCH("Worlds Team",H1)))</formula>
    </cfRule>
    <cfRule type="containsText" dxfId="743" priority="40" operator="containsText" text="National Team">
      <formula>NOT(ISERROR(SEARCH("National Team",H1)))</formula>
    </cfRule>
  </conditionalFormatting>
  <conditionalFormatting sqref="A4:A1048576">
    <cfRule type="expression" dxfId="591" priority="41">
      <formula>IF(A4&gt;8,1,0)</formula>
    </cfRule>
    <cfRule type="expression" dxfId="592" priority="1">
      <formula>AND(G4&lt;&gt;"",F4="")</formula>
    </cfRule>
  </conditionalFormatting>
  <conditionalFormatting sqref="Y4:AY17">
    <cfRule type="expression" dxfId="742" priority="42" stopIfTrue="1">
      <formula>IF($AN4&lt;&gt;"",1,0)</formula>
    </cfRule>
  </conditionalFormatting>
  <conditionalFormatting sqref="AZ4:BZ17">
    <cfRule type="expression" dxfId="741" priority="35" stopIfTrue="1">
      <formula>IF($BO4&lt;&gt;"",1,0)</formula>
    </cfRule>
  </conditionalFormatting>
  <conditionalFormatting sqref="CA4:DA17">
    <cfRule type="expression" dxfId="740" priority="34" stopIfTrue="1">
      <formula>IF($CP4&lt;&gt;"",1,0)</formula>
    </cfRule>
  </conditionalFormatting>
  <conditionalFormatting sqref="BW28:BW1048576 BP1:BP1048576 BS1:BS1048576 BW1:BW26">
    <cfRule type="cellIs" dxfId="739" priority="47" operator="between">
      <formula>$BZ$23</formula>
      <formula>1000</formula>
    </cfRule>
    <cfRule type="cellIs" dxfId="738" priority="48" operator="between">
      <formula>$BZ$22</formula>
      <formula>$BZ$23</formula>
    </cfRule>
    <cfRule type="cellIs" dxfId="737" priority="49" operator="between">
      <formula>$BZ$21</formula>
      <formula>$BZ$22</formula>
    </cfRule>
    <cfRule type="cellIs" dxfId="736" priority="50" operator="between">
      <formula>$BZ$20</formula>
      <formula>$BZ$21</formula>
    </cfRule>
  </conditionalFormatting>
  <conditionalFormatting sqref="CX28:CX1048576 CQ1:CQ1048576 CT1:CT1048576 CX1:CX26">
    <cfRule type="cellIs" dxfId="735" priority="43" operator="between">
      <formula>$DA$23</formula>
      <formula>1000</formula>
    </cfRule>
    <cfRule type="cellIs" dxfId="734" priority="44" operator="between">
      <formula>$DA$22</formula>
      <formula>$DA$23</formula>
    </cfRule>
    <cfRule type="cellIs" dxfId="733" priority="45" operator="between">
      <formula>$DA$21</formula>
      <formula>$DA$22</formula>
    </cfRule>
    <cfRule type="cellIs" dxfId="732" priority="46" operator="between">
      <formula>$DA$20</formula>
      <formula>$DA$21</formula>
    </cfRule>
  </conditionalFormatting>
  <conditionalFormatting sqref="EH28:EH1048576 DX1:DX1048576 EA1:EA1048576 EE1:EE1048576 EH1:EH26">
    <cfRule type="cellIs" dxfId="731" priority="54" operator="between">
      <formula>$EK$23</formula>
      <formula>1000</formula>
    </cfRule>
    <cfRule type="cellIs" dxfId="730" priority="55" operator="between">
      <formula>$EK$22</formula>
      <formula>$EK$23</formula>
    </cfRule>
    <cfRule type="cellIs" dxfId="729" priority="56" operator="between">
      <formula>$EK$21</formula>
      <formula>$EK$22</formula>
    </cfRule>
    <cfRule type="cellIs" dxfId="728" priority="57" operator="between">
      <formula>$EK$20</formula>
      <formula>$EK$21</formula>
    </cfRule>
  </conditionalFormatting>
  <conditionalFormatting sqref="FP28:FP1048576 FF1:FF1048576 FI1:FI1048576 FM1:FM1048576 FP1:FP26">
    <cfRule type="cellIs" dxfId="727" priority="30" operator="between">
      <formula>$FS$23</formula>
      <formula>1000</formula>
    </cfRule>
    <cfRule type="cellIs" dxfId="726" priority="31" operator="between">
      <formula>$FS$22</formula>
      <formula>$FS$23</formula>
    </cfRule>
    <cfRule type="cellIs" dxfId="725" priority="32" operator="between">
      <formula>$FS$21</formula>
      <formula>$FS$22</formula>
    </cfRule>
    <cfRule type="cellIs" dxfId="724" priority="33" operator="between">
      <formula>$FS$20</formula>
      <formula>$FS$21</formula>
    </cfRule>
  </conditionalFormatting>
  <conditionalFormatting sqref="IF28:IF1048576 HV1:HV1048576 HY1:HY1048576 IC1:IC1048576 IF1:IF26">
    <cfRule type="cellIs" dxfId="723" priority="26" operator="between">
      <formula>$II$23</formula>
      <formula>1000</formula>
    </cfRule>
    <cfRule type="cellIs" dxfId="722" priority="27" operator="between">
      <formula>$II$22</formula>
      <formula>$II$23</formula>
    </cfRule>
    <cfRule type="cellIs" dxfId="721" priority="28" operator="between">
      <formula>$II$21</formula>
      <formula>$II$22</formula>
    </cfRule>
    <cfRule type="cellIs" dxfId="720" priority="29" operator="between">
      <formula>$II$20</formula>
      <formula>$II$21</formula>
    </cfRule>
  </conditionalFormatting>
  <conditionalFormatting sqref="AW27 AO1:AO1048576 AR1:AR1048576 AV1:AV1048576">
    <cfRule type="cellIs" dxfId="719" priority="22" operator="between">
      <formula>$AY$23</formula>
      <formula>1000</formula>
    </cfRule>
    <cfRule type="cellIs" dxfId="718" priority="23" operator="between">
      <formula>$AY$22</formula>
      <formula>$AY$23</formula>
    </cfRule>
    <cfRule type="cellIs" dxfId="717" priority="24" operator="between">
      <formula>$AY$21</formula>
      <formula>$AY$22</formula>
    </cfRule>
    <cfRule type="cellIs" dxfId="716" priority="25" operator="between">
      <formula>$AY$20</formula>
      <formula>$AY$21</formula>
    </cfRule>
  </conditionalFormatting>
  <conditionalFormatting sqref="BW27">
    <cfRule type="cellIs" dxfId="715" priority="18" operator="between">
      <formula>$AY$23</formula>
      <formula>1000</formula>
    </cfRule>
    <cfRule type="cellIs" dxfId="714" priority="19" operator="between">
      <formula>$AY$22</formula>
      <formula>$AY$23</formula>
    </cfRule>
    <cfRule type="cellIs" dxfId="713" priority="20" operator="between">
      <formula>$AY$21</formula>
      <formula>$AY$22</formula>
    </cfRule>
    <cfRule type="cellIs" dxfId="712" priority="21" operator="between">
      <formula>$AY$20</formula>
      <formula>$AY$21</formula>
    </cfRule>
  </conditionalFormatting>
  <conditionalFormatting sqref="CX27">
    <cfRule type="cellIs" dxfId="711" priority="14" operator="between">
      <formula>$AY$23</formula>
      <formula>1000</formula>
    </cfRule>
    <cfRule type="cellIs" dxfId="710" priority="15" operator="between">
      <formula>$AY$22</formula>
      <formula>$AY$23</formula>
    </cfRule>
    <cfRule type="cellIs" dxfId="709" priority="16" operator="between">
      <formula>$AY$21</formula>
      <formula>$AY$22</formula>
    </cfRule>
    <cfRule type="cellIs" dxfId="708" priority="17" operator="between">
      <formula>$AY$20</formula>
      <formula>$AY$21</formula>
    </cfRule>
  </conditionalFormatting>
  <conditionalFormatting sqref="EH27">
    <cfRule type="cellIs" dxfId="707" priority="10" operator="between">
      <formula>$AY$23</formula>
      <formula>1000</formula>
    </cfRule>
    <cfRule type="cellIs" dxfId="706" priority="11" operator="between">
      <formula>$AY$22</formula>
      <formula>$AY$23</formula>
    </cfRule>
    <cfRule type="cellIs" dxfId="705" priority="12" operator="between">
      <formula>$AY$21</formula>
      <formula>$AY$22</formula>
    </cfRule>
    <cfRule type="cellIs" dxfId="704" priority="13" operator="between">
      <formula>$AY$20</formula>
      <formula>$AY$21</formula>
    </cfRule>
  </conditionalFormatting>
  <conditionalFormatting sqref="FP27">
    <cfRule type="cellIs" dxfId="703" priority="6" operator="between">
      <formula>$AY$23</formula>
      <formula>1000</formula>
    </cfRule>
    <cfRule type="cellIs" dxfId="702" priority="7" operator="between">
      <formula>$AY$22</formula>
      <formula>$AY$23</formula>
    </cfRule>
    <cfRule type="cellIs" dxfId="701" priority="8" operator="between">
      <formula>$AY$21</formula>
      <formula>$AY$22</formula>
    </cfRule>
    <cfRule type="cellIs" dxfId="700" priority="9" operator="between">
      <formula>$AY$20</formula>
      <formula>$AY$21</formula>
    </cfRule>
  </conditionalFormatting>
  <conditionalFormatting sqref="IF27">
    <cfRule type="cellIs" dxfId="699" priority="2" operator="between">
      <formula>$AY$23</formula>
      <formula>1000</formula>
    </cfRule>
    <cfRule type="cellIs" dxfId="698" priority="3" operator="between">
      <formula>$AY$22</formula>
      <formula>$AY$23</formula>
    </cfRule>
    <cfRule type="cellIs" dxfId="697" priority="4" operator="between">
      <formula>$AY$21</formula>
      <formula>$AY$22</formula>
    </cfRule>
    <cfRule type="cellIs" dxfId="696" priority="5" operator="between">
      <formula>$AY$20</formula>
      <formula>$AY$21</formula>
    </cfRule>
  </conditionalFormatting>
  <conditionalFormatting sqref="CV1:CV1048576 AT1:AT1048576">
    <cfRule type="cellIs" dxfId="695" priority="73223" operator="between">
      <formula>AY$27</formula>
      <formula>1000</formula>
    </cfRule>
    <cfRule type="cellIs" dxfId="694" priority="73224" operator="between">
      <formula>AY$26</formula>
      <formula>AY$27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693" priority="73235" operator="between">
      <formula>EK$27</formula>
      <formula>1000</formula>
    </cfRule>
    <cfRule type="cellIs" dxfId="692" priority="73236" operator="between">
      <formula>EK$26</formula>
      <formula>EK$27</formula>
    </cfRule>
  </conditionalFormatting>
  <conditionalFormatting sqref="AQ1:AQ1048576 AT1:AT1048576 AX1:AX1048576">
    <cfRule type="cellIs" dxfId="691" priority="73307" operator="between">
      <formula>$AY$27</formula>
      <formula>1000</formula>
    </cfRule>
    <cfRule type="cellIs" dxfId="690" priority="73308" operator="between">
      <formula>$AY$26</formula>
      <formula>$AY$27</formula>
    </cfRule>
    <cfRule type="cellIs" dxfId="689" priority="73309" operator="between">
      <formula>$AY$25</formula>
      <formula>$AY$26</formula>
    </cfRule>
    <cfRule type="cellIs" dxfId="688" priority="73310" operator="between">
      <formula>$AY$24</formula>
      <formula>$AY$25</formula>
    </cfRule>
  </conditionalFormatting>
  <conditionalFormatting sqref="BR1:BR1048576 BU1:BU1048576 BY1:BY1048576">
    <cfRule type="cellIs" dxfId="687" priority="73343" operator="between">
      <formula>$BZ$27</formula>
      <formula>1000</formula>
    </cfRule>
    <cfRule type="cellIs" dxfId="686" priority="73344" operator="between">
      <formula>$BZ$26</formula>
      <formula>$BZ$27</formula>
    </cfRule>
    <cfRule type="cellIs" dxfId="685" priority="73345" operator="between">
      <formula>$BZ$25</formula>
      <formula>$BZ$26</formula>
    </cfRule>
    <cfRule type="cellIs" dxfId="684" priority="73346" operator="between">
      <formula>$BZ$24</formula>
      <formula>$BZ$25</formula>
    </cfRule>
  </conditionalFormatting>
  <conditionalFormatting sqref="CS1:CS1048576 CV1:CV1048576 CZ1:CZ1048576">
    <cfRule type="cellIs" dxfId="683" priority="73379" operator="between">
      <formula>$DA$27</formula>
      <formula>1000</formula>
    </cfRule>
    <cfRule type="cellIs" dxfId="682" priority="73380" operator="between">
      <formula>$DA$26</formula>
      <formula>$DA$27</formula>
    </cfRule>
    <cfRule type="cellIs" dxfId="681" priority="73381" operator="between">
      <formula>$DA$25</formula>
      <formula>$DA$26</formula>
    </cfRule>
    <cfRule type="cellIs" dxfId="680" priority="73382" operator="between">
      <formula>$DA$24</formula>
      <formula>$DA$25</formula>
    </cfRule>
  </conditionalFormatting>
  <conditionalFormatting sqref="NB1:NB1048576 NE1:NE1048576 NI1:NI1048576 NL1:NL1048576">
    <cfRule type="cellIs" dxfId="679" priority="73415" operator="between">
      <formula>$NO$20</formula>
      <formula>$NO$21</formula>
    </cfRule>
  </conditionalFormatting>
  <conditionalFormatting sqref="DZ1:DZ1048576 EC1:EC1048576 EG1:EG1048576 EJ1:EJ1048576">
    <cfRule type="cellIs" dxfId="678" priority="73427" operator="between">
      <formula>$EK$27</formula>
      <formula>1000</formula>
    </cfRule>
    <cfRule type="cellIs" dxfId="677" priority="73428" operator="between">
      <formula>$EK$26</formula>
      <formula>$EK$27</formula>
    </cfRule>
    <cfRule type="cellIs" dxfId="676" priority="73429" operator="between">
      <formula>$EK$25</formula>
      <formula>$EK$26</formula>
    </cfRule>
    <cfRule type="cellIs" dxfId="675" priority="73430" operator="between">
      <formula>$EK$24</formula>
      <formula>$EK$25</formula>
    </cfRule>
  </conditionalFormatting>
  <conditionalFormatting sqref="FH1:FH1048576 FK1:FK1048576 FO1:FO1048576 FR1:FR1048576">
    <cfRule type="cellIs" dxfId="674" priority="73475" operator="between">
      <formula>$FS$27</formula>
      <formula>1000</formula>
    </cfRule>
    <cfRule type="cellIs" dxfId="673" priority="73476" operator="between">
      <formula>$FS$26</formula>
      <formula>$FS$27</formula>
    </cfRule>
    <cfRule type="cellIs" dxfId="672" priority="73477" operator="between">
      <formula>$FS$25</formula>
      <formula>$FS$26</formula>
    </cfRule>
    <cfRule type="cellIs" dxfId="671" priority="73478" operator="between">
      <formula>$FS$24</formula>
      <formula>$FS$25</formula>
    </cfRule>
  </conditionalFormatting>
  <conditionalFormatting sqref="GN1:GN1048576 GQ1:GQ1048576 GU1:GU1048576 GX1:GX1048576">
    <cfRule type="cellIs" dxfId="670" priority="73523" operator="between">
      <formula>$HA$23</formula>
      <formula>1000</formula>
    </cfRule>
    <cfRule type="cellIs" dxfId="669" priority="73524" operator="between">
      <formula>$HA$22</formula>
      <formula>$HA$23</formula>
    </cfRule>
    <cfRule type="cellIs" dxfId="668" priority="73525" operator="between">
      <formula>$HA$21</formula>
      <formula>$HA$22</formula>
    </cfRule>
    <cfRule type="cellIs" dxfId="667" priority="73526" operator="between">
      <formula>$HA$20</formula>
      <formula>$HA$21</formula>
    </cfRule>
  </conditionalFormatting>
  <conditionalFormatting sqref="GP1:GP1048576 GS1:GS1048576 GW1:GW1048576 GZ1:GZ1048576">
    <cfRule type="cellIs" dxfId="666" priority="73571" operator="between">
      <formula>$HA$27</formula>
      <formula>1000</formula>
    </cfRule>
    <cfRule type="cellIs" dxfId="665" priority="73572" operator="between">
      <formula>$HA$26</formula>
      <formula>$HA$27</formula>
    </cfRule>
    <cfRule type="cellIs" dxfId="664" priority="73573" operator="between">
      <formula>$HA$25</formula>
      <formula>$HA$26</formula>
    </cfRule>
    <cfRule type="cellIs" dxfId="663" priority="73574" operator="between">
      <formula>$HA$24</formula>
      <formula>$HA$25</formula>
    </cfRule>
  </conditionalFormatting>
  <conditionalFormatting sqref="HX1:HX1048576 IA1:IA1048576 IE1:IE1048576 IH1:IH1048576">
    <cfRule type="cellIs" dxfId="662" priority="73619" operator="between">
      <formula>$II$27</formula>
      <formula>1000</formula>
    </cfRule>
    <cfRule type="cellIs" dxfId="661" priority="73620" operator="between">
      <formula>$II$26</formula>
      <formula>$II$27</formula>
    </cfRule>
    <cfRule type="cellIs" dxfId="660" priority="73621" operator="between">
      <formula>$II$25</formula>
      <formula>$II$26</formula>
    </cfRule>
    <cfRule type="cellIs" dxfId="659" priority="73622" operator="between">
      <formula>$II$24</formula>
      <formula>$II$25</formula>
    </cfRule>
  </conditionalFormatting>
  <conditionalFormatting sqref="JD1:JD1048576 JG1:JG1048576 JK1:JK1048576 JN1:JN1048576">
    <cfRule type="cellIs" dxfId="658" priority="73667" operator="between">
      <formula>$JQ$23</formula>
      <formula>1000</formula>
    </cfRule>
    <cfRule type="cellIs" dxfId="657" priority="73668" operator="between">
      <formula>$JQ$22</formula>
      <formula>$JQ$23</formula>
    </cfRule>
    <cfRule type="cellIs" dxfId="656" priority="73669" operator="between">
      <formula>$JQ$21</formula>
      <formula>$JQ$22</formula>
    </cfRule>
    <cfRule type="cellIs" dxfId="655" priority="73670" operator="between">
      <formula>$JQ$20</formula>
      <formula>$JQ$21</formula>
    </cfRule>
  </conditionalFormatting>
  <conditionalFormatting sqref="JF1:JF1048576 JI1:JI1048576 JM1:JM1048576 JP1:JP1048576">
    <cfRule type="cellIs" dxfId="654" priority="73715" operator="between">
      <formula>$JQ$27</formula>
      <formula>1000</formula>
    </cfRule>
    <cfRule type="cellIs" dxfId="653" priority="73716" operator="between">
      <formula>$JQ$26</formula>
      <formula>$JQ$27</formula>
    </cfRule>
    <cfRule type="cellIs" dxfId="652" priority="73717" operator="between">
      <formula>$JQ$25</formula>
      <formula>$JQ$26</formula>
    </cfRule>
    <cfRule type="cellIs" dxfId="651" priority="73718" operator="between">
      <formula>$JQ$24</formula>
      <formula>$JQ$25</formula>
    </cfRule>
  </conditionalFormatting>
  <conditionalFormatting sqref="KL1:KL1048576 KO1:KO1048576 KS1:KS1048576 KV1:KV1048576">
    <cfRule type="cellIs" dxfId="650" priority="73763" operator="between">
      <formula>$KY$23</formula>
      <formula>1000</formula>
    </cfRule>
    <cfRule type="cellIs" dxfId="649" priority="73764" operator="between">
      <formula>$KY$22</formula>
      <formula>$KY$23</formula>
    </cfRule>
    <cfRule type="cellIs" dxfId="648" priority="73765" operator="between">
      <formula>$KY$21</formula>
      <formula>$KY$22</formula>
    </cfRule>
    <cfRule type="cellIs" dxfId="647" priority="73766" operator="between">
      <formula>$KY$20</formula>
      <formula>$KY$21</formula>
    </cfRule>
  </conditionalFormatting>
  <conditionalFormatting sqref="KN1:KN1048576 KQ1:KQ1048576 KU1:KU1048576 KX1:KX1048576">
    <cfRule type="cellIs" dxfId="646" priority="73811" operator="between">
      <formula>$KY$27</formula>
      <formula>1000</formula>
    </cfRule>
    <cfRule type="cellIs" dxfId="645" priority="73812" operator="between">
      <formula>$KY$26</formula>
      <formula>$KY$27</formula>
    </cfRule>
    <cfRule type="cellIs" dxfId="644" priority="73813" operator="between">
      <formula>$KY$25</formula>
      <formula>$KY$26</formula>
    </cfRule>
    <cfRule type="cellIs" dxfId="643" priority="73814" operator="between">
      <formula>$KY$24</formula>
      <formula>$KY$25</formula>
    </cfRule>
  </conditionalFormatting>
  <conditionalFormatting sqref="LT1:LT1048576 LW1:LW1048576 MA1:MA1048576 MD1:MD1048576">
    <cfRule type="cellIs" dxfId="642" priority="73859" operator="between">
      <formula>$MG$23</formula>
      <formula>1000</formula>
    </cfRule>
    <cfRule type="cellIs" dxfId="641" priority="73860" operator="between">
      <formula>$MG$22</formula>
      <formula>$MG$23</formula>
    </cfRule>
    <cfRule type="cellIs" dxfId="640" priority="73861" operator="between">
      <formula>$MG$21</formula>
      <formula>$MG$22</formula>
    </cfRule>
    <cfRule type="cellIs" dxfId="639" priority="73862" operator="between">
      <formula>$MG$20</formula>
      <formula>$MG$21</formula>
    </cfRule>
  </conditionalFormatting>
  <conditionalFormatting sqref="LV1:LV1048576 LY1:LY1048576 MC1:MC1048576 MF1:MF1048576">
    <cfRule type="cellIs" dxfId="638" priority="73907" operator="between">
      <formula>$MG$27</formula>
      <formula>1000</formula>
    </cfRule>
    <cfRule type="cellIs" dxfId="637" priority="73908" operator="between">
      <formula>$MG$26</formula>
      <formula>$MG$27</formula>
    </cfRule>
    <cfRule type="cellIs" dxfId="636" priority="73909" operator="between">
      <formula>$MG$25</formula>
      <formula>$MG$26</formula>
    </cfRule>
    <cfRule type="cellIs" dxfId="635" priority="73910" operator="between">
      <formula>$MG$24</formula>
      <formula>$MG$25</formula>
    </cfRule>
  </conditionalFormatting>
  <conditionalFormatting sqref="NB1:NB1048576 NE1:NE1048576 NI1:NI1048576">
    <cfRule type="cellIs" dxfId="634" priority="73955" operator="between">
      <formula>$NO$23</formula>
      <formula>1000</formula>
    </cfRule>
    <cfRule type="cellIs" dxfId="633" priority="73956" operator="between">
      <formula>$NO$22</formula>
      <formula>$NO$23</formula>
    </cfRule>
    <cfRule type="cellIs" dxfId="632" priority="73957" operator="between">
      <formula>$NO$21</formula>
      <formula>$NO$22</formula>
    </cfRule>
  </conditionalFormatting>
  <conditionalFormatting sqref="ND1:ND1048576 NG1:NG1048576 NK1:NK1048576 NN1:NN1048576">
    <cfRule type="cellIs" dxfId="631" priority="73982" operator="between">
      <formula>$NO$27</formula>
      <formula>1000</formula>
    </cfRule>
    <cfRule type="cellIs" dxfId="630" priority="73983" operator="between">
      <formula>$NO$26</formula>
      <formula>$NO$27</formula>
    </cfRule>
    <cfRule type="cellIs" dxfId="629" priority="73984" operator="between">
      <formula>$NO$25</formula>
      <formula>$NO$26</formula>
    </cfRule>
    <cfRule type="cellIs" dxfId="628" priority="73985" operator="between">
      <formula>$NO$24</formula>
      <formula>$NO$25</formula>
    </cfRule>
  </conditionalFormatting>
  <conditionalFormatting sqref="OJ1:OJ1048576 OM1:OM1048576 OQ1:OQ1048576 OT1:OT1048576">
    <cfRule type="cellIs" dxfId="627" priority="74030" operator="between">
      <formula>$OW$23</formula>
      <formula>1000</formula>
    </cfRule>
    <cfRule type="cellIs" dxfId="626" priority="74031" operator="between">
      <formula>$OW$22</formula>
      <formula>$OW$23</formula>
    </cfRule>
    <cfRule type="cellIs" dxfId="625" priority="74032" operator="between">
      <formula>$OW$21</formula>
      <formula>$OW$22</formula>
    </cfRule>
    <cfRule type="cellIs" dxfId="624" priority="74033" operator="between">
      <formula>$OW$20</formula>
      <formula>$OW$21</formula>
    </cfRule>
  </conditionalFormatting>
  <conditionalFormatting sqref="OL1:OL1048576 OO1:OO1048576 OS1:OS1048576 OV1:OV1048576">
    <cfRule type="cellIs" dxfId="623" priority="74078" operator="between">
      <formula>$OW$27</formula>
      <formula>1000</formula>
    </cfRule>
    <cfRule type="cellIs" dxfId="622" priority="74079" operator="between">
      <formula>$OW$26</formula>
      <formula>$OW$27</formula>
    </cfRule>
    <cfRule type="cellIs" dxfId="621" priority="74080" operator="between">
      <formula>$OW$25</formula>
      <formula>$OW$26</formula>
    </cfRule>
    <cfRule type="cellIs" dxfId="620" priority="74081" operator="between">
      <formula>$OW$24</formula>
      <formula>$OW$25</formula>
    </cfRule>
  </conditionalFormatting>
  <conditionalFormatting sqref="PR1:PR1048576 PU1:PU1048576 PY1:PY1048576 QB1:QB1048576">
    <cfRule type="cellIs" dxfId="619" priority="74126" operator="between">
      <formula>$QE$23</formula>
      <formula>1000</formula>
    </cfRule>
    <cfRule type="cellIs" dxfId="618" priority="74127" operator="between">
      <formula>$QE$22</formula>
      <formula>$QE$23</formula>
    </cfRule>
    <cfRule type="cellIs" dxfId="617" priority="74128" operator="between">
      <formula>$QE$21</formula>
      <formula>$QE$22</formula>
    </cfRule>
    <cfRule type="cellIs" dxfId="616" priority="74129" operator="between">
      <formula>$QE$20</formula>
      <formula>$QE$21</formula>
    </cfRule>
  </conditionalFormatting>
  <conditionalFormatting sqref="PT1:PT1048576 PW1:PW1048576 QA1:QA1048576 QD1:QD1048576">
    <cfRule type="cellIs" dxfId="615" priority="74174" operator="between">
      <formula>$QE$27</formula>
      <formula>1000</formula>
    </cfRule>
    <cfRule type="cellIs" dxfId="614" priority="74175" operator="between">
      <formula>$QE$26</formula>
      <formula>$QE$27</formula>
    </cfRule>
    <cfRule type="cellIs" dxfId="613" priority="74176" operator="between">
      <formula>$QE$25</formula>
      <formula>$QE$26</formula>
    </cfRule>
    <cfRule type="cellIs" dxfId="612" priority="74177" operator="between">
      <formula>$QE$24</formula>
      <formula>$QE$25</formula>
    </cfRule>
  </conditionalFormatting>
  <conditionalFormatting sqref="QZ1:QZ1048576 RC1:RC1048576 RG1:RG1048576 RJ1:RJ1048576">
    <cfRule type="cellIs" dxfId="611" priority="74222" operator="between">
      <formula>$RM$23</formula>
      <formula>1000</formula>
    </cfRule>
    <cfRule type="cellIs" dxfId="610" priority="74223" operator="between">
      <formula>$RM$22</formula>
      <formula>$RM$23</formula>
    </cfRule>
    <cfRule type="cellIs" dxfId="609" priority="74224" operator="between">
      <formula>$RM$21</formula>
      <formula>$RM$22</formula>
    </cfRule>
    <cfRule type="cellIs" dxfId="608" priority="74225" operator="between">
      <formula>$RM$20</formula>
      <formula>$RM$21</formula>
    </cfRule>
  </conditionalFormatting>
  <conditionalFormatting sqref="RB1:RB1048576 RE1:RE1048576 RI1:RI1048576 RL1:RL1048576">
    <cfRule type="cellIs" dxfId="607" priority="74270" operator="between">
      <formula>$RM$27</formula>
      <formula>1000</formula>
    </cfRule>
    <cfRule type="cellIs" dxfId="606" priority="74271" operator="between">
      <formula>$RM$26</formula>
      <formula>$RM$27</formula>
    </cfRule>
    <cfRule type="cellIs" dxfId="605" priority="74272" operator="between">
      <formula>$RM$25</formula>
      <formula>$RM$26</formula>
    </cfRule>
    <cfRule type="cellIs" dxfId="604" priority="74273" operator="between">
      <formula>$RM$24</formula>
      <formula>$RM$25</formula>
    </cfRule>
  </conditionalFormatting>
  <conditionalFormatting sqref="SH1:SH1048576 SK1:SK1048576 SO1:SO1048576 SR1:SR1048576">
    <cfRule type="cellIs" dxfId="603" priority="74318" operator="between">
      <formula>$SU$23</formula>
      <formula>1000</formula>
    </cfRule>
    <cfRule type="cellIs" dxfId="602" priority="74319" operator="between">
      <formula>$SU$22</formula>
      <formula>$SU$23</formula>
    </cfRule>
    <cfRule type="cellIs" dxfId="601" priority="74320" operator="between">
      <formula>$SU$21</formula>
      <formula>$SU$22</formula>
    </cfRule>
    <cfRule type="cellIs" dxfId="600" priority="74321" operator="between">
      <formula>$SU$20</formula>
      <formula>$SU$21</formula>
    </cfRule>
  </conditionalFormatting>
  <conditionalFormatting sqref="SJ1:SJ1048576 SM1:SM1048576 SQ1:SQ1048576 ST1:ST1048576">
    <cfRule type="cellIs" dxfId="599" priority="74366" operator="between">
      <formula>$SU$27</formula>
      <formula>1000</formula>
    </cfRule>
    <cfRule type="cellIs" dxfId="598" priority="74367" operator="between">
      <formula>$SU$26</formula>
      <formula>$SU$27</formula>
    </cfRule>
    <cfRule type="cellIs" dxfId="597" priority="74368" operator="between">
      <formula>$SU$25</formula>
      <formula>$SU$26</formula>
    </cfRule>
    <cfRule type="cellIs" dxfId="596" priority="74369" operator="between">
      <formula>$SU$24</formula>
      <formula>$SU$25</formula>
    </cfRule>
  </conditionalFormatting>
  <conditionalFormatting sqref="K1:K1048576 M1:M1048576 O1:O1048576 Q1:Q1048576 S1:S1048576 U1:U1048576">
    <cfRule type="expression" dxfId="595" priority="51">
      <formula>IF(K1=$CA$1,1,0)</formula>
    </cfRule>
    <cfRule type="expression" dxfId="594" priority="52" stopIfTrue="1">
      <formula>IF(K1=$AZ$1,1,0)</formula>
    </cfRule>
    <cfRule type="expression" dxfId="593" priority="53">
      <formula>IF(K1=$Y$1,1,0)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9C473-9D8E-AB4D-B4A3-4790997227E5}">
  <sheetPr codeName="Sheet2"/>
  <dimension ref="A1:TP48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73" width="10.83203125" customWidth="1"/>
    <col min="474" max="534" width="10.83203125" hidden="1" customWidth="1"/>
  </cols>
  <sheetData>
    <row r="1" spans="1:534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6" t="s">
        <v>11</v>
      </c>
      <c r="H1" s="66" t="s">
        <v>12</v>
      </c>
      <c r="I1" s="66" t="s">
        <v>89</v>
      </c>
      <c r="J1" s="72" t="s">
        <v>113</v>
      </c>
      <c r="K1" s="68" t="s">
        <v>33</v>
      </c>
      <c r="L1" s="72" t="s">
        <v>182</v>
      </c>
      <c r="M1" s="68" t="s">
        <v>33</v>
      </c>
      <c r="N1" s="71" t="s">
        <v>14</v>
      </c>
      <c r="O1" s="68" t="s">
        <v>34</v>
      </c>
      <c r="P1" s="68" t="s">
        <v>33</v>
      </c>
      <c r="Q1" s="69" t="s">
        <v>183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220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237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14</v>
      </c>
      <c r="CU1" s="75"/>
      <c r="CV1" s="69" t="s">
        <v>178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205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204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213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 t="s">
        <v>219</v>
      </c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 t="s">
        <v>232</v>
      </c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 t="s">
        <v>243</v>
      </c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 t="s">
        <v>244</v>
      </c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 t="s">
        <v>249</v>
      </c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 t="s">
        <v>247</v>
      </c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 t="s">
        <v>254</v>
      </c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 t="s">
        <v>68</v>
      </c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</row>
    <row r="2" spans="1:534" ht="16" customHeight="1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19</v>
      </c>
      <c r="R2" s="70"/>
      <c r="S2" s="70"/>
      <c r="T2" s="70"/>
      <c r="U2" s="70"/>
      <c r="V2" s="70" t="s">
        <v>20</v>
      </c>
      <c r="W2" s="70"/>
      <c r="X2" s="70"/>
      <c r="Y2" s="70"/>
      <c r="Z2" s="70"/>
      <c r="AA2" s="70" t="s">
        <v>23</v>
      </c>
      <c r="AB2" s="70"/>
      <c r="AC2" s="70"/>
      <c r="AD2" s="70"/>
      <c r="AE2" s="70"/>
      <c r="AF2" s="14"/>
      <c r="AG2" s="14" t="s">
        <v>105</v>
      </c>
      <c r="AH2" s="14" t="s">
        <v>144</v>
      </c>
      <c r="AI2" s="14" t="s">
        <v>21</v>
      </c>
      <c r="AJ2" s="14" t="s">
        <v>81</v>
      </c>
      <c r="AK2" s="14" t="s">
        <v>143</v>
      </c>
      <c r="AL2" s="14" t="s">
        <v>22</v>
      </c>
      <c r="AM2" s="14" t="s">
        <v>24</v>
      </c>
      <c r="AN2" s="14" t="s">
        <v>108</v>
      </c>
      <c r="AO2" s="14" t="s">
        <v>145</v>
      </c>
      <c r="AP2" s="14" t="s">
        <v>23</v>
      </c>
      <c r="AQ2" s="14" t="s">
        <v>18</v>
      </c>
      <c r="AR2" s="73" t="s">
        <v>19</v>
      </c>
      <c r="AS2" s="73"/>
      <c r="AT2" s="73"/>
      <c r="AU2" s="73"/>
      <c r="AV2" s="73"/>
      <c r="AW2" s="73" t="s">
        <v>20</v>
      </c>
      <c r="AX2" s="73"/>
      <c r="AY2" s="73"/>
      <c r="AZ2" s="73"/>
      <c r="BA2" s="73"/>
      <c r="BB2" s="73" t="s">
        <v>23</v>
      </c>
      <c r="BC2" s="73"/>
      <c r="BD2" s="73"/>
      <c r="BE2" s="73"/>
      <c r="BF2" s="73"/>
      <c r="BG2" s="13"/>
      <c r="BH2" s="13" t="s">
        <v>105</v>
      </c>
      <c r="BI2" s="13" t="s">
        <v>144</v>
      </c>
      <c r="BJ2" s="13" t="s">
        <v>21</v>
      </c>
      <c r="BK2" s="13" t="s">
        <v>81</v>
      </c>
      <c r="BL2" s="13" t="s">
        <v>143</v>
      </c>
      <c r="BM2" s="13" t="s">
        <v>22</v>
      </c>
      <c r="BN2" s="13" t="s">
        <v>24</v>
      </c>
      <c r="BO2" s="13" t="s">
        <v>108</v>
      </c>
      <c r="BP2" s="13" t="s">
        <v>145</v>
      </c>
      <c r="BQ2" s="13" t="s">
        <v>23</v>
      </c>
      <c r="BR2" s="13" t="s">
        <v>18</v>
      </c>
      <c r="BS2" s="70" t="s">
        <v>19</v>
      </c>
      <c r="BT2" s="70"/>
      <c r="BU2" s="70"/>
      <c r="BV2" s="70"/>
      <c r="BW2" s="70"/>
      <c r="BX2" s="70" t="s">
        <v>20</v>
      </c>
      <c r="BY2" s="70"/>
      <c r="BZ2" s="70"/>
      <c r="CA2" s="70"/>
      <c r="CB2" s="70"/>
      <c r="CC2" s="70" t="s">
        <v>23</v>
      </c>
      <c r="CD2" s="70"/>
      <c r="CE2" s="70"/>
      <c r="CF2" s="70"/>
      <c r="CG2" s="70"/>
      <c r="CH2" s="14"/>
      <c r="CI2" s="14" t="s">
        <v>105</v>
      </c>
      <c r="CJ2" s="14" t="s">
        <v>144</v>
      </c>
      <c r="CK2" s="14" t="s">
        <v>21</v>
      </c>
      <c r="CL2" s="14" t="s">
        <v>81</v>
      </c>
      <c r="CM2" s="14" t="s">
        <v>143</v>
      </c>
      <c r="CN2" s="14" t="s">
        <v>22</v>
      </c>
      <c r="CO2" s="14" t="s">
        <v>24</v>
      </c>
      <c r="CP2" s="14" t="s">
        <v>108</v>
      </c>
      <c r="CQ2" s="14" t="s">
        <v>145</v>
      </c>
      <c r="CR2" s="14" t="s">
        <v>23</v>
      </c>
      <c r="CS2" s="14" t="s">
        <v>18</v>
      </c>
      <c r="CT2" s="51" t="s">
        <v>24</v>
      </c>
      <c r="CU2" s="51" t="s">
        <v>23</v>
      </c>
      <c r="CV2" s="70" t="s">
        <v>19</v>
      </c>
      <c r="CW2" s="70"/>
      <c r="CX2" s="70"/>
      <c r="CY2" s="70"/>
      <c r="CZ2" s="70"/>
      <c r="DA2" s="70" t="s">
        <v>20</v>
      </c>
      <c r="DB2" s="70"/>
      <c r="DC2" s="70"/>
      <c r="DD2" s="70"/>
      <c r="DE2" s="70"/>
      <c r="DF2" s="70" t="s">
        <v>110</v>
      </c>
      <c r="DG2" s="70"/>
      <c r="DH2" s="70"/>
      <c r="DI2" s="70"/>
      <c r="DJ2" s="70"/>
      <c r="DK2" s="70" t="s">
        <v>23</v>
      </c>
      <c r="DL2" s="70"/>
      <c r="DM2" s="70"/>
      <c r="DN2" s="70"/>
      <c r="DO2" s="70"/>
      <c r="DP2" s="14" t="s">
        <v>105</v>
      </c>
      <c r="DQ2" s="14" t="s">
        <v>144</v>
      </c>
      <c r="DR2" s="14" t="s">
        <v>21</v>
      </c>
      <c r="DS2" s="14" t="s">
        <v>81</v>
      </c>
      <c r="DT2" s="14" t="s">
        <v>143</v>
      </c>
      <c r="DU2" s="14" t="s">
        <v>22</v>
      </c>
      <c r="DV2" s="14" t="s">
        <v>24</v>
      </c>
      <c r="DW2" s="14" t="s">
        <v>111</v>
      </c>
      <c r="DX2" s="14" t="s">
        <v>146</v>
      </c>
      <c r="DY2" s="14" t="s">
        <v>110</v>
      </c>
      <c r="DZ2" s="14" t="s">
        <v>108</v>
      </c>
      <c r="EA2" s="14" t="s">
        <v>145</v>
      </c>
      <c r="EB2" s="14" t="s">
        <v>23</v>
      </c>
      <c r="EC2" s="14" t="s">
        <v>18</v>
      </c>
      <c r="ED2" s="73" t="s">
        <v>19</v>
      </c>
      <c r="EE2" s="73"/>
      <c r="EF2" s="73"/>
      <c r="EG2" s="73"/>
      <c r="EH2" s="73"/>
      <c r="EI2" s="73" t="s">
        <v>20</v>
      </c>
      <c r="EJ2" s="73"/>
      <c r="EK2" s="73"/>
      <c r="EL2" s="73"/>
      <c r="EM2" s="73"/>
      <c r="EN2" s="73" t="s">
        <v>110</v>
      </c>
      <c r="EO2" s="73"/>
      <c r="EP2" s="73"/>
      <c r="EQ2" s="73"/>
      <c r="ER2" s="73"/>
      <c r="ES2" s="73" t="s">
        <v>23</v>
      </c>
      <c r="ET2" s="73"/>
      <c r="EU2" s="73"/>
      <c r="EV2" s="73"/>
      <c r="EW2" s="73"/>
      <c r="EX2" s="13" t="s">
        <v>105</v>
      </c>
      <c r="EY2" s="13" t="s">
        <v>144</v>
      </c>
      <c r="EZ2" s="13" t="s">
        <v>21</v>
      </c>
      <c r="FA2" s="13" t="s">
        <v>81</v>
      </c>
      <c r="FB2" s="13" t="s">
        <v>143</v>
      </c>
      <c r="FC2" s="13" t="s">
        <v>22</v>
      </c>
      <c r="FD2" s="13" t="s">
        <v>24</v>
      </c>
      <c r="FE2" s="13" t="s">
        <v>111</v>
      </c>
      <c r="FF2" s="13" t="s">
        <v>146</v>
      </c>
      <c r="FG2" s="13" t="s">
        <v>110</v>
      </c>
      <c r="FH2" s="13" t="s">
        <v>108</v>
      </c>
      <c r="FI2" s="13" t="s">
        <v>145</v>
      </c>
      <c r="FJ2" s="13" t="s">
        <v>23</v>
      </c>
      <c r="FK2" s="13" t="s">
        <v>18</v>
      </c>
      <c r="FL2" s="70" t="s">
        <v>19</v>
      </c>
      <c r="FM2" s="70"/>
      <c r="FN2" s="70"/>
      <c r="FO2" s="70"/>
      <c r="FP2" s="70"/>
      <c r="FQ2" s="70" t="s">
        <v>20</v>
      </c>
      <c r="FR2" s="70"/>
      <c r="FS2" s="70"/>
      <c r="FT2" s="70"/>
      <c r="FU2" s="70"/>
      <c r="FV2" s="70" t="s">
        <v>110</v>
      </c>
      <c r="FW2" s="70"/>
      <c r="FX2" s="70"/>
      <c r="FY2" s="70"/>
      <c r="FZ2" s="70"/>
      <c r="GA2" s="70" t="s">
        <v>23</v>
      </c>
      <c r="GB2" s="70"/>
      <c r="GC2" s="70"/>
      <c r="GD2" s="70"/>
      <c r="GE2" s="70"/>
      <c r="GF2" s="14" t="s">
        <v>105</v>
      </c>
      <c r="GG2" s="14" t="s">
        <v>144</v>
      </c>
      <c r="GH2" s="14" t="s">
        <v>21</v>
      </c>
      <c r="GI2" s="14" t="s">
        <v>81</v>
      </c>
      <c r="GJ2" s="14" t="s">
        <v>143</v>
      </c>
      <c r="GK2" s="14" t="s">
        <v>22</v>
      </c>
      <c r="GL2" s="14" t="s">
        <v>24</v>
      </c>
      <c r="GM2" s="14" t="s">
        <v>111</v>
      </c>
      <c r="GN2" s="14" t="s">
        <v>146</v>
      </c>
      <c r="GO2" s="14" t="s">
        <v>110</v>
      </c>
      <c r="GP2" s="14" t="s">
        <v>108</v>
      </c>
      <c r="GQ2" s="14" t="s">
        <v>145</v>
      </c>
      <c r="GR2" s="14" t="s">
        <v>23</v>
      </c>
      <c r="GS2" s="14" t="s">
        <v>18</v>
      </c>
      <c r="GT2" s="73" t="s">
        <v>19</v>
      </c>
      <c r="GU2" s="73"/>
      <c r="GV2" s="73"/>
      <c r="GW2" s="73"/>
      <c r="GX2" s="73"/>
      <c r="GY2" s="73" t="s">
        <v>20</v>
      </c>
      <c r="GZ2" s="73"/>
      <c r="HA2" s="73"/>
      <c r="HB2" s="73"/>
      <c r="HC2" s="73"/>
      <c r="HD2" s="73" t="s">
        <v>110</v>
      </c>
      <c r="HE2" s="73"/>
      <c r="HF2" s="73"/>
      <c r="HG2" s="73"/>
      <c r="HH2" s="73"/>
      <c r="HI2" s="73" t="s">
        <v>23</v>
      </c>
      <c r="HJ2" s="73"/>
      <c r="HK2" s="73"/>
      <c r="HL2" s="73"/>
      <c r="HM2" s="73"/>
      <c r="HN2" s="13" t="s">
        <v>105</v>
      </c>
      <c r="HO2" s="13" t="s">
        <v>144</v>
      </c>
      <c r="HP2" s="13" t="s">
        <v>21</v>
      </c>
      <c r="HQ2" s="13" t="s">
        <v>81</v>
      </c>
      <c r="HR2" s="13" t="s">
        <v>143</v>
      </c>
      <c r="HS2" s="13" t="s">
        <v>22</v>
      </c>
      <c r="HT2" s="13" t="s">
        <v>24</v>
      </c>
      <c r="HU2" s="13" t="s">
        <v>111</v>
      </c>
      <c r="HV2" s="13" t="s">
        <v>146</v>
      </c>
      <c r="HW2" s="13" t="s">
        <v>110</v>
      </c>
      <c r="HX2" s="13" t="s">
        <v>108</v>
      </c>
      <c r="HY2" s="13" t="s">
        <v>145</v>
      </c>
      <c r="HZ2" s="13" t="s">
        <v>23</v>
      </c>
      <c r="IA2" s="13" t="s">
        <v>18</v>
      </c>
      <c r="IB2" s="70" t="s">
        <v>19</v>
      </c>
      <c r="IC2" s="70"/>
      <c r="ID2" s="70"/>
      <c r="IE2" s="70"/>
      <c r="IF2" s="70"/>
      <c r="IG2" s="70" t="s">
        <v>20</v>
      </c>
      <c r="IH2" s="70"/>
      <c r="II2" s="70"/>
      <c r="IJ2" s="70"/>
      <c r="IK2" s="70"/>
      <c r="IL2" s="70" t="s">
        <v>110</v>
      </c>
      <c r="IM2" s="70"/>
      <c r="IN2" s="70"/>
      <c r="IO2" s="70"/>
      <c r="IP2" s="70"/>
      <c r="IQ2" s="70" t="s">
        <v>23</v>
      </c>
      <c r="IR2" s="70"/>
      <c r="IS2" s="70"/>
      <c r="IT2" s="70"/>
      <c r="IU2" s="70"/>
      <c r="IV2" s="14" t="s">
        <v>105</v>
      </c>
      <c r="IW2" s="14" t="s">
        <v>144</v>
      </c>
      <c r="IX2" s="14" t="s">
        <v>21</v>
      </c>
      <c r="IY2" s="14" t="s">
        <v>81</v>
      </c>
      <c r="IZ2" s="14" t="s">
        <v>143</v>
      </c>
      <c r="JA2" s="14" t="s">
        <v>22</v>
      </c>
      <c r="JB2" s="14" t="s">
        <v>24</v>
      </c>
      <c r="JC2" s="14" t="s">
        <v>111</v>
      </c>
      <c r="JD2" s="14" t="s">
        <v>146</v>
      </c>
      <c r="JE2" s="14" t="s">
        <v>110</v>
      </c>
      <c r="JF2" s="14" t="s">
        <v>108</v>
      </c>
      <c r="JG2" s="14" t="s">
        <v>145</v>
      </c>
      <c r="JH2" s="14" t="s">
        <v>23</v>
      </c>
      <c r="JI2" s="14" t="s">
        <v>18</v>
      </c>
      <c r="JJ2" s="73" t="s">
        <v>19</v>
      </c>
      <c r="JK2" s="73"/>
      <c r="JL2" s="73"/>
      <c r="JM2" s="73"/>
      <c r="JN2" s="73"/>
      <c r="JO2" s="73" t="s">
        <v>20</v>
      </c>
      <c r="JP2" s="73"/>
      <c r="JQ2" s="73"/>
      <c r="JR2" s="73"/>
      <c r="JS2" s="73"/>
      <c r="JT2" s="73" t="s">
        <v>110</v>
      </c>
      <c r="JU2" s="73"/>
      <c r="JV2" s="73"/>
      <c r="JW2" s="73"/>
      <c r="JX2" s="73"/>
      <c r="JY2" s="73" t="s">
        <v>23</v>
      </c>
      <c r="JZ2" s="73"/>
      <c r="KA2" s="73"/>
      <c r="KB2" s="73"/>
      <c r="KC2" s="73"/>
      <c r="KD2" s="13" t="s">
        <v>105</v>
      </c>
      <c r="KE2" s="13" t="s">
        <v>144</v>
      </c>
      <c r="KF2" s="13" t="s">
        <v>21</v>
      </c>
      <c r="KG2" s="13" t="s">
        <v>81</v>
      </c>
      <c r="KH2" s="13" t="s">
        <v>143</v>
      </c>
      <c r="KI2" s="13" t="s">
        <v>22</v>
      </c>
      <c r="KJ2" s="13" t="s">
        <v>24</v>
      </c>
      <c r="KK2" s="13" t="s">
        <v>111</v>
      </c>
      <c r="KL2" s="13" t="s">
        <v>146</v>
      </c>
      <c r="KM2" s="13" t="s">
        <v>110</v>
      </c>
      <c r="KN2" s="13" t="s">
        <v>108</v>
      </c>
      <c r="KO2" s="13" t="s">
        <v>145</v>
      </c>
      <c r="KP2" s="13" t="s">
        <v>23</v>
      </c>
      <c r="KQ2" s="13" t="s">
        <v>18</v>
      </c>
      <c r="KR2" s="70" t="s">
        <v>19</v>
      </c>
      <c r="KS2" s="70"/>
      <c r="KT2" s="70"/>
      <c r="KU2" s="70"/>
      <c r="KV2" s="70"/>
      <c r="KW2" s="70" t="s">
        <v>20</v>
      </c>
      <c r="KX2" s="70"/>
      <c r="KY2" s="70"/>
      <c r="KZ2" s="70"/>
      <c r="LA2" s="70"/>
      <c r="LB2" s="70" t="s">
        <v>110</v>
      </c>
      <c r="LC2" s="70"/>
      <c r="LD2" s="70"/>
      <c r="LE2" s="70"/>
      <c r="LF2" s="70"/>
      <c r="LG2" s="70" t="s">
        <v>23</v>
      </c>
      <c r="LH2" s="70"/>
      <c r="LI2" s="70"/>
      <c r="LJ2" s="70"/>
      <c r="LK2" s="70"/>
      <c r="LL2" s="14" t="s">
        <v>105</v>
      </c>
      <c r="LM2" s="14" t="s">
        <v>144</v>
      </c>
      <c r="LN2" s="14" t="s">
        <v>21</v>
      </c>
      <c r="LO2" s="14" t="s">
        <v>81</v>
      </c>
      <c r="LP2" s="14" t="s">
        <v>143</v>
      </c>
      <c r="LQ2" s="14" t="s">
        <v>22</v>
      </c>
      <c r="LR2" s="14" t="s">
        <v>24</v>
      </c>
      <c r="LS2" s="14" t="s">
        <v>111</v>
      </c>
      <c r="LT2" s="14" t="s">
        <v>146</v>
      </c>
      <c r="LU2" s="14" t="s">
        <v>110</v>
      </c>
      <c r="LV2" s="14" t="s">
        <v>108</v>
      </c>
      <c r="LW2" s="14" t="s">
        <v>145</v>
      </c>
      <c r="LX2" s="14" t="s">
        <v>23</v>
      </c>
      <c r="LY2" s="14" t="s">
        <v>18</v>
      </c>
      <c r="LZ2" s="73" t="s">
        <v>19</v>
      </c>
      <c r="MA2" s="73"/>
      <c r="MB2" s="73"/>
      <c r="MC2" s="73"/>
      <c r="MD2" s="73"/>
      <c r="ME2" s="73" t="s">
        <v>20</v>
      </c>
      <c r="MF2" s="73"/>
      <c r="MG2" s="73"/>
      <c r="MH2" s="73"/>
      <c r="MI2" s="73"/>
      <c r="MJ2" s="73" t="s">
        <v>110</v>
      </c>
      <c r="MK2" s="73"/>
      <c r="ML2" s="73"/>
      <c r="MM2" s="73"/>
      <c r="MN2" s="73"/>
      <c r="MO2" s="73" t="s">
        <v>23</v>
      </c>
      <c r="MP2" s="73"/>
      <c r="MQ2" s="73"/>
      <c r="MR2" s="73"/>
      <c r="MS2" s="73"/>
      <c r="MT2" s="13" t="s">
        <v>105</v>
      </c>
      <c r="MU2" s="13" t="s">
        <v>144</v>
      </c>
      <c r="MV2" s="13" t="s">
        <v>21</v>
      </c>
      <c r="MW2" s="13" t="s">
        <v>81</v>
      </c>
      <c r="MX2" s="13" t="s">
        <v>143</v>
      </c>
      <c r="MY2" s="13" t="s">
        <v>22</v>
      </c>
      <c r="MZ2" s="13" t="s">
        <v>24</v>
      </c>
      <c r="NA2" s="13" t="s">
        <v>111</v>
      </c>
      <c r="NB2" s="13" t="s">
        <v>146</v>
      </c>
      <c r="NC2" s="13" t="s">
        <v>110</v>
      </c>
      <c r="ND2" s="13" t="s">
        <v>108</v>
      </c>
      <c r="NE2" s="13" t="s">
        <v>145</v>
      </c>
      <c r="NF2" s="13" t="s">
        <v>23</v>
      </c>
      <c r="NG2" s="13" t="s">
        <v>18</v>
      </c>
      <c r="NH2" s="70" t="s">
        <v>19</v>
      </c>
      <c r="NI2" s="70"/>
      <c r="NJ2" s="70"/>
      <c r="NK2" s="70"/>
      <c r="NL2" s="70"/>
      <c r="NM2" s="70" t="s">
        <v>20</v>
      </c>
      <c r="NN2" s="70"/>
      <c r="NO2" s="70"/>
      <c r="NP2" s="70"/>
      <c r="NQ2" s="70"/>
      <c r="NR2" s="70" t="s">
        <v>110</v>
      </c>
      <c r="NS2" s="70"/>
      <c r="NT2" s="70"/>
      <c r="NU2" s="70"/>
      <c r="NV2" s="70"/>
      <c r="NW2" s="70" t="s">
        <v>23</v>
      </c>
      <c r="NX2" s="70"/>
      <c r="NY2" s="70"/>
      <c r="NZ2" s="70"/>
      <c r="OA2" s="70"/>
      <c r="OB2" s="14" t="s">
        <v>105</v>
      </c>
      <c r="OC2" s="14" t="s">
        <v>144</v>
      </c>
      <c r="OD2" s="14" t="s">
        <v>21</v>
      </c>
      <c r="OE2" s="14" t="s">
        <v>81</v>
      </c>
      <c r="OF2" s="14" t="s">
        <v>143</v>
      </c>
      <c r="OG2" s="14" t="s">
        <v>22</v>
      </c>
      <c r="OH2" s="14" t="s">
        <v>24</v>
      </c>
      <c r="OI2" s="14" t="s">
        <v>111</v>
      </c>
      <c r="OJ2" s="14" t="s">
        <v>146</v>
      </c>
      <c r="OK2" s="14" t="s">
        <v>110</v>
      </c>
      <c r="OL2" s="14" t="s">
        <v>108</v>
      </c>
      <c r="OM2" s="14" t="s">
        <v>145</v>
      </c>
      <c r="ON2" s="14" t="s">
        <v>23</v>
      </c>
      <c r="OO2" s="14" t="s">
        <v>18</v>
      </c>
      <c r="OP2" s="73" t="s">
        <v>19</v>
      </c>
      <c r="OQ2" s="73"/>
      <c r="OR2" s="73"/>
      <c r="OS2" s="73"/>
      <c r="OT2" s="73"/>
      <c r="OU2" s="73" t="s">
        <v>20</v>
      </c>
      <c r="OV2" s="73"/>
      <c r="OW2" s="73"/>
      <c r="OX2" s="73"/>
      <c r="OY2" s="73"/>
      <c r="OZ2" s="73" t="s">
        <v>110</v>
      </c>
      <c r="PA2" s="73"/>
      <c r="PB2" s="73"/>
      <c r="PC2" s="73"/>
      <c r="PD2" s="73"/>
      <c r="PE2" s="73" t="s">
        <v>23</v>
      </c>
      <c r="PF2" s="73"/>
      <c r="PG2" s="73"/>
      <c r="PH2" s="73"/>
      <c r="PI2" s="73"/>
      <c r="PJ2" s="13" t="s">
        <v>105</v>
      </c>
      <c r="PK2" s="13" t="s">
        <v>144</v>
      </c>
      <c r="PL2" s="13" t="s">
        <v>21</v>
      </c>
      <c r="PM2" s="13" t="s">
        <v>81</v>
      </c>
      <c r="PN2" s="13" t="s">
        <v>143</v>
      </c>
      <c r="PO2" s="13" t="s">
        <v>22</v>
      </c>
      <c r="PP2" s="13" t="s">
        <v>24</v>
      </c>
      <c r="PQ2" s="13" t="s">
        <v>111</v>
      </c>
      <c r="PR2" s="13" t="s">
        <v>146</v>
      </c>
      <c r="PS2" s="13" t="s">
        <v>110</v>
      </c>
      <c r="PT2" s="13" t="s">
        <v>108</v>
      </c>
      <c r="PU2" s="13" t="s">
        <v>145</v>
      </c>
      <c r="PV2" s="13" t="s">
        <v>23</v>
      </c>
      <c r="PW2" s="13" t="s">
        <v>18</v>
      </c>
      <c r="PX2" s="70" t="s">
        <v>19</v>
      </c>
      <c r="PY2" s="70"/>
      <c r="PZ2" s="70"/>
      <c r="QA2" s="70"/>
      <c r="QB2" s="70"/>
      <c r="QC2" s="70" t="s">
        <v>20</v>
      </c>
      <c r="QD2" s="70"/>
      <c r="QE2" s="70"/>
      <c r="QF2" s="70"/>
      <c r="QG2" s="70"/>
      <c r="QH2" s="70" t="s">
        <v>110</v>
      </c>
      <c r="QI2" s="70"/>
      <c r="QJ2" s="70"/>
      <c r="QK2" s="70"/>
      <c r="QL2" s="70"/>
      <c r="QM2" s="70" t="s">
        <v>23</v>
      </c>
      <c r="QN2" s="70"/>
      <c r="QO2" s="70"/>
      <c r="QP2" s="70"/>
      <c r="QQ2" s="70"/>
      <c r="QR2" s="14" t="s">
        <v>105</v>
      </c>
      <c r="QS2" s="14" t="s">
        <v>144</v>
      </c>
      <c r="QT2" s="14" t="s">
        <v>21</v>
      </c>
      <c r="QU2" s="14" t="s">
        <v>81</v>
      </c>
      <c r="QV2" s="14" t="s">
        <v>143</v>
      </c>
      <c r="QW2" s="14" t="s">
        <v>22</v>
      </c>
      <c r="QX2" s="14" t="s">
        <v>24</v>
      </c>
      <c r="QY2" s="14" t="s">
        <v>111</v>
      </c>
      <c r="QZ2" s="14" t="s">
        <v>146</v>
      </c>
      <c r="RA2" s="14" t="s">
        <v>110</v>
      </c>
      <c r="RB2" s="14" t="s">
        <v>108</v>
      </c>
      <c r="RC2" s="14" t="s">
        <v>145</v>
      </c>
      <c r="RD2" s="14" t="s">
        <v>23</v>
      </c>
      <c r="RE2" s="14" t="s">
        <v>18</v>
      </c>
      <c r="RF2" s="73" t="s">
        <v>19</v>
      </c>
      <c r="RG2" s="73"/>
      <c r="RH2" s="73"/>
      <c r="RI2" s="73"/>
      <c r="RJ2" s="73"/>
      <c r="RK2" s="73" t="s">
        <v>20</v>
      </c>
      <c r="RL2" s="73"/>
      <c r="RM2" s="73"/>
      <c r="RN2" s="73"/>
      <c r="RO2" s="73"/>
      <c r="RP2" s="73" t="s">
        <v>110</v>
      </c>
      <c r="RQ2" s="73"/>
      <c r="RR2" s="73"/>
      <c r="RS2" s="73"/>
      <c r="RT2" s="73"/>
      <c r="RU2" s="73" t="s">
        <v>23</v>
      </c>
      <c r="RV2" s="73"/>
      <c r="RW2" s="73"/>
      <c r="RX2" s="73"/>
      <c r="RY2" s="73"/>
      <c r="RZ2" s="13" t="s">
        <v>105</v>
      </c>
      <c r="SA2" s="13" t="s">
        <v>144</v>
      </c>
      <c r="SB2" s="13" t="s">
        <v>21</v>
      </c>
      <c r="SC2" s="13" t="s">
        <v>81</v>
      </c>
      <c r="SD2" s="13" t="s">
        <v>143</v>
      </c>
      <c r="SE2" s="13" t="s">
        <v>22</v>
      </c>
      <c r="SF2" s="13" t="s">
        <v>24</v>
      </c>
      <c r="SG2" s="13" t="s">
        <v>111</v>
      </c>
      <c r="SH2" s="13" t="s">
        <v>146</v>
      </c>
      <c r="SI2" s="13" t="s">
        <v>110</v>
      </c>
      <c r="SJ2" s="13" t="s">
        <v>108</v>
      </c>
      <c r="SK2" s="13" t="s">
        <v>145</v>
      </c>
      <c r="SL2" s="13" t="s">
        <v>23</v>
      </c>
      <c r="SM2" s="13" t="s">
        <v>18</v>
      </c>
      <c r="SN2" s="70" t="s">
        <v>19</v>
      </c>
      <c r="SO2" s="70"/>
      <c r="SP2" s="70"/>
      <c r="SQ2" s="70"/>
      <c r="SR2" s="70"/>
      <c r="SS2" s="70" t="s">
        <v>20</v>
      </c>
      <c r="ST2" s="70"/>
      <c r="SU2" s="70"/>
      <c r="SV2" s="70"/>
      <c r="SW2" s="70"/>
      <c r="SX2" s="70" t="s">
        <v>23</v>
      </c>
      <c r="SY2" s="70"/>
      <c r="SZ2" s="70"/>
      <c r="TA2" s="70"/>
      <c r="TB2" s="70"/>
      <c r="TC2" s="14"/>
      <c r="TD2" s="14" t="s">
        <v>105</v>
      </c>
      <c r="TE2" s="14" t="s">
        <v>144</v>
      </c>
      <c r="TF2" s="14" t="s">
        <v>21</v>
      </c>
      <c r="TG2" s="14" t="s">
        <v>81</v>
      </c>
      <c r="TH2" s="14" t="s">
        <v>143</v>
      </c>
      <c r="TI2" s="14" t="s">
        <v>22</v>
      </c>
      <c r="TJ2" s="14" t="s">
        <v>24</v>
      </c>
      <c r="TK2" s="14" t="s">
        <v>108</v>
      </c>
      <c r="TL2" s="14" t="s">
        <v>145</v>
      </c>
      <c r="TM2" s="14" t="s">
        <v>23</v>
      </c>
      <c r="TN2" s="14" t="s">
        <v>18</v>
      </c>
    </row>
    <row r="3" spans="1:53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15</v>
      </c>
      <c r="R3" s="14" t="s">
        <v>16</v>
      </c>
      <c r="S3" s="14" t="s">
        <v>10</v>
      </c>
      <c r="T3" s="14" t="s">
        <v>142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142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142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142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142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142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142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142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142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142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142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142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142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142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142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142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142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142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142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142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142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142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142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142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142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142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142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142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142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142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142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142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142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142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142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142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142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142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142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142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142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142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142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142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142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142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142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142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142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142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142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142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142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142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142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142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142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142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142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142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DD"),SUMPRODUCT((H$4:H$17&lt;&gt;"")*(H$4:H$17&lt;&gt;"No DD")*(E$4:E$17&gt;E4))+1,IF(H4="No DD",SUMPRODUCT((H$4:H$17="No DD")*(E$4:E$17&gt;E4))+1+SUMPRODUCT((H$4:H$17&lt;&gt;"")*(H$4:H$17&lt;&gt;"No DD")),""))</f>
        <v>1</v>
      </c>
      <c r="B4" s="5" t="s">
        <v>223</v>
      </c>
      <c r="C4" s="4" t="s">
        <v>222</v>
      </c>
      <c r="D4" s="4" t="s">
        <v>221</v>
      </c>
      <c r="E4" s="9">
        <f t="shared" ref="E4:E16" si="0">SUM(J4,L4,N4)</f>
        <v>103.07000000000001</v>
      </c>
      <c r="F4" s="3" t="str">
        <f t="shared" ref="F4:F16" si="1"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G4" s="3" t="str">
        <f t="shared" ref="G4:G16" si="2">IF(OR(AND(AI4&gt;=AQ$23,AI4&lt;&gt;"",AF4=""),AND(AL4&gt;=AQ$23,AL4&lt;&gt;"",AF4=""),AND(AP4&gt;=AQ$23,AP4&lt;&gt;"",AF4=""),AND(BJ4&gt;=BR$23,BJ4&lt;&gt;"",BG4=""),AND(BM4&gt;=BR$23,BM4&lt;&gt;"",BG4=""),AND(BQ4&gt;=BR$23,BQ4&lt;&gt;"",BG4=""),AND(CK4&gt;=CS$23,CK4&lt;&gt;"",CH4=""),AND(CN4&gt;=CS$23,CN4&lt;&gt;"",CH4=""),AND(CR4&gt;=CS$23,CR4&lt;&gt;"",CH4=""),AND(DR4&gt;=EC$23,DR4&lt;&gt;""),AND(DU4&gt;=EC$23,DU4&lt;&gt;""),AND(DY4&gt;=EC$23,DY4&lt;&gt;""),AND(EB4&gt;=EC$23,EB4&lt;&gt;""),AND(EZ4&gt;=FK$23,EZ4&lt;&gt;""),AND(FC4&gt;=FK$23,FC4&lt;&gt;""),AND(FG4&gt;=FK$23,FG4&lt;&gt;""),AND(FJ4&gt;=FK$23,FJ4&lt;&gt;""),AND(GH4&gt;=GS$23,GH4&lt;&gt;""),AND(GK4&gt;=GS$23,GK4&lt;&gt;""),AND(GO4&gt;=GS$23,GO4&lt;&gt;""),AND(GR4&gt;=GS$23,GR4&lt;&gt;""),AND(HP4&gt;=IA$23,HP4&lt;&gt;""),AND(HS4&gt;=IA$23,HS4&lt;&gt;""),AND(HW4&gt;=IA$23,HW4&lt;&gt;""),AND(HZ4&gt;=IA$23,HZ4&lt;&gt;""),AND(IX4&gt;=JI$23,IX4&lt;&gt;""),AND(JA4&gt;=JI$23,JA4&lt;&gt;""),AND(JE4&gt;=JI$23,JE4&lt;&gt;""),AND(JH4&gt;=JI$23,JH4&lt;&gt;""),AND(KF4&gt;=KQ$23,KF4&lt;&gt;""),AND(KI4&gt;=KQ$23,KI4&lt;&gt;""),AND(KM4&gt;=KQ$23,KM4&lt;&gt;""),AND(KP4&gt;=KQ$23,KP4&lt;&gt;""),AND(LN4&gt;=LY$23,LN4&lt;&gt;""),AND(LQ4&gt;=LY$23,LQ4&lt;&gt;""),AND(LU4&gt;=LY$23,LU4&lt;&gt;""),AND(LX4&gt;=LY$23,LX4&lt;&gt;""),AND(MV4&gt;=NG$23,MV4&lt;&gt;""),AND(MY4&gt;=NG$23,MY4&lt;&gt;""),AND(NC4&gt;=NG$23,NC4&lt;&gt;""),AND(NF4&gt;=NG$23,NF4&lt;&gt;""),AND(OD4&gt;=OO$23,OD4&lt;&gt;""),AND(OG4&gt;=OO$23,OG4&lt;&gt;""),AND(OK4&gt;=OO$23,OK4&lt;&gt;""),AND(ON4&gt;=OO$23,ON4&lt;&gt;""),AND(PL4&gt;=PW$23,PL4&lt;&gt;""),AND(PO4&gt;=PW$23,PO4&lt;&gt;""),AND(PS4&gt;=PW$23,PS4&lt;&gt;""),AND(PV4&gt;=PW$23,PV4&lt;&gt;""),AND(QT4&gt;=RE$23,QT4&lt;&gt;""),AND(QW4&gt;=RE$23,QW4&lt;&gt;""),AND(RA4&gt;=RE$23,RA4&lt;&gt;""),AND(RD4&gt;=RE$23,RD4&lt;&gt;""),AND(SB4&gt;=SM$23,SB4&lt;&gt;""),AND(SE4&gt;=SM$23,SE4&lt;&gt;""),AND(SI4&gt;=SM$23,SI4&lt;&gt;""),AND(SL4&gt;=SM$23,SL4&lt;&gt;"")),"P","")</f>
        <v>P</v>
      </c>
      <c r="H4" s="37" t="str">
        <f t="shared" ref="H4:H16" si="3">IF(AND(G4="P",F4=""),"No DD",IF(OR(AND(AG4&gt;=AQ$22,AG4&lt;&gt;"",AI4&gt;=AQ$26,AI4&lt;&gt;"",AF4=""),AND(AJ4&gt;=AQ$22,AJ4&lt;&gt;"",AL4&gt;=AQ$26,AL4&lt;&gt;"",AF4=""),AND(AN4&gt;=AQ$22,AN4&lt;&gt;"",AP4&gt;=AQ$26,AP4&lt;&gt;"",AF4=""),AND(BH4&gt;=BR$22,BH4&lt;&gt;"",BJ4&gt;=BR$26,BJ4&lt;&gt;"",BG4=""),AND(BK4&gt;=BR$22,BK4&lt;&gt;"",BM4&gt;=BR$26,BM4&lt;&gt;"",BG4=""),AND(BO4&gt;=BR$22,BO4&lt;&gt;"",BQ4&gt;=BR$26,BQ4&lt;&gt;"",BG4=""),AND(CI4&gt;=CS$22,CI4&lt;&gt;"",CK4&gt;=CS$26,CK4&lt;&gt;"",CH4=""),AND(CL4&gt;=CS$22,CL4&lt;&gt;"",CN4&gt;=CS$26,CN4&lt;&gt;"",CH4=""),AND(CP4&gt;=CS$22,CP4&lt;&gt;"",CR4&gt;=CS$26,CR4&lt;&gt;"",CH4=""),AND(DP4&gt;=EC$22,DP4&lt;&gt;"",DR4&gt;=EC$26,DR4&lt;&gt;""),AND(DS4&gt;=EC$22,DS4&lt;&gt;"",DU4&gt;=EC$26,DU4&lt;&gt;""),AND(DW4&gt;=EC$22,DW4&lt;&gt;"",DY4&gt;=EC$26,DY4&lt;&gt;""),AND(DZ4&gt;=EC$22,DZ4&lt;&gt;"",EB4&gt;=EC$26,EB4&lt;&gt;""),AND(EX4&gt;=FK$22,EX4&lt;&gt;"",EZ4&gt;=FK$26,EZ4&lt;&gt;""),AND(FA4&gt;=FK$22,FA4&lt;&gt;"",FC4&gt;=FK$26,FC4&lt;&gt;""),AND(FE4&gt;=FK$22,FE4&lt;&gt;"",FG4&gt;=FK$26,FG4&lt;&gt;""),AND(FH4&gt;=FK$22,FH4&lt;&gt;"",FJ4&gt;=FK$26,FJ4&lt;&gt;""),AND(GF4&gt;=GS$22,GF4&lt;&gt;"",GH4&gt;=GS$26,GH4&lt;&gt;""),AND(GI4&gt;=GS$22,GI4&lt;&gt;"",GK4&gt;=GS$26,GK4&lt;&gt;""),AND(GM4&gt;=GS$22,GM4&lt;&gt;"",GO4&gt;=GS$26,GO4&lt;&gt;""),AND(GP4&gt;=GS$22,GP4&lt;&gt;"",GR4&gt;=GS$26,GR4&lt;&gt;""),AND(HN4&gt;=IA$22,HN4&lt;&gt;"",HP4&gt;=IA$26,HP4&lt;&gt;""),AND(HQ4&gt;=IA$22,HQ4&lt;&gt;"",HS4&gt;=IA$26,HS4&lt;&gt;""),AND(HU4&gt;=IA$22,HU4&lt;&gt;"",HW4&gt;=IA$26,HW4&lt;&gt;""),AND(HX4&gt;=IA$22,HX4&lt;&gt;"",HZ4&gt;=IA$26,HZ4&lt;&gt;""),AND(IV4&gt;=JI$22,IV4&lt;&gt;"",IX4&gt;=JI$26,IX4&lt;&gt;""),AND(IY4&gt;=JI$22,IY4&lt;&gt;"",JA4&gt;=JI$26,JA4&lt;&gt;""),AND(JC4&gt;=JI$22,JC4&lt;&gt;"",JE4&gt;=JI$26,JE4&lt;&gt;""),AND(JF4&gt;=JI$22,JF4&lt;&gt;"",JH4&gt;=JI$26,JH4&lt;&gt;""),AND(KD4&gt;=KQ$22,KD4&lt;&gt;"",KF4&gt;=KQ$26,KF4&lt;&gt;""),AND(KG4&gt;=KQ$22,KG4&lt;&gt;"",KI4&gt;=KQ$26,KI4&lt;&gt;""),AND(KK4&gt;=KQ$22,KK4&lt;&gt;"",KM4&gt;=KQ$26,KM4&lt;&gt;""),AND(KN4&gt;=KQ$22,KN4&lt;&gt;"",KP4&gt;=KQ$26,KP4&lt;&gt;""),AND(LL4&gt;=LY$22,LL4&lt;&gt;"",LN4&gt;=LY$26,LN4&lt;&gt;""),AND(LO4&gt;=LY$22,LO4&lt;&gt;"",LQ4&gt;=LY$26,LQ4&lt;&gt;""),AND(LS4&gt;=LY$22,LS4&lt;&gt;"",LU4&gt;=LY$26,LU4&lt;&gt;""),AND(LV4&gt;=LY$22,LV4&lt;&gt;"",LX4&gt;=LY$26,LX4&lt;&gt;""),AND(MT4&gt;=NG$22,MT4&lt;&gt;"",MV4&gt;=NG$26,MV4&lt;&gt;""),AND(MW4&gt;=NG$22,MW4&lt;&gt;"",MY4&gt;=NG$26,MY4&lt;&gt;""),AND(NA4&gt;=NG$22,NA4&lt;&gt;"",NC4&gt;=NG$26,NC4&lt;&gt;""),AND(ND4&gt;=NG$22,ND4&lt;&gt;"",NF4&gt;=NG$26,NF4&lt;&gt;""),AND(OB4&gt;=OO$22,OB4&lt;&gt;"",OD4&gt;=OO$26,OD4&lt;&gt;""),AND(OE4&gt;=OO$22,OE4&lt;&gt;"",OG4&gt;=OO$26,OG4&lt;&gt;""),AND(OI4&gt;=OO$22,OI4&lt;&gt;"",OK4&gt;=OO$26,OK4&lt;&gt;""),AND(OL4&gt;=OO$22,OL4&lt;&gt;"",ON4&gt;=OO$26,ON4&lt;&gt;""),AND(PJ4&gt;=PW$22,PJ4&lt;&gt;"",PL4&gt;=PW$26,PL4&lt;&gt;""),AND(PM4&gt;=PW$22,PM4&lt;&gt;"",PO4&gt;=PW$26,PO4&lt;&gt;""),AND(PQ4&gt;=PW$22,PQ4&lt;&gt;"",PS4&gt;=PW$26,PS4&lt;&gt;""),AND(PT4&gt;=PW$22,PT4&lt;&gt;"",PV4&gt;=PW$26,PV4&lt;&gt;""),AND(QR4&gt;=RE$22,QR4&lt;&gt;"",QT4&gt;=RE$26,QT4&lt;&gt;""),AND(QU4&gt;=RE$22,QU4&lt;&gt;"",QW4&gt;=RE$26,QW4&lt;&gt;""),AND(QY4&gt;=RE$22,QY4&lt;&gt;"",RA4&gt;=RE$26,RA4&lt;&gt;""),AND(RB4&gt;=RE$22,RB4&lt;&gt;"",RD4&gt;=RE$26,RD4&lt;&gt;""),AND(RZ4&gt;=SM$22,RZ4&lt;&gt;"",SB4&gt;=SM$26,SB4&lt;&gt;""),AND(SC4&gt;=SM$22,SC4&lt;&gt;"",SE4&gt;=SM$26,SE4&lt;&gt;""),AND(SG4&gt;=SM$22,SG4&lt;&gt;"",SI4&gt;=SM$26,SI4&lt;&gt;""),AND(SJ4&gt;=SM$22,SJ4&lt;&gt;"",SL4&gt;=SM$26,SL4&lt;&gt;"")),"Merit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Excellence",IF(I4="P","Worlds Team",IF(F4="P","National Team","")))))</f>
        <v>Excellence</v>
      </c>
      <c r="I4" s="3" t="str">
        <f t="shared" ref="I4:I16" si="4">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P","")</f>
        <v>P</v>
      </c>
      <c r="J4" s="8">
        <f>IF(COUNT(AI4,AL4,AP4,BJ4,BM4,BQ4,CK4,CN4,CR4)&gt;0,LARGE((AI4,AL4,AP4,BJ4,BM4,BQ4,CK4,CN4,CR4),1),0)</f>
        <v>51.12</v>
      </c>
      <c r="K4" s="8" t="str">
        <f t="shared" ref="K4:K16" si="5">IF(J4="","",IF(OR(J4=CK4,J4=CN4,J4=CR4),$BS$1,IF(OR(J4=BJ4,J4=BM4,J4=BQ4),$AR$1,IF(OR(J4=AI4,J4=AL4,J4=AP4),$Q$1,""))))</f>
        <v>2023 Nationals</v>
      </c>
      <c r="L4" s="8">
        <f>IF(COUNT(AI4,AL4,AP4,BJ4,BM4,BQ4,CK4,CN4,CR4)&gt;1,LARGE((AI4,AL4,AP4,BJ4,BM4,BQ4,CK4,CN4,CR4),2),0)</f>
        <v>46.09</v>
      </c>
      <c r="M4" s="8" t="str">
        <f t="shared" ref="M4:M16" si="6">IF(L4="","",IF(OR(L4=CK4,L4=CN4,L4=CR4),$BS$1,IF(OR(L4=BJ4,L4=BM4,L4=BQ4),$AR$1,IF(OR(L4=AI4,L4=AL4,L4=AP4),$Q$1,""))))</f>
        <v>2023 Nationals</v>
      </c>
      <c r="N4" s="8">
        <f t="shared" ref="N4:N16" si="7">IF(MAX(CT4,CU4)&gt;0,MAX(CT4,CU4),"")</f>
        <v>5.8599999999999994</v>
      </c>
      <c r="O4" s="11" t="str">
        <f t="shared" ref="O4:O16" si="8">IF(N4="","",IF(N4=CT4,"("&amp;CT$2&amp;")",IF(N4=CU4,"("&amp;CU$2&amp;")")))</f>
        <v>(Final)</v>
      </c>
      <c r="P4" s="8" t="str">
        <f t="shared" ref="P4:P16" si="9"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BUL (Oct 8)</v>
      </c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8"/>
      <c r="AG4" s="39" t="str">
        <f t="shared" ref="AG4:AG16" si="10">IF(S4&gt;0,S4,"")</f>
        <v/>
      </c>
      <c r="AH4" s="39" t="str">
        <f t="shared" ref="AH4:AH16" si="11">IF(T4&gt;0,T4,"")</f>
        <v/>
      </c>
      <c r="AI4" s="41" t="str">
        <f t="shared" ref="AI4:AI16" si="12">IF(SUM(Q4:T4)-U4&gt;0,SUM(Q4:T4)-U4,"")</f>
        <v/>
      </c>
      <c r="AJ4" s="41" t="str">
        <f t="shared" ref="AJ4:AJ16" si="13">IF(X4&gt;0,X4,"")</f>
        <v/>
      </c>
      <c r="AK4" s="41" t="str">
        <f t="shared" ref="AK4:AK16" si="14">IF(Y4&gt;0,Y4,"")</f>
        <v/>
      </c>
      <c r="AL4" s="41" t="str">
        <f t="shared" ref="AL4:AL16" si="15">IF(SUM(V4:Y4)-Z4&gt;0,SUM(V4:Y4)-Z4,"")</f>
        <v/>
      </c>
      <c r="AM4" s="41" t="str">
        <f t="shared" ref="AM4:AM16" si="16">IF(AI4="","",MAX(AI4,AL4))</f>
        <v/>
      </c>
      <c r="AN4" s="41" t="str">
        <f t="shared" ref="AN4:AN16" si="17">IF(AC4&gt;0,AC4,"")</f>
        <v/>
      </c>
      <c r="AO4" s="41" t="str">
        <f t="shared" ref="AO4:AO16" si="18">IF(AD4&gt;0,AD4,"")</f>
        <v/>
      </c>
      <c r="AP4" s="41" t="str">
        <f t="shared" ref="AP4:AP16" si="19">IF(SUM(AA4:AD4)-AE4&gt;0,SUM(AA4:AD4)-AE4,"")</f>
        <v/>
      </c>
      <c r="AQ4" s="41" t="str">
        <f t="shared" ref="AQ4:AQ16" si="20">IF(SUM(AM4,AP4)&gt;0,SUM(AM4,AP4),"")</f>
        <v/>
      </c>
      <c r="AR4" s="27">
        <v>2.4</v>
      </c>
      <c r="AS4" s="27">
        <v>2.75</v>
      </c>
      <c r="AT4" s="27">
        <v>5.0999999999999996</v>
      </c>
      <c r="AU4" s="27">
        <v>4.66</v>
      </c>
      <c r="AV4" s="27">
        <v>0</v>
      </c>
      <c r="AW4" s="27">
        <v>7.9</v>
      </c>
      <c r="AX4" s="27">
        <v>8.85</v>
      </c>
      <c r="AY4" s="27">
        <v>15.6</v>
      </c>
      <c r="AZ4" s="27">
        <v>13.74</v>
      </c>
      <c r="BA4" s="27">
        <v>0</v>
      </c>
      <c r="BB4" s="27">
        <v>8.4499999999999993</v>
      </c>
      <c r="BC4" s="27">
        <v>9.35</v>
      </c>
      <c r="BD4" s="27">
        <v>15.6</v>
      </c>
      <c r="BE4" s="27">
        <v>17.72</v>
      </c>
      <c r="BF4" s="27">
        <v>0</v>
      </c>
      <c r="BG4" s="29"/>
      <c r="BH4" s="40">
        <f t="shared" ref="BH4:BH16" si="21">IF(AT4&gt;0,AT4,"")</f>
        <v>5.0999999999999996</v>
      </c>
      <c r="BI4" s="40">
        <f t="shared" ref="BI4:BI16" si="22">IF(AU4&gt;0,AU4,"")</f>
        <v>4.66</v>
      </c>
      <c r="BJ4" s="11">
        <f t="shared" ref="BJ4:BJ16" si="23">IF(SUM(AR4:AU4)-AV4&gt;0,SUM(AR4:AU4)-AV4,"")</f>
        <v>14.91</v>
      </c>
      <c r="BK4" s="11">
        <f t="shared" ref="BK4:BK16" si="24">IF(AY4&gt;0,AY4,"")</f>
        <v>15.6</v>
      </c>
      <c r="BL4" s="11">
        <f t="shared" ref="BL4:BL16" si="25">IF(AZ4&gt;0,AZ4,"")</f>
        <v>13.74</v>
      </c>
      <c r="BM4" s="11">
        <f t="shared" ref="BM4:BM16" si="26">IF(SUM(AW4:AZ4)-BA4&gt;0,SUM(AW4:AZ4)-BA4,"")</f>
        <v>46.09</v>
      </c>
      <c r="BN4" s="11">
        <f t="shared" ref="BN4:BN16" si="27">IF(BJ4="","",MAX(BJ4,BM4))</f>
        <v>46.09</v>
      </c>
      <c r="BO4" s="11">
        <f t="shared" ref="BO4:BO16" si="28">IF(BD4&gt;0,BD4,"")</f>
        <v>15.6</v>
      </c>
      <c r="BP4" s="11">
        <f t="shared" ref="BP4:BP16" si="29">IF(BE4&gt;0,BE4,"")</f>
        <v>17.72</v>
      </c>
      <c r="BQ4" s="11">
        <f t="shared" ref="BQ4:BQ16" si="30">IF(SUM(BB4:BE4)-BF4&gt;0,SUM(BB4:BE4)-BF4,"")</f>
        <v>51.12</v>
      </c>
      <c r="BR4" s="11">
        <f t="shared" ref="BR4:BR16" si="31">IF(SUM(BN4,BQ4)&gt;0,SUM(BN4,BQ4),"")</f>
        <v>97.210000000000008</v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 t="shared" ref="CI4:CI16" si="32">IF(BU4&gt;0,BU4,"")</f>
        <v/>
      </c>
      <c r="CJ4" s="39" t="str">
        <f t="shared" ref="CJ4:CJ16" si="33">IF(BV4&gt;0,BV4,"")</f>
        <v/>
      </c>
      <c r="CK4" s="41" t="str">
        <f t="shared" ref="CK4:CK16" si="34">IF(SUM(BS4:BV4)-BW4&gt;0,SUM(BS4:BV4)-BW4,"")</f>
        <v/>
      </c>
      <c r="CL4" s="41" t="str">
        <f t="shared" ref="CL4:CL16" si="35">IF(BZ4&gt;0,BZ4,"")</f>
        <v/>
      </c>
      <c r="CM4" s="41" t="str">
        <f t="shared" ref="CM4:CM16" si="36">IF(CA4&gt;0,CA4,"")</f>
        <v/>
      </c>
      <c r="CN4" s="41" t="str">
        <f t="shared" ref="CN4:CN16" si="37">IF(SUM(BX4:CA4)-CB4&gt;0,SUM(BX4:CA4)-CB4,"")</f>
        <v/>
      </c>
      <c r="CO4" s="41" t="str">
        <f t="shared" ref="CO4:CO16" si="38">IF(CK4="","",MAX(CK4,CN4))</f>
        <v/>
      </c>
      <c r="CP4" s="41" t="str">
        <f t="shared" ref="CP4:CP16" si="39">IF(CE4&gt;0,CE4,"")</f>
        <v/>
      </c>
      <c r="CQ4" s="41" t="str">
        <f t="shared" ref="CQ4:CQ16" si="40">IF(CF4&gt;0,CF4,"")</f>
        <v/>
      </c>
      <c r="CR4" s="41" t="str">
        <f t="shared" ref="CR4:CR16" si="41">IF(SUM(CC4:CF4)-CG4&gt;0,SUM(CC4:CF4)-CG4,"")</f>
        <v/>
      </c>
      <c r="CS4" s="41" t="str">
        <f t="shared" ref="CS4:CS16" si="42">IF(SUM(CO4,CR4)&gt;0,SUM(CO4,CR4),"")</f>
        <v/>
      </c>
      <c r="CT4" s="52">
        <f t="shared" ref="CT4:CT16" si="43">IF(MAX(DV4,FD4,GL4,HT4,JB4,KJ4,LR4,MZ4,OH4,PP4,QX4,SF4)-IF(L4="",0,L4)&gt;0.001,MAX(DV4,FD4,GL4,HT4,JB4,KJ4,LR4,MZ4,OH4,PP4,QX4,SF4)-IF(L4="",0,L4),"")</f>
        <v>4.2199999999999989</v>
      </c>
      <c r="CU4" s="52">
        <f t="shared" ref="CU4:CU16" si="44">IF(MAX(DY4,EB4,FG4,FJ4,GO4,GR4,HW4,HZ4,JE4,JH4,KM4,KP4,LU4,LX4,NC4,NF4,OK4,ON4,PS4,PV4,RA4,RD4,SI4,SL4)-IF(L4="",0,L4)&gt;0.001,MAX(DY4,EB4,FG4,FJ4,GO4,GR4,HW4,HZ4,JE4,JH4,KM4,KP4,LU4,LX4,NC4,NF4,OK4,ON4,PS4,PV4,RA4,RD4,SI4,SL4)-IF(L4="",0,L4),"")</f>
        <v>5.8599999999999994</v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 t="shared" ref="DP4:DP16" si="45">IF(CX4&gt;0,CX4,"")</f>
        <v/>
      </c>
      <c r="DQ4" s="41" t="str">
        <f t="shared" ref="DQ4:DQ16" si="46">IF(CY4&gt;0,CY4,"")</f>
        <v/>
      </c>
      <c r="DR4" s="41" t="str">
        <f t="shared" ref="DR4:DR16" si="47">IF(SUM(CV4:CY4)-CZ4&gt;0,SUM(CV4:CY4)-CZ4,"")</f>
        <v/>
      </c>
      <c r="DS4" s="41" t="str">
        <f t="shared" ref="DS4:DS16" si="48">IF(DC4&gt;0,DC4,"")</f>
        <v/>
      </c>
      <c r="DT4" s="41" t="str">
        <f t="shared" ref="DT4:DT16" si="49">IF(DD4&gt;0,DD4,"")</f>
        <v/>
      </c>
      <c r="DU4" s="41" t="str">
        <f t="shared" ref="DU4:DU16" si="50">IF(SUM(DA4:DD4)-DE4&gt;0,SUM(DA4:DD4)-DE4,"")</f>
        <v/>
      </c>
      <c r="DV4" s="41" t="str">
        <f t="shared" ref="DV4:DV16" si="51">IF(MAX(DR4,DU4)&gt;0,MAX(DR4,DU4),"")</f>
        <v/>
      </c>
      <c r="DW4" s="41" t="str">
        <f t="shared" ref="DW4:DW16" si="52">IF(DH4&gt;0,DH4,"")</f>
        <v/>
      </c>
      <c r="DX4" s="41" t="str">
        <f t="shared" ref="DX4:DX16" si="53">IF(DI4&gt;0,DI4,"")</f>
        <v/>
      </c>
      <c r="DY4" s="41" t="str">
        <f t="shared" ref="DY4:DY16" si="54">IF(SUM(DF4:DI4)-DJ4&gt;0,SUM(DF4:DI4)-DJ4,"")</f>
        <v/>
      </c>
      <c r="DZ4" s="41" t="str">
        <f t="shared" ref="DZ4:DZ16" si="55">IF(DM4&gt;0,DM4,"")</f>
        <v/>
      </c>
      <c r="EA4" s="41" t="str">
        <f t="shared" ref="EA4:EA16" si="56">IF(DN4&gt;0,DN4,"")</f>
        <v/>
      </c>
      <c r="EB4" s="41" t="str">
        <f t="shared" ref="EB4:EB16" si="57">IF(SUM(DK4:DN4)-DO4&gt;0,SUM(DK4:DN4)-DO4,"")</f>
        <v/>
      </c>
      <c r="EC4" s="41" t="str">
        <f t="shared" ref="EC4:EC16" si="58"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X16" si="59">IF(EF4&gt;0,EF4,"")</f>
        <v/>
      </c>
      <c r="EY4" s="11" t="str">
        <f t="shared" ref="EY4:EY16" si="60">IF(EG4&gt;0,EG4,"")</f>
        <v/>
      </c>
      <c r="EZ4" s="11" t="str">
        <f t="shared" ref="EZ4:EZ16" si="61">IF(SUM(ED4:EG4)-EH4&gt;0,SUM(ED4:EG4)-EH4,"")</f>
        <v/>
      </c>
      <c r="FA4" s="11" t="str">
        <f t="shared" ref="FA4:FA16" si="62">IF(EK4&gt;0,EK4,"")</f>
        <v/>
      </c>
      <c r="FB4" s="11" t="str">
        <f t="shared" ref="FB4:FB16" si="63">IF(EL4&gt;0,EL4,"")</f>
        <v/>
      </c>
      <c r="FC4" s="11" t="str">
        <f t="shared" ref="FC4:FC16" si="64">IF(SUM(EI4:EL4)-EM4&gt;0,SUM(EI4:EL4)-EM4,"")</f>
        <v/>
      </c>
      <c r="FD4" s="11" t="str">
        <f t="shared" ref="FD4:FD16" si="65">IF(MAX(EZ4,FC4)&gt;0,MAX(EZ4,FC4),"")</f>
        <v/>
      </c>
      <c r="FE4" s="11" t="str">
        <f t="shared" ref="FE4:FE16" si="66">IF(EP4&gt;0,EP4,"")</f>
        <v/>
      </c>
      <c r="FF4" s="11" t="str">
        <f t="shared" ref="FF4:FF16" si="67">IF(EQ4&gt;0,EQ4,"")</f>
        <v/>
      </c>
      <c r="FG4" s="11" t="str">
        <f t="shared" ref="FG4:FG16" si="68">IF(SUM(EN4:EQ4)-ER4&gt;0,SUM(EN4:EQ4)-ER4,"")</f>
        <v/>
      </c>
      <c r="FH4" s="11" t="str">
        <f t="shared" ref="FH4:FH16" si="69">IF(EU4&gt;0,EU4,"")</f>
        <v/>
      </c>
      <c r="FI4" s="11" t="str">
        <f t="shared" ref="FI4:FI16" si="70">IF(EV4&gt;0,EV4,"")</f>
        <v/>
      </c>
      <c r="FJ4" s="11" t="str">
        <f t="shared" ref="FJ4:FJ16" si="71">IF(SUM(ES4:EV4)-EW4&gt;0,SUM(ES4:EV4)-EW4,"")</f>
        <v/>
      </c>
      <c r="FK4" s="11" t="str">
        <f t="shared" ref="FK4:FK16" si="72">IF(SUM(FD4,FG4,FJ4)&gt;0,SUM(FD4,FG4,FJ4),"")</f>
        <v/>
      </c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 t="str">
        <f t="shared" ref="GF4:GF16" si="73">IF(FN4&gt;0,FN4,"")</f>
        <v/>
      </c>
      <c r="GG4" s="41" t="str">
        <f t="shared" ref="GG4:GG16" si="74">IF(FO4&gt;0,FO4,"")</f>
        <v/>
      </c>
      <c r="GH4" s="41" t="str">
        <f t="shared" ref="GH4:GH16" si="75">IF(SUM(FL4:FO4)-FP4&gt;0,SUM(FL4:FO4)-FP4,"")</f>
        <v/>
      </c>
      <c r="GI4" s="41" t="str">
        <f t="shared" ref="GI4:GI16" si="76">IF(FS4&gt;0,FS4,"")</f>
        <v/>
      </c>
      <c r="GJ4" s="41" t="str">
        <f t="shared" ref="GJ4:GJ16" si="77">IF(FT4&gt;0,FT4,"")</f>
        <v/>
      </c>
      <c r="GK4" s="41" t="str">
        <f t="shared" ref="GK4:GK16" si="78">IF(SUM(FQ4:FT4)-FU4&gt;0,SUM(FQ4:FT4)-FU4,"")</f>
        <v/>
      </c>
      <c r="GL4" s="41" t="str">
        <f t="shared" ref="GL4:GL16" si="79">IF(MAX(GH4,GK4)&gt;0,MAX(GH4,GK4),"")</f>
        <v/>
      </c>
      <c r="GM4" s="41" t="str">
        <f t="shared" ref="GM4:GM16" si="80">IF(FX4&gt;0,FX4,"")</f>
        <v/>
      </c>
      <c r="GN4" s="41" t="str">
        <f t="shared" ref="GN4:GN16" si="81">IF(FY4&gt;0,FY4,"")</f>
        <v/>
      </c>
      <c r="GO4" s="41" t="str">
        <f t="shared" ref="GO4:GO16" si="82">IF(SUM(FV4:FY4)-FZ4&gt;0,SUM(FV4:FY4)-FZ4,"")</f>
        <v/>
      </c>
      <c r="GP4" s="41" t="str">
        <f t="shared" ref="GP4:GP16" si="83">IF(GC4&gt;0,GC4,"")</f>
        <v/>
      </c>
      <c r="GQ4" s="41" t="str">
        <f t="shared" ref="GQ4:GQ16" si="84">IF(GD4&gt;0,GD4,"")</f>
        <v/>
      </c>
      <c r="GR4" s="41" t="str">
        <f t="shared" ref="GR4:GR16" si="85">IF(SUM(GA4:GD4)-GE4&gt;0,SUM(GA4:GD4)-GE4,"")</f>
        <v/>
      </c>
      <c r="GS4" s="41" t="str">
        <f t="shared" ref="GS4:GS16" si="86">IF(SUM(GL4,GR4)&gt;0,SUM(GL4,GR4),"")</f>
        <v/>
      </c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 t="str">
        <f t="shared" ref="HN4:HN16" si="87">IF(GV4&gt;0,GV4,"")</f>
        <v/>
      </c>
      <c r="HO4" s="11" t="str">
        <f t="shared" ref="HO4:HO16" si="88">IF(GW4&gt;0,GW4,"")</f>
        <v/>
      </c>
      <c r="HP4" s="11" t="str">
        <f t="shared" ref="HP4:HP16" si="89">IF(SUM(GT4:GW4)-GX4&gt;0,SUM(GT4:GW4)-GX4,"")</f>
        <v/>
      </c>
      <c r="HQ4" s="11" t="str">
        <f t="shared" ref="HQ4:HQ16" si="90">IF(HA4&gt;0,HA4,"")</f>
        <v/>
      </c>
      <c r="HR4" s="11" t="str">
        <f t="shared" ref="HR4:HR16" si="91">IF(HB4&gt;0,HB4,"")</f>
        <v/>
      </c>
      <c r="HS4" s="11" t="str">
        <f t="shared" ref="HS4:HS16" si="92">IF(SUM(GY4:HB4)-HC4&gt;0,SUM(GY4:HB4)-HC4,"")</f>
        <v/>
      </c>
      <c r="HT4" s="11" t="str">
        <f t="shared" ref="HT4:HT16" si="93">IF(MAX(HP4,HS4)&gt;0,MAX(HP4,HS4),"")</f>
        <v/>
      </c>
      <c r="HU4" s="11" t="str">
        <f t="shared" ref="HU4:HU16" si="94">IF(HF4&gt;0,HF4,"")</f>
        <v/>
      </c>
      <c r="HV4" s="11" t="str">
        <f t="shared" ref="HV4:HV16" si="95">IF(HG4&gt;0,HG4,"")</f>
        <v/>
      </c>
      <c r="HW4" s="11" t="str">
        <f t="shared" ref="HW4:HW16" si="96">IF(SUM(HD4:HG4)-HH4&gt;0,SUM(HD4:HG4)-HH4,"")</f>
        <v/>
      </c>
      <c r="HX4" s="11" t="str">
        <f t="shared" ref="HX4:HX16" si="97">IF(HK4&gt;0,HK4,"")</f>
        <v/>
      </c>
      <c r="HY4" s="11" t="str">
        <f t="shared" ref="HY4:HY16" si="98">IF(HL4&gt;0,HL4,"")</f>
        <v/>
      </c>
      <c r="HZ4" s="11" t="str">
        <f t="shared" ref="HZ4:HZ16" si="99">IF(SUM(HI4:HL4)-HM4&gt;0,SUM(HI4:HL4)-HM4,"")</f>
        <v/>
      </c>
      <c r="IA4" s="11" t="str">
        <f t="shared" ref="IA4:IA16" si="100">IF(SUM(HT4,HZ4)&gt;0,SUM(HT4,HZ4),"")</f>
        <v/>
      </c>
      <c r="IB4" s="17"/>
      <c r="IC4" s="17"/>
      <c r="ID4" s="17"/>
      <c r="IE4" s="17"/>
      <c r="IF4" s="17"/>
      <c r="IG4" s="17"/>
      <c r="IH4" s="17"/>
      <c r="II4" s="17"/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 t="str">
        <f t="shared" ref="IV4:IV16" si="101">IF(ID4&gt;0,ID4,"")</f>
        <v/>
      </c>
      <c r="IW4" s="41" t="str">
        <f t="shared" ref="IW4:IW16" si="102">IF(IE4&gt;0,IE4,"")</f>
        <v/>
      </c>
      <c r="IX4" s="41" t="str">
        <f t="shared" ref="IX4:IX16" si="103">IF(SUM(IB4:IE4)-IF4&gt;0,SUM(IB4:IE4)-IF4,"")</f>
        <v/>
      </c>
      <c r="IY4" s="41" t="str">
        <f t="shared" ref="IY4:IY16" si="104">IF(II4&gt;0,II4,"")</f>
        <v/>
      </c>
      <c r="IZ4" s="41" t="str">
        <f t="shared" ref="IZ4:IZ16" si="105">IF(IJ4&gt;0,IJ4,"")</f>
        <v/>
      </c>
      <c r="JA4" s="41" t="str">
        <f t="shared" ref="JA4:JA16" si="106">IF(SUM(IG4:IJ4)-IK4&gt;0,SUM(IG4:IJ4)-IK4,"")</f>
        <v/>
      </c>
      <c r="JB4" s="41" t="str">
        <f t="shared" ref="JB4:JB16" si="107">IF(MAX(IX4,JA4)&gt;0,MAX(IX4,JA4),"")</f>
        <v/>
      </c>
      <c r="JC4" s="41" t="str">
        <f t="shared" ref="JC4:JC16" si="108">IF(IN4&gt;0,IN4,"")</f>
        <v/>
      </c>
      <c r="JD4" s="41" t="str">
        <f t="shared" ref="JD4:JD16" si="109">IF(IO4&gt;0,IO4,"")</f>
        <v/>
      </c>
      <c r="JE4" s="41" t="str">
        <f t="shared" ref="JE4:JE16" si="110">IF(SUM(IL4:IO4)-IP4&gt;0,SUM(IL4:IO4)-IP4,"")</f>
        <v/>
      </c>
      <c r="JF4" s="41" t="str">
        <f t="shared" ref="JF4:JF16" si="111">IF(IS4&gt;0,IS4,"")</f>
        <v/>
      </c>
      <c r="JG4" s="41" t="str">
        <f t="shared" ref="JG4:JG16" si="112">IF(IT4&gt;0,IT4,"")</f>
        <v/>
      </c>
      <c r="JH4" s="41" t="str">
        <f t="shared" ref="JH4:JH16" si="113">IF(SUM(IQ4:IT4)-IU4&gt;0,SUM(IQ4:IT4)-IU4,"")</f>
        <v/>
      </c>
      <c r="JI4" s="41" t="str">
        <f t="shared" ref="JI4:JI16" si="114">IF(SUM(JB4,JH4)&gt;0,SUM(JB4,JH4),"")</f>
        <v/>
      </c>
      <c r="JJ4" s="18">
        <v>3.05</v>
      </c>
      <c r="JK4" s="18">
        <v>3.6</v>
      </c>
      <c r="JL4" s="18">
        <v>6.7</v>
      </c>
      <c r="JM4" s="18">
        <v>7.08</v>
      </c>
      <c r="JN4" s="18">
        <v>0</v>
      </c>
      <c r="JO4" s="18">
        <v>7.4</v>
      </c>
      <c r="JP4" s="18">
        <v>9.25</v>
      </c>
      <c r="JQ4" s="18">
        <v>15.6</v>
      </c>
      <c r="JR4" s="18">
        <v>18.059999999999999</v>
      </c>
      <c r="JS4" s="18">
        <v>0</v>
      </c>
      <c r="JT4" s="18"/>
      <c r="JU4" s="18"/>
      <c r="JV4" s="18"/>
      <c r="JW4" s="18"/>
      <c r="JX4" s="18"/>
      <c r="JY4" s="18">
        <v>7.6</v>
      </c>
      <c r="JZ4" s="18">
        <v>9.0500000000000007</v>
      </c>
      <c r="KA4" s="18">
        <v>15.6</v>
      </c>
      <c r="KB4" s="18">
        <v>18.78</v>
      </c>
      <c r="KC4" s="18">
        <v>0</v>
      </c>
      <c r="KD4" s="11">
        <f t="shared" ref="KD4:KD16" si="115">IF(JL4&gt;0,JL4,"")</f>
        <v>6.7</v>
      </c>
      <c r="KE4" s="11">
        <f t="shared" ref="KE4:KE16" si="116">IF(JM4&gt;0,JM4,"")</f>
        <v>7.08</v>
      </c>
      <c r="KF4" s="11">
        <f t="shared" ref="KF4:KF16" si="117">IF(SUM(JJ4:JM4)-JN4&gt;0,SUM(JJ4:JM4)-JN4,"")</f>
        <v>20.43</v>
      </c>
      <c r="KG4" s="11">
        <f t="shared" ref="KG4:KG16" si="118">IF(JQ4&gt;0,JQ4,"")</f>
        <v>15.6</v>
      </c>
      <c r="KH4" s="11">
        <f t="shared" ref="KH4:KH16" si="119">IF(JR4&gt;0,JR4,"")</f>
        <v>18.059999999999999</v>
      </c>
      <c r="KI4" s="11">
        <f t="shared" ref="KI4:KI16" si="120">IF(SUM(JO4:JR4)-JS4&gt;0,SUM(JO4:JR4)-JS4,"")</f>
        <v>50.31</v>
      </c>
      <c r="KJ4" s="11">
        <f t="shared" ref="KJ4:KJ16" si="121">IF(MAX(KF4,KI4)&gt;0,MAX(KF4,KI4),"")</f>
        <v>50.31</v>
      </c>
      <c r="KK4" s="11" t="str">
        <f t="shared" ref="KK4:KK16" si="122">IF(JV4&gt;0,JV4,"")</f>
        <v/>
      </c>
      <c r="KL4" s="11" t="str">
        <f t="shared" ref="KL4:KL16" si="123">IF(JW4&gt;0,JW4,"")</f>
        <v/>
      </c>
      <c r="KM4" s="11" t="str">
        <f t="shared" ref="KM4:KM16" si="124">IF(SUM(JT4:JW4)-JX4&gt;0,SUM(JT4:JW4)-JX4,"")</f>
        <v/>
      </c>
      <c r="KN4" s="11">
        <f t="shared" ref="KN4:KN16" si="125">IF(KA4&gt;0,KA4,"")</f>
        <v>15.6</v>
      </c>
      <c r="KO4" s="11">
        <f t="shared" ref="KO4:KO16" si="126">IF(KB4&gt;0,KB4,"")</f>
        <v>18.78</v>
      </c>
      <c r="KP4" s="11">
        <f t="shared" ref="KP4:KP16" si="127">IF(SUM(JY4:KB4)-KC4&gt;0,SUM(JY4:KB4)-KC4,"")</f>
        <v>51.03</v>
      </c>
      <c r="KQ4" s="11">
        <f t="shared" ref="KQ4:KQ16" si="128">IF(SUM(KJ4,KP4)&gt;0,SUM(KJ4,KP4),"")</f>
        <v>101.34</v>
      </c>
      <c r="KR4" s="17">
        <v>4.7</v>
      </c>
      <c r="KS4" s="17">
        <v>5.65</v>
      </c>
      <c r="KT4" s="17">
        <v>9.8000000000000007</v>
      </c>
      <c r="KU4" s="17">
        <v>10.1</v>
      </c>
      <c r="KV4" s="17">
        <v>0</v>
      </c>
      <c r="KW4" s="17">
        <v>7.2</v>
      </c>
      <c r="KX4" s="17">
        <v>9.0500000000000007</v>
      </c>
      <c r="KY4" s="17">
        <v>15.6</v>
      </c>
      <c r="KZ4" s="17">
        <v>16.22</v>
      </c>
      <c r="LA4" s="17">
        <v>0.4</v>
      </c>
      <c r="LB4" s="17"/>
      <c r="LC4" s="17"/>
      <c r="LD4" s="17"/>
      <c r="LE4" s="17"/>
      <c r="LF4" s="17"/>
      <c r="LG4" s="17">
        <v>7.75</v>
      </c>
      <c r="LH4" s="17">
        <v>9.1</v>
      </c>
      <c r="LI4" s="17">
        <v>15.6</v>
      </c>
      <c r="LJ4" s="17">
        <v>19.5</v>
      </c>
      <c r="LK4" s="17">
        <v>0</v>
      </c>
      <c r="LL4" s="41">
        <f t="shared" ref="LL4:LL16" si="129">IF(KT4&gt;0,KT4,"")</f>
        <v>9.8000000000000007</v>
      </c>
      <c r="LM4" s="41">
        <f t="shared" ref="LM4:LM16" si="130">IF(KU4&gt;0,KU4,"")</f>
        <v>10.1</v>
      </c>
      <c r="LN4" s="41">
        <f t="shared" ref="LN4:LN16" si="131">IF(SUM(KR4:KU4)-KV4&gt;0,SUM(KR4:KU4)-KV4,"")</f>
        <v>30.25</v>
      </c>
      <c r="LO4" s="41">
        <f t="shared" ref="LO4:LO16" si="132">IF(KY4&gt;0,KY4,"")</f>
        <v>15.6</v>
      </c>
      <c r="LP4" s="41">
        <f t="shared" ref="LP4:LP16" si="133">IF(KZ4&gt;0,KZ4,"")</f>
        <v>16.22</v>
      </c>
      <c r="LQ4" s="41">
        <f t="shared" ref="LQ4:LQ16" si="134">IF(SUM(KW4:KZ4)-LA4&gt;0,SUM(KW4:KZ4)-LA4,"")</f>
        <v>47.67</v>
      </c>
      <c r="LR4" s="41">
        <f t="shared" ref="LR4:LR16" si="135">IF(MAX(LN4,LQ4)&gt;0,MAX(LN4,LQ4),"")</f>
        <v>47.67</v>
      </c>
      <c r="LS4" s="41" t="str">
        <f t="shared" ref="LS4:LS16" si="136">IF(LD4&gt;0,LD4,"")</f>
        <v/>
      </c>
      <c r="LT4" s="41" t="str">
        <f t="shared" ref="LT4:LT16" si="137">IF(LE4&gt;0,LE4,"")</f>
        <v/>
      </c>
      <c r="LU4" s="41" t="str">
        <f t="shared" ref="LU4:LU16" si="138">IF(SUM(LB4:LE4)-LF4&gt;0,SUM(LB4:LE4)-LF4,"")</f>
        <v/>
      </c>
      <c r="LV4" s="41">
        <f t="shared" ref="LV4:LV16" si="139">IF(LI4&gt;0,LI4,"")</f>
        <v>15.6</v>
      </c>
      <c r="LW4" s="41">
        <f t="shared" ref="LW4:LW16" si="140">IF(LJ4&gt;0,LJ4,"")</f>
        <v>19.5</v>
      </c>
      <c r="LX4" s="41">
        <f t="shared" ref="LX4:LX16" si="141">IF(SUM(LG4:LJ4)-LK4&gt;0,SUM(LG4:LJ4)-LK4,"")</f>
        <v>51.95</v>
      </c>
      <c r="LY4" s="41">
        <f t="shared" ref="LY4:LY16" si="142">IF(SUM(LR4,LX4)&gt;0,SUM(LR4,LX4),"")</f>
        <v>99.62</v>
      </c>
      <c r="LZ4" s="18">
        <v>0.8</v>
      </c>
      <c r="MA4" s="18">
        <v>0.9</v>
      </c>
      <c r="MB4" s="18">
        <v>2</v>
      </c>
      <c r="MC4" s="18">
        <v>1.6</v>
      </c>
      <c r="MD4" s="18">
        <v>0</v>
      </c>
      <c r="ME4" s="18">
        <v>7.65</v>
      </c>
      <c r="MF4" s="18">
        <v>9.35</v>
      </c>
      <c r="MG4" s="18">
        <v>15.6</v>
      </c>
      <c r="MH4" s="18">
        <v>16.64</v>
      </c>
      <c r="MI4" s="18">
        <v>0</v>
      </c>
      <c r="MJ4" s="18"/>
      <c r="MK4" s="18"/>
      <c r="ML4" s="18"/>
      <c r="MM4" s="18"/>
      <c r="MN4" s="18"/>
      <c r="MO4" s="18">
        <v>7.25</v>
      </c>
      <c r="MP4" s="18">
        <v>9.0500000000000007</v>
      </c>
      <c r="MQ4" s="18">
        <v>15.6</v>
      </c>
      <c r="MR4" s="18">
        <v>16.579999999999998</v>
      </c>
      <c r="MS4" s="18">
        <v>0</v>
      </c>
      <c r="MT4" s="11">
        <f t="shared" ref="MT4:MT16" si="143">IF(MB4&gt;0,MB4,"")</f>
        <v>2</v>
      </c>
      <c r="MU4" s="11">
        <f t="shared" ref="MU4:MU16" si="144">IF(MC4&gt;0,MC4,"")</f>
        <v>1.6</v>
      </c>
      <c r="MV4" s="11">
        <f t="shared" ref="MV4:MV16" si="145">IF(SUM(LZ4:MC4)-MD4&gt;0,SUM(LZ4:MC4)-MD4,"")</f>
        <v>5.3000000000000007</v>
      </c>
      <c r="MW4" s="11">
        <f t="shared" ref="MW4:MW16" si="146">IF(MG4&gt;0,MG4,"")</f>
        <v>15.6</v>
      </c>
      <c r="MX4" s="11">
        <f t="shared" ref="MX4:MX16" si="147">IF(MH4&gt;0,MH4,"")</f>
        <v>16.64</v>
      </c>
      <c r="MY4" s="11">
        <f t="shared" ref="MY4:MY16" si="148">IF(SUM(ME4:MH4)-MI4&gt;0,SUM(ME4:MH4)-MI4,"")</f>
        <v>49.24</v>
      </c>
      <c r="MZ4" s="11">
        <f t="shared" ref="MZ4:MZ16" si="149">IF(MAX(MV4,MY4)&gt;0,MAX(MV4,MY4),"")</f>
        <v>49.24</v>
      </c>
      <c r="NA4" s="11" t="str">
        <f t="shared" ref="NA4:NA16" si="150">IF(ML4&gt;0,ML4,"")</f>
        <v/>
      </c>
      <c r="NB4" s="11" t="str">
        <f t="shared" ref="NB4:NB16" si="151">IF(MM4&gt;0,MM4,"")</f>
        <v/>
      </c>
      <c r="NC4" s="11" t="str">
        <f t="shared" ref="NC4:NC16" si="152">IF(SUM(MJ4:MM4)-MN4&gt;0,SUM(MJ4:MM4)-MN4,"")</f>
        <v/>
      </c>
      <c r="ND4" s="11">
        <f t="shared" ref="ND4:ND16" si="153">IF(MQ4&gt;0,MQ4,"")</f>
        <v>15.6</v>
      </c>
      <c r="NE4" s="11">
        <f t="shared" ref="NE4:NE16" si="154">IF(MR4&gt;0,MR4,"")</f>
        <v>16.579999999999998</v>
      </c>
      <c r="NF4" s="11">
        <f t="shared" ref="NF4:NF16" si="155">IF(SUM(MO4:MR4)-MS4&gt;0,SUM(MO4:MR4)-MS4,"")</f>
        <v>48.48</v>
      </c>
      <c r="NG4" s="11">
        <f t="shared" ref="NG4:NG16" si="156">IF(SUM(MZ4,NF4)&gt;0,SUM(MZ4,NF4),"")</f>
        <v>97.72</v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 t="shared" ref="OB4:OB16" si="157">IF(NJ4&gt;0,NJ4,"")</f>
        <v/>
      </c>
      <c r="OC4" s="41" t="str">
        <f t="shared" ref="OC4:OC16" si="158">IF(NK4&gt;0,NK4,"")</f>
        <v/>
      </c>
      <c r="OD4" s="41" t="str">
        <f t="shared" ref="OD4:OD16" si="159">IF(SUM(NH4:NK4)-NL4&gt;0,SUM(NH4:NK4)-NL4,"")</f>
        <v/>
      </c>
      <c r="OE4" s="41" t="str">
        <f t="shared" ref="OE4:OE16" si="160">IF(NO4&gt;0,NO4,"")</f>
        <v/>
      </c>
      <c r="OF4" s="41" t="str">
        <f t="shared" ref="OF4:OF16" si="161">IF(NP4&gt;0,NP4,"")</f>
        <v/>
      </c>
      <c r="OG4" s="41" t="str">
        <f t="shared" ref="OG4:OG16" si="162">IF(SUM(NM4:NP4)-NQ4&gt;0,SUM(NM4:NP4)-NQ4,"")</f>
        <v/>
      </c>
      <c r="OH4" s="41" t="str">
        <f t="shared" ref="OH4:OH16" si="163">IF(MAX(OD4,OG4)&gt;0,MAX(OD4,OG4),"")</f>
        <v/>
      </c>
      <c r="OI4" s="41" t="str">
        <f t="shared" ref="OI4:OI16" si="164">IF(NT4&gt;0,NT4,"")</f>
        <v/>
      </c>
      <c r="OJ4" s="41" t="str">
        <f t="shared" ref="OJ4:OJ16" si="165">IF(NU4&gt;0,NU4,"")</f>
        <v/>
      </c>
      <c r="OK4" s="41" t="str">
        <f t="shared" ref="OK4:OK16" si="166">IF(SUM(NR4:NU4)-NV4&gt;0,SUM(NR4:NU4)-NV4,"")</f>
        <v/>
      </c>
      <c r="OL4" s="41" t="str">
        <f t="shared" ref="OL4:OL16" si="167">IF(NY4&gt;0,NY4,"")</f>
        <v/>
      </c>
      <c r="OM4" s="41" t="str">
        <f t="shared" ref="OM4:OM16" si="168">IF(NZ4&gt;0,NZ4,"")</f>
        <v/>
      </c>
      <c r="ON4" s="41" t="str">
        <f t="shared" ref="ON4:ON16" si="169">IF(SUM(NW4:NZ4)-OA4&gt;0,SUM(NW4:NZ4)-OA4,"")</f>
        <v/>
      </c>
      <c r="OO4" s="41" t="str">
        <f t="shared" ref="OO4:OO16" si="170">IF(SUM(OH4,ON4)&gt;0,SUM(OH4,ON4),"")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6" si="171">IF(OR4&gt;0,OR4,"")</f>
        <v/>
      </c>
      <c r="PK4" s="11" t="str">
        <f t="shared" ref="PK4:PK16" si="172">IF(OS4&gt;0,OS4,"")</f>
        <v/>
      </c>
      <c r="PL4" s="11" t="str">
        <f t="shared" ref="PL4:PL16" si="173">IF(SUM(OP4:OS4)-OT4&gt;0,SUM(OP4:OS4)-OT4,"")</f>
        <v/>
      </c>
      <c r="PM4" s="11" t="str">
        <f t="shared" ref="PM4:PM16" si="174">IF(OW4&gt;0,OW4,"")</f>
        <v/>
      </c>
      <c r="PN4" s="11" t="str">
        <f t="shared" ref="PN4:PN16" si="175">IF(OX4&gt;0,OX4,"")</f>
        <v/>
      </c>
      <c r="PO4" s="11" t="str">
        <f t="shared" ref="PO4:PO16" si="176">IF(SUM(OU4:OX4)-OY4&gt;0,SUM(OU4:OX4)-OY4,"")</f>
        <v/>
      </c>
      <c r="PP4" s="11" t="str">
        <f t="shared" ref="PP4:PP16" si="177">IF(MAX(PL4,PO4)&gt;0,MAX(PL4,PO4),"")</f>
        <v/>
      </c>
      <c r="PQ4" s="11" t="str">
        <f t="shared" ref="PQ4:PQ16" si="178">IF(PB4&gt;0,PB4,"")</f>
        <v/>
      </c>
      <c r="PR4" s="11" t="str">
        <f t="shared" ref="PR4:PR16" si="179">IF(PC4&gt;0,PC4,"")</f>
        <v/>
      </c>
      <c r="PS4" s="11" t="str">
        <f t="shared" ref="PS4:PS16" si="180">IF(SUM(OZ4:PC4)-PD4&gt;0,SUM(OZ4:PC4)-PD4,"")</f>
        <v/>
      </c>
      <c r="PT4" s="11" t="str">
        <f t="shared" ref="PT4:PT16" si="181">IF(PG4&gt;0,PG4,"")</f>
        <v/>
      </c>
      <c r="PU4" s="11" t="str">
        <f t="shared" ref="PU4:PU16" si="182">IF(PH4&gt;0,PH4,"")</f>
        <v/>
      </c>
      <c r="PV4" s="11" t="str">
        <f t="shared" ref="PV4:PV16" si="183">IF(SUM(PE4:PH4)-PI4&gt;0,SUM(PE4:PH4)-PI4,"")</f>
        <v/>
      </c>
      <c r="PW4" s="11" t="str">
        <f t="shared" ref="PW4:PW16" si="184">IF(SUM(PP4,PV4)&gt;0,SUM(PP4,PV4),"")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 t="shared" ref="QR4:QR16" si="185">IF(PZ4&gt;0,PZ4,"")</f>
        <v/>
      </c>
      <c r="QS4" s="41" t="str">
        <f t="shared" ref="QS4:QS16" si="186">IF(QA4&gt;0,QA4,"")</f>
        <v/>
      </c>
      <c r="QT4" s="41" t="str">
        <f t="shared" ref="QT4:QT16" si="187">IF(SUM(PX4:QA4)-QB4&gt;0,SUM(PX4:QA4)-QB4,"")</f>
        <v/>
      </c>
      <c r="QU4" s="41" t="str">
        <f t="shared" ref="QU4:QU16" si="188">IF(QE4&gt;0,QE4,"")</f>
        <v/>
      </c>
      <c r="QV4" s="41" t="str">
        <f t="shared" ref="QV4:QV16" si="189">IF(QF4&gt;0,QF4,"")</f>
        <v/>
      </c>
      <c r="QW4" s="41" t="str">
        <f t="shared" ref="QW4:QW16" si="190">IF(SUM(QC4:QF4)-QG4&gt;0,SUM(QC4:QF4)-QG4,"")</f>
        <v/>
      </c>
      <c r="QX4" s="41" t="str">
        <f t="shared" ref="QX4:QX16" si="191">IF(MAX(QT4,QW4)&gt;0,MAX(QT4,QW4),"")</f>
        <v/>
      </c>
      <c r="QY4" s="41" t="str">
        <f t="shared" ref="QY4:QY16" si="192">IF(QJ4&gt;0,QJ4,"")</f>
        <v/>
      </c>
      <c r="QZ4" s="41" t="str">
        <f t="shared" ref="QZ4:QZ16" si="193">IF(QK4&gt;0,QK4,"")</f>
        <v/>
      </c>
      <c r="RA4" s="41" t="str">
        <f t="shared" ref="RA4:RA16" si="194">IF(SUM(QH4:QK4)-QL4&gt;0,SUM(QH4:QK4)-QL4,"")</f>
        <v/>
      </c>
      <c r="RB4" s="41" t="str">
        <f t="shared" ref="RB4:RB16" si="195">IF(QO4&gt;0,QO4,"")</f>
        <v/>
      </c>
      <c r="RC4" s="41" t="str">
        <f t="shared" ref="RC4:RC16" si="196">IF(QP4&gt;0,QP4,"")</f>
        <v/>
      </c>
      <c r="RD4" s="41" t="str">
        <f t="shared" ref="RD4:RD16" si="197">IF(SUM(QM4:QP4)-QQ4&gt;0,SUM(QM4:QP4)-QQ4,"")</f>
        <v/>
      </c>
      <c r="RE4" s="41" t="str">
        <f t="shared" ref="RE4:RE16" si="198">IF(SUM(QX4,RD4)&gt;0,SUM(QX4,RD4),"")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6" si="199">IF(RH4&gt;0,RH4,"")</f>
        <v/>
      </c>
      <c r="SA4" s="11" t="str">
        <f t="shared" ref="SA4:SA16" si="200">IF(RI4&gt;0,RI4,"")</f>
        <v/>
      </c>
      <c r="SB4" s="11" t="str">
        <f t="shared" ref="SB4:SB16" si="201">IF(SUM(RF4:RI4)-RJ4&gt;0,SUM(RF4:RI4)-RJ4,"")</f>
        <v/>
      </c>
      <c r="SC4" s="11" t="str">
        <f t="shared" ref="SC4:SC16" si="202">IF(RM4&gt;0,RM4,"")</f>
        <v/>
      </c>
      <c r="SD4" s="11" t="str">
        <f t="shared" ref="SD4:SD16" si="203">IF(RN4&gt;0,RN4,"")</f>
        <v/>
      </c>
      <c r="SE4" s="11" t="str">
        <f t="shared" ref="SE4:SE16" si="204">IF(SUM(RK4:RN4)-RO4&gt;0,SUM(RK4:RN4)-RO4,"")</f>
        <v/>
      </c>
      <c r="SF4" s="11" t="str">
        <f t="shared" ref="SF4:SF16" si="205">IF(MAX(SB4,SE4)&gt;0,MAX(SB4,SE4),"")</f>
        <v/>
      </c>
      <c r="SG4" s="11" t="str">
        <f t="shared" ref="SG4:SG16" si="206">IF(RR4&gt;0,RR4,"")</f>
        <v/>
      </c>
      <c r="SH4" s="11" t="str">
        <f t="shared" ref="SH4:SH16" si="207">IF(RS4&gt;0,RS4,"")</f>
        <v/>
      </c>
      <c r="SI4" s="11" t="str">
        <f t="shared" ref="SI4:SI16" si="208">IF(SUM(RP4:RS4)-RT4&gt;0,SUM(RP4:RS4)-RT4,"")</f>
        <v/>
      </c>
      <c r="SJ4" s="11" t="str">
        <f t="shared" ref="SJ4:SJ16" si="209">IF(RW4&gt;0,RW4,"")</f>
        <v/>
      </c>
      <c r="SK4" s="11" t="str">
        <f t="shared" ref="SK4:SK16" si="210">IF(RX4&gt;0,RX4,"")</f>
        <v/>
      </c>
      <c r="SL4" s="11" t="str">
        <f t="shared" ref="SL4:SL16" si="211">IF(SUM(RU4:RX4)-RY4&gt;0,SUM(RU4:RX4)-RY4,"")</f>
        <v/>
      </c>
      <c r="SM4" s="11" t="str">
        <f t="shared" ref="SM4:SM16" si="212">IF(SUM(SF4,SL4)&gt;0,SUM(SF4,SL4),"")</f>
        <v/>
      </c>
      <c r="SN4" s="23">
        <f t="shared" ref="SN4:SN16" si="213">IF($CH4="P",BS4,(BS4+AR4)/2)</f>
        <v>1.2</v>
      </c>
      <c r="SO4" s="23">
        <f t="shared" ref="SO4:SO16" si="214">IF($CH4="P",BT4,(BT4+AS4)/2)</f>
        <v>1.375</v>
      </c>
      <c r="SP4" s="23">
        <f t="shared" ref="SP4:SP16" si="215">IF($CH4="P",BU4,(BU4+AT4)/2)</f>
        <v>2.5499999999999998</v>
      </c>
      <c r="SQ4" s="23">
        <f t="shared" ref="SQ4:SQ16" si="216">IF($CH4="P",BV4,(BV4+AU4)/2)</f>
        <v>2.33</v>
      </c>
      <c r="SR4" s="23">
        <f t="shared" ref="SR4:SR16" si="217">IF($CH4="P",BW4,(BW4+AV4)/2)</f>
        <v>0</v>
      </c>
      <c r="SS4" s="23">
        <f t="shared" ref="SS4:SS16" si="218">IF($CH4="P",BX4,(BX4+AW4)/2)</f>
        <v>3.95</v>
      </c>
      <c r="ST4" s="23">
        <f t="shared" ref="ST4:ST16" si="219">IF($CH4="P",BY4,(BY4+AX4)/2)</f>
        <v>4.4249999999999998</v>
      </c>
      <c r="SU4" s="23">
        <f t="shared" ref="SU4:SU16" si="220">IF($CH4="P",BZ4,(BZ4+AY4)/2)</f>
        <v>7.8</v>
      </c>
      <c r="SV4" s="23">
        <f t="shared" ref="SV4:SV16" si="221">IF($CH4="P",CA4,(CA4+AZ4)/2)</f>
        <v>6.87</v>
      </c>
      <c r="SW4" s="23">
        <f t="shared" ref="SW4:SW16" si="222">IF($CH4="P",CB4,(CB4+BA4)/2)</f>
        <v>0</v>
      </c>
      <c r="SX4" s="23">
        <f t="shared" ref="SX4:SX16" si="223">IF($CH4="P",CC4,(CC4+BB4)/2)</f>
        <v>4.2249999999999996</v>
      </c>
      <c r="SY4" s="23">
        <f t="shared" ref="SY4:SY16" si="224">IF($CH4="P",CD4,(CD4+BC4)/2)</f>
        <v>4.6749999999999998</v>
      </c>
      <c r="SZ4" s="23">
        <f t="shared" ref="SZ4:SZ16" si="225">IF($CH4="P",CE4,(CE4+BD4)/2)</f>
        <v>7.8</v>
      </c>
      <c r="TA4" s="23">
        <f t="shared" ref="TA4:TA16" si="226">IF($CH4="P",CF4,(CF4+BE4)/2)</f>
        <v>8.86</v>
      </c>
      <c r="TB4" s="23">
        <f t="shared" ref="TB4:TB16" si="227">IF($CH4="P",CG4,(CG4+BF4)/2)</f>
        <v>0</v>
      </c>
      <c r="TC4" s="28" t="s">
        <v>57</v>
      </c>
      <c r="TD4" s="41">
        <f t="shared" ref="TD4:TD16" si="228">IF(SP4&gt;0,SP4,"")</f>
        <v>2.5499999999999998</v>
      </c>
      <c r="TE4" s="41">
        <f t="shared" ref="TE4:TE16" si="229">IF(SQ4&gt;0,SQ4,"")</f>
        <v>2.33</v>
      </c>
      <c r="TF4" s="41">
        <f t="shared" ref="TF4:TF16" si="230">IF(SUM(SN4:SQ4)-SR4&gt;0,SUM(SN4:SQ4)-SR4,"")</f>
        <v>7.4550000000000001</v>
      </c>
      <c r="TG4" s="41">
        <f t="shared" ref="TG4:TG16" si="231">IF(SU4&gt;0,SU4,"")</f>
        <v>7.8</v>
      </c>
      <c r="TH4" s="41">
        <f t="shared" ref="TH4:TH16" si="232">IF(SV4&gt;0,SV4,"")</f>
        <v>6.87</v>
      </c>
      <c r="TI4" s="41">
        <f t="shared" ref="TI4:TI16" si="233">IF(SUM(SS4:SV4)-SW4&gt;0,SUM(SS4:SV4)-SW4,"")</f>
        <v>23.045000000000002</v>
      </c>
      <c r="TJ4" s="41">
        <f t="shared" ref="TJ4:TJ16" si="234">IF(MAX(TF4,TI4)&gt;0,MAX(TF4,TI4),"")</f>
        <v>23.045000000000002</v>
      </c>
      <c r="TK4" s="41">
        <f t="shared" ref="TK4:TK16" si="235">IF(SZ4&gt;0,SZ4,"")</f>
        <v>7.8</v>
      </c>
      <c r="TL4" s="41">
        <f t="shared" ref="TL4:TL16" si="236">IF(TA4&gt;0,TA4,"")</f>
        <v>8.86</v>
      </c>
      <c r="TM4" s="41">
        <f t="shared" ref="TM4:TM16" si="237">IF(SUM(SX4:TA4)-TB4&gt;0,SUM(SX4:TA4)-TB4,"")</f>
        <v>25.56</v>
      </c>
      <c r="TN4" s="41">
        <f t="shared" ref="TN4:TN16" si="238">IF(SUM(TJ4,TM4)&gt;0,SUM(TJ4,TM4),"")</f>
        <v>48.605000000000004</v>
      </c>
    </row>
    <row r="5" spans="1:534" x14ac:dyDescent="0.2">
      <c r="A5" s="4" cm="1">
        <f t="array" ref="A5">IF(AND(H5&lt;&gt;"",H5&lt;&gt;"No DD"),SUMPRODUCT((H$4:H$17&lt;&gt;"")*(H$4:H$17&lt;&gt;"No DD")*(E$4:E$17&gt;E5))+1,IF(H5="No DD",SUMPRODUCT((H$4:H$17="No DD")*(E$4:E$17&gt;E5))+1+SUMPRODUCT((H$4:H$17&lt;&gt;"")*(H$4:H$17&lt;&gt;"No DD")),""))</f>
        <v>2</v>
      </c>
      <c r="B5" s="5" t="s">
        <v>141</v>
      </c>
      <c r="C5" s="4" t="s">
        <v>140</v>
      </c>
      <c r="D5" s="4" t="s">
        <v>139</v>
      </c>
      <c r="E5" s="9">
        <f t="shared" si="0"/>
        <v>50.230000000000004</v>
      </c>
      <c r="F5" s="3" t="str">
        <f t="shared" si="1"/>
        <v>P</v>
      </c>
      <c r="G5" s="3" t="str">
        <f t="shared" si="2"/>
        <v>P</v>
      </c>
      <c r="H5" s="37" t="str">
        <f t="shared" si="3"/>
        <v>Excellence</v>
      </c>
      <c r="I5" s="3" t="str">
        <f t="shared" si="4"/>
        <v>P</v>
      </c>
      <c r="J5" s="8">
        <f>IF(COUNT(AI5,AL5,AP5,BJ5,BM5,BQ5,CK5,CN5,CR5)&gt;0,LARGE((AI5,AL5,AP5,BJ5,BM5,BQ5,CK5,CN5,CR5),1),0)</f>
        <v>0</v>
      </c>
      <c r="K5" s="8" t="str">
        <f t="shared" si="5"/>
        <v/>
      </c>
      <c r="L5" s="8">
        <f>IF(COUNT(AI5,AL5,AP5,BJ5,BM5,BQ5,CK5,CN5,CR5)&gt;1,LARGE((AI5,AL5,AP5,BJ5,BM5,BQ5,CK5,CN5,CR5),2),0)</f>
        <v>0</v>
      </c>
      <c r="M5" s="8" t="str">
        <f t="shared" si="6"/>
        <v/>
      </c>
      <c r="N5" s="8">
        <f t="shared" si="7"/>
        <v>50.230000000000004</v>
      </c>
      <c r="O5" s="11" t="str">
        <f t="shared" si="8"/>
        <v>(Final)</v>
      </c>
      <c r="P5" s="8" t="str">
        <f t="shared" si="9"/>
        <v>2023 Pan Am Championships (May 14)</v>
      </c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8"/>
      <c r="AG5" s="39" t="str">
        <f t="shared" si="10"/>
        <v/>
      </c>
      <c r="AH5" s="39" t="str">
        <f t="shared" si="11"/>
        <v/>
      </c>
      <c r="AI5" s="41" t="str">
        <f t="shared" si="12"/>
        <v/>
      </c>
      <c r="AJ5" s="41" t="str">
        <f t="shared" si="13"/>
        <v/>
      </c>
      <c r="AK5" s="41" t="str">
        <f t="shared" si="14"/>
        <v/>
      </c>
      <c r="AL5" s="41" t="str">
        <f t="shared" si="15"/>
        <v/>
      </c>
      <c r="AM5" s="41" t="str">
        <f t="shared" si="16"/>
        <v/>
      </c>
      <c r="AN5" s="41" t="str">
        <f t="shared" si="17"/>
        <v/>
      </c>
      <c r="AO5" s="41" t="str">
        <f t="shared" si="18"/>
        <v/>
      </c>
      <c r="AP5" s="41" t="str">
        <f t="shared" si="19"/>
        <v/>
      </c>
      <c r="AQ5" s="41" t="str">
        <f t="shared" si="20"/>
        <v/>
      </c>
      <c r="AR5" s="27"/>
      <c r="AS5" s="27"/>
      <c r="AT5" s="27"/>
      <c r="AU5" s="27"/>
      <c r="AV5" s="27"/>
      <c r="AW5" s="27"/>
      <c r="AX5" s="27"/>
      <c r="AY5" s="27"/>
      <c r="AZ5" s="27"/>
      <c r="BA5" s="27"/>
      <c r="BB5" s="27"/>
      <c r="BC5" s="27"/>
      <c r="BD5" s="27"/>
      <c r="BE5" s="27"/>
      <c r="BF5" s="27"/>
      <c r="BG5" s="29"/>
      <c r="BH5" s="40" t="str">
        <f t="shared" si="21"/>
        <v/>
      </c>
      <c r="BI5" s="40" t="str">
        <f t="shared" si="22"/>
        <v/>
      </c>
      <c r="BJ5" s="11" t="str">
        <f t="shared" si="23"/>
        <v/>
      </c>
      <c r="BK5" s="11" t="str">
        <f t="shared" si="24"/>
        <v/>
      </c>
      <c r="BL5" s="11" t="str">
        <f t="shared" si="25"/>
        <v/>
      </c>
      <c r="BM5" s="11" t="str">
        <f t="shared" si="26"/>
        <v/>
      </c>
      <c r="BN5" s="11" t="str">
        <f t="shared" si="27"/>
        <v/>
      </c>
      <c r="BO5" s="11" t="str">
        <f t="shared" si="28"/>
        <v/>
      </c>
      <c r="BP5" s="11" t="str">
        <f t="shared" si="29"/>
        <v/>
      </c>
      <c r="BQ5" s="11" t="str">
        <f t="shared" si="30"/>
        <v/>
      </c>
      <c r="BR5" s="11" t="str">
        <f t="shared" si="31"/>
        <v/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 t="shared" si="32"/>
        <v/>
      </c>
      <c r="CJ5" s="39" t="str">
        <f t="shared" si="33"/>
        <v/>
      </c>
      <c r="CK5" s="41" t="str">
        <f t="shared" si="34"/>
        <v/>
      </c>
      <c r="CL5" s="41" t="str">
        <f t="shared" si="35"/>
        <v/>
      </c>
      <c r="CM5" s="41" t="str">
        <f t="shared" si="36"/>
        <v/>
      </c>
      <c r="CN5" s="41" t="str">
        <f t="shared" si="37"/>
        <v/>
      </c>
      <c r="CO5" s="41" t="str">
        <f t="shared" si="38"/>
        <v/>
      </c>
      <c r="CP5" s="41" t="str">
        <f t="shared" si="39"/>
        <v/>
      </c>
      <c r="CQ5" s="41" t="str">
        <f t="shared" si="40"/>
        <v/>
      </c>
      <c r="CR5" s="41" t="str">
        <f t="shared" si="41"/>
        <v/>
      </c>
      <c r="CS5" s="41" t="str">
        <f t="shared" si="42"/>
        <v/>
      </c>
      <c r="CT5" s="52">
        <f t="shared" si="43"/>
        <v>49.48</v>
      </c>
      <c r="CU5" s="52">
        <f t="shared" si="44"/>
        <v>50.230000000000004</v>
      </c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 t="str">
        <f t="shared" si="45"/>
        <v/>
      </c>
      <c r="DQ5" s="41" t="str">
        <f t="shared" si="46"/>
        <v/>
      </c>
      <c r="DR5" s="41" t="str">
        <f t="shared" si="47"/>
        <v/>
      </c>
      <c r="DS5" s="41" t="str">
        <f t="shared" si="48"/>
        <v/>
      </c>
      <c r="DT5" s="41" t="str">
        <f t="shared" si="49"/>
        <v/>
      </c>
      <c r="DU5" s="41" t="str">
        <f t="shared" si="50"/>
        <v/>
      </c>
      <c r="DV5" s="41" t="str">
        <f t="shared" si="51"/>
        <v/>
      </c>
      <c r="DW5" s="41" t="str">
        <f t="shared" si="52"/>
        <v/>
      </c>
      <c r="DX5" s="41" t="str">
        <f t="shared" si="53"/>
        <v/>
      </c>
      <c r="DY5" s="41" t="str">
        <f t="shared" si="54"/>
        <v/>
      </c>
      <c r="DZ5" s="41" t="str">
        <f t="shared" si="55"/>
        <v/>
      </c>
      <c r="EA5" s="41" t="str">
        <f t="shared" si="56"/>
        <v/>
      </c>
      <c r="EB5" s="41" t="str">
        <f t="shared" si="57"/>
        <v/>
      </c>
      <c r="EC5" s="41" t="str">
        <f t="shared" si="58"/>
        <v/>
      </c>
      <c r="ED5" s="18"/>
      <c r="EE5" s="18"/>
      <c r="EF5" s="18"/>
      <c r="EG5" s="18"/>
      <c r="EH5" s="18"/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1" t="str">
        <f t="shared" si="59"/>
        <v/>
      </c>
      <c r="EY5" s="11" t="str">
        <f t="shared" si="60"/>
        <v/>
      </c>
      <c r="EZ5" s="11" t="str">
        <f t="shared" si="61"/>
        <v/>
      </c>
      <c r="FA5" s="11" t="str">
        <f t="shared" si="62"/>
        <v/>
      </c>
      <c r="FB5" s="11" t="str">
        <f t="shared" si="63"/>
        <v/>
      </c>
      <c r="FC5" s="11" t="str">
        <f t="shared" si="64"/>
        <v/>
      </c>
      <c r="FD5" s="11" t="str">
        <f t="shared" si="65"/>
        <v/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 t="str">
        <f t="shared" si="69"/>
        <v/>
      </c>
      <c r="FI5" s="11" t="str">
        <f t="shared" si="70"/>
        <v/>
      </c>
      <c r="FJ5" s="11" t="str">
        <f t="shared" si="71"/>
        <v/>
      </c>
      <c r="FK5" s="11" t="str">
        <f t="shared" si="72"/>
        <v/>
      </c>
      <c r="FL5" s="17">
        <v>8</v>
      </c>
      <c r="FM5" s="17">
        <v>9.35</v>
      </c>
      <c r="FN5" s="17">
        <v>14.2</v>
      </c>
      <c r="FO5" s="17">
        <v>16.7</v>
      </c>
      <c r="FP5" s="17">
        <v>0</v>
      </c>
      <c r="FQ5" s="17">
        <v>7.55</v>
      </c>
      <c r="FR5" s="17">
        <v>9.25</v>
      </c>
      <c r="FS5" s="17">
        <v>15.2</v>
      </c>
      <c r="FT5" s="17">
        <v>17.68</v>
      </c>
      <c r="FU5" s="17">
        <v>0.2</v>
      </c>
      <c r="FV5" s="17"/>
      <c r="FW5" s="17"/>
      <c r="FX5" s="17"/>
      <c r="FY5" s="17"/>
      <c r="FZ5" s="17"/>
      <c r="GA5" s="17">
        <v>7.8</v>
      </c>
      <c r="GB5" s="17">
        <v>9.4499999999999993</v>
      </c>
      <c r="GC5" s="17">
        <v>15.2</v>
      </c>
      <c r="GD5" s="17">
        <v>17.78</v>
      </c>
      <c r="GE5" s="17">
        <v>0</v>
      </c>
      <c r="GF5" s="41">
        <f t="shared" si="73"/>
        <v>14.2</v>
      </c>
      <c r="GG5" s="41">
        <f t="shared" si="74"/>
        <v>16.7</v>
      </c>
      <c r="GH5" s="41">
        <f t="shared" si="75"/>
        <v>48.25</v>
      </c>
      <c r="GI5" s="41">
        <f t="shared" si="76"/>
        <v>15.2</v>
      </c>
      <c r="GJ5" s="41">
        <f t="shared" si="77"/>
        <v>17.68</v>
      </c>
      <c r="GK5" s="41">
        <f t="shared" si="78"/>
        <v>49.48</v>
      </c>
      <c r="GL5" s="41">
        <f t="shared" si="79"/>
        <v>49.48</v>
      </c>
      <c r="GM5" s="41" t="str">
        <f t="shared" si="80"/>
        <v/>
      </c>
      <c r="GN5" s="41" t="str">
        <f t="shared" si="81"/>
        <v/>
      </c>
      <c r="GO5" s="41" t="str">
        <f t="shared" si="82"/>
        <v/>
      </c>
      <c r="GP5" s="41">
        <f t="shared" si="83"/>
        <v>15.2</v>
      </c>
      <c r="GQ5" s="41">
        <f t="shared" si="84"/>
        <v>17.78</v>
      </c>
      <c r="GR5" s="41">
        <f t="shared" si="85"/>
        <v>50.230000000000004</v>
      </c>
      <c r="GS5" s="41">
        <f t="shared" si="86"/>
        <v>99.710000000000008</v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 t="shared" si="101"/>
        <v/>
      </c>
      <c r="IW5" s="41" t="str">
        <f t="shared" si="102"/>
        <v/>
      </c>
      <c r="IX5" s="41" t="str">
        <f t="shared" si="103"/>
        <v/>
      </c>
      <c r="IY5" s="41" t="str">
        <f t="shared" si="104"/>
        <v/>
      </c>
      <c r="IZ5" s="41" t="str">
        <f t="shared" si="105"/>
        <v/>
      </c>
      <c r="JA5" s="41" t="str">
        <f t="shared" si="106"/>
        <v/>
      </c>
      <c r="JB5" s="41" t="str">
        <f t="shared" si="107"/>
        <v/>
      </c>
      <c r="JC5" s="41" t="str">
        <f t="shared" si="108"/>
        <v/>
      </c>
      <c r="JD5" s="41" t="str">
        <f t="shared" si="109"/>
        <v/>
      </c>
      <c r="JE5" s="41" t="str">
        <f t="shared" si="110"/>
        <v/>
      </c>
      <c r="JF5" s="41" t="str">
        <f t="shared" si="111"/>
        <v/>
      </c>
      <c r="JG5" s="41" t="str">
        <f t="shared" si="112"/>
        <v/>
      </c>
      <c r="JH5" s="41" t="str">
        <f t="shared" si="113"/>
        <v/>
      </c>
      <c r="JI5" s="41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129"/>
        <v/>
      </c>
      <c r="LM5" s="41" t="str">
        <f t="shared" si="130"/>
        <v/>
      </c>
      <c r="LN5" s="41" t="str">
        <f t="shared" si="131"/>
        <v/>
      </c>
      <c r="LO5" s="41" t="str">
        <f t="shared" si="132"/>
        <v/>
      </c>
      <c r="LP5" s="41" t="str">
        <f t="shared" si="133"/>
        <v/>
      </c>
      <c r="LQ5" s="41" t="str">
        <f t="shared" si="134"/>
        <v/>
      </c>
      <c r="LR5" s="41" t="str">
        <f t="shared" si="135"/>
        <v/>
      </c>
      <c r="LS5" s="41" t="str">
        <f t="shared" si="136"/>
        <v/>
      </c>
      <c r="LT5" s="41" t="str">
        <f t="shared" si="137"/>
        <v/>
      </c>
      <c r="LU5" s="41" t="str">
        <f t="shared" si="138"/>
        <v/>
      </c>
      <c r="LV5" s="41" t="str">
        <f t="shared" si="139"/>
        <v/>
      </c>
      <c r="LW5" s="41" t="str">
        <f t="shared" si="140"/>
        <v/>
      </c>
      <c r="LX5" s="41" t="str">
        <f t="shared" si="141"/>
        <v/>
      </c>
      <c r="LY5" s="41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57"/>
        <v/>
      </c>
      <c r="OC5" s="41" t="str">
        <f t="shared" si="158"/>
        <v/>
      </c>
      <c r="OD5" s="41" t="str">
        <f t="shared" si="159"/>
        <v/>
      </c>
      <c r="OE5" s="41" t="str">
        <f t="shared" si="160"/>
        <v/>
      </c>
      <c r="OF5" s="41" t="str">
        <f t="shared" si="161"/>
        <v/>
      </c>
      <c r="OG5" s="41" t="str">
        <f t="shared" si="162"/>
        <v/>
      </c>
      <c r="OH5" s="41" t="str">
        <f t="shared" si="163"/>
        <v/>
      </c>
      <c r="OI5" s="41" t="str">
        <f t="shared" si="164"/>
        <v/>
      </c>
      <c r="OJ5" s="41" t="str">
        <f t="shared" si="165"/>
        <v/>
      </c>
      <c r="OK5" s="41" t="str">
        <f t="shared" si="166"/>
        <v/>
      </c>
      <c r="OL5" s="41" t="str">
        <f t="shared" si="167"/>
        <v/>
      </c>
      <c r="OM5" s="41" t="str">
        <f t="shared" si="168"/>
        <v/>
      </c>
      <c r="ON5" s="41" t="str">
        <f t="shared" si="169"/>
        <v/>
      </c>
      <c r="OO5" s="41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85"/>
        <v/>
      </c>
      <c r="QS5" s="41" t="str">
        <f t="shared" si="186"/>
        <v/>
      </c>
      <c r="QT5" s="41" t="str">
        <f t="shared" si="187"/>
        <v/>
      </c>
      <c r="QU5" s="41" t="str">
        <f t="shared" si="188"/>
        <v/>
      </c>
      <c r="QV5" s="41" t="str">
        <f t="shared" si="189"/>
        <v/>
      </c>
      <c r="QW5" s="41" t="str">
        <f t="shared" si="190"/>
        <v/>
      </c>
      <c r="QX5" s="41" t="str">
        <f t="shared" si="191"/>
        <v/>
      </c>
      <c r="QY5" s="41" t="str">
        <f t="shared" si="192"/>
        <v/>
      </c>
      <c r="QZ5" s="41" t="str">
        <f t="shared" si="193"/>
        <v/>
      </c>
      <c r="RA5" s="41" t="str">
        <f t="shared" si="194"/>
        <v/>
      </c>
      <c r="RB5" s="41" t="str">
        <f t="shared" si="195"/>
        <v/>
      </c>
      <c r="RC5" s="41" t="str">
        <f t="shared" si="196"/>
        <v/>
      </c>
      <c r="RD5" s="41" t="str">
        <f t="shared" si="197"/>
        <v/>
      </c>
      <c r="RE5" s="41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23">
        <f t="shared" si="213"/>
        <v>0</v>
      </c>
      <c r="SO5" s="23">
        <f t="shared" si="214"/>
        <v>0</v>
      </c>
      <c r="SP5" s="23">
        <f t="shared" si="215"/>
        <v>0</v>
      </c>
      <c r="SQ5" s="23">
        <f t="shared" si="216"/>
        <v>0</v>
      </c>
      <c r="SR5" s="23">
        <f t="shared" si="217"/>
        <v>0</v>
      </c>
      <c r="SS5" s="23">
        <f t="shared" si="218"/>
        <v>0</v>
      </c>
      <c r="ST5" s="23">
        <f t="shared" si="219"/>
        <v>0</v>
      </c>
      <c r="SU5" s="23">
        <f t="shared" si="220"/>
        <v>0</v>
      </c>
      <c r="SV5" s="23">
        <f t="shared" si="221"/>
        <v>0</v>
      </c>
      <c r="SW5" s="23">
        <f t="shared" si="222"/>
        <v>0</v>
      </c>
      <c r="SX5" s="23">
        <f t="shared" si="223"/>
        <v>0</v>
      </c>
      <c r="SY5" s="23">
        <f t="shared" si="224"/>
        <v>0</v>
      </c>
      <c r="SZ5" s="23">
        <f t="shared" si="225"/>
        <v>0</v>
      </c>
      <c r="TA5" s="23">
        <f t="shared" si="226"/>
        <v>0</v>
      </c>
      <c r="TB5" s="23">
        <f t="shared" si="227"/>
        <v>0</v>
      </c>
      <c r="TC5" s="28" t="s">
        <v>57</v>
      </c>
      <c r="TD5" s="41" t="str">
        <f t="shared" si="228"/>
        <v/>
      </c>
      <c r="TE5" s="41" t="str">
        <f t="shared" si="229"/>
        <v/>
      </c>
      <c r="TF5" s="41" t="str">
        <f t="shared" si="230"/>
        <v/>
      </c>
      <c r="TG5" s="41" t="str">
        <f t="shared" si="231"/>
        <v/>
      </c>
      <c r="TH5" s="41" t="str">
        <f t="shared" si="232"/>
        <v/>
      </c>
      <c r="TI5" s="41" t="str">
        <f t="shared" si="233"/>
        <v/>
      </c>
      <c r="TJ5" s="41" t="str">
        <f t="shared" si="234"/>
        <v/>
      </c>
      <c r="TK5" s="41" t="str">
        <f t="shared" si="235"/>
        <v/>
      </c>
      <c r="TL5" s="41" t="str">
        <f t="shared" si="236"/>
        <v/>
      </c>
      <c r="TM5" s="41" t="str">
        <f t="shared" si="237"/>
        <v/>
      </c>
      <c r="TN5" s="41" t="str">
        <f t="shared" si="238"/>
        <v/>
      </c>
    </row>
    <row r="6" spans="1:534" x14ac:dyDescent="0.2">
      <c r="A6" s="4" cm="1">
        <f t="array" ref="A6">IF(AND(H6&lt;&gt;"",H6&lt;&gt;"No DD"),SUMPRODUCT((H$4:H$17&lt;&gt;"")*(H$4:H$17&lt;&gt;"No DD")*(E$4:E$17&gt;E6))+1,IF(H6="No DD",SUMPRODUCT((H$4:H$17="No DD")*(E$4:E$17&gt;E6))+1+SUMPRODUCT((H$4:H$17&lt;&gt;"")*(H$4:H$17&lt;&gt;"No DD")),""))</f>
        <v>3</v>
      </c>
      <c r="B6" s="5" t="s">
        <v>216</v>
      </c>
      <c r="C6" s="4" t="s">
        <v>215</v>
      </c>
      <c r="D6" s="4" t="s">
        <v>214</v>
      </c>
      <c r="E6" s="9">
        <f t="shared" si="0"/>
        <v>49.91</v>
      </c>
      <c r="F6" s="3" t="str">
        <f t="shared" si="1"/>
        <v>P</v>
      </c>
      <c r="G6" s="3" t="str">
        <f t="shared" si="2"/>
        <v>P</v>
      </c>
      <c r="H6" s="37" t="str">
        <f t="shared" si="3"/>
        <v>Excellence</v>
      </c>
      <c r="I6" s="3" t="str">
        <f t="shared" si="4"/>
        <v>P</v>
      </c>
      <c r="J6" s="8">
        <f>IF(COUNT(AI6,AL6,AP6,BJ6,BM6,BQ6,CK6,CN6,CR6)&gt;0,LARGE((AI6,AL6,AP6,BJ6,BM6,BQ6,CK6,CN6,CR6),1),0)</f>
        <v>0</v>
      </c>
      <c r="K6" s="8" t="str">
        <f t="shared" si="5"/>
        <v/>
      </c>
      <c r="L6" s="8">
        <f>IF(COUNT(AI6,AL6,AP6,BJ6,BM6,BQ6,CK6,CN6,CR6)&gt;1,LARGE((AI6,AL6,AP6,BJ6,BM6,BQ6,CK6,CN6,CR6),2),0)</f>
        <v>0</v>
      </c>
      <c r="M6" s="8" t="str">
        <f t="shared" si="6"/>
        <v/>
      </c>
      <c r="N6" s="8">
        <f t="shared" si="7"/>
        <v>49.91</v>
      </c>
      <c r="O6" s="11" t="str">
        <f t="shared" si="8"/>
        <v>(Final)</v>
      </c>
      <c r="P6" s="8" t="str">
        <f t="shared" si="9"/>
        <v>2023 World Cup POR 1 (July 2)</v>
      </c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8"/>
      <c r="AG6" s="39" t="str">
        <f t="shared" si="10"/>
        <v/>
      </c>
      <c r="AH6" s="39" t="str">
        <f t="shared" si="11"/>
        <v/>
      </c>
      <c r="AI6" s="41" t="str">
        <f t="shared" si="12"/>
        <v/>
      </c>
      <c r="AJ6" s="41" t="str">
        <f t="shared" si="13"/>
        <v/>
      </c>
      <c r="AK6" s="41" t="str">
        <f t="shared" si="14"/>
        <v/>
      </c>
      <c r="AL6" s="41" t="str">
        <f t="shared" si="15"/>
        <v/>
      </c>
      <c r="AM6" s="41" t="str">
        <f t="shared" si="16"/>
        <v/>
      </c>
      <c r="AN6" s="41" t="str">
        <f t="shared" si="17"/>
        <v/>
      </c>
      <c r="AO6" s="41" t="str">
        <f t="shared" si="18"/>
        <v/>
      </c>
      <c r="AP6" s="41" t="str">
        <f t="shared" si="19"/>
        <v/>
      </c>
      <c r="AQ6" s="41" t="str">
        <f t="shared" si="20"/>
        <v/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 t="shared" si="21"/>
        <v/>
      </c>
      <c r="BI6" s="40" t="str">
        <f t="shared" si="22"/>
        <v/>
      </c>
      <c r="BJ6" s="11" t="str">
        <f t="shared" si="23"/>
        <v/>
      </c>
      <c r="BK6" s="11" t="str">
        <f t="shared" si="24"/>
        <v/>
      </c>
      <c r="BL6" s="11" t="str">
        <f t="shared" si="25"/>
        <v/>
      </c>
      <c r="BM6" s="11" t="str">
        <f t="shared" si="26"/>
        <v/>
      </c>
      <c r="BN6" s="11" t="str">
        <f t="shared" si="27"/>
        <v/>
      </c>
      <c r="BO6" s="11" t="str">
        <f t="shared" si="28"/>
        <v/>
      </c>
      <c r="BP6" s="11" t="str">
        <f t="shared" si="29"/>
        <v/>
      </c>
      <c r="BQ6" s="11" t="str">
        <f t="shared" si="30"/>
        <v/>
      </c>
      <c r="BR6" s="11" t="str">
        <f t="shared" si="31"/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 t="shared" si="32"/>
        <v/>
      </c>
      <c r="CJ6" s="39" t="str">
        <f t="shared" si="33"/>
        <v/>
      </c>
      <c r="CK6" s="41" t="str">
        <f t="shared" si="34"/>
        <v/>
      </c>
      <c r="CL6" s="41" t="str">
        <f t="shared" si="35"/>
        <v/>
      </c>
      <c r="CM6" s="41" t="str">
        <f t="shared" si="36"/>
        <v/>
      </c>
      <c r="CN6" s="41" t="str">
        <f t="shared" si="37"/>
        <v/>
      </c>
      <c r="CO6" s="41" t="str">
        <f t="shared" si="38"/>
        <v/>
      </c>
      <c r="CP6" s="41" t="str">
        <f t="shared" si="39"/>
        <v/>
      </c>
      <c r="CQ6" s="41" t="str">
        <f t="shared" si="40"/>
        <v/>
      </c>
      <c r="CR6" s="41" t="str">
        <f t="shared" si="41"/>
        <v/>
      </c>
      <c r="CS6" s="41" t="str">
        <f t="shared" si="42"/>
        <v/>
      </c>
      <c r="CT6" s="52">
        <f t="shared" si="43"/>
        <v>48.02</v>
      </c>
      <c r="CU6" s="52">
        <f t="shared" si="44"/>
        <v>49.91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45"/>
        <v/>
      </c>
      <c r="DQ6" s="41" t="str">
        <f t="shared" si="46"/>
        <v/>
      </c>
      <c r="DR6" s="41" t="str">
        <f t="shared" si="47"/>
        <v/>
      </c>
      <c r="DS6" s="41" t="str">
        <f t="shared" si="48"/>
        <v/>
      </c>
      <c r="DT6" s="41" t="str">
        <f t="shared" si="49"/>
        <v/>
      </c>
      <c r="DU6" s="41" t="str">
        <f t="shared" si="50"/>
        <v/>
      </c>
      <c r="DV6" s="41" t="str">
        <f t="shared" si="51"/>
        <v/>
      </c>
      <c r="DW6" s="41" t="str">
        <f t="shared" si="52"/>
        <v/>
      </c>
      <c r="DX6" s="41" t="str">
        <f t="shared" si="53"/>
        <v/>
      </c>
      <c r="DY6" s="41" t="str">
        <f t="shared" si="54"/>
        <v/>
      </c>
      <c r="DZ6" s="41" t="str">
        <f t="shared" si="55"/>
        <v/>
      </c>
      <c r="EA6" s="41" t="str">
        <f t="shared" si="56"/>
        <v/>
      </c>
      <c r="EB6" s="41" t="str">
        <f t="shared" si="57"/>
        <v/>
      </c>
      <c r="EC6" s="41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 t="shared" si="73"/>
        <v/>
      </c>
      <c r="GG6" s="41" t="str">
        <f t="shared" si="74"/>
        <v/>
      </c>
      <c r="GH6" s="41" t="str">
        <f t="shared" si="75"/>
        <v/>
      </c>
      <c r="GI6" s="41" t="str">
        <f t="shared" si="76"/>
        <v/>
      </c>
      <c r="GJ6" s="41" t="str">
        <f t="shared" si="77"/>
        <v/>
      </c>
      <c r="GK6" s="41" t="str">
        <f t="shared" si="78"/>
        <v/>
      </c>
      <c r="GL6" s="41" t="str">
        <f t="shared" si="79"/>
        <v/>
      </c>
      <c r="GM6" s="41" t="str">
        <f t="shared" si="80"/>
        <v/>
      </c>
      <c r="GN6" s="41" t="str">
        <f t="shared" si="81"/>
        <v/>
      </c>
      <c r="GO6" s="41" t="str">
        <f t="shared" si="82"/>
        <v/>
      </c>
      <c r="GP6" s="41" t="str">
        <f t="shared" si="83"/>
        <v/>
      </c>
      <c r="GQ6" s="41" t="str">
        <f t="shared" si="84"/>
        <v/>
      </c>
      <c r="GR6" s="41" t="str">
        <f t="shared" si="85"/>
        <v/>
      </c>
      <c r="GS6" s="41" t="str">
        <f t="shared" si="86"/>
        <v/>
      </c>
      <c r="GT6" s="18">
        <v>7.4</v>
      </c>
      <c r="GU6" s="18">
        <v>9.3000000000000007</v>
      </c>
      <c r="GV6" s="18">
        <v>15.2</v>
      </c>
      <c r="GW6" s="18">
        <v>16.12</v>
      </c>
      <c r="GX6" s="18">
        <v>0</v>
      </c>
      <c r="GY6" s="18">
        <v>6.4</v>
      </c>
      <c r="GZ6" s="18">
        <v>8.1999999999999993</v>
      </c>
      <c r="HA6" s="18">
        <v>13.4</v>
      </c>
      <c r="HB6" s="18">
        <v>14.12</v>
      </c>
      <c r="HC6" s="18">
        <v>0</v>
      </c>
      <c r="HD6" s="18"/>
      <c r="HE6" s="18"/>
      <c r="HF6" s="18"/>
      <c r="HG6" s="18"/>
      <c r="HH6" s="18"/>
      <c r="HI6" s="18">
        <v>7.35</v>
      </c>
      <c r="HJ6" s="18">
        <v>9.3000000000000007</v>
      </c>
      <c r="HK6" s="18">
        <v>15.2</v>
      </c>
      <c r="HL6" s="18">
        <v>18.059999999999999</v>
      </c>
      <c r="HM6" s="18">
        <v>0</v>
      </c>
      <c r="HN6" s="11">
        <f t="shared" si="87"/>
        <v>15.2</v>
      </c>
      <c r="HO6" s="11">
        <f t="shared" si="88"/>
        <v>16.12</v>
      </c>
      <c r="HP6" s="11">
        <f t="shared" si="89"/>
        <v>48.02</v>
      </c>
      <c r="HQ6" s="11">
        <f t="shared" si="90"/>
        <v>13.4</v>
      </c>
      <c r="HR6" s="11">
        <f t="shared" si="91"/>
        <v>14.12</v>
      </c>
      <c r="HS6" s="11">
        <f t="shared" si="92"/>
        <v>42.12</v>
      </c>
      <c r="HT6" s="11">
        <f t="shared" si="93"/>
        <v>48.02</v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>
        <f t="shared" si="97"/>
        <v>15.2</v>
      </c>
      <c r="HY6" s="11">
        <f t="shared" si="98"/>
        <v>18.059999999999999</v>
      </c>
      <c r="HZ6" s="11">
        <f t="shared" si="99"/>
        <v>49.91</v>
      </c>
      <c r="IA6" s="11">
        <f t="shared" si="100"/>
        <v>97.93</v>
      </c>
      <c r="IB6" s="17">
        <v>7.15</v>
      </c>
      <c r="IC6" s="17">
        <v>8.6999999999999993</v>
      </c>
      <c r="ID6" s="17">
        <v>15.2</v>
      </c>
      <c r="IE6" s="17">
        <v>16.16</v>
      </c>
      <c r="IF6" s="17">
        <v>0</v>
      </c>
      <c r="IG6" s="17">
        <v>4.4000000000000004</v>
      </c>
      <c r="IH6" s="17">
        <v>5.2</v>
      </c>
      <c r="II6" s="17">
        <v>9.4</v>
      </c>
      <c r="IJ6" s="17">
        <v>10.36</v>
      </c>
      <c r="IK6" s="17">
        <v>0</v>
      </c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>
        <f t="shared" si="101"/>
        <v>15.2</v>
      </c>
      <c r="IW6" s="41">
        <f t="shared" si="102"/>
        <v>16.16</v>
      </c>
      <c r="IX6" s="41">
        <f t="shared" si="103"/>
        <v>47.209999999999994</v>
      </c>
      <c r="IY6" s="41">
        <f t="shared" si="104"/>
        <v>9.4</v>
      </c>
      <c r="IZ6" s="41">
        <f t="shared" si="105"/>
        <v>10.36</v>
      </c>
      <c r="JA6" s="41">
        <f t="shared" si="106"/>
        <v>29.36</v>
      </c>
      <c r="JB6" s="41">
        <f t="shared" si="107"/>
        <v>47.209999999999994</v>
      </c>
      <c r="JC6" s="41" t="str">
        <f t="shared" si="108"/>
        <v/>
      </c>
      <c r="JD6" s="41" t="str">
        <f t="shared" si="109"/>
        <v/>
      </c>
      <c r="JE6" s="41" t="str">
        <f t="shared" si="110"/>
        <v/>
      </c>
      <c r="JF6" s="41" t="str">
        <f t="shared" si="111"/>
        <v/>
      </c>
      <c r="JG6" s="41" t="str">
        <f t="shared" si="112"/>
        <v/>
      </c>
      <c r="JH6" s="41" t="str">
        <f t="shared" si="113"/>
        <v/>
      </c>
      <c r="JI6" s="41">
        <f t="shared" si="114"/>
        <v>47.209999999999994</v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 t="shared" si="129"/>
        <v/>
      </c>
      <c r="LM6" s="41" t="str">
        <f t="shared" si="130"/>
        <v/>
      </c>
      <c r="LN6" s="41" t="str">
        <f t="shared" si="131"/>
        <v/>
      </c>
      <c r="LO6" s="41" t="str">
        <f t="shared" si="132"/>
        <v/>
      </c>
      <c r="LP6" s="41" t="str">
        <f t="shared" si="133"/>
        <v/>
      </c>
      <c r="LQ6" s="41" t="str">
        <f t="shared" si="134"/>
        <v/>
      </c>
      <c r="LR6" s="41" t="str">
        <f t="shared" si="135"/>
        <v/>
      </c>
      <c r="LS6" s="41" t="str">
        <f t="shared" si="136"/>
        <v/>
      </c>
      <c r="LT6" s="41" t="str">
        <f t="shared" si="137"/>
        <v/>
      </c>
      <c r="LU6" s="41" t="str">
        <f t="shared" si="138"/>
        <v/>
      </c>
      <c r="LV6" s="41" t="str">
        <f t="shared" si="139"/>
        <v/>
      </c>
      <c r="LW6" s="41" t="str">
        <f t="shared" si="140"/>
        <v/>
      </c>
      <c r="LX6" s="41" t="str">
        <f t="shared" si="141"/>
        <v/>
      </c>
      <c r="LY6" s="41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/>
      <c r="NI6" s="17"/>
      <c r="NJ6" s="17"/>
      <c r="NK6" s="17"/>
      <c r="NL6" s="17"/>
      <c r="NM6" s="17"/>
      <c r="NN6" s="17"/>
      <c r="NO6" s="17"/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41" t="str">
        <f t="shared" si="157"/>
        <v/>
      </c>
      <c r="OC6" s="41" t="str">
        <f t="shared" si="158"/>
        <v/>
      </c>
      <c r="OD6" s="41" t="str">
        <f t="shared" si="159"/>
        <v/>
      </c>
      <c r="OE6" s="41" t="str">
        <f t="shared" si="160"/>
        <v/>
      </c>
      <c r="OF6" s="41" t="str">
        <f t="shared" si="161"/>
        <v/>
      </c>
      <c r="OG6" s="41" t="str">
        <f t="shared" si="162"/>
        <v/>
      </c>
      <c r="OH6" s="41" t="str">
        <f t="shared" si="163"/>
        <v/>
      </c>
      <c r="OI6" s="41" t="str">
        <f t="shared" si="164"/>
        <v/>
      </c>
      <c r="OJ6" s="41" t="str">
        <f t="shared" si="165"/>
        <v/>
      </c>
      <c r="OK6" s="41" t="str">
        <f t="shared" si="166"/>
        <v/>
      </c>
      <c r="OL6" s="41" t="str">
        <f t="shared" si="167"/>
        <v/>
      </c>
      <c r="OM6" s="41" t="str">
        <f t="shared" si="168"/>
        <v/>
      </c>
      <c r="ON6" s="41" t="str">
        <f t="shared" si="169"/>
        <v/>
      </c>
      <c r="OO6" s="41" t="str">
        <f t="shared" si="170"/>
        <v/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 t="str">
        <f t="shared" si="181"/>
        <v/>
      </c>
      <c r="PU6" s="11" t="str">
        <f t="shared" si="182"/>
        <v/>
      </c>
      <c r="PV6" s="11" t="str">
        <f t="shared" si="183"/>
        <v/>
      </c>
      <c r="PW6" s="11" t="str">
        <f t="shared" si="184"/>
        <v/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85"/>
        <v/>
      </c>
      <c r="QS6" s="41" t="str">
        <f t="shared" si="186"/>
        <v/>
      </c>
      <c r="QT6" s="41" t="str">
        <f t="shared" si="187"/>
        <v/>
      </c>
      <c r="QU6" s="41" t="str">
        <f t="shared" si="188"/>
        <v/>
      </c>
      <c r="QV6" s="41" t="str">
        <f t="shared" si="189"/>
        <v/>
      </c>
      <c r="QW6" s="41" t="str">
        <f t="shared" si="190"/>
        <v/>
      </c>
      <c r="QX6" s="41" t="str">
        <f t="shared" si="191"/>
        <v/>
      </c>
      <c r="QY6" s="41" t="str">
        <f t="shared" si="192"/>
        <v/>
      </c>
      <c r="QZ6" s="41" t="str">
        <f t="shared" si="193"/>
        <v/>
      </c>
      <c r="RA6" s="41" t="str">
        <f t="shared" si="194"/>
        <v/>
      </c>
      <c r="RB6" s="41" t="str">
        <f t="shared" si="195"/>
        <v/>
      </c>
      <c r="RC6" s="41" t="str">
        <f t="shared" si="196"/>
        <v/>
      </c>
      <c r="RD6" s="41" t="str">
        <f t="shared" si="197"/>
        <v/>
      </c>
      <c r="RE6" s="41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23">
        <f t="shared" si="213"/>
        <v>0</v>
      </c>
      <c r="SO6" s="23">
        <f t="shared" si="214"/>
        <v>0</v>
      </c>
      <c r="SP6" s="23">
        <f t="shared" si="215"/>
        <v>0</v>
      </c>
      <c r="SQ6" s="23">
        <f t="shared" si="216"/>
        <v>0</v>
      </c>
      <c r="SR6" s="23">
        <f t="shared" si="217"/>
        <v>0</v>
      </c>
      <c r="SS6" s="23">
        <f t="shared" si="218"/>
        <v>0</v>
      </c>
      <c r="ST6" s="23">
        <f t="shared" si="219"/>
        <v>0</v>
      </c>
      <c r="SU6" s="23">
        <f t="shared" si="220"/>
        <v>0</v>
      </c>
      <c r="SV6" s="23">
        <f t="shared" si="221"/>
        <v>0</v>
      </c>
      <c r="SW6" s="23">
        <f t="shared" si="222"/>
        <v>0</v>
      </c>
      <c r="SX6" s="23">
        <f t="shared" si="223"/>
        <v>0</v>
      </c>
      <c r="SY6" s="23">
        <f t="shared" si="224"/>
        <v>0</v>
      </c>
      <c r="SZ6" s="23">
        <f t="shared" si="225"/>
        <v>0</v>
      </c>
      <c r="TA6" s="23">
        <f t="shared" si="226"/>
        <v>0</v>
      </c>
      <c r="TB6" s="23">
        <f t="shared" si="227"/>
        <v>0</v>
      </c>
      <c r="TC6" s="28" t="s">
        <v>57</v>
      </c>
      <c r="TD6" s="41" t="str">
        <f t="shared" si="228"/>
        <v/>
      </c>
      <c r="TE6" s="41" t="str">
        <f t="shared" si="229"/>
        <v/>
      </c>
      <c r="TF6" s="41" t="str">
        <f t="shared" si="230"/>
        <v/>
      </c>
      <c r="TG6" s="41" t="str">
        <f t="shared" si="231"/>
        <v/>
      </c>
      <c r="TH6" s="41" t="str">
        <f t="shared" si="232"/>
        <v/>
      </c>
      <c r="TI6" s="41" t="str">
        <f t="shared" si="233"/>
        <v/>
      </c>
      <c r="TJ6" s="41" t="str">
        <f t="shared" si="234"/>
        <v/>
      </c>
      <c r="TK6" s="41" t="str">
        <f t="shared" si="235"/>
        <v/>
      </c>
      <c r="TL6" s="41" t="str">
        <f t="shared" si="236"/>
        <v/>
      </c>
      <c r="TM6" s="41" t="str">
        <f t="shared" si="237"/>
        <v/>
      </c>
      <c r="TN6" s="41" t="str">
        <f t="shared" si="238"/>
        <v/>
      </c>
    </row>
    <row r="7" spans="1:534" x14ac:dyDescent="0.2">
      <c r="A7" s="4" cm="1">
        <f t="array" ref="A7">IF(AND(H7&lt;&gt;"",H7&lt;&gt;"No DD"),SUMPRODUCT((H$4:H$17&lt;&gt;"")*(H$4:H$17&lt;&gt;"No DD")*(E$4:E$17&gt;E7))+1,IF(H7="No DD",SUMPRODUCT((H$4:H$17="No DD")*(E$4:E$17&gt;E7))+1+SUMPRODUCT((H$4:H$17&lt;&gt;"")*(H$4:H$17&lt;&gt;"No DD")),""))</f>
        <v>4</v>
      </c>
      <c r="B7" s="5" t="s">
        <v>233</v>
      </c>
      <c r="C7" s="4" t="s">
        <v>137</v>
      </c>
      <c r="D7" s="4" t="s">
        <v>234</v>
      </c>
      <c r="E7" s="9">
        <f t="shared" si="0"/>
        <v>48.33</v>
      </c>
      <c r="F7" s="3" t="str">
        <f t="shared" si="1"/>
        <v>P</v>
      </c>
      <c r="G7" s="3" t="str">
        <f t="shared" si="2"/>
        <v>P</v>
      </c>
      <c r="H7" s="37" t="str">
        <f t="shared" si="3"/>
        <v>National Team</v>
      </c>
      <c r="I7" s="3" t="str">
        <f t="shared" si="4"/>
        <v/>
      </c>
      <c r="J7" s="8">
        <f>IF(COUNT(AI7,AL7,AP7,BJ7,BM7,BQ7,CK7,CN7,CR7)&gt;0,LARGE((AI7,AL7,AP7,BJ7,BM7,BQ7,CK7,CN7,CR7),1),0)</f>
        <v>0</v>
      </c>
      <c r="K7" s="8" t="str">
        <f t="shared" si="5"/>
        <v/>
      </c>
      <c r="L7" s="8">
        <f>IF(COUNT(AI7,AL7,AP7,BJ7,BM7,BQ7,CK7,CN7,CR7)&gt;1,LARGE((AI7,AL7,AP7,BJ7,BM7,BQ7,CK7,CN7,CR7),2),0)</f>
        <v>0</v>
      </c>
      <c r="M7" s="8" t="str">
        <f t="shared" si="6"/>
        <v/>
      </c>
      <c r="N7" s="8">
        <f t="shared" si="7"/>
        <v>48.33</v>
      </c>
      <c r="O7" s="11" t="str">
        <f t="shared" si="8"/>
        <v>(Prelim)</v>
      </c>
      <c r="P7" s="8" t="str">
        <f t="shared" si="9"/>
        <v>2023 World Championships (Nov 10)</v>
      </c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8"/>
      <c r="AG7" s="39" t="str">
        <f t="shared" si="10"/>
        <v/>
      </c>
      <c r="AH7" s="39" t="str">
        <f t="shared" si="11"/>
        <v/>
      </c>
      <c r="AI7" s="41" t="str">
        <f t="shared" si="12"/>
        <v/>
      </c>
      <c r="AJ7" s="41" t="str">
        <f t="shared" si="13"/>
        <v/>
      </c>
      <c r="AK7" s="41" t="str">
        <f t="shared" si="14"/>
        <v/>
      </c>
      <c r="AL7" s="41" t="str">
        <f t="shared" si="15"/>
        <v/>
      </c>
      <c r="AM7" s="41" t="str">
        <f t="shared" si="16"/>
        <v/>
      </c>
      <c r="AN7" s="41" t="str">
        <f t="shared" si="17"/>
        <v/>
      </c>
      <c r="AO7" s="41" t="str">
        <f t="shared" si="18"/>
        <v/>
      </c>
      <c r="AP7" s="41" t="str">
        <f t="shared" si="19"/>
        <v/>
      </c>
      <c r="AQ7" s="41" t="str">
        <f t="shared" si="20"/>
        <v/>
      </c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9"/>
      <c r="BH7" s="40" t="str">
        <f t="shared" si="21"/>
        <v/>
      </c>
      <c r="BI7" s="40" t="str">
        <f t="shared" si="22"/>
        <v/>
      </c>
      <c r="BJ7" s="11" t="str">
        <f t="shared" si="23"/>
        <v/>
      </c>
      <c r="BK7" s="11" t="str">
        <f t="shared" si="24"/>
        <v/>
      </c>
      <c r="BL7" s="11" t="str">
        <f t="shared" si="25"/>
        <v/>
      </c>
      <c r="BM7" s="11" t="str">
        <f t="shared" si="26"/>
        <v/>
      </c>
      <c r="BN7" s="11" t="str">
        <f t="shared" si="27"/>
        <v/>
      </c>
      <c r="BO7" s="11" t="str">
        <f t="shared" si="28"/>
        <v/>
      </c>
      <c r="BP7" s="11" t="str">
        <f t="shared" si="29"/>
        <v/>
      </c>
      <c r="BQ7" s="11" t="str">
        <f t="shared" si="30"/>
        <v/>
      </c>
      <c r="BR7" s="11" t="str">
        <f t="shared" si="31"/>
        <v/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 t="shared" si="32"/>
        <v/>
      </c>
      <c r="CJ7" s="39" t="str">
        <f t="shared" si="33"/>
        <v/>
      </c>
      <c r="CK7" s="41" t="str">
        <f t="shared" si="34"/>
        <v/>
      </c>
      <c r="CL7" s="41" t="str">
        <f t="shared" si="35"/>
        <v/>
      </c>
      <c r="CM7" s="41" t="str">
        <f t="shared" si="36"/>
        <v/>
      </c>
      <c r="CN7" s="41" t="str">
        <f t="shared" si="37"/>
        <v/>
      </c>
      <c r="CO7" s="41" t="str">
        <f t="shared" si="38"/>
        <v/>
      </c>
      <c r="CP7" s="41" t="str">
        <f t="shared" si="39"/>
        <v/>
      </c>
      <c r="CQ7" s="41" t="str">
        <f t="shared" si="40"/>
        <v/>
      </c>
      <c r="CR7" s="41" t="str">
        <f t="shared" si="41"/>
        <v/>
      </c>
      <c r="CS7" s="41" t="str">
        <f t="shared" si="42"/>
        <v/>
      </c>
      <c r="CT7" s="52">
        <f t="shared" si="43"/>
        <v>48.33</v>
      </c>
      <c r="CU7" s="52">
        <f t="shared" si="44"/>
        <v>18.810000000000002</v>
      </c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 t="str">
        <f t="shared" si="45"/>
        <v/>
      </c>
      <c r="DQ7" s="41" t="str">
        <f t="shared" si="46"/>
        <v/>
      </c>
      <c r="DR7" s="41" t="str">
        <f t="shared" si="47"/>
        <v/>
      </c>
      <c r="DS7" s="41" t="str">
        <f t="shared" si="48"/>
        <v/>
      </c>
      <c r="DT7" s="41" t="str">
        <f t="shared" si="49"/>
        <v/>
      </c>
      <c r="DU7" s="41" t="str">
        <f t="shared" si="50"/>
        <v/>
      </c>
      <c r="DV7" s="41" t="str">
        <f t="shared" si="51"/>
        <v/>
      </c>
      <c r="DW7" s="41" t="str">
        <f t="shared" si="52"/>
        <v/>
      </c>
      <c r="DX7" s="41" t="str">
        <f t="shared" si="53"/>
        <v/>
      </c>
      <c r="DY7" s="41" t="str">
        <f t="shared" si="54"/>
        <v/>
      </c>
      <c r="DZ7" s="41" t="str">
        <f t="shared" si="55"/>
        <v/>
      </c>
      <c r="EA7" s="41" t="str">
        <f t="shared" si="56"/>
        <v/>
      </c>
      <c r="EB7" s="41" t="str">
        <f t="shared" si="57"/>
        <v/>
      </c>
      <c r="EC7" s="41" t="str">
        <f t="shared" si="58"/>
        <v/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 t="shared" si="73"/>
        <v/>
      </c>
      <c r="GG7" s="41" t="str">
        <f t="shared" si="74"/>
        <v/>
      </c>
      <c r="GH7" s="41" t="str">
        <f t="shared" si="75"/>
        <v/>
      </c>
      <c r="GI7" s="41" t="str">
        <f t="shared" si="76"/>
        <v/>
      </c>
      <c r="GJ7" s="41" t="str">
        <f t="shared" si="77"/>
        <v/>
      </c>
      <c r="GK7" s="41" t="str">
        <f t="shared" si="78"/>
        <v/>
      </c>
      <c r="GL7" s="41" t="str">
        <f t="shared" si="79"/>
        <v/>
      </c>
      <c r="GM7" s="41" t="str">
        <f t="shared" si="80"/>
        <v/>
      </c>
      <c r="GN7" s="41" t="str">
        <f t="shared" si="81"/>
        <v/>
      </c>
      <c r="GO7" s="41" t="str">
        <f t="shared" si="82"/>
        <v/>
      </c>
      <c r="GP7" s="41" t="str">
        <f t="shared" si="83"/>
        <v/>
      </c>
      <c r="GQ7" s="41" t="str">
        <f t="shared" si="84"/>
        <v/>
      </c>
      <c r="GR7" s="41" t="str">
        <f t="shared" si="85"/>
        <v/>
      </c>
      <c r="GS7" s="41" t="str">
        <f t="shared" si="86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 t="shared" si="101"/>
        <v/>
      </c>
      <c r="IW7" s="41" t="str">
        <f t="shared" si="102"/>
        <v/>
      </c>
      <c r="IX7" s="41" t="str">
        <f t="shared" si="103"/>
        <v/>
      </c>
      <c r="IY7" s="41" t="str">
        <f t="shared" si="104"/>
        <v/>
      </c>
      <c r="IZ7" s="41" t="str">
        <f t="shared" si="105"/>
        <v/>
      </c>
      <c r="JA7" s="41" t="str">
        <f t="shared" si="106"/>
        <v/>
      </c>
      <c r="JB7" s="41" t="str">
        <f t="shared" si="107"/>
        <v/>
      </c>
      <c r="JC7" s="41" t="str">
        <f t="shared" si="108"/>
        <v/>
      </c>
      <c r="JD7" s="41" t="str">
        <f t="shared" si="109"/>
        <v/>
      </c>
      <c r="JE7" s="41" t="str">
        <f t="shared" si="110"/>
        <v/>
      </c>
      <c r="JF7" s="41" t="str">
        <f t="shared" si="111"/>
        <v/>
      </c>
      <c r="JG7" s="41" t="str">
        <f t="shared" si="112"/>
        <v/>
      </c>
      <c r="JH7" s="41" t="str">
        <f t="shared" si="113"/>
        <v/>
      </c>
      <c r="JI7" s="41" t="str">
        <f t="shared" si="114"/>
        <v/>
      </c>
      <c r="JJ7" s="18">
        <v>1.45</v>
      </c>
      <c r="JK7" s="18">
        <v>1.55</v>
      </c>
      <c r="JL7" s="18">
        <v>3.2</v>
      </c>
      <c r="JM7" s="18">
        <v>3.58</v>
      </c>
      <c r="JN7" s="18">
        <v>0</v>
      </c>
      <c r="JO7" s="18">
        <v>6.75</v>
      </c>
      <c r="JP7" s="18">
        <v>9.0500000000000007</v>
      </c>
      <c r="JQ7" s="18">
        <v>14.8</v>
      </c>
      <c r="JR7" s="18">
        <v>12.08</v>
      </c>
      <c r="JS7" s="18">
        <v>0</v>
      </c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>
        <f t="shared" si="115"/>
        <v>3.2</v>
      </c>
      <c r="KE7" s="11">
        <f t="shared" si="116"/>
        <v>3.58</v>
      </c>
      <c r="KF7" s="11">
        <f t="shared" si="117"/>
        <v>9.7800000000000011</v>
      </c>
      <c r="KG7" s="11">
        <f t="shared" si="118"/>
        <v>14.8</v>
      </c>
      <c r="KH7" s="11">
        <f t="shared" si="119"/>
        <v>12.08</v>
      </c>
      <c r="KI7" s="11">
        <f t="shared" si="120"/>
        <v>42.68</v>
      </c>
      <c r="KJ7" s="11">
        <f t="shared" si="121"/>
        <v>42.68</v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>
        <f t="shared" si="128"/>
        <v>42.68</v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129"/>
        <v/>
      </c>
      <c r="LM7" s="41" t="str">
        <f t="shared" si="130"/>
        <v/>
      </c>
      <c r="LN7" s="41" t="str">
        <f t="shared" si="131"/>
        <v/>
      </c>
      <c r="LO7" s="41" t="str">
        <f t="shared" si="132"/>
        <v/>
      </c>
      <c r="LP7" s="41" t="str">
        <f t="shared" si="133"/>
        <v/>
      </c>
      <c r="LQ7" s="41" t="str">
        <f t="shared" si="134"/>
        <v/>
      </c>
      <c r="LR7" s="41" t="str">
        <f t="shared" si="135"/>
        <v/>
      </c>
      <c r="LS7" s="41" t="str">
        <f t="shared" si="136"/>
        <v/>
      </c>
      <c r="LT7" s="41" t="str">
        <f t="shared" si="137"/>
        <v/>
      </c>
      <c r="LU7" s="41" t="str">
        <f t="shared" si="138"/>
        <v/>
      </c>
      <c r="LV7" s="41" t="str">
        <f t="shared" si="139"/>
        <v/>
      </c>
      <c r="LW7" s="41" t="str">
        <f t="shared" si="140"/>
        <v/>
      </c>
      <c r="LX7" s="41" t="str">
        <f t="shared" si="141"/>
        <v/>
      </c>
      <c r="LY7" s="41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>
        <v>7.2</v>
      </c>
      <c r="NI7" s="17">
        <v>9.25</v>
      </c>
      <c r="NJ7" s="17">
        <v>14.4</v>
      </c>
      <c r="NK7" s="17">
        <v>17.48</v>
      </c>
      <c r="NL7" s="17">
        <v>0</v>
      </c>
      <c r="NM7" s="17">
        <v>7.1</v>
      </c>
      <c r="NN7" s="17">
        <v>8.9</v>
      </c>
      <c r="NO7" s="17">
        <v>14.4</v>
      </c>
      <c r="NP7" s="17">
        <v>15.56</v>
      </c>
      <c r="NQ7" s="17">
        <v>0</v>
      </c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>
        <f t="shared" si="157"/>
        <v>14.4</v>
      </c>
      <c r="OC7" s="41">
        <f t="shared" si="158"/>
        <v>17.48</v>
      </c>
      <c r="OD7" s="41">
        <f t="shared" si="159"/>
        <v>48.33</v>
      </c>
      <c r="OE7" s="41">
        <f t="shared" si="160"/>
        <v>14.4</v>
      </c>
      <c r="OF7" s="41">
        <f t="shared" si="161"/>
        <v>15.56</v>
      </c>
      <c r="OG7" s="41">
        <f t="shared" si="162"/>
        <v>45.96</v>
      </c>
      <c r="OH7" s="41">
        <f t="shared" si="163"/>
        <v>48.33</v>
      </c>
      <c r="OI7" s="41" t="str">
        <f t="shared" si="164"/>
        <v/>
      </c>
      <c r="OJ7" s="41" t="str">
        <f t="shared" si="165"/>
        <v/>
      </c>
      <c r="OK7" s="41" t="str">
        <f t="shared" si="166"/>
        <v/>
      </c>
      <c r="OL7" s="41" t="str">
        <f t="shared" si="167"/>
        <v/>
      </c>
      <c r="OM7" s="41" t="str">
        <f t="shared" si="168"/>
        <v/>
      </c>
      <c r="ON7" s="41" t="str">
        <f t="shared" si="169"/>
        <v/>
      </c>
      <c r="OO7" s="41">
        <f t="shared" si="170"/>
        <v>48.33</v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>
        <v>2.95</v>
      </c>
      <c r="PF7" s="18">
        <v>3.6</v>
      </c>
      <c r="PG7" s="18">
        <v>6.5</v>
      </c>
      <c r="PH7" s="18">
        <v>5.96</v>
      </c>
      <c r="PI7" s="18">
        <v>0.2</v>
      </c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>
        <f t="shared" si="181"/>
        <v>6.5</v>
      </c>
      <c r="PU7" s="11">
        <f t="shared" si="182"/>
        <v>5.96</v>
      </c>
      <c r="PV7" s="11">
        <f t="shared" si="183"/>
        <v>18.810000000000002</v>
      </c>
      <c r="PW7" s="11">
        <f t="shared" si="184"/>
        <v>18.810000000000002</v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85"/>
        <v/>
      </c>
      <c r="QS7" s="41" t="str">
        <f t="shared" si="186"/>
        <v/>
      </c>
      <c r="QT7" s="41" t="str">
        <f t="shared" si="187"/>
        <v/>
      </c>
      <c r="QU7" s="41" t="str">
        <f t="shared" si="188"/>
        <v/>
      </c>
      <c r="QV7" s="41" t="str">
        <f t="shared" si="189"/>
        <v/>
      </c>
      <c r="QW7" s="41" t="str">
        <f t="shared" si="190"/>
        <v/>
      </c>
      <c r="QX7" s="41" t="str">
        <f t="shared" si="191"/>
        <v/>
      </c>
      <c r="QY7" s="41" t="str">
        <f t="shared" si="192"/>
        <v/>
      </c>
      <c r="QZ7" s="41" t="str">
        <f t="shared" si="193"/>
        <v/>
      </c>
      <c r="RA7" s="41" t="str">
        <f t="shared" si="194"/>
        <v/>
      </c>
      <c r="RB7" s="41" t="str">
        <f t="shared" si="195"/>
        <v/>
      </c>
      <c r="RC7" s="41" t="str">
        <f t="shared" si="196"/>
        <v/>
      </c>
      <c r="RD7" s="41" t="str">
        <f t="shared" si="197"/>
        <v/>
      </c>
      <c r="RE7" s="41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23">
        <f t="shared" si="213"/>
        <v>0</v>
      </c>
      <c r="SO7" s="23">
        <f t="shared" si="214"/>
        <v>0</v>
      </c>
      <c r="SP7" s="23">
        <f t="shared" si="215"/>
        <v>0</v>
      </c>
      <c r="SQ7" s="23">
        <f t="shared" si="216"/>
        <v>0</v>
      </c>
      <c r="SR7" s="23">
        <f t="shared" si="217"/>
        <v>0</v>
      </c>
      <c r="SS7" s="23">
        <f t="shared" si="218"/>
        <v>0</v>
      </c>
      <c r="ST7" s="23">
        <f t="shared" si="219"/>
        <v>0</v>
      </c>
      <c r="SU7" s="23">
        <f t="shared" si="220"/>
        <v>0</v>
      </c>
      <c r="SV7" s="23">
        <f t="shared" si="221"/>
        <v>0</v>
      </c>
      <c r="SW7" s="23">
        <f t="shared" si="222"/>
        <v>0</v>
      </c>
      <c r="SX7" s="23">
        <f t="shared" si="223"/>
        <v>0</v>
      </c>
      <c r="SY7" s="23">
        <f t="shared" si="224"/>
        <v>0</v>
      </c>
      <c r="SZ7" s="23">
        <f t="shared" si="225"/>
        <v>0</v>
      </c>
      <c r="TA7" s="23">
        <f t="shared" si="226"/>
        <v>0</v>
      </c>
      <c r="TB7" s="23">
        <f t="shared" si="227"/>
        <v>0</v>
      </c>
      <c r="TC7" s="28" t="s">
        <v>57</v>
      </c>
      <c r="TD7" s="41" t="str">
        <f t="shared" si="228"/>
        <v/>
      </c>
      <c r="TE7" s="41" t="str">
        <f t="shared" si="229"/>
        <v/>
      </c>
      <c r="TF7" s="41" t="str">
        <f t="shared" si="230"/>
        <v/>
      </c>
      <c r="TG7" s="41" t="str">
        <f t="shared" si="231"/>
        <v/>
      </c>
      <c r="TH7" s="41" t="str">
        <f t="shared" si="232"/>
        <v/>
      </c>
      <c r="TI7" s="41" t="str">
        <f t="shared" si="233"/>
        <v/>
      </c>
      <c r="TJ7" s="41" t="str">
        <f t="shared" si="234"/>
        <v/>
      </c>
      <c r="TK7" s="41" t="str">
        <f t="shared" si="235"/>
        <v/>
      </c>
      <c r="TL7" s="41" t="str">
        <f t="shared" si="236"/>
        <v/>
      </c>
      <c r="TM7" s="41" t="str">
        <f t="shared" si="237"/>
        <v/>
      </c>
      <c r="TN7" s="41" t="str">
        <f t="shared" si="238"/>
        <v/>
      </c>
    </row>
    <row r="8" spans="1:534" x14ac:dyDescent="0.2">
      <c r="A8" s="4" cm="1">
        <f t="array" ref="A8">IF(AND(H8&lt;&gt;"",H8&lt;&gt;"No DD"),SUMPRODUCT((H$4:H$17&lt;&gt;"")*(H$4:H$17&lt;&gt;"No DD")*(E$4:E$17&gt;E8))+1,IF(H8="No DD",SUMPRODUCT((H$4:H$17="No DD")*(E$4:E$17&gt;E8))+1+SUMPRODUCT((H$4:H$17&lt;&gt;"")*(H$4:H$17&lt;&gt;"No DD")),""))</f>
        <v>5</v>
      </c>
      <c r="B8" s="5" t="s">
        <v>157</v>
      </c>
      <c r="C8" s="4" t="s">
        <v>8</v>
      </c>
      <c r="D8" s="4" t="s">
        <v>158</v>
      </c>
      <c r="E8" s="9">
        <f t="shared" si="0"/>
        <v>94.299999999999983</v>
      </c>
      <c r="F8" s="3" t="str">
        <f t="shared" si="1"/>
        <v/>
      </c>
      <c r="G8" s="3" t="str">
        <f t="shared" si="2"/>
        <v>P</v>
      </c>
      <c r="H8" s="37" t="str">
        <f t="shared" si="3"/>
        <v>No DD</v>
      </c>
      <c r="I8" s="3" t="str">
        <f t="shared" si="4"/>
        <v/>
      </c>
      <c r="J8" s="8">
        <f>IF(COUNT(AI8,AL8,AP8,BJ8,BM8,BQ8,CK8,CN8,CR8)&gt;0,LARGE((AI8,AL8,AP8,BJ8,BM8,BQ8,CK8,CN8,CR8),1),0)</f>
        <v>47.26</v>
      </c>
      <c r="K8" s="8" t="str">
        <f t="shared" si="5"/>
        <v>2023 Elite Canada</v>
      </c>
      <c r="L8" s="8">
        <f>IF(COUNT(AI8,AL8,AP8,BJ8,BM8,BQ8,CK8,CN8,CR8)&gt;1,LARGE((AI8,AL8,AP8,BJ8,BM8,BQ8,CK8,CN8,CR8),2),0)</f>
        <v>46.870000000000005</v>
      </c>
      <c r="M8" s="8" t="str">
        <f t="shared" si="6"/>
        <v>2023 Nationals</v>
      </c>
      <c r="N8" s="8">
        <f t="shared" si="7"/>
        <v>0.1699999999999946</v>
      </c>
      <c r="O8" s="11" t="str">
        <f t="shared" si="8"/>
        <v>(Prelim)</v>
      </c>
      <c r="P8" s="8" t="str">
        <f t="shared" si="9"/>
        <v>2022 WAGC (Nov 26)</v>
      </c>
      <c r="Q8" s="23">
        <v>1.6</v>
      </c>
      <c r="R8" s="23">
        <v>1.8</v>
      </c>
      <c r="S8" s="23">
        <v>2.5</v>
      </c>
      <c r="T8" s="23">
        <v>3.64</v>
      </c>
      <c r="U8" s="23">
        <v>0</v>
      </c>
      <c r="V8" s="23">
        <v>8.1</v>
      </c>
      <c r="W8" s="23">
        <v>9.6</v>
      </c>
      <c r="X8" s="23">
        <v>11.2</v>
      </c>
      <c r="Y8" s="23">
        <v>18.36</v>
      </c>
      <c r="Z8" s="23">
        <v>0</v>
      </c>
      <c r="AA8" s="23">
        <v>8.4499999999999993</v>
      </c>
      <c r="AB8" s="23">
        <v>9.25</v>
      </c>
      <c r="AC8" s="23">
        <v>11.2</v>
      </c>
      <c r="AD8" s="23">
        <v>17.32</v>
      </c>
      <c r="AE8" s="23">
        <v>0</v>
      </c>
      <c r="AF8" s="28"/>
      <c r="AG8" s="39">
        <f t="shared" si="10"/>
        <v>2.5</v>
      </c>
      <c r="AH8" s="39">
        <f t="shared" si="11"/>
        <v>3.64</v>
      </c>
      <c r="AI8" s="41">
        <f t="shared" si="12"/>
        <v>9.5400000000000009</v>
      </c>
      <c r="AJ8" s="41">
        <f t="shared" si="13"/>
        <v>11.2</v>
      </c>
      <c r="AK8" s="41">
        <f t="shared" si="14"/>
        <v>18.36</v>
      </c>
      <c r="AL8" s="41">
        <f t="shared" si="15"/>
        <v>47.26</v>
      </c>
      <c r="AM8" s="41">
        <f t="shared" si="16"/>
        <v>47.26</v>
      </c>
      <c r="AN8" s="41">
        <f t="shared" si="17"/>
        <v>11.2</v>
      </c>
      <c r="AO8" s="41">
        <f t="shared" si="18"/>
        <v>17.32</v>
      </c>
      <c r="AP8" s="41">
        <f t="shared" si="19"/>
        <v>46.22</v>
      </c>
      <c r="AQ8" s="41">
        <f t="shared" si="20"/>
        <v>93.47999999999999</v>
      </c>
      <c r="AR8" s="27">
        <v>7</v>
      </c>
      <c r="AS8" s="27">
        <v>9.1999999999999993</v>
      </c>
      <c r="AT8" s="27">
        <v>11.4</v>
      </c>
      <c r="AU8" s="27">
        <v>17.239999999999998</v>
      </c>
      <c r="AV8" s="27">
        <v>0</v>
      </c>
      <c r="AW8" s="27">
        <v>3.15</v>
      </c>
      <c r="AX8" s="27">
        <v>3.45</v>
      </c>
      <c r="AY8" s="27">
        <v>5.2</v>
      </c>
      <c r="AZ8" s="27">
        <v>7.08</v>
      </c>
      <c r="BA8" s="27">
        <v>0</v>
      </c>
      <c r="BB8" s="27">
        <v>8.1999999999999993</v>
      </c>
      <c r="BC8" s="27">
        <v>9.0500000000000007</v>
      </c>
      <c r="BD8" s="27">
        <v>11.2</v>
      </c>
      <c r="BE8" s="27">
        <v>18.420000000000002</v>
      </c>
      <c r="BF8" s="27">
        <v>0</v>
      </c>
      <c r="BG8" s="29"/>
      <c r="BH8" s="40">
        <f t="shared" si="21"/>
        <v>11.4</v>
      </c>
      <c r="BI8" s="40">
        <f t="shared" si="22"/>
        <v>17.239999999999998</v>
      </c>
      <c r="BJ8" s="11">
        <f t="shared" si="23"/>
        <v>44.84</v>
      </c>
      <c r="BK8" s="11">
        <f t="shared" si="24"/>
        <v>5.2</v>
      </c>
      <c r="BL8" s="11">
        <f t="shared" si="25"/>
        <v>7.08</v>
      </c>
      <c r="BM8" s="11">
        <f t="shared" si="26"/>
        <v>18.880000000000003</v>
      </c>
      <c r="BN8" s="11">
        <f t="shared" si="27"/>
        <v>44.84</v>
      </c>
      <c r="BO8" s="11">
        <f t="shared" si="28"/>
        <v>11.2</v>
      </c>
      <c r="BP8" s="11">
        <f t="shared" si="29"/>
        <v>18.420000000000002</v>
      </c>
      <c r="BQ8" s="11">
        <f t="shared" si="30"/>
        <v>46.870000000000005</v>
      </c>
      <c r="BR8" s="11">
        <f t="shared" si="31"/>
        <v>91.710000000000008</v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 t="shared" si="32"/>
        <v/>
      </c>
      <c r="CJ8" s="39" t="str">
        <f t="shared" si="33"/>
        <v/>
      </c>
      <c r="CK8" s="41" t="str">
        <f t="shared" si="34"/>
        <v/>
      </c>
      <c r="CL8" s="41" t="str">
        <f t="shared" si="35"/>
        <v/>
      </c>
      <c r="CM8" s="41" t="str">
        <f t="shared" si="36"/>
        <v/>
      </c>
      <c r="CN8" s="41" t="str">
        <f t="shared" si="37"/>
        <v/>
      </c>
      <c r="CO8" s="41" t="str">
        <f t="shared" si="38"/>
        <v/>
      </c>
      <c r="CP8" s="41" t="str">
        <f t="shared" si="39"/>
        <v/>
      </c>
      <c r="CQ8" s="41" t="str">
        <f t="shared" si="40"/>
        <v/>
      </c>
      <c r="CR8" s="41" t="str">
        <f t="shared" si="41"/>
        <v/>
      </c>
      <c r="CS8" s="41" t="str">
        <f t="shared" si="42"/>
        <v/>
      </c>
      <c r="CT8" s="52">
        <f t="shared" si="43"/>
        <v>0.1699999999999946</v>
      </c>
      <c r="CU8" s="52" t="str">
        <f t="shared" si="44"/>
        <v/>
      </c>
      <c r="CV8" s="17">
        <v>7.85</v>
      </c>
      <c r="CW8" s="17">
        <v>9.15</v>
      </c>
      <c r="CX8" s="17">
        <v>11.2</v>
      </c>
      <c r="CY8" s="17">
        <v>18.84</v>
      </c>
      <c r="CZ8" s="17">
        <v>0</v>
      </c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>
        <v>5.15</v>
      </c>
      <c r="DL8" s="17">
        <v>6.55</v>
      </c>
      <c r="DM8" s="17">
        <v>8.4</v>
      </c>
      <c r="DN8" s="17">
        <v>12.62</v>
      </c>
      <c r="DO8" s="17">
        <v>0</v>
      </c>
      <c r="DP8" s="41">
        <f t="shared" si="45"/>
        <v>11.2</v>
      </c>
      <c r="DQ8" s="41">
        <f t="shared" si="46"/>
        <v>18.84</v>
      </c>
      <c r="DR8" s="41">
        <f t="shared" si="47"/>
        <v>47.04</v>
      </c>
      <c r="DS8" s="41" t="str">
        <f t="shared" si="48"/>
        <v/>
      </c>
      <c r="DT8" s="41" t="str">
        <f t="shared" si="49"/>
        <v/>
      </c>
      <c r="DU8" s="41" t="str">
        <f t="shared" si="50"/>
        <v/>
      </c>
      <c r="DV8" s="41">
        <f t="shared" si="51"/>
        <v>47.04</v>
      </c>
      <c r="DW8" s="41" t="str">
        <f t="shared" si="52"/>
        <v/>
      </c>
      <c r="DX8" s="41" t="str">
        <f t="shared" si="53"/>
        <v/>
      </c>
      <c r="DY8" s="41" t="str">
        <f t="shared" si="54"/>
        <v/>
      </c>
      <c r="DZ8" s="41">
        <f t="shared" si="55"/>
        <v>8.4</v>
      </c>
      <c r="EA8" s="41">
        <f t="shared" si="56"/>
        <v>12.62</v>
      </c>
      <c r="EB8" s="41">
        <f t="shared" si="57"/>
        <v>32.72</v>
      </c>
      <c r="EC8" s="41">
        <f t="shared" si="58"/>
        <v>79.759999999999991</v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41" t="str">
        <f t="shared" si="73"/>
        <v/>
      </c>
      <c r="GG8" s="41" t="str">
        <f t="shared" si="74"/>
        <v/>
      </c>
      <c r="GH8" s="41" t="str">
        <f t="shared" si="75"/>
        <v/>
      </c>
      <c r="GI8" s="41" t="str">
        <f t="shared" si="76"/>
        <v/>
      </c>
      <c r="GJ8" s="41" t="str">
        <f t="shared" si="77"/>
        <v/>
      </c>
      <c r="GK8" s="41" t="str">
        <f t="shared" si="78"/>
        <v/>
      </c>
      <c r="GL8" s="41" t="str">
        <f t="shared" si="79"/>
        <v/>
      </c>
      <c r="GM8" s="41" t="str">
        <f t="shared" si="80"/>
        <v/>
      </c>
      <c r="GN8" s="41" t="str">
        <f t="shared" si="81"/>
        <v/>
      </c>
      <c r="GO8" s="41" t="str">
        <f t="shared" si="82"/>
        <v/>
      </c>
      <c r="GP8" s="41" t="str">
        <f t="shared" si="83"/>
        <v/>
      </c>
      <c r="GQ8" s="41" t="str">
        <f t="shared" si="84"/>
        <v/>
      </c>
      <c r="GR8" s="41" t="str">
        <f t="shared" si="85"/>
        <v/>
      </c>
      <c r="GS8" s="41" t="str">
        <f t="shared" si="86"/>
        <v/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41" t="str">
        <f t="shared" si="101"/>
        <v/>
      </c>
      <c r="IW8" s="41" t="str">
        <f t="shared" si="102"/>
        <v/>
      </c>
      <c r="IX8" s="41" t="str">
        <f t="shared" si="103"/>
        <v/>
      </c>
      <c r="IY8" s="41" t="str">
        <f t="shared" si="104"/>
        <v/>
      </c>
      <c r="IZ8" s="41" t="str">
        <f t="shared" si="105"/>
        <v/>
      </c>
      <c r="JA8" s="41" t="str">
        <f t="shared" si="106"/>
        <v/>
      </c>
      <c r="JB8" s="41" t="str">
        <f t="shared" si="107"/>
        <v/>
      </c>
      <c r="JC8" s="41" t="str">
        <f t="shared" si="108"/>
        <v/>
      </c>
      <c r="JD8" s="41" t="str">
        <f t="shared" si="109"/>
        <v/>
      </c>
      <c r="JE8" s="41" t="str">
        <f t="shared" si="110"/>
        <v/>
      </c>
      <c r="JF8" s="41" t="str">
        <f t="shared" si="111"/>
        <v/>
      </c>
      <c r="JG8" s="41" t="str">
        <f t="shared" si="112"/>
        <v/>
      </c>
      <c r="JH8" s="41" t="str">
        <f t="shared" si="113"/>
        <v/>
      </c>
      <c r="JI8" s="41" t="str">
        <f t="shared" si="114"/>
        <v/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 t="shared" si="129"/>
        <v/>
      </c>
      <c r="LM8" s="41" t="str">
        <f t="shared" si="130"/>
        <v/>
      </c>
      <c r="LN8" s="41" t="str">
        <f t="shared" si="131"/>
        <v/>
      </c>
      <c r="LO8" s="41" t="str">
        <f t="shared" si="132"/>
        <v/>
      </c>
      <c r="LP8" s="41" t="str">
        <f t="shared" si="133"/>
        <v/>
      </c>
      <c r="LQ8" s="41" t="str">
        <f t="shared" si="134"/>
        <v/>
      </c>
      <c r="LR8" s="41" t="str">
        <f t="shared" si="135"/>
        <v/>
      </c>
      <c r="LS8" s="41" t="str">
        <f t="shared" si="136"/>
        <v/>
      </c>
      <c r="LT8" s="41" t="str">
        <f t="shared" si="137"/>
        <v/>
      </c>
      <c r="LU8" s="41" t="str">
        <f t="shared" si="138"/>
        <v/>
      </c>
      <c r="LV8" s="41" t="str">
        <f t="shared" si="139"/>
        <v/>
      </c>
      <c r="LW8" s="41" t="str">
        <f t="shared" si="140"/>
        <v/>
      </c>
      <c r="LX8" s="41" t="str">
        <f t="shared" si="141"/>
        <v/>
      </c>
      <c r="LY8" s="41" t="str">
        <f t="shared" si="142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 t="shared" si="157"/>
        <v/>
      </c>
      <c r="OC8" s="41" t="str">
        <f t="shared" si="158"/>
        <v/>
      </c>
      <c r="OD8" s="41" t="str">
        <f t="shared" si="159"/>
        <v/>
      </c>
      <c r="OE8" s="41" t="str">
        <f t="shared" si="160"/>
        <v/>
      </c>
      <c r="OF8" s="41" t="str">
        <f t="shared" si="161"/>
        <v/>
      </c>
      <c r="OG8" s="41" t="str">
        <f t="shared" si="162"/>
        <v/>
      </c>
      <c r="OH8" s="41" t="str">
        <f t="shared" si="163"/>
        <v/>
      </c>
      <c r="OI8" s="41" t="str">
        <f t="shared" si="164"/>
        <v/>
      </c>
      <c r="OJ8" s="41" t="str">
        <f t="shared" si="165"/>
        <v/>
      </c>
      <c r="OK8" s="41" t="str">
        <f t="shared" si="166"/>
        <v/>
      </c>
      <c r="OL8" s="41" t="str">
        <f t="shared" si="167"/>
        <v/>
      </c>
      <c r="OM8" s="41" t="str">
        <f t="shared" si="168"/>
        <v/>
      </c>
      <c r="ON8" s="41" t="str">
        <f t="shared" si="169"/>
        <v/>
      </c>
      <c r="OO8" s="41" t="str">
        <f t="shared" si="170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 t="shared" si="185"/>
        <v/>
      </c>
      <c r="QS8" s="41" t="str">
        <f t="shared" si="186"/>
        <v/>
      </c>
      <c r="QT8" s="41" t="str">
        <f t="shared" si="187"/>
        <v/>
      </c>
      <c r="QU8" s="41" t="str">
        <f t="shared" si="188"/>
        <v/>
      </c>
      <c r="QV8" s="41" t="str">
        <f t="shared" si="189"/>
        <v/>
      </c>
      <c r="QW8" s="41" t="str">
        <f t="shared" si="190"/>
        <v/>
      </c>
      <c r="QX8" s="41" t="str">
        <f t="shared" si="191"/>
        <v/>
      </c>
      <c r="QY8" s="41" t="str">
        <f t="shared" si="192"/>
        <v/>
      </c>
      <c r="QZ8" s="41" t="str">
        <f t="shared" si="193"/>
        <v/>
      </c>
      <c r="RA8" s="41" t="str">
        <f t="shared" si="194"/>
        <v/>
      </c>
      <c r="RB8" s="41" t="str">
        <f t="shared" si="195"/>
        <v/>
      </c>
      <c r="RC8" s="41" t="str">
        <f t="shared" si="196"/>
        <v/>
      </c>
      <c r="RD8" s="41" t="str">
        <f t="shared" si="197"/>
        <v/>
      </c>
      <c r="RE8" s="41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23">
        <f t="shared" si="213"/>
        <v>3.5</v>
      </c>
      <c r="SO8" s="23">
        <f t="shared" si="214"/>
        <v>4.5999999999999996</v>
      </c>
      <c r="SP8" s="23">
        <f t="shared" si="215"/>
        <v>5.7</v>
      </c>
      <c r="SQ8" s="23">
        <f t="shared" si="216"/>
        <v>8.6199999999999992</v>
      </c>
      <c r="SR8" s="23">
        <f t="shared" si="217"/>
        <v>0</v>
      </c>
      <c r="SS8" s="23">
        <f t="shared" si="218"/>
        <v>1.575</v>
      </c>
      <c r="ST8" s="23">
        <f t="shared" si="219"/>
        <v>1.7250000000000001</v>
      </c>
      <c r="SU8" s="23">
        <f t="shared" si="220"/>
        <v>2.6</v>
      </c>
      <c r="SV8" s="23">
        <f t="shared" si="221"/>
        <v>3.54</v>
      </c>
      <c r="SW8" s="23">
        <f t="shared" si="222"/>
        <v>0</v>
      </c>
      <c r="SX8" s="23">
        <f t="shared" si="223"/>
        <v>4.0999999999999996</v>
      </c>
      <c r="SY8" s="23">
        <f t="shared" si="224"/>
        <v>4.5250000000000004</v>
      </c>
      <c r="SZ8" s="23">
        <f t="shared" si="225"/>
        <v>5.6</v>
      </c>
      <c r="TA8" s="23">
        <f t="shared" si="226"/>
        <v>9.2100000000000009</v>
      </c>
      <c r="TB8" s="23">
        <f t="shared" si="227"/>
        <v>0</v>
      </c>
      <c r="TC8" s="28" t="s">
        <v>57</v>
      </c>
      <c r="TD8" s="41">
        <f t="shared" si="228"/>
        <v>5.7</v>
      </c>
      <c r="TE8" s="41">
        <f t="shared" si="229"/>
        <v>8.6199999999999992</v>
      </c>
      <c r="TF8" s="41">
        <f t="shared" si="230"/>
        <v>22.42</v>
      </c>
      <c r="TG8" s="41">
        <f t="shared" si="231"/>
        <v>2.6</v>
      </c>
      <c r="TH8" s="41">
        <f t="shared" si="232"/>
        <v>3.54</v>
      </c>
      <c r="TI8" s="41">
        <f t="shared" si="233"/>
        <v>9.4400000000000013</v>
      </c>
      <c r="TJ8" s="41">
        <f t="shared" si="234"/>
        <v>22.42</v>
      </c>
      <c r="TK8" s="41">
        <f t="shared" si="235"/>
        <v>5.6</v>
      </c>
      <c r="TL8" s="41">
        <f t="shared" si="236"/>
        <v>9.2100000000000009</v>
      </c>
      <c r="TM8" s="41">
        <f t="shared" si="237"/>
        <v>23.435000000000002</v>
      </c>
      <c r="TN8" s="41">
        <f t="shared" si="238"/>
        <v>45.855000000000004</v>
      </c>
    </row>
    <row r="9" spans="1:534" x14ac:dyDescent="0.2">
      <c r="A9" s="4" t="str" cm="1">
        <f t="array" ref="A9">IF(AND(H9&lt;&gt;"",H9&lt;&gt;"No DD"),SUMPRODUCT((H$4:H$17&lt;&gt;"")*(H$4:H$17&lt;&gt;"No DD")*(E$4:E$17&gt;E9))+1,IF(H9="No DD",SUMPRODUCT((H$4:H$17="No DD")*(E$4:E$17&gt;E9))+1+SUMPRODUCT((H$4:H$17&lt;&gt;"")*(H$4:H$17&lt;&gt;"No DD")),""))</f>
        <v/>
      </c>
      <c r="B9" s="5" t="s">
        <v>202</v>
      </c>
      <c r="C9" s="4" t="s">
        <v>201</v>
      </c>
      <c r="D9" s="4" t="s">
        <v>200</v>
      </c>
      <c r="E9" s="9">
        <f t="shared" si="0"/>
        <v>89.539999999999992</v>
      </c>
      <c r="F9" s="3" t="str">
        <f t="shared" si="1"/>
        <v/>
      </c>
      <c r="G9" s="3" t="str">
        <f t="shared" si="2"/>
        <v/>
      </c>
      <c r="H9" s="37" t="str">
        <f t="shared" si="3"/>
        <v/>
      </c>
      <c r="I9" s="3" t="str">
        <f t="shared" si="4"/>
        <v/>
      </c>
      <c r="J9" s="8">
        <f>IF(COUNT(AI9,AL9,AP9,BJ9,BM9,BQ9,CK9,CN9,CR9)&gt;0,LARGE((AI9,AL9,AP9,BJ9,BM9,BQ9,CK9,CN9,CR9),1),0)</f>
        <v>45.97</v>
      </c>
      <c r="K9" s="8" t="str">
        <f t="shared" si="5"/>
        <v>2023 Elite Canada</v>
      </c>
      <c r="L9" s="8">
        <f>IF(COUNT(AI9,AL9,AP9,BJ9,BM9,BQ9,CK9,CN9,CR9)&gt;1,LARGE((AI9,AL9,AP9,BJ9,BM9,BQ9,CK9,CN9,CR9),2),0)</f>
        <v>43.569999999999993</v>
      </c>
      <c r="M9" s="8" t="str">
        <f t="shared" si="6"/>
        <v>2023 Elite Canada</v>
      </c>
      <c r="N9" s="8" t="str">
        <f t="shared" si="7"/>
        <v/>
      </c>
      <c r="O9" s="11" t="str">
        <f t="shared" si="8"/>
        <v/>
      </c>
      <c r="P9" s="8" t="str">
        <f t="shared" si="9"/>
        <v/>
      </c>
      <c r="Q9" s="23">
        <v>8.1999999999999993</v>
      </c>
      <c r="R9" s="23">
        <v>9.35</v>
      </c>
      <c r="S9" s="23">
        <v>10.7</v>
      </c>
      <c r="T9" s="23">
        <v>15.32</v>
      </c>
      <c r="U9" s="23">
        <v>0</v>
      </c>
      <c r="V9" s="23">
        <v>7.95</v>
      </c>
      <c r="W9" s="23">
        <v>9.1999999999999993</v>
      </c>
      <c r="X9" s="23">
        <v>11.8</v>
      </c>
      <c r="Y9" s="23">
        <v>17.02</v>
      </c>
      <c r="Z9" s="23">
        <v>0</v>
      </c>
      <c r="AA9" s="23">
        <v>4.7</v>
      </c>
      <c r="AB9" s="23">
        <v>5.35</v>
      </c>
      <c r="AC9" s="23">
        <v>7.5</v>
      </c>
      <c r="AD9" s="23">
        <v>8.7799999999999994</v>
      </c>
      <c r="AE9" s="23">
        <v>0</v>
      </c>
      <c r="AF9" s="28"/>
      <c r="AG9" s="39">
        <f t="shared" si="10"/>
        <v>10.7</v>
      </c>
      <c r="AH9" s="39">
        <f t="shared" si="11"/>
        <v>15.32</v>
      </c>
      <c r="AI9" s="41">
        <f t="shared" si="12"/>
        <v>43.569999999999993</v>
      </c>
      <c r="AJ9" s="41">
        <f t="shared" si="13"/>
        <v>11.8</v>
      </c>
      <c r="AK9" s="41">
        <f t="shared" si="14"/>
        <v>17.02</v>
      </c>
      <c r="AL9" s="41">
        <f t="shared" si="15"/>
        <v>45.97</v>
      </c>
      <c r="AM9" s="41">
        <f t="shared" si="16"/>
        <v>45.97</v>
      </c>
      <c r="AN9" s="41">
        <f t="shared" si="17"/>
        <v>7.5</v>
      </c>
      <c r="AO9" s="41">
        <f t="shared" si="18"/>
        <v>8.7799999999999994</v>
      </c>
      <c r="AP9" s="41">
        <f t="shared" si="19"/>
        <v>26.33</v>
      </c>
      <c r="AQ9" s="41">
        <f t="shared" si="20"/>
        <v>72.3</v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 t="shared" si="21"/>
        <v/>
      </c>
      <c r="BI9" s="40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 t="shared" si="32"/>
        <v/>
      </c>
      <c r="CJ9" s="39" t="str">
        <f t="shared" si="33"/>
        <v/>
      </c>
      <c r="CK9" s="41" t="str">
        <f t="shared" si="34"/>
        <v/>
      </c>
      <c r="CL9" s="41" t="str">
        <f t="shared" si="35"/>
        <v/>
      </c>
      <c r="CM9" s="41" t="str">
        <f t="shared" si="36"/>
        <v/>
      </c>
      <c r="CN9" s="41" t="str">
        <f t="shared" si="37"/>
        <v/>
      </c>
      <c r="CO9" s="41" t="str">
        <f t="shared" si="38"/>
        <v/>
      </c>
      <c r="CP9" s="41" t="str">
        <f t="shared" si="39"/>
        <v/>
      </c>
      <c r="CQ9" s="41" t="str">
        <f t="shared" si="40"/>
        <v/>
      </c>
      <c r="CR9" s="41" t="str">
        <f t="shared" si="41"/>
        <v/>
      </c>
      <c r="CS9" s="41" t="str">
        <f t="shared" si="42"/>
        <v/>
      </c>
      <c r="CT9" s="52" t="str">
        <f t="shared" si="43"/>
        <v/>
      </c>
      <c r="CU9" s="52" t="str">
        <f t="shared" si="44"/>
        <v/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45"/>
        <v/>
      </c>
      <c r="DQ9" s="41" t="str">
        <f t="shared" si="46"/>
        <v/>
      </c>
      <c r="DR9" s="41" t="str">
        <f t="shared" si="47"/>
        <v/>
      </c>
      <c r="DS9" s="41" t="str">
        <f t="shared" si="48"/>
        <v/>
      </c>
      <c r="DT9" s="41" t="str">
        <f t="shared" si="49"/>
        <v/>
      </c>
      <c r="DU9" s="41" t="str">
        <f t="shared" si="50"/>
        <v/>
      </c>
      <c r="DV9" s="41" t="str">
        <f t="shared" si="51"/>
        <v/>
      </c>
      <c r="DW9" s="41" t="str">
        <f t="shared" si="52"/>
        <v/>
      </c>
      <c r="DX9" s="41" t="str">
        <f t="shared" si="53"/>
        <v/>
      </c>
      <c r="DY9" s="41" t="str">
        <f t="shared" si="54"/>
        <v/>
      </c>
      <c r="DZ9" s="41" t="str">
        <f t="shared" si="55"/>
        <v/>
      </c>
      <c r="EA9" s="41" t="str">
        <f t="shared" si="56"/>
        <v/>
      </c>
      <c r="EB9" s="41" t="str">
        <f t="shared" si="57"/>
        <v/>
      </c>
      <c r="EC9" s="41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73"/>
        <v/>
      </c>
      <c r="GG9" s="41" t="str">
        <f t="shared" si="74"/>
        <v/>
      </c>
      <c r="GH9" s="41" t="str">
        <f t="shared" si="75"/>
        <v/>
      </c>
      <c r="GI9" s="41" t="str">
        <f t="shared" si="76"/>
        <v/>
      </c>
      <c r="GJ9" s="41" t="str">
        <f t="shared" si="77"/>
        <v/>
      </c>
      <c r="GK9" s="41" t="str">
        <f t="shared" si="78"/>
        <v/>
      </c>
      <c r="GL9" s="41" t="str">
        <f t="shared" si="79"/>
        <v/>
      </c>
      <c r="GM9" s="41" t="str">
        <f t="shared" si="80"/>
        <v/>
      </c>
      <c r="GN9" s="41" t="str">
        <f t="shared" si="81"/>
        <v/>
      </c>
      <c r="GO9" s="41" t="str">
        <f t="shared" si="82"/>
        <v/>
      </c>
      <c r="GP9" s="41" t="str">
        <f t="shared" si="83"/>
        <v/>
      </c>
      <c r="GQ9" s="41" t="str">
        <f t="shared" si="84"/>
        <v/>
      </c>
      <c r="GR9" s="41" t="str">
        <f t="shared" si="85"/>
        <v/>
      </c>
      <c r="GS9" s="41" t="str">
        <f t="shared" si="86"/>
        <v/>
      </c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1" t="str">
        <f t="shared" si="87"/>
        <v/>
      </c>
      <c r="HO9" s="11" t="str">
        <f t="shared" si="88"/>
        <v/>
      </c>
      <c r="HP9" s="11" t="str">
        <f t="shared" si="89"/>
        <v/>
      </c>
      <c r="HQ9" s="11" t="str">
        <f t="shared" si="90"/>
        <v/>
      </c>
      <c r="HR9" s="11" t="str">
        <f t="shared" si="91"/>
        <v/>
      </c>
      <c r="HS9" s="11" t="str">
        <f t="shared" si="92"/>
        <v/>
      </c>
      <c r="HT9" s="11" t="str">
        <f t="shared" si="93"/>
        <v/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 t="str">
        <f t="shared" si="97"/>
        <v/>
      </c>
      <c r="HY9" s="11" t="str">
        <f t="shared" si="98"/>
        <v/>
      </c>
      <c r="HZ9" s="11" t="str">
        <f t="shared" si="99"/>
        <v/>
      </c>
      <c r="IA9" s="11" t="str">
        <f t="shared" si="100"/>
        <v/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101"/>
        <v/>
      </c>
      <c r="IW9" s="41" t="str">
        <f t="shared" si="102"/>
        <v/>
      </c>
      <c r="IX9" s="41" t="str">
        <f t="shared" si="103"/>
        <v/>
      </c>
      <c r="IY9" s="41" t="str">
        <f t="shared" si="104"/>
        <v/>
      </c>
      <c r="IZ9" s="41" t="str">
        <f t="shared" si="105"/>
        <v/>
      </c>
      <c r="JA9" s="41" t="str">
        <f t="shared" si="106"/>
        <v/>
      </c>
      <c r="JB9" s="41" t="str">
        <f t="shared" si="107"/>
        <v/>
      </c>
      <c r="JC9" s="41" t="str">
        <f t="shared" si="108"/>
        <v/>
      </c>
      <c r="JD9" s="41" t="str">
        <f t="shared" si="109"/>
        <v/>
      </c>
      <c r="JE9" s="41" t="str">
        <f t="shared" si="110"/>
        <v/>
      </c>
      <c r="JF9" s="41" t="str">
        <f t="shared" si="111"/>
        <v/>
      </c>
      <c r="JG9" s="41" t="str">
        <f t="shared" si="112"/>
        <v/>
      </c>
      <c r="JH9" s="41" t="str">
        <f t="shared" si="113"/>
        <v/>
      </c>
      <c r="JI9" s="41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41" t="str">
        <f t="shared" si="129"/>
        <v/>
      </c>
      <c r="LM9" s="41" t="str">
        <f t="shared" si="130"/>
        <v/>
      </c>
      <c r="LN9" s="41" t="str">
        <f t="shared" si="131"/>
        <v/>
      </c>
      <c r="LO9" s="41" t="str">
        <f t="shared" si="132"/>
        <v/>
      </c>
      <c r="LP9" s="41" t="str">
        <f t="shared" si="133"/>
        <v/>
      </c>
      <c r="LQ9" s="41" t="str">
        <f t="shared" si="134"/>
        <v/>
      </c>
      <c r="LR9" s="41" t="str">
        <f t="shared" si="135"/>
        <v/>
      </c>
      <c r="LS9" s="41" t="str">
        <f t="shared" si="136"/>
        <v/>
      </c>
      <c r="LT9" s="41" t="str">
        <f t="shared" si="137"/>
        <v/>
      </c>
      <c r="LU9" s="41" t="str">
        <f t="shared" si="138"/>
        <v/>
      </c>
      <c r="LV9" s="41" t="str">
        <f t="shared" si="139"/>
        <v/>
      </c>
      <c r="LW9" s="41" t="str">
        <f t="shared" si="140"/>
        <v/>
      </c>
      <c r="LX9" s="41" t="str">
        <f t="shared" si="141"/>
        <v/>
      </c>
      <c r="LY9" s="41" t="str">
        <f t="shared" si="142"/>
        <v/>
      </c>
      <c r="LZ9" s="18"/>
      <c r="MA9" s="18"/>
      <c r="MB9" s="18"/>
      <c r="MC9" s="18"/>
      <c r="MD9" s="18"/>
      <c r="ME9" s="18"/>
      <c r="MF9" s="18"/>
      <c r="MG9" s="18"/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 t="str">
        <f t="shared" si="143"/>
        <v/>
      </c>
      <c r="MU9" s="11" t="str">
        <f t="shared" si="144"/>
        <v/>
      </c>
      <c r="MV9" s="11" t="str">
        <f t="shared" si="145"/>
        <v/>
      </c>
      <c r="MW9" s="11" t="str">
        <f t="shared" si="146"/>
        <v/>
      </c>
      <c r="MX9" s="11" t="str">
        <f t="shared" si="147"/>
        <v/>
      </c>
      <c r="MY9" s="11" t="str">
        <f t="shared" si="148"/>
        <v/>
      </c>
      <c r="MZ9" s="11" t="str">
        <f t="shared" si="149"/>
        <v/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 t="str">
        <f t="shared" si="156"/>
        <v/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 t="shared" si="157"/>
        <v/>
      </c>
      <c r="OC9" s="41" t="str">
        <f t="shared" si="158"/>
        <v/>
      </c>
      <c r="OD9" s="41" t="str">
        <f t="shared" si="159"/>
        <v/>
      </c>
      <c r="OE9" s="41" t="str">
        <f t="shared" si="160"/>
        <v/>
      </c>
      <c r="OF9" s="41" t="str">
        <f t="shared" si="161"/>
        <v/>
      </c>
      <c r="OG9" s="41" t="str">
        <f t="shared" si="162"/>
        <v/>
      </c>
      <c r="OH9" s="41" t="str">
        <f t="shared" si="163"/>
        <v/>
      </c>
      <c r="OI9" s="41" t="str">
        <f t="shared" si="164"/>
        <v/>
      </c>
      <c r="OJ9" s="41" t="str">
        <f t="shared" si="165"/>
        <v/>
      </c>
      <c r="OK9" s="41" t="str">
        <f t="shared" si="166"/>
        <v/>
      </c>
      <c r="OL9" s="41" t="str">
        <f t="shared" si="167"/>
        <v/>
      </c>
      <c r="OM9" s="41" t="str">
        <f t="shared" si="168"/>
        <v/>
      </c>
      <c r="ON9" s="41" t="str">
        <f t="shared" si="169"/>
        <v/>
      </c>
      <c r="OO9" s="41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85"/>
        <v/>
      </c>
      <c r="QS9" s="41" t="str">
        <f t="shared" si="186"/>
        <v/>
      </c>
      <c r="QT9" s="41" t="str">
        <f t="shared" si="187"/>
        <v/>
      </c>
      <c r="QU9" s="41" t="str">
        <f t="shared" si="188"/>
        <v/>
      </c>
      <c r="QV9" s="41" t="str">
        <f t="shared" si="189"/>
        <v/>
      </c>
      <c r="QW9" s="41" t="str">
        <f t="shared" si="190"/>
        <v/>
      </c>
      <c r="QX9" s="41" t="str">
        <f t="shared" si="191"/>
        <v/>
      </c>
      <c r="QY9" s="41" t="str">
        <f t="shared" si="192"/>
        <v/>
      </c>
      <c r="QZ9" s="41" t="str">
        <f t="shared" si="193"/>
        <v/>
      </c>
      <c r="RA9" s="41" t="str">
        <f t="shared" si="194"/>
        <v/>
      </c>
      <c r="RB9" s="41" t="str">
        <f t="shared" si="195"/>
        <v/>
      </c>
      <c r="RC9" s="41" t="str">
        <f t="shared" si="196"/>
        <v/>
      </c>
      <c r="RD9" s="41" t="str">
        <f t="shared" si="197"/>
        <v/>
      </c>
      <c r="RE9" s="41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23">
        <f t="shared" si="213"/>
        <v>0</v>
      </c>
      <c r="SO9" s="23">
        <f t="shared" si="214"/>
        <v>0</v>
      </c>
      <c r="SP9" s="23">
        <f t="shared" si="215"/>
        <v>0</v>
      </c>
      <c r="SQ9" s="23">
        <f t="shared" si="216"/>
        <v>0</v>
      </c>
      <c r="SR9" s="23">
        <f t="shared" si="217"/>
        <v>0</v>
      </c>
      <c r="SS9" s="23">
        <f t="shared" si="218"/>
        <v>0</v>
      </c>
      <c r="ST9" s="23">
        <f t="shared" si="219"/>
        <v>0</v>
      </c>
      <c r="SU9" s="23">
        <f t="shared" si="220"/>
        <v>0</v>
      </c>
      <c r="SV9" s="23">
        <f t="shared" si="221"/>
        <v>0</v>
      </c>
      <c r="SW9" s="23">
        <f t="shared" si="222"/>
        <v>0</v>
      </c>
      <c r="SX9" s="23">
        <f t="shared" si="223"/>
        <v>0</v>
      </c>
      <c r="SY9" s="23">
        <f t="shared" si="224"/>
        <v>0</v>
      </c>
      <c r="SZ9" s="23">
        <f t="shared" si="225"/>
        <v>0</v>
      </c>
      <c r="TA9" s="23">
        <f t="shared" si="226"/>
        <v>0</v>
      </c>
      <c r="TB9" s="23">
        <f t="shared" si="227"/>
        <v>0</v>
      </c>
      <c r="TC9" s="28" t="s">
        <v>57</v>
      </c>
      <c r="TD9" s="41" t="str">
        <f t="shared" si="228"/>
        <v/>
      </c>
      <c r="TE9" s="41" t="str">
        <f t="shared" si="229"/>
        <v/>
      </c>
      <c r="TF9" s="41" t="str">
        <f t="shared" si="230"/>
        <v/>
      </c>
      <c r="TG9" s="41" t="str">
        <f t="shared" si="231"/>
        <v/>
      </c>
      <c r="TH9" s="41" t="str">
        <f t="shared" si="232"/>
        <v/>
      </c>
      <c r="TI9" s="41" t="str">
        <f t="shared" si="233"/>
        <v/>
      </c>
      <c r="TJ9" s="41" t="str">
        <f t="shared" si="234"/>
        <v/>
      </c>
      <c r="TK9" s="41" t="str">
        <f t="shared" si="235"/>
        <v/>
      </c>
      <c r="TL9" s="41" t="str">
        <f t="shared" si="236"/>
        <v/>
      </c>
      <c r="TM9" s="41" t="str">
        <f t="shared" si="237"/>
        <v/>
      </c>
      <c r="TN9" s="41" t="str">
        <f t="shared" si="238"/>
        <v/>
      </c>
    </row>
    <row r="10" spans="1:534" x14ac:dyDescent="0.2">
      <c r="A10" s="4" t="str" cm="1">
        <f t="array" ref="A10">IF(AND(H10&lt;&gt;"",H10&lt;&gt;"No DD"),SUMPRODUCT((H$4:H$17&lt;&gt;"")*(H$4:H$17&lt;&gt;"No DD")*(E$4:E$17&gt;E10))+1,IF(H10="No DD",SUMPRODUCT((H$4:H$17="No DD")*(E$4:E$17&gt;E10))+1+SUMPRODUCT((H$4:H$17&lt;&gt;"")*(H$4:H$17&lt;&gt;"No DD")),""))</f>
        <v/>
      </c>
      <c r="B10" s="5" t="s">
        <v>224</v>
      </c>
      <c r="C10" s="4" t="s">
        <v>140</v>
      </c>
      <c r="D10" s="4" t="s">
        <v>158</v>
      </c>
      <c r="E10" s="9">
        <f t="shared" si="0"/>
        <v>87.01</v>
      </c>
      <c r="F10" s="3" t="str">
        <f t="shared" si="1"/>
        <v/>
      </c>
      <c r="G10" s="3" t="str">
        <f t="shared" si="2"/>
        <v/>
      </c>
      <c r="H10" s="37" t="str">
        <f t="shared" si="3"/>
        <v/>
      </c>
      <c r="I10" s="3" t="str">
        <f t="shared" si="4"/>
        <v/>
      </c>
      <c r="J10" s="8">
        <f>IF(COUNT(AI10,AL10,AP10,BJ10,BM10,BQ10,CK10,CN10,CR10)&gt;0,LARGE((AI10,AL10,AP10,BJ10,BM10,BQ10,CK10,CN10,CR10),1),0)</f>
        <v>43.650000000000006</v>
      </c>
      <c r="K10" s="8" t="str">
        <f t="shared" si="5"/>
        <v>2023 Nationals</v>
      </c>
      <c r="L10" s="8">
        <f>IF(COUNT(AI10,AL10,AP10,BJ10,BM10,BQ10,CK10,CN10,CR10)&gt;1,LARGE((AI10,AL10,AP10,BJ10,BM10,BQ10,CK10,CN10,CR10),2),0)</f>
        <v>43.36</v>
      </c>
      <c r="M10" s="8" t="str">
        <f t="shared" si="6"/>
        <v>2023 Nationals</v>
      </c>
      <c r="N10" s="8" t="str">
        <f t="shared" si="7"/>
        <v/>
      </c>
      <c r="O10" s="11" t="str">
        <f t="shared" si="8"/>
        <v/>
      </c>
      <c r="P10" s="8" t="str">
        <f t="shared" si="9"/>
        <v/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 t="shared" si="10"/>
        <v/>
      </c>
      <c r="AH10" s="39" t="str">
        <f t="shared" si="11"/>
        <v/>
      </c>
      <c r="AI10" s="41" t="str">
        <f t="shared" si="12"/>
        <v/>
      </c>
      <c r="AJ10" s="41" t="str">
        <f t="shared" si="13"/>
        <v/>
      </c>
      <c r="AK10" s="41" t="str">
        <f t="shared" si="14"/>
        <v/>
      </c>
      <c r="AL10" s="41" t="str">
        <f t="shared" si="15"/>
        <v/>
      </c>
      <c r="AM10" s="41" t="str">
        <f t="shared" si="16"/>
        <v/>
      </c>
      <c r="AN10" s="41" t="str">
        <f t="shared" si="17"/>
        <v/>
      </c>
      <c r="AO10" s="41" t="str">
        <f t="shared" si="18"/>
        <v/>
      </c>
      <c r="AP10" s="41" t="str">
        <f t="shared" si="19"/>
        <v/>
      </c>
      <c r="AQ10" s="41" t="str">
        <f t="shared" si="20"/>
        <v/>
      </c>
      <c r="AR10" s="27">
        <v>7.05</v>
      </c>
      <c r="AS10" s="27">
        <v>9</v>
      </c>
      <c r="AT10" s="27">
        <v>10.5</v>
      </c>
      <c r="AU10" s="27">
        <v>17.100000000000001</v>
      </c>
      <c r="AV10" s="27">
        <v>0</v>
      </c>
      <c r="AW10" s="27">
        <v>7.05</v>
      </c>
      <c r="AX10" s="27">
        <v>9.15</v>
      </c>
      <c r="AY10" s="27">
        <v>10.5</v>
      </c>
      <c r="AZ10" s="27">
        <v>17.059999999999999</v>
      </c>
      <c r="BA10" s="27">
        <v>0.4</v>
      </c>
      <c r="BB10" s="27">
        <v>7.25</v>
      </c>
      <c r="BC10" s="27">
        <v>8.8000000000000007</v>
      </c>
      <c r="BD10" s="27">
        <v>10.5</v>
      </c>
      <c r="BE10" s="27">
        <v>15.68</v>
      </c>
      <c r="BF10" s="27">
        <v>0</v>
      </c>
      <c r="BG10" s="29"/>
      <c r="BH10" s="40">
        <f t="shared" si="21"/>
        <v>10.5</v>
      </c>
      <c r="BI10" s="40">
        <f t="shared" si="22"/>
        <v>17.100000000000001</v>
      </c>
      <c r="BJ10" s="11">
        <f t="shared" si="23"/>
        <v>43.650000000000006</v>
      </c>
      <c r="BK10" s="11">
        <f t="shared" si="24"/>
        <v>10.5</v>
      </c>
      <c r="BL10" s="11">
        <f t="shared" si="25"/>
        <v>17.059999999999999</v>
      </c>
      <c r="BM10" s="11">
        <f t="shared" si="26"/>
        <v>43.36</v>
      </c>
      <c r="BN10" s="11">
        <f t="shared" si="27"/>
        <v>43.650000000000006</v>
      </c>
      <c r="BO10" s="11">
        <f t="shared" si="28"/>
        <v>10.5</v>
      </c>
      <c r="BP10" s="11">
        <f t="shared" si="29"/>
        <v>15.68</v>
      </c>
      <c r="BQ10" s="11">
        <f t="shared" si="30"/>
        <v>42.230000000000004</v>
      </c>
      <c r="BR10" s="11">
        <f t="shared" si="31"/>
        <v>85.88000000000001</v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 t="shared" si="32"/>
        <v/>
      </c>
      <c r="CJ10" s="39" t="str">
        <f t="shared" si="33"/>
        <v/>
      </c>
      <c r="CK10" s="41" t="str">
        <f t="shared" si="34"/>
        <v/>
      </c>
      <c r="CL10" s="41" t="str">
        <f t="shared" si="35"/>
        <v/>
      </c>
      <c r="CM10" s="41" t="str">
        <f t="shared" si="36"/>
        <v/>
      </c>
      <c r="CN10" s="41" t="str">
        <f t="shared" si="37"/>
        <v/>
      </c>
      <c r="CO10" s="41" t="str">
        <f t="shared" si="38"/>
        <v/>
      </c>
      <c r="CP10" s="41" t="str">
        <f t="shared" si="39"/>
        <v/>
      </c>
      <c r="CQ10" s="41" t="str">
        <f t="shared" si="40"/>
        <v/>
      </c>
      <c r="CR10" s="41" t="str">
        <f t="shared" si="41"/>
        <v/>
      </c>
      <c r="CS10" s="41" t="str">
        <f t="shared" si="42"/>
        <v/>
      </c>
      <c r="CT10" s="52" t="str">
        <f t="shared" si="43"/>
        <v/>
      </c>
      <c r="CU10" s="52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 t="shared" si="45"/>
        <v/>
      </c>
      <c r="DQ10" s="41" t="str">
        <f t="shared" si="46"/>
        <v/>
      </c>
      <c r="DR10" s="41" t="str">
        <f t="shared" si="47"/>
        <v/>
      </c>
      <c r="DS10" s="41" t="str">
        <f t="shared" si="48"/>
        <v/>
      </c>
      <c r="DT10" s="41" t="str">
        <f t="shared" si="49"/>
        <v/>
      </c>
      <c r="DU10" s="41" t="str">
        <f t="shared" si="50"/>
        <v/>
      </c>
      <c r="DV10" s="41" t="str">
        <f t="shared" si="51"/>
        <v/>
      </c>
      <c r="DW10" s="41" t="str">
        <f t="shared" si="52"/>
        <v/>
      </c>
      <c r="DX10" s="41" t="str">
        <f t="shared" si="53"/>
        <v/>
      </c>
      <c r="DY10" s="41" t="str">
        <f t="shared" si="54"/>
        <v/>
      </c>
      <c r="DZ10" s="41" t="str">
        <f t="shared" si="55"/>
        <v/>
      </c>
      <c r="EA10" s="41" t="str">
        <f t="shared" si="56"/>
        <v/>
      </c>
      <c r="EB10" s="41" t="str">
        <f t="shared" si="57"/>
        <v/>
      </c>
      <c r="EC10" s="41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 t="shared" si="73"/>
        <v/>
      </c>
      <c r="GG10" s="41" t="str">
        <f t="shared" si="74"/>
        <v/>
      </c>
      <c r="GH10" s="41" t="str">
        <f t="shared" si="75"/>
        <v/>
      </c>
      <c r="GI10" s="41" t="str">
        <f t="shared" si="76"/>
        <v/>
      </c>
      <c r="GJ10" s="41" t="str">
        <f t="shared" si="77"/>
        <v/>
      </c>
      <c r="GK10" s="41" t="str">
        <f t="shared" si="78"/>
        <v/>
      </c>
      <c r="GL10" s="41" t="str">
        <f t="shared" si="79"/>
        <v/>
      </c>
      <c r="GM10" s="41" t="str">
        <f t="shared" si="80"/>
        <v/>
      </c>
      <c r="GN10" s="41" t="str">
        <f t="shared" si="81"/>
        <v/>
      </c>
      <c r="GO10" s="41" t="str">
        <f t="shared" si="82"/>
        <v/>
      </c>
      <c r="GP10" s="41" t="str">
        <f t="shared" si="83"/>
        <v/>
      </c>
      <c r="GQ10" s="41" t="str">
        <f t="shared" si="84"/>
        <v/>
      </c>
      <c r="GR10" s="41" t="str">
        <f t="shared" si="85"/>
        <v/>
      </c>
      <c r="GS10" s="41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 t="shared" si="101"/>
        <v/>
      </c>
      <c r="IW10" s="41" t="str">
        <f t="shared" si="102"/>
        <v/>
      </c>
      <c r="IX10" s="41" t="str">
        <f t="shared" si="103"/>
        <v/>
      </c>
      <c r="IY10" s="41" t="str">
        <f t="shared" si="104"/>
        <v/>
      </c>
      <c r="IZ10" s="41" t="str">
        <f t="shared" si="105"/>
        <v/>
      </c>
      <c r="JA10" s="41" t="str">
        <f t="shared" si="106"/>
        <v/>
      </c>
      <c r="JB10" s="41" t="str">
        <f t="shared" si="107"/>
        <v/>
      </c>
      <c r="JC10" s="41" t="str">
        <f t="shared" si="108"/>
        <v/>
      </c>
      <c r="JD10" s="41" t="str">
        <f t="shared" si="109"/>
        <v/>
      </c>
      <c r="JE10" s="41" t="str">
        <f t="shared" si="110"/>
        <v/>
      </c>
      <c r="JF10" s="41" t="str">
        <f t="shared" si="111"/>
        <v/>
      </c>
      <c r="JG10" s="41" t="str">
        <f t="shared" si="112"/>
        <v/>
      </c>
      <c r="JH10" s="41" t="str">
        <f t="shared" si="113"/>
        <v/>
      </c>
      <c r="JI10" s="41" t="str">
        <f t="shared" si="114"/>
        <v/>
      </c>
      <c r="JJ10" s="18"/>
      <c r="JK10" s="18"/>
      <c r="JL10" s="18"/>
      <c r="JM10" s="18"/>
      <c r="JN10" s="18"/>
      <c r="JO10" s="18"/>
      <c r="JP10" s="18"/>
      <c r="JQ10" s="18"/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 t="str">
        <f t="shared" si="115"/>
        <v/>
      </c>
      <c r="KE10" s="11" t="str">
        <f t="shared" si="116"/>
        <v/>
      </c>
      <c r="KF10" s="11" t="str">
        <f t="shared" si="117"/>
        <v/>
      </c>
      <c r="KG10" s="11" t="str">
        <f t="shared" si="118"/>
        <v/>
      </c>
      <c r="KH10" s="11" t="str">
        <f t="shared" si="119"/>
        <v/>
      </c>
      <c r="KI10" s="11" t="str">
        <f t="shared" si="120"/>
        <v/>
      </c>
      <c r="KJ10" s="11" t="str">
        <f t="shared" si="121"/>
        <v/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 t="str">
        <f t="shared" si="128"/>
        <v/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 t="shared" si="129"/>
        <v/>
      </c>
      <c r="LM10" s="41" t="str">
        <f t="shared" si="130"/>
        <v/>
      </c>
      <c r="LN10" s="41" t="str">
        <f t="shared" si="131"/>
        <v/>
      </c>
      <c r="LO10" s="41" t="str">
        <f t="shared" si="132"/>
        <v/>
      </c>
      <c r="LP10" s="41" t="str">
        <f t="shared" si="133"/>
        <v/>
      </c>
      <c r="LQ10" s="41" t="str">
        <f t="shared" si="134"/>
        <v/>
      </c>
      <c r="LR10" s="41" t="str">
        <f t="shared" si="135"/>
        <v/>
      </c>
      <c r="LS10" s="41" t="str">
        <f t="shared" si="136"/>
        <v/>
      </c>
      <c r="LT10" s="41" t="str">
        <f t="shared" si="137"/>
        <v/>
      </c>
      <c r="LU10" s="41" t="str">
        <f t="shared" si="138"/>
        <v/>
      </c>
      <c r="LV10" s="41" t="str">
        <f t="shared" si="139"/>
        <v/>
      </c>
      <c r="LW10" s="41" t="str">
        <f t="shared" si="140"/>
        <v/>
      </c>
      <c r="LX10" s="41" t="str">
        <f t="shared" si="141"/>
        <v/>
      </c>
      <c r="LY10" s="41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 t="shared" si="157"/>
        <v/>
      </c>
      <c r="OC10" s="41" t="str">
        <f t="shared" si="158"/>
        <v/>
      </c>
      <c r="OD10" s="41" t="str">
        <f t="shared" si="159"/>
        <v/>
      </c>
      <c r="OE10" s="41" t="str">
        <f t="shared" si="160"/>
        <v/>
      </c>
      <c r="OF10" s="41" t="str">
        <f t="shared" si="161"/>
        <v/>
      </c>
      <c r="OG10" s="41" t="str">
        <f t="shared" si="162"/>
        <v/>
      </c>
      <c r="OH10" s="41" t="str">
        <f t="shared" si="163"/>
        <v/>
      </c>
      <c r="OI10" s="41" t="str">
        <f t="shared" si="164"/>
        <v/>
      </c>
      <c r="OJ10" s="41" t="str">
        <f t="shared" si="165"/>
        <v/>
      </c>
      <c r="OK10" s="41" t="str">
        <f t="shared" si="166"/>
        <v/>
      </c>
      <c r="OL10" s="41" t="str">
        <f t="shared" si="167"/>
        <v/>
      </c>
      <c r="OM10" s="41" t="str">
        <f t="shared" si="168"/>
        <v/>
      </c>
      <c r="ON10" s="41" t="str">
        <f t="shared" si="169"/>
        <v/>
      </c>
      <c r="OO10" s="41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 t="shared" si="185"/>
        <v/>
      </c>
      <c r="QS10" s="41" t="str">
        <f t="shared" si="186"/>
        <v/>
      </c>
      <c r="QT10" s="41" t="str">
        <f t="shared" si="187"/>
        <v/>
      </c>
      <c r="QU10" s="41" t="str">
        <f t="shared" si="188"/>
        <v/>
      </c>
      <c r="QV10" s="41" t="str">
        <f t="shared" si="189"/>
        <v/>
      </c>
      <c r="QW10" s="41" t="str">
        <f t="shared" si="190"/>
        <v/>
      </c>
      <c r="QX10" s="41" t="str">
        <f t="shared" si="191"/>
        <v/>
      </c>
      <c r="QY10" s="41" t="str">
        <f t="shared" si="192"/>
        <v/>
      </c>
      <c r="QZ10" s="41" t="str">
        <f t="shared" si="193"/>
        <v/>
      </c>
      <c r="RA10" s="41" t="str">
        <f t="shared" si="194"/>
        <v/>
      </c>
      <c r="RB10" s="41" t="str">
        <f t="shared" si="195"/>
        <v/>
      </c>
      <c r="RC10" s="41" t="str">
        <f t="shared" si="196"/>
        <v/>
      </c>
      <c r="RD10" s="41" t="str">
        <f t="shared" si="197"/>
        <v/>
      </c>
      <c r="RE10" s="41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23">
        <f t="shared" si="213"/>
        <v>3.5249999999999999</v>
      </c>
      <c r="SO10" s="23">
        <f t="shared" si="214"/>
        <v>4.5</v>
      </c>
      <c r="SP10" s="23">
        <f t="shared" si="215"/>
        <v>5.25</v>
      </c>
      <c r="SQ10" s="23">
        <f t="shared" si="216"/>
        <v>8.5500000000000007</v>
      </c>
      <c r="SR10" s="23">
        <f t="shared" si="217"/>
        <v>0</v>
      </c>
      <c r="SS10" s="23">
        <f t="shared" si="218"/>
        <v>3.5249999999999999</v>
      </c>
      <c r="ST10" s="23">
        <f t="shared" si="219"/>
        <v>4.5750000000000002</v>
      </c>
      <c r="SU10" s="23">
        <f t="shared" si="220"/>
        <v>5.25</v>
      </c>
      <c r="SV10" s="23">
        <f t="shared" si="221"/>
        <v>8.5299999999999994</v>
      </c>
      <c r="SW10" s="23">
        <f t="shared" si="222"/>
        <v>0.2</v>
      </c>
      <c r="SX10" s="23">
        <f t="shared" si="223"/>
        <v>3.625</v>
      </c>
      <c r="SY10" s="23">
        <f t="shared" si="224"/>
        <v>4.4000000000000004</v>
      </c>
      <c r="SZ10" s="23">
        <f t="shared" si="225"/>
        <v>5.25</v>
      </c>
      <c r="TA10" s="23">
        <f t="shared" si="226"/>
        <v>7.84</v>
      </c>
      <c r="TB10" s="23">
        <f t="shared" si="227"/>
        <v>0</v>
      </c>
      <c r="TC10" s="28" t="s">
        <v>57</v>
      </c>
      <c r="TD10" s="41">
        <f t="shared" si="228"/>
        <v>5.25</v>
      </c>
      <c r="TE10" s="41">
        <f t="shared" si="229"/>
        <v>8.5500000000000007</v>
      </c>
      <c r="TF10" s="41">
        <f t="shared" si="230"/>
        <v>21.825000000000003</v>
      </c>
      <c r="TG10" s="41">
        <f t="shared" si="231"/>
        <v>5.25</v>
      </c>
      <c r="TH10" s="41">
        <f t="shared" si="232"/>
        <v>8.5299999999999994</v>
      </c>
      <c r="TI10" s="41">
        <f t="shared" si="233"/>
        <v>21.68</v>
      </c>
      <c r="TJ10" s="41">
        <f t="shared" si="234"/>
        <v>21.825000000000003</v>
      </c>
      <c r="TK10" s="41">
        <f t="shared" si="235"/>
        <v>5.25</v>
      </c>
      <c r="TL10" s="41">
        <f t="shared" si="236"/>
        <v>7.84</v>
      </c>
      <c r="TM10" s="41">
        <f t="shared" si="237"/>
        <v>21.115000000000002</v>
      </c>
      <c r="TN10" s="41">
        <f t="shared" si="238"/>
        <v>42.940000000000005</v>
      </c>
    </row>
    <row r="11" spans="1:534" x14ac:dyDescent="0.2">
      <c r="A11" s="4" t="str" cm="1">
        <f t="array" ref="A11">IF(AND(H11&lt;&gt;"",H11&lt;&gt;"No DD"),SUMPRODUCT((H$4:H$17&lt;&gt;"")*(H$4:H$17&lt;&gt;"No DD")*(E$4:E$17&gt;E11))+1,IF(H11="No DD",SUMPRODUCT((H$4:H$17="No DD")*(E$4:E$17&gt;E11))+1+SUMPRODUCT((H$4:H$17&lt;&gt;"")*(H$4:H$17&lt;&gt;"No DD")),""))</f>
        <v/>
      </c>
      <c r="B11" s="5" t="s">
        <v>255</v>
      </c>
      <c r="C11" s="4" t="s">
        <v>3</v>
      </c>
      <c r="D11" s="4" t="s">
        <v>256</v>
      </c>
      <c r="E11" s="9">
        <f t="shared" si="0"/>
        <v>45.730000000000004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IF(COUNT(AI11,AL11,AP11,BJ11,BM11,BQ11,CK11,CN11,CR11)&gt;0,LARGE((AI11,AL11,AP11,BJ11,BM11,BQ11,CK11,CN11,CR11),1),0)</f>
        <v>0</v>
      </c>
      <c r="K11" s="8" t="str">
        <f t="shared" si="5"/>
        <v/>
      </c>
      <c r="L11" s="8">
        <f>IF(COUNT(AI11,AL11,AP11,BJ11,BM11,BQ11,CK11,CN11,CR11)&gt;1,LARGE((AI11,AL11,AP11,BJ11,BM11,BQ11,CK11,CN11,CR11),2),0)</f>
        <v>0</v>
      </c>
      <c r="M11" s="8" t="str">
        <f t="shared" si="6"/>
        <v/>
      </c>
      <c r="N11" s="8">
        <f t="shared" si="7"/>
        <v>45.730000000000004</v>
      </c>
      <c r="O11" s="11" t="str">
        <f t="shared" si="8"/>
        <v>(Prelim)</v>
      </c>
      <c r="P11" s="8" t="str">
        <f t="shared" si="9"/>
        <v>2023 WAGC (Nov 16)</v>
      </c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8"/>
      <c r="AG11" s="39" t="str">
        <f t="shared" si="10"/>
        <v/>
      </c>
      <c r="AH11" s="39" t="str">
        <f t="shared" si="11"/>
        <v/>
      </c>
      <c r="AI11" s="41" t="str">
        <f t="shared" si="12"/>
        <v/>
      </c>
      <c r="AJ11" s="41" t="str">
        <f t="shared" si="13"/>
        <v/>
      </c>
      <c r="AK11" s="41" t="str">
        <f t="shared" si="14"/>
        <v/>
      </c>
      <c r="AL11" s="41" t="str">
        <f t="shared" si="15"/>
        <v/>
      </c>
      <c r="AM11" s="41" t="str">
        <f t="shared" si="16"/>
        <v/>
      </c>
      <c r="AN11" s="41" t="str">
        <f t="shared" si="17"/>
        <v/>
      </c>
      <c r="AO11" s="41" t="str">
        <f t="shared" si="18"/>
        <v/>
      </c>
      <c r="AP11" s="41" t="str">
        <f t="shared" si="19"/>
        <v/>
      </c>
      <c r="AQ11" s="41" t="str">
        <f t="shared" si="20"/>
        <v/>
      </c>
      <c r="AR11" s="27"/>
      <c r="AS11" s="27"/>
      <c r="AT11" s="27"/>
      <c r="AU11" s="27"/>
      <c r="AV11" s="27"/>
      <c r="AW11" s="27"/>
      <c r="AX11" s="27"/>
      <c r="AY11" s="27"/>
      <c r="AZ11" s="27"/>
      <c r="BA11" s="27"/>
      <c r="BB11" s="27"/>
      <c r="BC11" s="27"/>
      <c r="BD11" s="27"/>
      <c r="BE11" s="27"/>
      <c r="BF11" s="27"/>
      <c r="BG11" s="29"/>
      <c r="BH11" s="40" t="str">
        <f t="shared" si="21"/>
        <v/>
      </c>
      <c r="BI11" s="40" t="str">
        <f t="shared" si="22"/>
        <v/>
      </c>
      <c r="BJ11" s="11" t="str">
        <f t="shared" si="23"/>
        <v/>
      </c>
      <c r="BK11" s="11" t="str">
        <f t="shared" si="24"/>
        <v/>
      </c>
      <c r="BL11" s="11" t="str">
        <f t="shared" si="25"/>
        <v/>
      </c>
      <c r="BM11" s="11" t="str">
        <f t="shared" si="26"/>
        <v/>
      </c>
      <c r="BN11" s="11" t="str">
        <f t="shared" si="27"/>
        <v/>
      </c>
      <c r="BO11" s="11" t="str">
        <f t="shared" si="28"/>
        <v/>
      </c>
      <c r="BP11" s="11" t="str">
        <f t="shared" si="29"/>
        <v/>
      </c>
      <c r="BQ11" s="11" t="str">
        <f t="shared" si="30"/>
        <v/>
      </c>
      <c r="BR11" s="11" t="str">
        <f t="shared" si="31"/>
        <v/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 t="shared" si="32"/>
        <v/>
      </c>
      <c r="CJ11" s="39" t="str">
        <f t="shared" si="33"/>
        <v/>
      </c>
      <c r="CK11" s="41" t="str">
        <f t="shared" si="34"/>
        <v/>
      </c>
      <c r="CL11" s="41" t="str">
        <f t="shared" si="35"/>
        <v/>
      </c>
      <c r="CM11" s="41" t="str">
        <f t="shared" si="36"/>
        <v/>
      </c>
      <c r="CN11" s="41" t="str">
        <f t="shared" si="37"/>
        <v/>
      </c>
      <c r="CO11" s="41" t="str">
        <f t="shared" si="38"/>
        <v/>
      </c>
      <c r="CP11" s="41" t="str">
        <f t="shared" si="39"/>
        <v/>
      </c>
      <c r="CQ11" s="41" t="str">
        <f t="shared" si="40"/>
        <v/>
      </c>
      <c r="CR11" s="41" t="str">
        <f t="shared" si="41"/>
        <v/>
      </c>
      <c r="CS11" s="41" t="str">
        <f t="shared" si="42"/>
        <v/>
      </c>
      <c r="CT11" s="52">
        <f t="shared" si="43"/>
        <v>45.730000000000004</v>
      </c>
      <c r="CU11" s="52">
        <f t="shared" si="44"/>
        <v>43.739999999999995</v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 t="shared" si="45"/>
        <v/>
      </c>
      <c r="DQ11" s="41" t="str">
        <f t="shared" si="46"/>
        <v/>
      </c>
      <c r="DR11" s="41" t="str">
        <f t="shared" si="47"/>
        <v/>
      </c>
      <c r="DS11" s="41" t="str">
        <f t="shared" si="48"/>
        <v/>
      </c>
      <c r="DT11" s="41" t="str">
        <f t="shared" si="49"/>
        <v/>
      </c>
      <c r="DU11" s="41" t="str">
        <f t="shared" si="50"/>
        <v/>
      </c>
      <c r="DV11" s="41" t="str">
        <f t="shared" si="51"/>
        <v/>
      </c>
      <c r="DW11" s="41" t="str">
        <f t="shared" si="52"/>
        <v/>
      </c>
      <c r="DX11" s="41" t="str">
        <f t="shared" si="53"/>
        <v/>
      </c>
      <c r="DY11" s="41" t="str">
        <f t="shared" si="54"/>
        <v/>
      </c>
      <c r="DZ11" s="41" t="str">
        <f t="shared" si="55"/>
        <v/>
      </c>
      <c r="EA11" s="41" t="str">
        <f t="shared" si="56"/>
        <v/>
      </c>
      <c r="EB11" s="41" t="str">
        <f t="shared" si="57"/>
        <v/>
      </c>
      <c r="EC11" s="41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 t="shared" si="73"/>
        <v/>
      </c>
      <c r="GG11" s="41" t="str">
        <f t="shared" si="74"/>
        <v/>
      </c>
      <c r="GH11" s="41" t="str">
        <f t="shared" si="75"/>
        <v/>
      </c>
      <c r="GI11" s="41" t="str">
        <f t="shared" si="76"/>
        <v/>
      </c>
      <c r="GJ11" s="41" t="str">
        <f t="shared" si="77"/>
        <v/>
      </c>
      <c r="GK11" s="41" t="str">
        <f t="shared" si="78"/>
        <v/>
      </c>
      <c r="GL11" s="41" t="str">
        <f t="shared" si="79"/>
        <v/>
      </c>
      <c r="GM11" s="41" t="str">
        <f t="shared" si="80"/>
        <v/>
      </c>
      <c r="GN11" s="41" t="str">
        <f t="shared" si="81"/>
        <v/>
      </c>
      <c r="GO11" s="41" t="str">
        <f t="shared" si="82"/>
        <v/>
      </c>
      <c r="GP11" s="41" t="str">
        <f t="shared" si="83"/>
        <v/>
      </c>
      <c r="GQ11" s="41" t="str">
        <f t="shared" si="84"/>
        <v/>
      </c>
      <c r="GR11" s="41" t="str">
        <f t="shared" si="85"/>
        <v/>
      </c>
      <c r="GS11" s="41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 t="shared" si="101"/>
        <v/>
      </c>
      <c r="IW11" s="41" t="str">
        <f t="shared" si="102"/>
        <v/>
      </c>
      <c r="IX11" s="41" t="str">
        <f t="shared" si="103"/>
        <v/>
      </c>
      <c r="IY11" s="41" t="str">
        <f t="shared" si="104"/>
        <v/>
      </c>
      <c r="IZ11" s="41" t="str">
        <f t="shared" si="105"/>
        <v/>
      </c>
      <c r="JA11" s="41" t="str">
        <f t="shared" si="106"/>
        <v/>
      </c>
      <c r="JB11" s="41" t="str">
        <f t="shared" si="107"/>
        <v/>
      </c>
      <c r="JC11" s="41" t="str">
        <f t="shared" si="108"/>
        <v/>
      </c>
      <c r="JD11" s="41" t="str">
        <f t="shared" si="109"/>
        <v/>
      </c>
      <c r="JE11" s="41" t="str">
        <f t="shared" si="110"/>
        <v/>
      </c>
      <c r="JF11" s="41" t="str">
        <f t="shared" si="111"/>
        <v/>
      </c>
      <c r="JG11" s="41" t="str">
        <f t="shared" si="112"/>
        <v/>
      </c>
      <c r="JH11" s="41" t="str">
        <f t="shared" si="113"/>
        <v/>
      </c>
      <c r="JI11" s="41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 t="shared" si="129"/>
        <v/>
      </c>
      <c r="LM11" s="41" t="str">
        <f t="shared" si="130"/>
        <v/>
      </c>
      <c r="LN11" s="41" t="str">
        <f t="shared" si="131"/>
        <v/>
      </c>
      <c r="LO11" s="41" t="str">
        <f t="shared" si="132"/>
        <v/>
      </c>
      <c r="LP11" s="41" t="str">
        <f t="shared" si="133"/>
        <v/>
      </c>
      <c r="LQ11" s="41" t="str">
        <f t="shared" si="134"/>
        <v/>
      </c>
      <c r="LR11" s="41" t="str">
        <f t="shared" si="135"/>
        <v/>
      </c>
      <c r="LS11" s="41" t="str">
        <f t="shared" si="136"/>
        <v/>
      </c>
      <c r="LT11" s="41" t="str">
        <f t="shared" si="137"/>
        <v/>
      </c>
      <c r="LU11" s="41" t="str">
        <f t="shared" si="138"/>
        <v/>
      </c>
      <c r="LV11" s="41" t="str">
        <f t="shared" si="139"/>
        <v/>
      </c>
      <c r="LW11" s="41" t="str">
        <f t="shared" si="140"/>
        <v/>
      </c>
      <c r="LX11" s="41" t="str">
        <f t="shared" si="141"/>
        <v/>
      </c>
      <c r="LY11" s="41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 t="shared" si="157"/>
        <v/>
      </c>
      <c r="OC11" s="41" t="str">
        <f t="shared" si="158"/>
        <v/>
      </c>
      <c r="OD11" s="41" t="str">
        <f t="shared" si="159"/>
        <v/>
      </c>
      <c r="OE11" s="41" t="str">
        <f t="shared" si="160"/>
        <v/>
      </c>
      <c r="OF11" s="41" t="str">
        <f t="shared" si="161"/>
        <v/>
      </c>
      <c r="OG11" s="41" t="str">
        <f t="shared" si="162"/>
        <v/>
      </c>
      <c r="OH11" s="41" t="str">
        <f t="shared" si="163"/>
        <v/>
      </c>
      <c r="OI11" s="41" t="str">
        <f t="shared" si="164"/>
        <v/>
      </c>
      <c r="OJ11" s="41" t="str">
        <f t="shared" si="165"/>
        <v/>
      </c>
      <c r="OK11" s="41" t="str">
        <f t="shared" si="166"/>
        <v/>
      </c>
      <c r="OL11" s="41" t="str">
        <f t="shared" si="167"/>
        <v/>
      </c>
      <c r="OM11" s="41" t="str">
        <f t="shared" si="168"/>
        <v/>
      </c>
      <c r="ON11" s="41" t="str">
        <f t="shared" si="169"/>
        <v/>
      </c>
      <c r="OO11" s="41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>
        <v>7.3</v>
      </c>
      <c r="PY11" s="17">
        <v>9.5500000000000007</v>
      </c>
      <c r="PZ11" s="17">
        <v>11.6</v>
      </c>
      <c r="QA11" s="17">
        <v>17.28</v>
      </c>
      <c r="QB11" s="17">
        <v>0</v>
      </c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>
        <v>7.55</v>
      </c>
      <c r="QN11" s="17">
        <v>8.65</v>
      </c>
      <c r="QO11" s="17">
        <v>11.6</v>
      </c>
      <c r="QP11" s="17">
        <v>15.94</v>
      </c>
      <c r="QQ11" s="17">
        <v>0</v>
      </c>
      <c r="QR11" s="41">
        <f t="shared" si="185"/>
        <v>11.6</v>
      </c>
      <c r="QS11" s="41">
        <f t="shared" si="186"/>
        <v>17.28</v>
      </c>
      <c r="QT11" s="41">
        <f t="shared" si="187"/>
        <v>45.730000000000004</v>
      </c>
      <c r="QU11" s="41" t="str">
        <f t="shared" si="188"/>
        <v/>
      </c>
      <c r="QV11" s="41" t="str">
        <f t="shared" si="189"/>
        <v/>
      </c>
      <c r="QW11" s="41" t="str">
        <f t="shared" si="190"/>
        <v/>
      </c>
      <c r="QX11" s="41">
        <f t="shared" si="191"/>
        <v>45.730000000000004</v>
      </c>
      <c r="QY11" s="41" t="str">
        <f t="shared" si="192"/>
        <v/>
      </c>
      <c r="QZ11" s="41" t="str">
        <f t="shared" si="193"/>
        <v/>
      </c>
      <c r="RA11" s="41" t="str">
        <f t="shared" si="194"/>
        <v/>
      </c>
      <c r="RB11" s="41">
        <f t="shared" si="195"/>
        <v>11.6</v>
      </c>
      <c r="RC11" s="41">
        <f t="shared" si="196"/>
        <v>15.94</v>
      </c>
      <c r="RD11" s="41">
        <f t="shared" si="197"/>
        <v>43.739999999999995</v>
      </c>
      <c r="RE11" s="41">
        <f t="shared" si="198"/>
        <v>89.47</v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23">
        <f t="shared" si="213"/>
        <v>0</v>
      </c>
      <c r="SO11" s="23">
        <f t="shared" si="214"/>
        <v>0</v>
      </c>
      <c r="SP11" s="23">
        <f t="shared" si="215"/>
        <v>0</v>
      </c>
      <c r="SQ11" s="23">
        <f t="shared" si="216"/>
        <v>0</v>
      </c>
      <c r="SR11" s="23">
        <f t="shared" si="217"/>
        <v>0</v>
      </c>
      <c r="SS11" s="23">
        <f t="shared" si="218"/>
        <v>0</v>
      </c>
      <c r="ST11" s="23">
        <f t="shared" si="219"/>
        <v>0</v>
      </c>
      <c r="SU11" s="23">
        <f t="shared" si="220"/>
        <v>0</v>
      </c>
      <c r="SV11" s="23">
        <f t="shared" si="221"/>
        <v>0</v>
      </c>
      <c r="SW11" s="23">
        <f t="shared" si="222"/>
        <v>0</v>
      </c>
      <c r="SX11" s="23">
        <f t="shared" si="223"/>
        <v>0</v>
      </c>
      <c r="SY11" s="23">
        <f t="shared" si="224"/>
        <v>0</v>
      </c>
      <c r="SZ11" s="23">
        <f t="shared" si="225"/>
        <v>0</v>
      </c>
      <c r="TA11" s="23">
        <f t="shared" si="226"/>
        <v>0</v>
      </c>
      <c r="TB11" s="23">
        <f t="shared" si="227"/>
        <v>0</v>
      </c>
      <c r="TC11" s="28" t="s">
        <v>57</v>
      </c>
      <c r="TD11" s="41" t="str">
        <f t="shared" si="228"/>
        <v/>
      </c>
      <c r="TE11" s="41" t="str">
        <f t="shared" si="229"/>
        <v/>
      </c>
      <c r="TF11" s="41" t="str">
        <f t="shared" si="230"/>
        <v/>
      </c>
      <c r="TG11" s="41" t="str">
        <f t="shared" si="231"/>
        <v/>
      </c>
      <c r="TH11" s="41" t="str">
        <f t="shared" si="232"/>
        <v/>
      </c>
      <c r="TI11" s="41" t="str">
        <f t="shared" si="233"/>
        <v/>
      </c>
      <c r="TJ11" s="41" t="str">
        <f t="shared" si="234"/>
        <v/>
      </c>
      <c r="TK11" s="41" t="str">
        <f t="shared" si="235"/>
        <v/>
      </c>
      <c r="TL11" s="41" t="str">
        <f t="shared" si="236"/>
        <v/>
      </c>
      <c r="TM11" s="41" t="str">
        <f t="shared" si="237"/>
        <v/>
      </c>
      <c r="TN11" s="41" t="str">
        <f t="shared" si="238"/>
        <v/>
      </c>
    </row>
    <row r="12" spans="1:534" x14ac:dyDescent="0.2">
      <c r="A12" s="4" t="str" cm="1">
        <f t="array" ref="A12">IF(AND(H12&lt;&gt;"",H12&lt;&gt;"No DD"),SUMPRODUCT((H$4:H$17&lt;&gt;"")*(H$4:H$17&lt;&gt;"No DD")*(E$4:E$17&gt;E12))+1,IF(H12="No DD",SUMPRODUCT((H$4:H$17="No DD")*(E$4:E$17&gt;E12))+1+SUMPRODUCT((H$4:H$17&lt;&gt;"")*(H$4:H$17&lt;&gt;"No DD")),""))</f>
        <v/>
      </c>
      <c r="B12" s="5" t="s">
        <v>209</v>
      </c>
      <c r="C12" s="4" t="s">
        <v>208</v>
      </c>
      <c r="D12" s="4" t="s">
        <v>158</v>
      </c>
      <c r="E12" s="9">
        <f t="shared" si="0"/>
        <v>43.93</v>
      </c>
      <c r="F12" s="3" t="str">
        <f t="shared" si="1"/>
        <v/>
      </c>
      <c r="G12" s="3" t="str">
        <f t="shared" si="2"/>
        <v/>
      </c>
      <c r="H12" s="37" t="str">
        <f t="shared" si="3"/>
        <v/>
      </c>
      <c r="I12" s="3" t="str">
        <f t="shared" si="4"/>
        <v/>
      </c>
      <c r="J12" s="8">
        <f>IF(COUNT(AI12,AL12,AP12,BJ12,BM12,BQ12,CK12,CN12,CR12)&gt;0,LARGE((AI12,AL12,AP12,BJ12,BM12,BQ12,CK12,CN12,CR12),1),0)</f>
        <v>0</v>
      </c>
      <c r="K12" s="8" t="str">
        <f t="shared" si="5"/>
        <v/>
      </c>
      <c r="L12" s="8">
        <f>IF(COUNT(AI12,AL12,AP12,BJ12,BM12,BQ12,CK12,CN12,CR12)&gt;1,LARGE((AI12,AL12,AP12,BJ12,BM12,BQ12,CK12,CN12,CR12),2),0)</f>
        <v>0</v>
      </c>
      <c r="M12" s="8" t="str">
        <f t="shared" si="6"/>
        <v/>
      </c>
      <c r="N12" s="8">
        <f t="shared" si="7"/>
        <v>43.93</v>
      </c>
      <c r="O12" s="11" t="str">
        <f t="shared" si="8"/>
        <v>(Final)</v>
      </c>
      <c r="P12" s="8" t="str">
        <f t="shared" si="9"/>
        <v>2023 Pan Am Club Championships (May 14)</v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 t="shared" si="10"/>
        <v/>
      </c>
      <c r="AH12" s="39" t="str">
        <f t="shared" si="11"/>
        <v/>
      </c>
      <c r="AI12" s="41" t="str">
        <f t="shared" si="12"/>
        <v/>
      </c>
      <c r="AJ12" s="41" t="str">
        <f t="shared" si="13"/>
        <v/>
      </c>
      <c r="AK12" s="41" t="str">
        <f t="shared" si="14"/>
        <v/>
      </c>
      <c r="AL12" s="41" t="str">
        <f t="shared" si="15"/>
        <v/>
      </c>
      <c r="AM12" s="41" t="str">
        <f t="shared" si="16"/>
        <v/>
      </c>
      <c r="AN12" s="41" t="str">
        <f t="shared" si="17"/>
        <v/>
      </c>
      <c r="AO12" s="41" t="str">
        <f t="shared" si="18"/>
        <v/>
      </c>
      <c r="AP12" s="41" t="str">
        <f t="shared" si="19"/>
        <v/>
      </c>
      <c r="AQ12" s="41" t="str">
        <f t="shared" si="20"/>
        <v/>
      </c>
      <c r="AR12" s="27"/>
      <c r="AS12" s="27"/>
      <c r="AT12" s="27"/>
      <c r="AU12" s="27"/>
      <c r="AV12" s="27"/>
      <c r="AW12" s="27"/>
      <c r="AX12" s="27"/>
      <c r="AY12" s="27"/>
      <c r="AZ12" s="27"/>
      <c r="BA12" s="27"/>
      <c r="BB12" s="27"/>
      <c r="BC12" s="27"/>
      <c r="BD12" s="27"/>
      <c r="BE12" s="27"/>
      <c r="BF12" s="27"/>
      <c r="BG12" s="29"/>
      <c r="BH12" s="40" t="str">
        <f t="shared" si="21"/>
        <v/>
      </c>
      <c r="BI12" s="40" t="str">
        <f t="shared" si="22"/>
        <v/>
      </c>
      <c r="BJ12" s="11" t="str">
        <f t="shared" si="23"/>
        <v/>
      </c>
      <c r="BK12" s="11" t="str">
        <f t="shared" si="24"/>
        <v/>
      </c>
      <c r="BL12" s="11" t="str">
        <f t="shared" si="25"/>
        <v/>
      </c>
      <c r="BM12" s="11" t="str">
        <f t="shared" si="26"/>
        <v/>
      </c>
      <c r="BN12" s="11" t="str">
        <f t="shared" si="27"/>
        <v/>
      </c>
      <c r="BO12" s="11" t="str">
        <f t="shared" si="28"/>
        <v/>
      </c>
      <c r="BP12" s="11" t="str">
        <f t="shared" si="29"/>
        <v/>
      </c>
      <c r="BQ12" s="11" t="str">
        <f t="shared" si="30"/>
        <v/>
      </c>
      <c r="BR12" s="11" t="str">
        <f t="shared" si="31"/>
        <v/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 t="shared" si="32"/>
        <v/>
      </c>
      <c r="CJ12" s="39" t="str">
        <f t="shared" si="33"/>
        <v/>
      </c>
      <c r="CK12" s="41" t="str">
        <f t="shared" si="34"/>
        <v/>
      </c>
      <c r="CL12" s="41" t="str">
        <f t="shared" si="35"/>
        <v/>
      </c>
      <c r="CM12" s="41" t="str">
        <f t="shared" si="36"/>
        <v/>
      </c>
      <c r="CN12" s="41" t="str">
        <f t="shared" si="37"/>
        <v/>
      </c>
      <c r="CO12" s="41" t="str">
        <f t="shared" si="38"/>
        <v/>
      </c>
      <c r="CP12" s="41" t="str">
        <f t="shared" si="39"/>
        <v/>
      </c>
      <c r="CQ12" s="41" t="str">
        <f t="shared" si="40"/>
        <v/>
      </c>
      <c r="CR12" s="41" t="str">
        <f t="shared" si="41"/>
        <v/>
      </c>
      <c r="CS12" s="41" t="str">
        <f t="shared" si="42"/>
        <v/>
      </c>
      <c r="CT12" s="52" t="str">
        <f t="shared" si="43"/>
        <v/>
      </c>
      <c r="CU12" s="52">
        <f t="shared" si="44"/>
        <v>43.93</v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 t="shared" si="45"/>
        <v/>
      </c>
      <c r="DQ12" s="41" t="str">
        <f t="shared" si="46"/>
        <v/>
      </c>
      <c r="DR12" s="41" t="str">
        <f t="shared" si="47"/>
        <v/>
      </c>
      <c r="DS12" s="41" t="str">
        <f t="shared" si="48"/>
        <v/>
      </c>
      <c r="DT12" s="41" t="str">
        <f t="shared" si="49"/>
        <v/>
      </c>
      <c r="DU12" s="41" t="str">
        <f t="shared" si="50"/>
        <v/>
      </c>
      <c r="DV12" s="41" t="str">
        <f t="shared" si="51"/>
        <v/>
      </c>
      <c r="DW12" s="41" t="str">
        <f t="shared" si="52"/>
        <v/>
      </c>
      <c r="DX12" s="41" t="str">
        <f t="shared" si="53"/>
        <v/>
      </c>
      <c r="DY12" s="41" t="str">
        <f t="shared" si="54"/>
        <v/>
      </c>
      <c r="DZ12" s="41" t="str">
        <f t="shared" si="55"/>
        <v/>
      </c>
      <c r="EA12" s="41" t="str">
        <f t="shared" si="56"/>
        <v/>
      </c>
      <c r="EB12" s="41" t="str">
        <f t="shared" si="57"/>
        <v/>
      </c>
      <c r="EC12" s="41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>
        <v>8.0500000000000007</v>
      </c>
      <c r="ET12" s="18">
        <v>9.5</v>
      </c>
      <c r="EU12" s="18">
        <v>10</v>
      </c>
      <c r="EV12" s="18">
        <v>16.38</v>
      </c>
      <c r="EW12" s="18">
        <v>0</v>
      </c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>
        <f t="shared" si="69"/>
        <v>10</v>
      </c>
      <c r="FI12" s="11">
        <f t="shared" si="70"/>
        <v>16.38</v>
      </c>
      <c r="FJ12" s="11">
        <f t="shared" si="71"/>
        <v>43.93</v>
      </c>
      <c r="FK12" s="11">
        <f t="shared" si="72"/>
        <v>43.93</v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 t="shared" si="73"/>
        <v/>
      </c>
      <c r="GG12" s="41" t="str">
        <f t="shared" si="74"/>
        <v/>
      </c>
      <c r="GH12" s="41" t="str">
        <f t="shared" si="75"/>
        <v/>
      </c>
      <c r="GI12" s="41" t="str">
        <f t="shared" si="76"/>
        <v/>
      </c>
      <c r="GJ12" s="41" t="str">
        <f t="shared" si="77"/>
        <v/>
      </c>
      <c r="GK12" s="41" t="str">
        <f t="shared" si="78"/>
        <v/>
      </c>
      <c r="GL12" s="41" t="str">
        <f t="shared" si="79"/>
        <v/>
      </c>
      <c r="GM12" s="41" t="str">
        <f t="shared" si="80"/>
        <v/>
      </c>
      <c r="GN12" s="41" t="str">
        <f t="shared" si="81"/>
        <v/>
      </c>
      <c r="GO12" s="41" t="str">
        <f t="shared" si="82"/>
        <v/>
      </c>
      <c r="GP12" s="41" t="str">
        <f t="shared" si="83"/>
        <v/>
      </c>
      <c r="GQ12" s="41" t="str">
        <f t="shared" si="84"/>
        <v/>
      </c>
      <c r="GR12" s="41" t="str">
        <f t="shared" si="85"/>
        <v/>
      </c>
      <c r="GS12" s="41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 t="shared" si="101"/>
        <v/>
      </c>
      <c r="IW12" s="41" t="str">
        <f t="shared" si="102"/>
        <v/>
      </c>
      <c r="IX12" s="41" t="str">
        <f t="shared" si="103"/>
        <v/>
      </c>
      <c r="IY12" s="41" t="str">
        <f t="shared" si="104"/>
        <v/>
      </c>
      <c r="IZ12" s="41" t="str">
        <f t="shared" si="105"/>
        <v/>
      </c>
      <c r="JA12" s="41" t="str">
        <f t="shared" si="106"/>
        <v/>
      </c>
      <c r="JB12" s="41" t="str">
        <f t="shared" si="107"/>
        <v/>
      </c>
      <c r="JC12" s="41" t="str">
        <f t="shared" si="108"/>
        <v/>
      </c>
      <c r="JD12" s="41" t="str">
        <f t="shared" si="109"/>
        <v/>
      </c>
      <c r="JE12" s="41" t="str">
        <f t="shared" si="110"/>
        <v/>
      </c>
      <c r="JF12" s="41" t="str">
        <f t="shared" si="111"/>
        <v/>
      </c>
      <c r="JG12" s="41" t="str">
        <f t="shared" si="112"/>
        <v/>
      </c>
      <c r="JH12" s="41" t="str">
        <f t="shared" si="113"/>
        <v/>
      </c>
      <c r="JI12" s="41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 t="shared" si="129"/>
        <v/>
      </c>
      <c r="LM12" s="41" t="str">
        <f t="shared" si="130"/>
        <v/>
      </c>
      <c r="LN12" s="41" t="str">
        <f t="shared" si="131"/>
        <v/>
      </c>
      <c r="LO12" s="41" t="str">
        <f t="shared" si="132"/>
        <v/>
      </c>
      <c r="LP12" s="41" t="str">
        <f t="shared" si="133"/>
        <v/>
      </c>
      <c r="LQ12" s="41" t="str">
        <f t="shared" si="134"/>
        <v/>
      </c>
      <c r="LR12" s="41" t="str">
        <f t="shared" si="135"/>
        <v/>
      </c>
      <c r="LS12" s="41" t="str">
        <f t="shared" si="136"/>
        <v/>
      </c>
      <c r="LT12" s="41" t="str">
        <f t="shared" si="137"/>
        <v/>
      </c>
      <c r="LU12" s="41" t="str">
        <f t="shared" si="138"/>
        <v/>
      </c>
      <c r="LV12" s="41" t="str">
        <f t="shared" si="139"/>
        <v/>
      </c>
      <c r="LW12" s="41" t="str">
        <f t="shared" si="140"/>
        <v/>
      </c>
      <c r="LX12" s="41" t="str">
        <f t="shared" si="141"/>
        <v/>
      </c>
      <c r="LY12" s="41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 t="shared" si="157"/>
        <v/>
      </c>
      <c r="OC12" s="41" t="str">
        <f t="shared" si="158"/>
        <v/>
      </c>
      <c r="OD12" s="41" t="str">
        <f t="shared" si="159"/>
        <v/>
      </c>
      <c r="OE12" s="41" t="str">
        <f t="shared" si="160"/>
        <v/>
      </c>
      <c r="OF12" s="41" t="str">
        <f t="shared" si="161"/>
        <v/>
      </c>
      <c r="OG12" s="41" t="str">
        <f t="shared" si="162"/>
        <v/>
      </c>
      <c r="OH12" s="41" t="str">
        <f t="shared" si="163"/>
        <v/>
      </c>
      <c r="OI12" s="41" t="str">
        <f t="shared" si="164"/>
        <v/>
      </c>
      <c r="OJ12" s="41" t="str">
        <f t="shared" si="165"/>
        <v/>
      </c>
      <c r="OK12" s="41" t="str">
        <f t="shared" si="166"/>
        <v/>
      </c>
      <c r="OL12" s="41" t="str">
        <f t="shared" si="167"/>
        <v/>
      </c>
      <c r="OM12" s="41" t="str">
        <f t="shared" si="168"/>
        <v/>
      </c>
      <c r="ON12" s="41" t="str">
        <f t="shared" si="169"/>
        <v/>
      </c>
      <c r="OO12" s="41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 t="shared" si="185"/>
        <v/>
      </c>
      <c r="QS12" s="41" t="str">
        <f t="shared" si="186"/>
        <v/>
      </c>
      <c r="QT12" s="41" t="str">
        <f t="shared" si="187"/>
        <v/>
      </c>
      <c r="QU12" s="41" t="str">
        <f t="shared" si="188"/>
        <v/>
      </c>
      <c r="QV12" s="41" t="str">
        <f t="shared" si="189"/>
        <v/>
      </c>
      <c r="QW12" s="41" t="str">
        <f t="shared" si="190"/>
        <v/>
      </c>
      <c r="QX12" s="41" t="str">
        <f t="shared" si="191"/>
        <v/>
      </c>
      <c r="QY12" s="41" t="str">
        <f t="shared" si="192"/>
        <v/>
      </c>
      <c r="QZ12" s="41" t="str">
        <f t="shared" si="193"/>
        <v/>
      </c>
      <c r="RA12" s="41" t="str">
        <f t="shared" si="194"/>
        <v/>
      </c>
      <c r="RB12" s="41" t="str">
        <f t="shared" si="195"/>
        <v/>
      </c>
      <c r="RC12" s="41" t="str">
        <f t="shared" si="196"/>
        <v/>
      </c>
      <c r="RD12" s="41" t="str">
        <f t="shared" si="197"/>
        <v/>
      </c>
      <c r="RE12" s="41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23">
        <f t="shared" si="213"/>
        <v>0</v>
      </c>
      <c r="SO12" s="23">
        <f t="shared" si="214"/>
        <v>0</v>
      </c>
      <c r="SP12" s="23">
        <f t="shared" si="215"/>
        <v>0</v>
      </c>
      <c r="SQ12" s="23">
        <f t="shared" si="216"/>
        <v>0</v>
      </c>
      <c r="SR12" s="23">
        <f t="shared" si="217"/>
        <v>0</v>
      </c>
      <c r="SS12" s="23">
        <f t="shared" si="218"/>
        <v>0</v>
      </c>
      <c r="ST12" s="23">
        <f t="shared" si="219"/>
        <v>0</v>
      </c>
      <c r="SU12" s="23">
        <f t="shared" si="220"/>
        <v>0</v>
      </c>
      <c r="SV12" s="23">
        <f t="shared" si="221"/>
        <v>0</v>
      </c>
      <c r="SW12" s="23">
        <f t="shared" si="222"/>
        <v>0</v>
      </c>
      <c r="SX12" s="23">
        <f t="shared" si="223"/>
        <v>0</v>
      </c>
      <c r="SY12" s="23">
        <f t="shared" si="224"/>
        <v>0</v>
      </c>
      <c r="SZ12" s="23">
        <f t="shared" si="225"/>
        <v>0</v>
      </c>
      <c r="TA12" s="23">
        <f t="shared" si="226"/>
        <v>0</v>
      </c>
      <c r="TB12" s="23">
        <f t="shared" si="227"/>
        <v>0</v>
      </c>
      <c r="TC12" s="28" t="s">
        <v>57</v>
      </c>
      <c r="TD12" s="41" t="str">
        <f t="shared" si="228"/>
        <v/>
      </c>
      <c r="TE12" s="41" t="str">
        <f t="shared" si="229"/>
        <v/>
      </c>
      <c r="TF12" s="41" t="str">
        <f t="shared" si="230"/>
        <v/>
      </c>
      <c r="TG12" s="41" t="str">
        <f t="shared" si="231"/>
        <v/>
      </c>
      <c r="TH12" s="41" t="str">
        <f t="shared" si="232"/>
        <v/>
      </c>
      <c r="TI12" s="41" t="str">
        <f t="shared" si="233"/>
        <v/>
      </c>
      <c r="TJ12" s="41" t="str">
        <f t="shared" si="234"/>
        <v/>
      </c>
      <c r="TK12" s="41" t="str">
        <f t="shared" si="235"/>
        <v/>
      </c>
      <c r="TL12" s="41" t="str">
        <f t="shared" si="236"/>
        <v/>
      </c>
      <c r="TM12" s="41" t="str">
        <f t="shared" si="237"/>
        <v/>
      </c>
      <c r="TN12" s="41" t="str">
        <f t="shared" si="238"/>
        <v/>
      </c>
    </row>
    <row r="13" spans="1:534" x14ac:dyDescent="0.2">
      <c r="A13" s="4" t="str" cm="1">
        <f t="array" ref="A13">IF(AND(H13&lt;&gt;"",H13&lt;&gt;"No DD"),SUMPRODUCT((H$4:H$17&lt;&gt;"")*(H$4:H$17&lt;&gt;"No DD")*(E$4:E$17&gt;E13))+1,IF(H13="No DD",SUMPRODUCT((H$4:H$17="No DD")*(E$4:E$17&gt;E13))+1+SUMPRODUCT((H$4:H$17&lt;&gt;"")*(H$4:H$17&lt;&gt;"No DD")),""))</f>
        <v/>
      </c>
      <c r="B13" s="5" t="s">
        <v>226</v>
      </c>
      <c r="C13" s="4" t="s">
        <v>5</v>
      </c>
      <c r="D13" s="4" t="s">
        <v>225</v>
      </c>
      <c r="E13" s="9">
        <f t="shared" si="0"/>
        <v>28.9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24.009999999999998</v>
      </c>
      <c r="K13" s="8" t="str">
        <f t="shared" si="5"/>
        <v>2023 Nationals</v>
      </c>
      <c r="L13" s="8">
        <f>IF(COUNT(AI13,AL13,AP13,BJ13,BM13,BQ13,CK13,CN13,CR13)&gt;1,LARGE((AI13,AL13,AP13,BJ13,BM13,BQ13,CK13,CN13,CR13),2),0)</f>
        <v>4.8900000000000006</v>
      </c>
      <c r="M13" s="8" t="str">
        <f t="shared" si="6"/>
        <v>2023 Nationals</v>
      </c>
      <c r="N13" s="8" t="str">
        <f t="shared" si="7"/>
        <v/>
      </c>
      <c r="O13" s="11" t="str">
        <f t="shared" si="8"/>
        <v/>
      </c>
      <c r="P13" s="8" t="str">
        <f t="shared" si="9"/>
        <v/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 t="shared" si="10"/>
        <v/>
      </c>
      <c r="AH13" s="39" t="str">
        <f t="shared" si="11"/>
        <v/>
      </c>
      <c r="AI13" s="41" t="str">
        <f t="shared" si="12"/>
        <v/>
      </c>
      <c r="AJ13" s="41" t="str">
        <f t="shared" si="13"/>
        <v/>
      </c>
      <c r="AK13" s="41" t="str">
        <f t="shared" si="14"/>
        <v/>
      </c>
      <c r="AL13" s="41" t="str">
        <f t="shared" si="15"/>
        <v/>
      </c>
      <c r="AM13" s="41" t="str">
        <f t="shared" si="16"/>
        <v/>
      </c>
      <c r="AN13" s="41" t="str">
        <f t="shared" si="17"/>
        <v/>
      </c>
      <c r="AO13" s="41" t="str">
        <f t="shared" si="18"/>
        <v/>
      </c>
      <c r="AP13" s="41" t="str">
        <f t="shared" si="19"/>
        <v/>
      </c>
      <c r="AQ13" s="41" t="str">
        <f t="shared" si="20"/>
        <v/>
      </c>
      <c r="AR13" s="27">
        <v>0.55000000000000004</v>
      </c>
      <c r="AS13" s="27">
        <v>0.9</v>
      </c>
      <c r="AT13" s="27">
        <v>1.7</v>
      </c>
      <c r="AU13" s="27">
        <v>1.74</v>
      </c>
      <c r="AV13" s="27">
        <v>0</v>
      </c>
      <c r="AW13" s="27">
        <v>3.5</v>
      </c>
      <c r="AX13" s="27">
        <v>4.55</v>
      </c>
      <c r="AY13" s="27">
        <v>6.7</v>
      </c>
      <c r="AZ13" s="27">
        <v>9.26</v>
      </c>
      <c r="BA13" s="27">
        <v>0</v>
      </c>
      <c r="BB13" s="27"/>
      <c r="BC13" s="27"/>
      <c r="BD13" s="27"/>
      <c r="BE13" s="27"/>
      <c r="BF13" s="27"/>
      <c r="BG13" s="29"/>
      <c r="BH13" s="40">
        <f t="shared" si="21"/>
        <v>1.7</v>
      </c>
      <c r="BI13" s="40">
        <f t="shared" si="22"/>
        <v>1.74</v>
      </c>
      <c r="BJ13" s="11">
        <f t="shared" si="23"/>
        <v>4.8900000000000006</v>
      </c>
      <c r="BK13" s="11">
        <f t="shared" si="24"/>
        <v>6.7</v>
      </c>
      <c r="BL13" s="11">
        <f t="shared" si="25"/>
        <v>9.26</v>
      </c>
      <c r="BM13" s="11">
        <f t="shared" si="26"/>
        <v>24.009999999999998</v>
      </c>
      <c r="BN13" s="11">
        <f t="shared" si="27"/>
        <v>24.009999999999998</v>
      </c>
      <c r="BO13" s="11" t="str">
        <f t="shared" si="28"/>
        <v/>
      </c>
      <c r="BP13" s="11" t="str">
        <f t="shared" si="29"/>
        <v/>
      </c>
      <c r="BQ13" s="11" t="str">
        <f t="shared" si="30"/>
        <v/>
      </c>
      <c r="BR13" s="11">
        <f t="shared" si="31"/>
        <v>24.009999999999998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 t="shared" si="32"/>
        <v/>
      </c>
      <c r="CJ13" s="39" t="str">
        <f t="shared" si="33"/>
        <v/>
      </c>
      <c r="CK13" s="41" t="str">
        <f t="shared" si="34"/>
        <v/>
      </c>
      <c r="CL13" s="41" t="str">
        <f t="shared" si="35"/>
        <v/>
      </c>
      <c r="CM13" s="41" t="str">
        <f t="shared" si="36"/>
        <v/>
      </c>
      <c r="CN13" s="41" t="str">
        <f t="shared" si="37"/>
        <v/>
      </c>
      <c r="CO13" s="41" t="str">
        <f t="shared" si="38"/>
        <v/>
      </c>
      <c r="CP13" s="41" t="str">
        <f t="shared" si="39"/>
        <v/>
      </c>
      <c r="CQ13" s="41" t="str">
        <f t="shared" si="40"/>
        <v/>
      </c>
      <c r="CR13" s="41" t="str">
        <f t="shared" si="41"/>
        <v/>
      </c>
      <c r="CS13" s="41" t="str">
        <f t="shared" si="42"/>
        <v/>
      </c>
      <c r="CT13" s="52" t="str">
        <f t="shared" si="43"/>
        <v/>
      </c>
      <c r="CU13" s="52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 t="shared" si="45"/>
        <v/>
      </c>
      <c r="DQ13" s="41" t="str">
        <f t="shared" si="46"/>
        <v/>
      </c>
      <c r="DR13" s="41" t="str">
        <f t="shared" si="47"/>
        <v/>
      </c>
      <c r="DS13" s="41" t="str">
        <f t="shared" si="48"/>
        <v/>
      </c>
      <c r="DT13" s="41" t="str">
        <f t="shared" si="49"/>
        <v/>
      </c>
      <c r="DU13" s="41" t="str">
        <f t="shared" si="50"/>
        <v/>
      </c>
      <c r="DV13" s="41" t="str">
        <f t="shared" si="51"/>
        <v/>
      </c>
      <c r="DW13" s="41" t="str">
        <f t="shared" si="52"/>
        <v/>
      </c>
      <c r="DX13" s="41" t="str">
        <f t="shared" si="53"/>
        <v/>
      </c>
      <c r="DY13" s="41" t="str">
        <f t="shared" si="54"/>
        <v/>
      </c>
      <c r="DZ13" s="41" t="str">
        <f t="shared" si="55"/>
        <v/>
      </c>
      <c r="EA13" s="41" t="str">
        <f t="shared" si="56"/>
        <v/>
      </c>
      <c r="EB13" s="41" t="str">
        <f t="shared" si="57"/>
        <v/>
      </c>
      <c r="EC13" s="41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 t="shared" si="73"/>
        <v/>
      </c>
      <c r="GG13" s="41" t="str">
        <f t="shared" si="74"/>
        <v/>
      </c>
      <c r="GH13" s="41" t="str">
        <f t="shared" si="75"/>
        <v/>
      </c>
      <c r="GI13" s="41" t="str">
        <f t="shared" si="76"/>
        <v/>
      </c>
      <c r="GJ13" s="41" t="str">
        <f t="shared" si="77"/>
        <v/>
      </c>
      <c r="GK13" s="41" t="str">
        <f t="shared" si="78"/>
        <v/>
      </c>
      <c r="GL13" s="41" t="str">
        <f t="shared" si="79"/>
        <v/>
      </c>
      <c r="GM13" s="41" t="str">
        <f t="shared" si="80"/>
        <v/>
      </c>
      <c r="GN13" s="41" t="str">
        <f t="shared" si="81"/>
        <v/>
      </c>
      <c r="GO13" s="41" t="str">
        <f t="shared" si="82"/>
        <v/>
      </c>
      <c r="GP13" s="41" t="str">
        <f t="shared" si="83"/>
        <v/>
      </c>
      <c r="GQ13" s="41" t="str">
        <f t="shared" si="84"/>
        <v/>
      </c>
      <c r="GR13" s="41" t="str">
        <f t="shared" si="85"/>
        <v/>
      </c>
      <c r="GS13" s="41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 t="shared" si="101"/>
        <v/>
      </c>
      <c r="IW13" s="41" t="str">
        <f t="shared" si="102"/>
        <v/>
      </c>
      <c r="IX13" s="41" t="str">
        <f t="shared" si="103"/>
        <v/>
      </c>
      <c r="IY13" s="41" t="str">
        <f t="shared" si="104"/>
        <v/>
      </c>
      <c r="IZ13" s="41" t="str">
        <f t="shared" si="105"/>
        <v/>
      </c>
      <c r="JA13" s="41" t="str">
        <f t="shared" si="106"/>
        <v/>
      </c>
      <c r="JB13" s="41" t="str">
        <f t="shared" si="107"/>
        <v/>
      </c>
      <c r="JC13" s="41" t="str">
        <f t="shared" si="108"/>
        <v/>
      </c>
      <c r="JD13" s="41" t="str">
        <f t="shared" si="109"/>
        <v/>
      </c>
      <c r="JE13" s="41" t="str">
        <f t="shared" si="110"/>
        <v/>
      </c>
      <c r="JF13" s="41" t="str">
        <f t="shared" si="111"/>
        <v/>
      </c>
      <c r="JG13" s="41" t="str">
        <f t="shared" si="112"/>
        <v/>
      </c>
      <c r="JH13" s="41" t="str">
        <f t="shared" si="113"/>
        <v/>
      </c>
      <c r="JI13" s="41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 t="shared" si="129"/>
        <v/>
      </c>
      <c r="LM13" s="41" t="str">
        <f t="shared" si="130"/>
        <v/>
      </c>
      <c r="LN13" s="41" t="str">
        <f t="shared" si="131"/>
        <v/>
      </c>
      <c r="LO13" s="41" t="str">
        <f t="shared" si="132"/>
        <v/>
      </c>
      <c r="LP13" s="41" t="str">
        <f t="shared" si="133"/>
        <v/>
      </c>
      <c r="LQ13" s="41" t="str">
        <f t="shared" si="134"/>
        <v/>
      </c>
      <c r="LR13" s="41" t="str">
        <f t="shared" si="135"/>
        <v/>
      </c>
      <c r="LS13" s="41" t="str">
        <f t="shared" si="136"/>
        <v/>
      </c>
      <c r="LT13" s="41" t="str">
        <f t="shared" si="137"/>
        <v/>
      </c>
      <c r="LU13" s="41" t="str">
        <f t="shared" si="138"/>
        <v/>
      </c>
      <c r="LV13" s="41" t="str">
        <f t="shared" si="139"/>
        <v/>
      </c>
      <c r="LW13" s="41" t="str">
        <f t="shared" si="140"/>
        <v/>
      </c>
      <c r="LX13" s="41" t="str">
        <f t="shared" si="141"/>
        <v/>
      </c>
      <c r="LY13" s="41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 t="shared" si="157"/>
        <v/>
      </c>
      <c r="OC13" s="41" t="str">
        <f t="shared" si="158"/>
        <v/>
      </c>
      <c r="OD13" s="41" t="str">
        <f t="shared" si="159"/>
        <v/>
      </c>
      <c r="OE13" s="41" t="str">
        <f t="shared" si="160"/>
        <v/>
      </c>
      <c r="OF13" s="41" t="str">
        <f t="shared" si="161"/>
        <v/>
      </c>
      <c r="OG13" s="41" t="str">
        <f t="shared" si="162"/>
        <v/>
      </c>
      <c r="OH13" s="41" t="str">
        <f t="shared" si="163"/>
        <v/>
      </c>
      <c r="OI13" s="41" t="str">
        <f t="shared" si="164"/>
        <v/>
      </c>
      <c r="OJ13" s="41" t="str">
        <f t="shared" si="165"/>
        <v/>
      </c>
      <c r="OK13" s="41" t="str">
        <f t="shared" si="166"/>
        <v/>
      </c>
      <c r="OL13" s="41" t="str">
        <f t="shared" si="167"/>
        <v/>
      </c>
      <c r="OM13" s="41" t="str">
        <f t="shared" si="168"/>
        <v/>
      </c>
      <c r="ON13" s="41" t="str">
        <f t="shared" si="169"/>
        <v/>
      </c>
      <c r="OO13" s="41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/>
      <c r="PY13" s="17"/>
      <c r="PZ13" s="17"/>
      <c r="QA13" s="17"/>
      <c r="QB13" s="17"/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 t="str">
        <f t="shared" si="185"/>
        <v/>
      </c>
      <c r="QS13" s="41" t="str">
        <f t="shared" si="186"/>
        <v/>
      </c>
      <c r="QT13" s="41" t="str">
        <f t="shared" si="187"/>
        <v/>
      </c>
      <c r="QU13" s="41" t="str">
        <f t="shared" si="188"/>
        <v/>
      </c>
      <c r="QV13" s="41" t="str">
        <f t="shared" si="189"/>
        <v/>
      </c>
      <c r="QW13" s="41" t="str">
        <f t="shared" si="190"/>
        <v/>
      </c>
      <c r="QX13" s="41" t="str">
        <f t="shared" si="191"/>
        <v/>
      </c>
      <c r="QY13" s="41" t="str">
        <f t="shared" si="192"/>
        <v/>
      </c>
      <c r="QZ13" s="41" t="str">
        <f t="shared" si="193"/>
        <v/>
      </c>
      <c r="RA13" s="41" t="str">
        <f t="shared" si="194"/>
        <v/>
      </c>
      <c r="RB13" s="41" t="str">
        <f t="shared" si="195"/>
        <v/>
      </c>
      <c r="RC13" s="41" t="str">
        <f t="shared" si="196"/>
        <v/>
      </c>
      <c r="RD13" s="41" t="str">
        <f t="shared" si="197"/>
        <v/>
      </c>
      <c r="RE13" s="41" t="str">
        <f t="shared" si="198"/>
        <v/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23">
        <f t="shared" si="213"/>
        <v>0.27500000000000002</v>
      </c>
      <c r="SO13" s="23">
        <f t="shared" si="214"/>
        <v>0.45</v>
      </c>
      <c r="SP13" s="23">
        <f t="shared" si="215"/>
        <v>0.85</v>
      </c>
      <c r="SQ13" s="23">
        <f t="shared" si="216"/>
        <v>0.87</v>
      </c>
      <c r="SR13" s="23">
        <f t="shared" si="217"/>
        <v>0</v>
      </c>
      <c r="SS13" s="23">
        <f t="shared" si="218"/>
        <v>1.75</v>
      </c>
      <c r="ST13" s="23">
        <f t="shared" si="219"/>
        <v>2.2749999999999999</v>
      </c>
      <c r="SU13" s="23">
        <f t="shared" si="220"/>
        <v>3.35</v>
      </c>
      <c r="SV13" s="23">
        <f t="shared" si="221"/>
        <v>4.63</v>
      </c>
      <c r="SW13" s="23">
        <f t="shared" si="222"/>
        <v>0</v>
      </c>
      <c r="SX13" s="23">
        <f t="shared" si="223"/>
        <v>0</v>
      </c>
      <c r="SY13" s="23">
        <f t="shared" si="224"/>
        <v>0</v>
      </c>
      <c r="SZ13" s="23">
        <f t="shared" si="225"/>
        <v>0</v>
      </c>
      <c r="TA13" s="23">
        <f t="shared" si="226"/>
        <v>0</v>
      </c>
      <c r="TB13" s="23">
        <f t="shared" si="227"/>
        <v>0</v>
      </c>
      <c r="TC13" s="28" t="s">
        <v>57</v>
      </c>
      <c r="TD13" s="41">
        <f t="shared" si="228"/>
        <v>0.85</v>
      </c>
      <c r="TE13" s="41">
        <f t="shared" si="229"/>
        <v>0.87</v>
      </c>
      <c r="TF13" s="41">
        <f t="shared" si="230"/>
        <v>2.4450000000000003</v>
      </c>
      <c r="TG13" s="41">
        <f t="shared" si="231"/>
        <v>3.35</v>
      </c>
      <c r="TH13" s="41">
        <f t="shared" si="232"/>
        <v>4.63</v>
      </c>
      <c r="TI13" s="41">
        <f t="shared" si="233"/>
        <v>12.004999999999999</v>
      </c>
      <c r="TJ13" s="41">
        <f t="shared" si="234"/>
        <v>12.004999999999999</v>
      </c>
      <c r="TK13" s="41" t="str">
        <f t="shared" si="235"/>
        <v/>
      </c>
      <c r="TL13" s="41" t="str">
        <f t="shared" si="236"/>
        <v/>
      </c>
      <c r="TM13" s="41" t="str">
        <f t="shared" si="237"/>
        <v/>
      </c>
      <c r="TN13" s="41">
        <f t="shared" si="238"/>
        <v>12.004999999999999</v>
      </c>
    </row>
    <row r="14" spans="1:534" x14ac:dyDescent="0.2">
      <c r="A14" s="4" t="str" cm="1">
        <f t="array" ref="A14">IF(AND(H14&lt;&gt;"",H14&lt;&gt;"No DD"),SUMPRODUCT((H$4:H$17&lt;&gt;"")*(H$4:H$17&lt;&gt;"No DD")*(E$4:E$17&gt;E14))+1,IF(H14="No DD",SUMPRODUCT((H$4:H$17="No DD")*(E$4:E$17&gt;E14))+1+SUMPRODUCT((H$4:H$17&lt;&gt;"")*(H$4:H$17&lt;&gt;"No DD")),""))</f>
        <v/>
      </c>
      <c r="B14" s="5" t="s">
        <v>258</v>
      </c>
      <c r="C14" s="4" t="s">
        <v>8</v>
      </c>
      <c r="D14" s="4" t="s">
        <v>257</v>
      </c>
      <c r="E14" s="9">
        <f t="shared" si="0"/>
        <v>28.13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IF(COUNT(AI14,AL14,AP14,BJ14,BM14,BQ14,CK14,CN14,CR14)&gt;0,LARGE((AI14,AL14,AP14,BJ14,BM14,BQ14,CK14,CN14,CR14),1),0)</f>
        <v>0</v>
      </c>
      <c r="K14" s="8" t="str">
        <f t="shared" si="5"/>
        <v/>
      </c>
      <c r="L14" s="8">
        <f>IF(COUNT(AI14,AL14,AP14,BJ14,BM14,BQ14,CK14,CN14,CR14)&gt;1,LARGE((AI14,AL14,AP14,BJ14,BM14,BQ14,CK14,CN14,CR14),2),0)</f>
        <v>0</v>
      </c>
      <c r="M14" s="8" t="str">
        <f t="shared" si="6"/>
        <v/>
      </c>
      <c r="N14" s="8">
        <f t="shared" si="7"/>
        <v>28.13</v>
      </c>
      <c r="O14" s="11" t="str">
        <f t="shared" si="8"/>
        <v>(Prelim)</v>
      </c>
      <c r="P14" s="8" t="str">
        <f t="shared" si="9"/>
        <v>2023 WAGC (Nov 16)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 t="shared" si="10"/>
        <v/>
      </c>
      <c r="AH14" s="39" t="str">
        <f t="shared" si="11"/>
        <v/>
      </c>
      <c r="AI14" s="41" t="str">
        <f t="shared" si="12"/>
        <v/>
      </c>
      <c r="AJ14" s="41" t="str">
        <f t="shared" si="13"/>
        <v/>
      </c>
      <c r="AK14" s="41" t="str">
        <f t="shared" si="14"/>
        <v/>
      </c>
      <c r="AL14" s="41" t="str">
        <f t="shared" si="15"/>
        <v/>
      </c>
      <c r="AM14" s="41" t="str">
        <f t="shared" si="16"/>
        <v/>
      </c>
      <c r="AN14" s="41" t="str">
        <f t="shared" si="17"/>
        <v/>
      </c>
      <c r="AO14" s="41" t="str">
        <f t="shared" si="18"/>
        <v/>
      </c>
      <c r="AP14" s="41" t="str">
        <f t="shared" si="19"/>
        <v/>
      </c>
      <c r="AQ14" s="41" t="str">
        <f t="shared" si="20"/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 t="shared" si="21"/>
        <v/>
      </c>
      <c r="BI14" s="40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 t="shared" si="32"/>
        <v/>
      </c>
      <c r="CJ14" s="39" t="str">
        <f t="shared" si="33"/>
        <v/>
      </c>
      <c r="CK14" s="41" t="str">
        <f t="shared" si="34"/>
        <v/>
      </c>
      <c r="CL14" s="41" t="str">
        <f t="shared" si="35"/>
        <v/>
      </c>
      <c r="CM14" s="41" t="str">
        <f t="shared" si="36"/>
        <v/>
      </c>
      <c r="CN14" s="41" t="str">
        <f t="shared" si="37"/>
        <v/>
      </c>
      <c r="CO14" s="41" t="str">
        <f t="shared" si="38"/>
        <v/>
      </c>
      <c r="CP14" s="41" t="str">
        <f t="shared" si="39"/>
        <v/>
      </c>
      <c r="CQ14" s="41" t="str">
        <f t="shared" si="40"/>
        <v/>
      </c>
      <c r="CR14" s="41" t="str">
        <f t="shared" si="41"/>
        <v/>
      </c>
      <c r="CS14" s="41" t="str">
        <f t="shared" si="42"/>
        <v/>
      </c>
      <c r="CT14" s="52">
        <f t="shared" si="43"/>
        <v>28.13</v>
      </c>
      <c r="CU14" s="52" t="str">
        <f t="shared" si="44"/>
        <v/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 t="shared" si="45"/>
        <v/>
      </c>
      <c r="DQ14" s="41" t="str">
        <f t="shared" si="46"/>
        <v/>
      </c>
      <c r="DR14" s="41" t="str">
        <f t="shared" si="47"/>
        <v/>
      </c>
      <c r="DS14" s="41" t="str">
        <f t="shared" si="48"/>
        <v/>
      </c>
      <c r="DT14" s="41" t="str">
        <f t="shared" si="49"/>
        <v/>
      </c>
      <c r="DU14" s="41" t="str">
        <f t="shared" si="50"/>
        <v/>
      </c>
      <c r="DV14" s="41" t="str">
        <f t="shared" si="51"/>
        <v/>
      </c>
      <c r="DW14" s="41" t="str">
        <f t="shared" si="52"/>
        <v/>
      </c>
      <c r="DX14" s="41" t="str">
        <f t="shared" si="53"/>
        <v/>
      </c>
      <c r="DY14" s="41" t="str">
        <f t="shared" si="54"/>
        <v/>
      </c>
      <c r="DZ14" s="41" t="str">
        <f t="shared" si="55"/>
        <v/>
      </c>
      <c r="EA14" s="41" t="str">
        <f t="shared" si="56"/>
        <v/>
      </c>
      <c r="EB14" s="41" t="str">
        <f t="shared" si="57"/>
        <v/>
      </c>
      <c r="EC14" s="41" t="str">
        <f t="shared" si="58"/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41" t="str">
        <f t="shared" si="73"/>
        <v/>
      </c>
      <c r="GG14" s="41" t="str">
        <f t="shared" si="74"/>
        <v/>
      </c>
      <c r="GH14" s="41" t="str">
        <f t="shared" si="75"/>
        <v/>
      </c>
      <c r="GI14" s="41" t="str">
        <f t="shared" si="76"/>
        <v/>
      </c>
      <c r="GJ14" s="41" t="str">
        <f t="shared" si="77"/>
        <v/>
      </c>
      <c r="GK14" s="41" t="str">
        <f t="shared" si="78"/>
        <v/>
      </c>
      <c r="GL14" s="41" t="str">
        <f t="shared" si="79"/>
        <v/>
      </c>
      <c r="GM14" s="41" t="str">
        <f t="shared" si="80"/>
        <v/>
      </c>
      <c r="GN14" s="41" t="str">
        <f t="shared" si="81"/>
        <v/>
      </c>
      <c r="GO14" s="41" t="str">
        <f t="shared" si="82"/>
        <v/>
      </c>
      <c r="GP14" s="41" t="str">
        <f t="shared" si="83"/>
        <v/>
      </c>
      <c r="GQ14" s="41" t="str">
        <f t="shared" si="84"/>
        <v/>
      </c>
      <c r="GR14" s="41" t="str">
        <f t="shared" si="85"/>
        <v/>
      </c>
      <c r="GS14" s="41" t="str">
        <f t="shared" si="86"/>
        <v/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 t="shared" si="101"/>
        <v/>
      </c>
      <c r="IW14" s="41" t="str">
        <f t="shared" si="102"/>
        <v/>
      </c>
      <c r="IX14" s="41" t="str">
        <f t="shared" si="103"/>
        <v/>
      </c>
      <c r="IY14" s="41" t="str">
        <f t="shared" si="104"/>
        <v/>
      </c>
      <c r="IZ14" s="41" t="str">
        <f t="shared" si="105"/>
        <v/>
      </c>
      <c r="JA14" s="41" t="str">
        <f t="shared" si="106"/>
        <v/>
      </c>
      <c r="JB14" s="41" t="str">
        <f t="shared" si="107"/>
        <v/>
      </c>
      <c r="JC14" s="41" t="str">
        <f t="shared" si="108"/>
        <v/>
      </c>
      <c r="JD14" s="41" t="str">
        <f t="shared" si="109"/>
        <v/>
      </c>
      <c r="JE14" s="41" t="str">
        <f t="shared" si="110"/>
        <v/>
      </c>
      <c r="JF14" s="41" t="str">
        <f t="shared" si="111"/>
        <v/>
      </c>
      <c r="JG14" s="41" t="str">
        <f t="shared" si="112"/>
        <v/>
      </c>
      <c r="JH14" s="41" t="str">
        <f t="shared" si="113"/>
        <v/>
      </c>
      <c r="JI14" s="41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 t="shared" si="129"/>
        <v/>
      </c>
      <c r="LM14" s="41" t="str">
        <f t="shared" si="130"/>
        <v/>
      </c>
      <c r="LN14" s="41" t="str">
        <f t="shared" si="131"/>
        <v/>
      </c>
      <c r="LO14" s="41" t="str">
        <f t="shared" si="132"/>
        <v/>
      </c>
      <c r="LP14" s="41" t="str">
        <f t="shared" si="133"/>
        <v/>
      </c>
      <c r="LQ14" s="41" t="str">
        <f t="shared" si="134"/>
        <v/>
      </c>
      <c r="LR14" s="41" t="str">
        <f t="shared" si="135"/>
        <v/>
      </c>
      <c r="LS14" s="41" t="str">
        <f t="shared" si="136"/>
        <v/>
      </c>
      <c r="LT14" s="41" t="str">
        <f t="shared" si="137"/>
        <v/>
      </c>
      <c r="LU14" s="41" t="str">
        <f t="shared" si="138"/>
        <v/>
      </c>
      <c r="LV14" s="41" t="str">
        <f t="shared" si="139"/>
        <v/>
      </c>
      <c r="LW14" s="41" t="str">
        <f t="shared" si="140"/>
        <v/>
      </c>
      <c r="LX14" s="41" t="str">
        <f t="shared" si="141"/>
        <v/>
      </c>
      <c r="LY14" s="41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 t="shared" si="157"/>
        <v/>
      </c>
      <c r="OC14" s="41" t="str">
        <f t="shared" si="158"/>
        <v/>
      </c>
      <c r="OD14" s="41" t="str">
        <f t="shared" si="159"/>
        <v/>
      </c>
      <c r="OE14" s="41" t="str">
        <f t="shared" si="160"/>
        <v/>
      </c>
      <c r="OF14" s="41" t="str">
        <f t="shared" si="161"/>
        <v/>
      </c>
      <c r="OG14" s="41" t="str">
        <f t="shared" si="162"/>
        <v/>
      </c>
      <c r="OH14" s="41" t="str">
        <f t="shared" si="163"/>
        <v/>
      </c>
      <c r="OI14" s="41" t="str">
        <f t="shared" si="164"/>
        <v/>
      </c>
      <c r="OJ14" s="41" t="str">
        <f t="shared" si="165"/>
        <v/>
      </c>
      <c r="OK14" s="41" t="str">
        <f t="shared" si="166"/>
        <v/>
      </c>
      <c r="OL14" s="41" t="str">
        <f t="shared" si="167"/>
        <v/>
      </c>
      <c r="OM14" s="41" t="str">
        <f t="shared" si="168"/>
        <v/>
      </c>
      <c r="ON14" s="41" t="str">
        <f t="shared" si="169"/>
        <v/>
      </c>
      <c r="OO14" s="41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>
        <v>4.5</v>
      </c>
      <c r="PY14" s="17">
        <v>5.55</v>
      </c>
      <c r="PZ14" s="17">
        <v>8.1</v>
      </c>
      <c r="QA14" s="17">
        <v>9.98</v>
      </c>
      <c r="QB14" s="17">
        <v>0</v>
      </c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>
        <f t="shared" si="185"/>
        <v>8.1</v>
      </c>
      <c r="QS14" s="41">
        <f t="shared" si="186"/>
        <v>9.98</v>
      </c>
      <c r="QT14" s="41">
        <f t="shared" si="187"/>
        <v>28.13</v>
      </c>
      <c r="QU14" s="41" t="str">
        <f t="shared" si="188"/>
        <v/>
      </c>
      <c r="QV14" s="41" t="str">
        <f t="shared" si="189"/>
        <v/>
      </c>
      <c r="QW14" s="41" t="str">
        <f t="shared" si="190"/>
        <v/>
      </c>
      <c r="QX14" s="41">
        <f t="shared" si="191"/>
        <v>28.13</v>
      </c>
      <c r="QY14" s="41" t="str">
        <f t="shared" si="192"/>
        <v/>
      </c>
      <c r="QZ14" s="41" t="str">
        <f t="shared" si="193"/>
        <v/>
      </c>
      <c r="RA14" s="41" t="str">
        <f t="shared" si="194"/>
        <v/>
      </c>
      <c r="RB14" s="41" t="str">
        <f t="shared" si="195"/>
        <v/>
      </c>
      <c r="RC14" s="41" t="str">
        <f t="shared" si="196"/>
        <v/>
      </c>
      <c r="RD14" s="41" t="str">
        <f t="shared" si="197"/>
        <v/>
      </c>
      <c r="RE14" s="41">
        <f t="shared" si="198"/>
        <v>28.13</v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23">
        <f t="shared" si="213"/>
        <v>0</v>
      </c>
      <c r="SO14" s="23">
        <f t="shared" si="214"/>
        <v>0</v>
      </c>
      <c r="SP14" s="23">
        <f t="shared" si="215"/>
        <v>0</v>
      </c>
      <c r="SQ14" s="23">
        <f t="shared" si="216"/>
        <v>0</v>
      </c>
      <c r="SR14" s="23">
        <f t="shared" si="217"/>
        <v>0</v>
      </c>
      <c r="SS14" s="23">
        <f t="shared" si="218"/>
        <v>0</v>
      </c>
      <c r="ST14" s="23">
        <f t="shared" si="219"/>
        <v>0</v>
      </c>
      <c r="SU14" s="23">
        <f t="shared" si="220"/>
        <v>0</v>
      </c>
      <c r="SV14" s="23">
        <f t="shared" si="221"/>
        <v>0</v>
      </c>
      <c r="SW14" s="23">
        <f t="shared" si="222"/>
        <v>0</v>
      </c>
      <c r="SX14" s="23">
        <f t="shared" si="223"/>
        <v>0</v>
      </c>
      <c r="SY14" s="23">
        <f t="shared" si="224"/>
        <v>0</v>
      </c>
      <c r="SZ14" s="23">
        <f t="shared" si="225"/>
        <v>0</v>
      </c>
      <c r="TA14" s="23">
        <f t="shared" si="226"/>
        <v>0</v>
      </c>
      <c r="TB14" s="23">
        <f t="shared" si="227"/>
        <v>0</v>
      </c>
      <c r="TC14" s="28" t="s">
        <v>57</v>
      </c>
      <c r="TD14" s="41" t="str">
        <f t="shared" si="228"/>
        <v/>
      </c>
      <c r="TE14" s="41" t="str">
        <f t="shared" si="229"/>
        <v/>
      </c>
      <c r="TF14" s="41" t="str">
        <f t="shared" si="230"/>
        <v/>
      </c>
      <c r="TG14" s="41" t="str">
        <f t="shared" si="231"/>
        <v/>
      </c>
      <c r="TH14" s="41" t="str">
        <f t="shared" si="232"/>
        <v/>
      </c>
      <c r="TI14" s="41" t="str">
        <f t="shared" si="233"/>
        <v/>
      </c>
      <c r="TJ14" s="41" t="str">
        <f t="shared" si="234"/>
        <v/>
      </c>
      <c r="TK14" s="41" t="str">
        <f t="shared" si="235"/>
        <v/>
      </c>
      <c r="TL14" s="41" t="str">
        <f t="shared" si="236"/>
        <v/>
      </c>
      <c r="TM14" s="41" t="str">
        <f t="shared" si="237"/>
        <v/>
      </c>
      <c r="TN14" s="41" t="str">
        <f t="shared" si="238"/>
        <v/>
      </c>
    </row>
    <row r="15" spans="1:534" x14ac:dyDescent="0.2">
      <c r="A15" s="4" t="str" cm="1">
        <f t="array" ref="A15">IF(AND(H15&lt;&gt;"",H15&lt;&gt;"No DD"),SUMPRODUCT((H$4:H$17&lt;&gt;"")*(H$4:H$17&lt;&gt;"No DD")*(E$4:E$17&gt;E15))+1,IF(H15="No DD",SUMPRODUCT((H$4:H$17="No DD")*(E$4:E$17&gt;E15))+1+SUMPRODUCT((H$4:H$17&lt;&gt;"")*(H$4:H$17&lt;&gt;"No DD")),""))</f>
        <v/>
      </c>
      <c r="B15" s="5" t="s">
        <v>160</v>
      </c>
      <c r="C15" s="4" t="s">
        <v>5</v>
      </c>
      <c r="D15" s="4" t="s">
        <v>159</v>
      </c>
      <c r="E15" s="9">
        <f t="shared" si="0"/>
        <v>12.68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7.55</v>
      </c>
      <c r="K15" s="8" t="str">
        <f t="shared" si="5"/>
        <v>2023 Nationals</v>
      </c>
      <c r="L15" s="8">
        <f>IF(COUNT(AI15,AL15,AP15,BJ15,BM15,BQ15,CK15,CN15,CR15)&gt;1,LARGE((AI15,AL15,AP15,BJ15,BM15,BQ15,CK15,CN15,CR15),2),0)</f>
        <v>5.13</v>
      </c>
      <c r="M15" s="8" t="str">
        <f t="shared" si="6"/>
        <v>2023 Nationals</v>
      </c>
      <c r="N15" s="8" t="str">
        <f t="shared" si="7"/>
        <v/>
      </c>
      <c r="O15" s="11" t="str">
        <f t="shared" si="8"/>
        <v/>
      </c>
      <c r="P15" s="8" t="str">
        <f t="shared" si="9"/>
        <v/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 t="shared" si="10"/>
        <v/>
      </c>
      <c r="AH15" s="39" t="str">
        <f t="shared" si="11"/>
        <v/>
      </c>
      <c r="AI15" s="41" t="str">
        <f t="shared" si="12"/>
        <v/>
      </c>
      <c r="AJ15" s="41" t="str">
        <f t="shared" si="13"/>
        <v/>
      </c>
      <c r="AK15" s="41" t="str">
        <f t="shared" si="14"/>
        <v/>
      </c>
      <c r="AL15" s="41" t="str">
        <f t="shared" si="15"/>
        <v/>
      </c>
      <c r="AM15" s="41" t="str">
        <f t="shared" si="16"/>
        <v/>
      </c>
      <c r="AN15" s="41" t="str">
        <f t="shared" si="17"/>
        <v/>
      </c>
      <c r="AO15" s="41" t="str">
        <f t="shared" si="18"/>
        <v/>
      </c>
      <c r="AP15" s="41" t="str">
        <f t="shared" si="19"/>
        <v/>
      </c>
      <c r="AQ15" s="41" t="str">
        <f t="shared" si="20"/>
        <v/>
      </c>
      <c r="AR15" s="27">
        <v>0.7</v>
      </c>
      <c r="AS15" s="27">
        <v>0.95</v>
      </c>
      <c r="AT15" s="27">
        <v>1.5</v>
      </c>
      <c r="AU15" s="27">
        <v>1.98</v>
      </c>
      <c r="AV15" s="27">
        <v>0</v>
      </c>
      <c r="AW15" s="27">
        <v>1.35</v>
      </c>
      <c r="AX15" s="27">
        <v>1.8</v>
      </c>
      <c r="AY15" s="27">
        <v>2.1</v>
      </c>
      <c r="AZ15" s="27">
        <v>2.2999999999999998</v>
      </c>
      <c r="BA15" s="27">
        <v>0</v>
      </c>
      <c r="BB15" s="27"/>
      <c r="BC15" s="27"/>
      <c r="BD15" s="27"/>
      <c r="BE15" s="27"/>
      <c r="BF15" s="27"/>
      <c r="BG15" s="29"/>
      <c r="BH15" s="40">
        <f t="shared" si="21"/>
        <v>1.5</v>
      </c>
      <c r="BI15" s="40">
        <f t="shared" si="22"/>
        <v>1.98</v>
      </c>
      <c r="BJ15" s="11">
        <f t="shared" si="23"/>
        <v>5.13</v>
      </c>
      <c r="BK15" s="11">
        <f t="shared" si="24"/>
        <v>2.1</v>
      </c>
      <c r="BL15" s="11">
        <f t="shared" si="25"/>
        <v>2.2999999999999998</v>
      </c>
      <c r="BM15" s="11">
        <f t="shared" si="26"/>
        <v>7.55</v>
      </c>
      <c r="BN15" s="11">
        <f t="shared" si="27"/>
        <v>7.55</v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>
        <f t="shared" si="31"/>
        <v>7.55</v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 t="shared" si="32"/>
        <v/>
      </c>
      <c r="CJ15" s="39" t="str">
        <f t="shared" si="33"/>
        <v/>
      </c>
      <c r="CK15" s="41" t="str">
        <f t="shared" si="34"/>
        <v/>
      </c>
      <c r="CL15" s="41" t="str">
        <f t="shared" si="35"/>
        <v/>
      </c>
      <c r="CM15" s="41" t="str">
        <f t="shared" si="36"/>
        <v/>
      </c>
      <c r="CN15" s="41" t="str">
        <f t="shared" si="37"/>
        <v/>
      </c>
      <c r="CO15" s="41" t="str">
        <f t="shared" si="38"/>
        <v/>
      </c>
      <c r="CP15" s="41" t="str">
        <f t="shared" si="39"/>
        <v/>
      </c>
      <c r="CQ15" s="41" t="str">
        <f t="shared" si="40"/>
        <v/>
      </c>
      <c r="CR15" s="41" t="str">
        <f t="shared" si="41"/>
        <v/>
      </c>
      <c r="CS15" s="41" t="str">
        <f t="shared" si="42"/>
        <v/>
      </c>
      <c r="CT15" s="52" t="str">
        <f t="shared" si="43"/>
        <v/>
      </c>
      <c r="CU15" s="52" t="str">
        <f t="shared" si="44"/>
        <v/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 t="shared" si="45"/>
        <v/>
      </c>
      <c r="DQ15" s="41" t="str">
        <f t="shared" si="46"/>
        <v/>
      </c>
      <c r="DR15" s="41" t="str">
        <f t="shared" si="47"/>
        <v/>
      </c>
      <c r="DS15" s="41" t="str">
        <f t="shared" si="48"/>
        <v/>
      </c>
      <c r="DT15" s="41" t="str">
        <f t="shared" si="49"/>
        <v/>
      </c>
      <c r="DU15" s="41" t="str">
        <f t="shared" si="50"/>
        <v/>
      </c>
      <c r="DV15" s="41" t="str">
        <f t="shared" si="51"/>
        <v/>
      </c>
      <c r="DW15" s="41" t="str">
        <f t="shared" si="52"/>
        <v/>
      </c>
      <c r="DX15" s="41" t="str">
        <f t="shared" si="53"/>
        <v/>
      </c>
      <c r="DY15" s="41" t="str">
        <f t="shared" si="54"/>
        <v/>
      </c>
      <c r="DZ15" s="41" t="str">
        <f t="shared" si="55"/>
        <v/>
      </c>
      <c r="EA15" s="41" t="str">
        <f t="shared" si="56"/>
        <v/>
      </c>
      <c r="EB15" s="41" t="str">
        <f t="shared" si="57"/>
        <v/>
      </c>
      <c r="EC15" s="41" t="str">
        <f t="shared" si="58"/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41" t="str">
        <f t="shared" si="73"/>
        <v/>
      </c>
      <c r="GG15" s="41" t="str">
        <f t="shared" si="74"/>
        <v/>
      </c>
      <c r="GH15" s="41" t="str">
        <f t="shared" si="75"/>
        <v/>
      </c>
      <c r="GI15" s="41" t="str">
        <f t="shared" si="76"/>
        <v/>
      </c>
      <c r="GJ15" s="41" t="str">
        <f t="shared" si="77"/>
        <v/>
      </c>
      <c r="GK15" s="41" t="str">
        <f t="shared" si="78"/>
        <v/>
      </c>
      <c r="GL15" s="41" t="str">
        <f t="shared" si="79"/>
        <v/>
      </c>
      <c r="GM15" s="41" t="str">
        <f t="shared" si="80"/>
        <v/>
      </c>
      <c r="GN15" s="41" t="str">
        <f t="shared" si="81"/>
        <v/>
      </c>
      <c r="GO15" s="41" t="str">
        <f t="shared" si="82"/>
        <v/>
      </c>
      <c r="GP15" s="41" t="str">
        <f t="shared" si="83"/>
        <v/>
      </c>
      <c r="GQ15" s="41" t="str">
        <f t="shared" si="84"/>
        <v/>
      </c>
      <c r="GR15" s="41" t="str">
        <f t="shared" si="85"/>
        <v/>
      </c>
      <c r="GS15" s="41" t="str">
        <f t="shared" si="86"/>
        <v/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 t="shared" si="101"/>
        <v/>
      </c>
      <c r="IW15" s="41" t="str">
        <f t="shared" si="102"/>
        <v/>
      </c>
      <c r="IX15" s="41" t="str">
        <f t="shared" si="103"/>
        <v/>
      </c>
      <c r="IY15" s="41" t="str">
        <f t="shared" si="104"/>
        <v/>
      </c>
      <c r="IZ15" s="41" t="str">
        <f t="shared" si="105"/>
        <v/>
      </c>
      <c r="JA15" s="41" t="str">
        <f t="shared" si="106"/>
        <v/>
      </c>
      <c r="JB15" s="41" t="str">
        <f t="shared" si="107"/>
        <v/>
      </c>
      <c r="JC15" s="41" t="str">
        <f t="shared" si="108"/>
        <v/>
      </c>
      <c r="JD15" s="41" t="str">
        <f t="shared" si="109"/>
        <v/>
      </c>
      <c r="JE15" s="41" t="str">
        <f t="shared" si="110"/>
        <v/>
      </c>
      <c r="JF15" s="41" t="str">
        <f t="shared" si="111"/>
        <v/>
      </c>
      <c r="JG15" s="41" t="str">
        <f t="shared" si="112"/>
        <v/>
      </c>
      <c r="JH15" s="41" t="str">
        <f t="shared" si="113"/>
        <v/>
      </c>
      <c r="JI15" s="41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 t="shared" si="129"/>
        <v/>
      </c>
      <c r="LM15" s="41" t="str">
        <f t="shared" si="130"/>
        <v/>
      </c>
      <c r="LN15" s="41" t="str">
        <f t="shared" si="131"/>
        <v/>
      </c>
      <c r="LO15" s="41" t="str">
        <f t="shared" si="132"/>
        <v/>
      </c>
      <c r="LP15" s="41" t="str">
        <f t="shared" si="133"/>
        <v/>
      </c>
      <c r="LQ15" s="41" t="str">
        <f t="shared" si="134"/>
        <v/>
      </c>
      <c r="LR15" s="41" t="str">
        <f t="shared" si="135"/>
        <v/>
      </c>
      <c r="LS15" s="41" t="str">
        <f t="shared" si="136"/>
        <v/>
      </c>
      <c r="LT15" s="41" t="str">
        <f t="shared" si="137"/>
        <v/>
      </c>
      <c r="LU15" s="41" t="str">
        <f t="shared" si="138"/>
        <v/>
      </c>
      <c r="LV15" s="41" t="str">
        <f t="shared" si="139"/>
        <v/>
      </c>
      <c r="LW15" s="41" t="str">
        <f t="shared" si="140"/>
        <v/>
      </c>
      <c r="LX15" s="41" t="str">
        <f t="shared" si="141"/>
        <v/>
      </c>
      <c r="LY15" s="41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 t="shared" si="157"/>
        <v/>
      </c>
      <c r="OC15" s="41" t="str">
        <f t="shared" si="158"/>
        <v/>
      </c>
      <c r="OD15" s="41" t="str">
        <f t="shared" si="159"/>
        <v/>
      </c>
      <c r="OE15" s="41" t="str">
        <f t="shared" si="160"/>
        <v/>
      </c>
      <c r="OF15" s="41" t="str">
        <f t="shared" si="161"/>
        <v/>
      </c>
      <c r="OG15" s="41" t="str">
        <f t="shared" si="162"/>
        <v/>
      </c>
      <c r="OH15" s="41" t="str">
        <f t="shared" si="163"/>
        <v/>
      </c>
      <c r="OI15" s="41" t="str">
        <f t="shared" si="164"/>
        <v/>
      </c>
      <c r="OJ15" s="41" t="str">
        <f t="shared" si="165"/>
        <v/>
      </c>
      <c r="OK15" s="41" t="str">
        <f t="shared" si="166"/>
        <v/>
      </c>
      <c r="OL15" s="41" t="str">
        <f t="shared" si="167"/>
        <v/>
      </c>
      <c r="OM15" s="41" t="str">
        <f t="shared" si="168"/>
        <v/>
      </c>
      <c r="ON15" s="41" t="str">
        <f t="shared" si="169"/>
        <v/>
      </c>
      <c r="OO15" s="41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 t="shared" si="185"/>
        <v/>
      </c>
      <c r="QS15" s="41" t="str">
        <f t="shared" si="186"/>
        <v/>
      </c>
      <c r="QT15" s="41" t="str">
        <f t="shared" si="187"/>
        <v/>
      </c>
      <c r="QU15" s="41" t="str">
        <f t="shared" si="188"/>
        <v/>
      </c>
      <c r="QV15" s="41" t="str">
        <f t="shared" si="189"/>
        <v/>
      </c>
      <c r="QW15" s="41" t="str">
        <f t="shared" si="190"/>
        <v/>
      </c>
      <c r="QX15" s="41" t="str">
        <f t="shared" si="191"/>
        <v/>
      </c>
      <c r="QY15" s="41" t="str">
        <f t="shared" si="192"/>
        <v/>
      </c>
      <c r="QZ15" s="41" t="str">
        <f t="shared" si="193"/>
        <v/>
      </c>
      <c r="RA15" s="41" t="str">
        <f t="shared" si="194"/>
        <v/>
      </c>
      <c r="RB15" s="41" t="str">
        <f t="shared" si="195"/>
        <v/>
      </c>
      <c r="RC15" s="41" t="str">
        <f t="shared" si="196"/>
        <v/>
      </c>
      <c r="RD15" s="41" t="str">
        <f t="shared" si="197"/>
        <v/>
      </c>
      <c r="RE15" s="41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23">
        <f t="shared" si="213"/>
        <v>0.35</v>
      </c>
      <c r="SO15" s="23">
        <f t="shared" si="214"/>
        <v>0.47499999999999998</v>
      </c>
      <c r="SP15" s="23">
        <f t="shared" si="215"/>
        <v>0.75</v>
      </c>
      <c r="SQ15" s="23">
        <f t="shared" si="216"/>
        <v>0.99</v>
      </c>
      <c r="SR15" s="23">
        <f t="shared" si="217"/>
        <v>0</v>
      </c>
      <c r="SS15" s="23">
        <f t="shared" si="218"/>
        <v>0.67500000000000004</v>
      </c>
      <c r="ST15" s="23">
        <f t="shared" si="219"/>
        <v>0.9</v>
      </c>
      <c r="SU15" s="23">
        <f t="shared" si="220"/>
        <v>1.05</v>
      </c>
      <c r="SV15" s="23">
        <f t="shared" si="221"/>
        <v>1.1499999999999999</v>
      </c>
      <c r="SW15" s="23">
        <f t="shared" si="222"/>
        <v>0</v>
      </c>
      <c r="SX15" s="23">
        <f t="shared" si="223"/>
        <v>0</v>
      </c>
      <c r="SY15" s="23">
        <f t="shared" si="224"/>
        <v>0</v>
      </c>
      <c r="SZ15" s="23">
        <f t="shared" si="225"/>
        <v>0</v>
      </c>
      <c r="TA15" s="23">
        <f t="shared" si="226"/>
        <v>0</v>
      </c>
      <c r="TB15" s="23">
        <f t="shared" si="227"/>
        <v>0</v>
      </c>
      <c r="TC15" s="28" t="s">
        <v>57</v>
      </c>
      <c r="TD15" s="41">
        <f t="shared" si="228"/>
        <v>0.75</v>
      </c>
      <c r="TE15" s="41">
        <f t="shared" si="229"/>
        <v>0.99</v>
      </c>
      <c r="TF15" s="41">
        <f t="shared" si="230"/>
        <v>2.5649999999999999</v>
      </c>
      <c r="TG15" s="41">
        <f t="shared" si="231"/>
        <v>1.05</v>
      </c>
      <c r="TH15" s="41">
        <f t="shared" si="232"/>
        <v>1.1499999999999999</v>
      </c>
      <c r="TI15" s="41">
        <f t="shared" si="233"/>
        <v>3.7749999999999999</v>
      </c>
      <c r="TJ15" s="41">
        <f t="shared" si="234"/>
        <v>3.7749999999999999</v>
      </c>
      <c r="TK15" s="41" t="str">
        <f t="shared" si="235"/>
        <v/>
      </c>
      <c r="TL15" s="41" t="str">
        <f t="shared" si="236"/>
        <v/>
      </c>
      <c r="TM15" s="41" t="str">
        <f t="shared" si="237"/>
        <v/>
      </c>
      <c r="TN15" s="41">
        <f t="shared" si="238"/>
        <v>3.7749999999999999</v>
      </c>
    </row>
    <row r="16" spans="1:534" x14ac:dyDescent="0.2">
      <c r="A16" s="4" t="str" cm="1">
        <f t="array" ref="A16">IF(AND(H16&lt;&gt;"",H16&lt;&gt;"No DD"),SUMPRODUCT((H$4:H$17&lt;&gt;"")*(H$4:H$17&lt;&gt;"No DD")*(E$4:E$17&gt;E16))+1,IF(H16="No DD",SUMPRODUCT((H$4:H$17="No DD")*(E$4:E$17&gt;E16))+1+SUMPRODUCT((H$4:H$17&lt;&gt;"")*(H$4:H$17&lt;&gt;"No DD")),""))</f>
        <v/>
      </c>
      <c r="B16" s="5" t="s">
        <v>180</v>
      </c>
      <c r="C16" s="4" t="s">
        <v>179</v>
      </c>
      <c r="D16" s="4">
        <v>2003</v>
      </c>
      <c r="E16" s="9">
        <f t="shared" si="0"/>
        <v>4.16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IF(COUNT(AI16,AL16,AP16,BJ16,BM16,BQ16,CK16,CN16,CR16)&gt;0,LARGE((AI16,AL16,AP16,BJ16,BM16,BQ16,CK16,CN16,CR16),1),0)</f>
        <v>0</v>
      </c>
      <c r="K16" s="8" t="str">
        <f t="shared" si="5"/>
        <v/>
      </c>
      <c r="L16" s="8">
        <f>IF(COUNT(AI16,AL16,AP16,BJ16,BM16,BQ16,CK16,CN16,CR16)&gt;1,LARGE((AI16,AL16,AP16,BJ16,BM16,BQ16,CK16,CN16,CR16),2),0)</f>
        <v>0</v>
      </c>
      <c r="M16" s="8" t="str">
        <f t="shared" si="6"/>
        <v/>
      </c>
      <c r="N16" s="8">
        <f t="shared" si="7"/>
        <v>4.16</v>
      </c>
      <c r="O16" s="11" t="str">
        <f t="shared" si="8"/>
        <v>(Prelim)</v>
      </c>
      <c r="P16" s="8" t="str">
        <f t="shared" si="9"/>
        <v>2022 WAGC (Nov 26)</v>
      </c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8"/>
      <c r="AG16" s="39" t="str">
        <f t="shared" si="10"/>
        <v/>
      </c>
      <c r="AH16" s="39" t="str">
        <f t="shared" si="11"/>
        <v/>
      </c>
      <c r="AI16" s="41" t="str">
        <f t="shared" si="12"/>
        <v/>
      </c>
      <c r="AJ16" s="41" t="str">
        <f t="shared" si="13"/>
        <v/>
      </c>
      <c r="AK16" s="41" t="str">
        <f t="shared" si="14"/>
        <v/>
      </c>
      <c r="AL16" s="41" t="str">
        <f t="shared" si="15"/>
        <v/>
      </c>
      <c r="AM16" s="41" t="str">
        <f t="shared" si="16"/>
        <v/>
      </c>
      <c r="AN16" s="41" t="str">
        <f t="shared" si="17"/>
        <v/>
      </c>
      <c r="AO16" s="41" t="str">
        <f t="shared" si="18"/>
        <v/>
      </c>
      <c r="AP16" s="41" t="str">
        <f t="shared" si="19"/>
        <v/>
      </c>
      <c r="AQ16" s="41" t="str">
        <f t="shared" si="20"/>
        <v/>
      </c>
      <c r="AR16" s="27"/>
      <c r="AS16" s="27"/>
      <c r="AT16" s="27"/>
      <c r="AU16" s="27"/>
      <c r="AV16" s="27"/>
      <c r="AW16" s="27"/>
      <c r="AX16" s="27"/>
      <c r="AY16" s="27"/>
      <c r="AZ16" s="27"/>
      <c r="BA16" s="27"/>
      <c r="BB16" s="27"/>
      <c r="BC16" s="27"/>
      <c r="BD16" s="27"/>
      <c r="BE16" s="27"/>
      <c r="BF16" s="27"/>
      <c r="BG16" s="29"/>
      <c r="BH16" s="40" t="str">
        <f t="shared" si="21"/>
        <v/>
      </c>
      <c r="BI16" s="40" t="str">
        <f t="shared" si="22"/>
        <v/>
      </c>
      <c r="BJ16" s="11" t="str">
        <f t="shared" si="23"/>
        <v/>
      </c>
      <c r="BK16" s="11" t="str">
        <f t="shared" si="24"/>
        <v/>
      </c>
      <c r="BL16" s="11" t="str">
        <f t="shared" si="25"/>
        <v/>
      </c>
      <c r="BM16" s="11" t="str">
        <f t="shared" si="26"/>
        <v/>
      </c>
      <c r="BN16" s="11" t="str">
        <f t="shared" si="27"/>
        <v/>
      </c>
      <c r="BO16" s="11" t="str">
        <f t="shared" si="28"/>
        <v/>
      </c>
      <c r="BP16" s="11" t="str">
        <f t="shared" si="29"/>
        <v/>
      </c>
      <c r="BQ16" s="11" t="str">
        <f t="shared" si="30"/>
        <v/>
      </c>
      <c r="BR16" s="11" t="str">
        <f t="shared" si="31"/>
        <v/>
      </c>
      <c r="BS16" s="23"/>
      <c r="BT16" s="23"/>
      <c r="BU16" s="23"/>
      <c r="BV16" s="23"/>
      <c r="BW16" s="23"/>
      <c r="BX16" s="23"/>
      <c r="BY16" s="23"/>
      <c r="BZ16" s="23"/>
      <c r="CA16" s="23"/>
      <c r="CB16" s="23"/>
      <c r="CC16" s="23"/>
      <c r="CD16" s="23"/>
      <c r="CE16" s="23"/>
      <c r="CF16" s="23"/>
      <c r="CG16" s="23"/>
      <c r="CH16" s="28"/>
      <c r="CI16" s="39" t="str">
        <f t="shared" si="32"/>
        <v/>
      </c>
      <c r="CJ16" s="39" t="str">
        <f t="shared" si="33"/>
        <v/>
      </c>
      <c r="CK16" s="41" t="str">
        <f t="shared" si="34"/>
        <v/>
      </c>
      <c r="CL16" s="41" t="str">
        <f t="shared" si="35"/>
        <v/>
      </c>
      <c r="CM16" s="41" t="str">
        <f t="shared" si="36"/>
        <v/>
      </c>
      <c r="CN16" s="41" t="str">
        <f t="shared" si="37"/>
        <v/>
      </c>
      <c r="CO16" s="41" t="str">
        <f t="shared" si="38"/>
        <v/>
      </c>
      <c r="CP16" s="41" t="str">
        <f t="shared" si="39"/>
        <v/>
      </c>
      <c r="CQ16" s="41" t="str">
        <f t="shared" si="40"/>
        <v/>
      </c>
      <c r="CR16" s="41" t="str">
        <f t="shared" si="41"/>
        <v/>
      </c>
      <c r="CS16" s="41" t="str">
        <f t="shared" si="42"/>
        <v/>
      </c>
      <c r="CT16" s="52">
        <f t="shared" si="43"/>
        <v>4.16</v>
      </c>
      <c r="CU16" s="52" t="str">
        <f t="shared" si="44"/>
        <v/>
      </c>
      <c r="CV16" s="17">
        <v>0.7</v>
      </c>
      <c r="CW16" s="17">
        <v>1</v>
      </c>
      <c r="CX16" s="17">
        <v>1.5</v>
      </c>
      <c r="CY16" s="17">
        <v>0.96</v>
      </c>
      <c r="CZ16" s="17">
        <v>0</v>
      </c>
      <c r="DA16" s="17"/>
      <c r="DB16" s="17"/>
      <c r="DC16" s="17"/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41">
        <f t="shared" si="45"/>
        <v>1.5</v>
      </c>
      <c r="DQ16" s="41">
        <f t="shared" si="46"/>
        <v>0.96</v>
      </c>
      <c r="DR16" s="41">
        <f t="shared" si="47"/>
        <v>4.16</v>
      </c>
      <c r="DS16" s="41" t="str">
        <f t="shared" si="48"/>
        <v/>
      </c>
      <c r="DT16" s="41" t="str">
        <f t="shared" si="49"/>
        <v/>
      </c>
      <c r="DU16" s="41" t="str">
        <f t="shared" si="50"/>
        <v/>
      </c>
      <c r="DV16" s="41">
        <f t="shared" si="51"/>
        <v>4.16</v>
      </c>
      <c r="DW16" s="41" t="str">
        <f t="shared" si="52"/>
        <v/>
      </c>
      <c r="DX16" s="41" t="str">
        <f t="shared" si="53"/>
        <v/>
      </c>
      <c r="DY16" s="41" t="str">
        <f t="shared" si="54"/>
        <v/>
      </c>
      <c r="DZ16" s="41" t="str">
        <f t="shared" si="55"/>
        <v/>
      </c>
      <c r="EA16" s="41" t="str">
        <f t="shared" si="56"/>
        <v/>
      </c>
      <c r="EB16" s="41" t="str">
        <f t="shared" si="57"/>
        <v/>
      </c>
      <c r="EC16" s="41">
        <f t="shared" si="58"/>
        <v>4.16</v>
      </c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1" t="str">
        <f t="shared" si="59"/>
        <v/>
      </c>
      <c r="EY16" s="11" t="str">
        <f t="shared" si="60"/>
        <v/>
      </c>
      <c r="EZ16" s="11" t="str">
        <f t="shared" si="61"/>
        <v/>
      </c>
      <c r="FA16" s="11" t="str">
        <f t="shared" si="62"/>
        <v/>
      </c>
      <c r="FB16" s="11" t="str">
        <f t="shared" si="63"/>
        <v/>
      </c>
      <c r="FC16" s="11" t="str">
        <f t="shared" si="64"/>
        <v/>
      </c>
      <c r="FD16" s="11" t="str">
        <f t="shared" si="65"/>
        <v/>
      </c>
      <c r="FE16" s="11" t="str">
        <f t="shared" si="66"/>
        <v/>
      </c>
      <c r="FF16" s="11" t="str">
        <f t="shared" si="67"/>
        <v/>
      </c>
      <c r="FG16" s="11" t="str">
        <f t="shared" si="68"/>
        <v/>
      </c>
      <c r="FH16" s="11" t="str">
        <f t="shared" si="69"/>
        <v/>
      </c>
      <c r="FI16" s="11" t="str">
        <f t="shared" si="70"/>
        <v/>
      </c>
      <c r="FJ16" s="11" t="str">
        <f t="shared" si="71"/>
        <v/>
      </c>
      <c r="FK16" s="11" t="str">
        <f t="shared" si="72"/>
        <v/>
      </c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41" t="str">
        <f t="shared" si="73"/>
        <v/>
      </c>
      <c r="GG16" s="41" t="str">
        <f t="shared" si="74"/>
        <v/>
      </c>
      <c r="GH16" s="41" t="str">
        <f t="shared" si="75"/>
        <v/>
      </c>
      <c r="GI16" s="41" t="str">
        <f t="shared" si="76"/>
        <v/>
      </c>
      <c r="GJ16" s="41" t="str">
        <f t="shared" si="77"/>
        <v/>
      </c>
      <c r="GK16" s="41" t="str">
        <f t="shared" si="78"/>
        <v/>
      </c>
      <c r="GL16" s="41" t="str">
        <f t="shared" si="79"/>
        <v/>
      </c>
      <c r="GM16" s="41" t="str">
        <f t="shared" si="80"/>
        <v/>
      </c>
      <c r="GN16" s="41" t="str">
        <f t="shared" si="81"/>
        <v/>
      </c>
      <c r="GO16" s="41" t="str">
        <f t="shared" si="82"/>
        <v/>
      </c>
      <c r="GP16" s="41" t="str">
        <f t="shared" si="83"/>
        <v/>
      </c>
      <c r="GQ16" s="41" t="str">
        <f t="shared" si="84"/>
        <v/>
      </c>
      <c r="GR16" s="41" t="str">
        <f t="shared" si="85"/>
        <v/>
      </c>
      <c r="GS16" s="41" t="str">
        <f t="shared" si="86"/>
        <v/>
      </c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1" t="str">
        <f t="shared" si="87"/>
        <v/>
      </c>
      <c r="HO16" s="11" t="str">
        <f t="shared" si="88"/>
        <v/>
      </c>
      <c r="HP16" s="11" t="str">
        <f t="shared" si="89"/>
        <v/>
      </c>
      <c r="HQ16" s="11" t="str">
        <f t="shared" si="90"/>
        <v/>
      </c>
      <c r="HR16" s="11" t="str">
        <f t="shared" si="91"/>
        <v/>
      </c>
      <c r="HS16" s="11" t="str">
        <f t="shared" si="92"/>
        <v/>
      </c>
      <c r="HT16" s="11" t="str">
        <f t="shared" si="93"/>
        <v/>
      </c>
      <c r="HU16" s="11" t="str">
        <f t="shared" si="94"/>
        <v/>
      </c>
      <c r="HV16" s="11" t="str">
        <f t="shared" si="95"/>
        <v/>
      </c>
      <c r="HW16" s="11" t="str">
        <f t="shared" si="96"/>
        <v/>
      </c>
      <c r="HX16" s="11" t="str">
        <f t="shared" si="97"/>
        <v/>
      </c>
      <c r="HY16" s="11" t="str">
        <f t="shared" si="98"/>
        <v/>
      </c>
      <c r="HZ16" s="11" t="str">
        <f t="shared" si="99"/>
        <v/>
      </c>
      <c r="IA16" s="11" t="str">
        <f t="shared" si="100"/>
        <v/>
      </c>
      <c r="IB16" s="17"/>
      <c r="IC16" s="17"/>
      <c r="ID16" s="17"/>
      <c r="IE16" s="17"/>
      <c r="IF16" s="17"/>
      <c r="IG16" s="17"/>
      <c r="IH16" s="17"/>
      <c r="II16" s="17"/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41" t="str">
        <f t="shared" si="101"/>
        <v/>
      </c>
      <c r="IW16" s="41" t="str">
        <f t="shared" si="102"/>
        <v/>
      </c>
      <c r="IX16" s="41" t="str">
        <f t="shared" si="103"/>
        <v/>
      </c>
      <c r="IY16" s="41" t="str">
        <f t="shared" si="104"/>
        <v/>
      </c>
      <c r="IZ16" s="41" t="str">
        <f t="shared" si="105"/>
        <v/>
      </c>
      <c r="JA16" s="41" t="str">
        <f t="shared" si="106"/>
        <v/>
      </c>
      <c r="JB16" s="41" t="str">
        <f t="shared" si="107"/>
        <v/>
      </c>
      <c r="JC16" s="41" t="str">
        <f t="shared" si="108"/>
        <v/>
      </c>
      <c r="JD16" s="41" t="str">
        <f t="shared" si="109"/>
        <v/>
      </c>
      <c r="JE16" s="41" t="str">
        <f t="shared" si="110"/>
        <v/>
      </c>
      <c r="JF16" s="41" t="str">
        <f t="shared" si="111"/>
        <v/>
      </c>
      <c r="JG16" s="41" t="str">
        <f t="shared" si="112"/>
        <v/>
      </c>
      <c r="JH16" s="41" t="str">
        <f t="shared" si="113"/>
        <v/>
      </c>
      <c r="JI16" s="41" t="str">
        <f t="shared" si="114"/>
        <v/>
      </c>
      <c r="JJ16" s="18"/>
      <c r="JK16" s="18"/>
      <c r="JL16" s="18"/>
      <c r="JM16" s="18"/>
      <c r="JN16" s="18"/>
      <c r="JO16" s="18"/>
      <c r="JP16" s="18"/>
      <c r="JQ16" s="18"/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1" t="str">
        <f t="shared" si="115"/>
        <v/>
      </c>
      <c r="KE16" s="11" t="str">
        <f t="shared" si="116"/>
        <v/>
      </c>
      <c r="KF16" s="11" t="str">
        <f t="shared" si="117"/>
        <v/>
      </c>
      <c r="KG16" s="11" t="str">
        <f t="shared" si="118"/>
        <v/>
      </c>
      <c r="KH16" s="11" t="str">
        <f t="shared" si="119"/>
        <v/>
      </c>
      <c r="KI16" s="11" t="str">
        <f t="shared" si="120"/>
        <v/>
      </c>
      <c r="KJ16" s="11" t="str">
        <f t="shared" si="121"/>
        <v/>
      </c>
      <c r="KK16" s="11" t="str">
        <f t="shared" si="122"/>
        <v/>
      </c>
      <c r="KL16" s="11" t="str">
        <f t="shared" si="123"/>
        <v/>
      </c>
      <c r="KM16" s="11" t="str">
        <f t="shared" si="124"/>
        <v/>
      </c>
      <c r="KN16" s="11" t="str">
        <f t="shared" si="125"/>
        <v/>
      </c>
      <c r="KO16" s="11" t="str">
        <f t="shared" si="126"/>
        <v/>
      </c>
      <c r="KP16" s="11" t="str">
        <f t="shared" si="127"/>
        <v/>
      </c>
      <c r="KQ16" s="11" t="str">
        <f t="shared" si="128"/>
        <v/>
      </c>
      <c r="KR16" s="17"/>
      <c r="KS16" s="17"/>
      <c r="KT16" s="17"/>
      <c r="KU16" s="17"/>
      <c r="KV16" s="17"/>
      <c r="KW16" s="17"/>
      <c r="KX16" s="17"/>
      <c r="KY16" s="17"/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41" t="str">
        <f t="shared" si="129"/>
        <v/>
      </c>
      <c r="LM16" s="41" t="str">
        <f t="shared" si="130"/>
        <v/>
      </c>
      <c r="LN16" s="41" t="str">
        <f t="shared" si="131"/>
        <v/>
      </c>
      <c r="LO16" s="41" t="str">
        <f t="shared" si="132"/>
        <v/>
      </c>
      <c r="LP16" s="41" t="str">
        <f t="shared" si="133"/>
        <v/>
      </c>
      <c r="LQ16" s="41" t="str">
        <f t="shared" si="134"/>
        <v/>
      </c>
      <c r="LR16" s="41" t="str">
        <f t="shared" si="135"/>
        <v/>
      </c>
      <c r="LS16" s="41" t="str">
        <f t="shared" si="136"/>
        <v/>
      </c>
      <c r="LT16" s="41" t="str">
        <f t="shared" si="137"/>
        <v/>
      </c>
      <c r="LU16" s="41" t="str">
        <f t="shared" si="138"/>
        <v/>
      </c>
      <c r="LV16" s="41" t="str">
        <f t="shared" si="139"/>
        <v/>
      </c>
      <c r="LW16" s="41" t="str">
        <f t="shared" si="140"/>
        <v/>
      </c>
      <c r="LX16" s="41" t="str">
        <f t="shared" si="141"/>
        <v/>
      </c>
      <c r="LY16" s="41" t="str">
        <f t="shared" si="142"/>
        <v/>
      </c>
      <c r="LZ16" s="18"/>
      <c r="MA16" s="18"/>
      <c r="MB16" s="18"/>
      <c r="MC16" s="18"/>
      <c r="MD16" s="18"/>
      <c r="ME16" s="18"/>
      <c r="MF16" s="18"/>
      <c r="MG16" s="18"/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1" t="str">
        <f t="shared" si="143"/>
        <v/>
      </c>
      <c r="MU16" s="11" t="str">
        <f t="shared" si="144"/>
        <v/>
      </c>
      <c r="MV16" s="11" t="str">
        <f t="shared" si="145"/>
        <v/>
      </c>
      <c r="MW16" s="11" t="str">
        <f t="shared" si="146"/>
        <v/>
      </c>
      <c r="MX16" s="11" t="str">
        <f t="shared" si="147"/>
        <v/>
      </c>
      <c r="MY16" s="11" t="str">
        <f t="shared" si="148"/>
        <v/>
      </c>
      <c r="MZ16" s="11" t="str">
        <f t="shared" si="149"/>
        <v/>
      </c>
      <c r="NA16" s="11" t="str">
        <f t="shared" si="150"/>
        <v/>
      </c>
      <c r="NB16" s="11" t="str">
        <f t="shared" si="151"/>
        <v/>
      </c>
      <c r="NC16" s="11" t="str">
        <f t="shared" si="152"/>
        <v/>
      </c>
      <c r="ND16" s="11" t="str">
        <f t="shared" si="153"/>
        <v/>
      </c>
      <c r="NE16" s="11" t="str">
        <f t="shared" si="154"/>
        <v/>
      </c>
      <c r="NF16" s="11" t="str">
        <f t="shared" si="155"/>
        <v/>
      </c>
      <c r="NG16" s="11" t="str">
        <f t="shared" si="156"/>
        <v/>
      </c>
      <c r="NH16" s="17"/>
      <c r="NI16" s="17"/>
      <c r="NJ16" s="17"/>
      <c r="NK16" s="17"/>
      <c r="NL16" s="17"/>
      <c r="NM16" s="17"/>
      <c r="NN16" s="17"/>
      <c r="NO16" s="17"/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41" t="str">
        <f t="shared" si="157"/>
        <v/>
      </c>
      <c r="OC16" s="41" t="str">
        <f t="shared" si="158"/>
        <v/>
      </c>
      <c r="OD16" s="41" t="str">
        <f t="shared" si="159"/>
        <v/>
      </c>
      <c r="OE16" s="41" t="str">
        <f t="shared" si="160"/>
        <v/>
      </c>
      <c r="OF16" s="41" t="str">
        <f t="shared" si="161"/>
        <v/>
      </c>
      <c r="OG16" s="41" t="str">
        <f t="shared" si="162"/>
        <v/>
      </c>
      <c r="OH16" s="41" t="str">
        <f t="shared" si="163"/>
        <v/>
      </c>
      <c r="OI16" s="41" t="str">
        <f t="shared" si="164"/>
        <v/>
      </c>
      <c r="OJ16" s="41" t="str">
        <f t="shared" si="165"/>
        <v/>
      </c>
      <c r="OK16" s="41" t="str">
        <f t="shared" si="166"/>
        <v/>
      </c>
      <c r="OL16" s="41" t="str">
        <f t="shared" si="167"/>
        <v/>
      </c>
      <c r="OM16" s="41" t="str">
        <f t="shared" si="168"/>
        <v/>
      </c>
      <c r="ON16" s="41" t="str">
        <f t="shared" si="169"/>
        <v/>
      </c>
      <c r="OO16" s="41" t="str">
        <f t="shared" si="170"/>
        <v/>
      </c>
      <c r="OP16" s="18"/>
      <c r="OQ16" s="18"/>
      <c r="OR16" s="18"/>
      <c r="OS16" s="18"/>
      <c r="OT16" s="18"/>
      <c r="OU16" s="18"/>
      <c r="OV16" s="18"/>
      <c r="OW16" s="18"/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1" t="str">
        <f t="shared" si="171"/>
        <v/>
      </c>
      <c r="PK16" s="11" t="str">
        <f t="shared" si="172"/>
        <v/>
      </c>
      <c r="PL16" s="11" t="str">
        <f t="shared" si="173"/>
        <v/>
      </c>
      <c r="PM16" s="11" t="str">
        <f t="shared" si="174"/>
        <v/>
      </c>
      <c r="PN16" s="11" t="str">
        <f t="shared" si="175"/>
        <v/>
      </c>
      <c r="PO16" s="11" t="str">
        <f t="shared" si="176"/>
        <v/>
      </c>
      <c r="PP16" s="11" t="str">
        <f t="shared" si="177"/>
        <v/>
      </c>
      <c r="PQ16" s="11" t="str">
        <f t="shared" si="178"/>
        <v/>
      </c>
      <c r="PR16" s="11" t="str">
        <f t="shared" si="179"/>
        <v/>
      </c>
      <c r="PS16" s="11" t="str">
        <f t="shared" si="180"/>
        <v/>
      </c>
      <c r="PT16" s="11" t="str">
        <f t="shared" si="181"/>
        <v/>
      </c>
      <c r="PU16" s="11" t="str">
        <f t="shared" si="182"/>
        <v/>
      </c>
      <c r="PV16" s="11" t="str">
        <f t="shared" si="183"/>
        <v/>
      </c>
      <c r="PW16" s="11" t="str">
        <f t="shared" si="184"/>
        <v/>
      </c>
      <c r="PX16" s="17"/>
      <c r="PY16" s="17"/>
      <c r="PZ16" s="17"/>
      <c r="QA16" s="17"/>
      <c r="QB16" s="17"/>
      <c r="QC16" s="17"/>
      <c r="QD16" s="17"/>
      <c r="QE16" s="17"/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41" t="str">
        <f t="shared" si="185"/>
        <v/>
      </c>
      <c r="QS16" s="41" t="str">
        <f t="shared" si="186"/>
        <v/>
      </c>
      <c r="QT16" s="41" t="str">
        <f t="shared" si="187"/>
        <v/>
      </c>
      <c r="QU16" s="41" t="str">
        <f t="shared" si="188"/>
        <v/>
      </c>
      <c r="QV16" s="41" t="str">
        <f t="shared" si="189"/>
        <v/>
      </c>
      <c r="QW16" s="41" t="str">
        <f t="shared" si="190"/>
        <v/>
      </c>
      <c r="QX16" s="41" t="str">
        <f t="shared" si="191"/>
        <v/>
      </c>
      <c r="QY16" s="41" t="str">
        <f t="shared" si="192"/>
        <v/>
      </c>
      <c r="QZ16" s="41" t="str">
        <f t="shared" si="193"/>
        <v/>
      </c>
      <c r="RA16" s="41" t="str">
        <f t="shared" si="194"/>
        <v/>
      </c>
      <c r="RB16" s="41" t="str">
        <f t="shared" si="195"/>
        <v/>
      </c>
      <c r="RC16" s="41" t="str">
        <f t="shared" si="196"/>
        <v/>
      </c>
      <c r="RD16" s="41" t="str">
        <f t="shared" si="197"/>
        <v/>
      </c>
      <c r="RE16" s="41" t="str">
        <f t="shared" si="198"/>
        <v/>
      </c>
      <c r="RF16" s="18"/>
      <c r="RG16" s="18"/>
      <c r="RH16" s="18"/>
      <c r="RI16" s="18"/>
      <c r="RJ16" s="18"/>
      <c r="RK16" s="18"/>
      <c r="RL16" s="18"/>
      <c r="RM16" s="18"/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1" t="str">
        <f t="shared" si="199"/>
        <v/>
      </c>
      <c r="SA16" s="11" t="str">
        <f t="shared" si="200"/>
        <v/>
      </c>
      <c r="SB16" s="11" t="str">
        <f t="shared" si="201"/>
        <v/>
      </c>
      <c r="SC16" s="11" t="str">
        <f t="shared" si="202"/>
        <v/>
      </c>
      <c r="SD16" s="11" t="str">
        <f t="shared" si="203"/>
        <v/>
      </c>
      <c r="SE16" s="11" t="str">
        <f t="shared" si="204"/>
        <v/>
      </c>
      <c r="SF16" s="11" t="str">
        <f t="shared" si="205"/>
        <v/>
      </c>
      <c r="SG16" s="11" t="str">
        <f t="shared" si="206"/>
        <v/>
      </c>
      <c r="SH16" s="11" t="str">
        <f t="shared" si="207"/>
        <v/>
      </c>
      <c r="SI16" s="11" t="str">
        <f t="shared" si="208"/>
        <v/>
      </c>
      <c r="SJ16" s="11" t="str">
        <f t="shared" si="209"/>
        <v/>
      </c>
      <c r="SK16" s="11" t="str">
        <f t="shared" si="210"/>
        <v/>
      </c>
      <c r="SL16" s="11" t="str">
        <f t="shared" si="211"/>
        <v/>
      </c>
      <c r="SM16" s="11" t="str">
        <f t="shared" si="212"/>
        <v/>
      </c>
      <c r="SN16" s="23">
        <f t="shared" si="213"/>
        <v>0</v>
      </c>
      <c r="SO16" s="23">
        <f t="shared" si="214"/>
        <v>0</v>
      </c>
      <c r="SP16" s="23">
        <f t="shared" si="215"/>
        <v>0</v>
      </c>
      <c r="SQ16" s="23">
        <f t="shared" si="216"/>
        <v>0</v>
      </c>
      <c r="SR16" s="23">
        <f t="shared" si="217"/>
        <v>0</v>
      </c>
      <c r="SS16" s="23">
        <f t="shared" si="218"/>
        <v>0</v>
      </c>
      <c r="ST16" s="23">
        <f t="shared" si="219"/>
        <v>0</v>
      </c>
      <c r="SU16" s="23">
        <f t="shared" si="220"/>
        <v>0</v>
      </c>
      <c r="SV16" s="23">
        <f t="shared" si="221"/>
        <v>0</v>
      </c>
      <c r="SW16" s="23">
        <f t="shared" si="222"/>
        <v>0</v>
      </c>
      <c r="SX16" s="23">
        <f t="shared" si="223"/>
        <v>0</v>
      </c>
      <c r="SY16" s="23">
        <f t="shared" si="224"/>
        <v>0</v>
      </c>
      <c r="SZ16" s="23">
        <f t="shared" si="225"/>
        <v>0</v>
      </c>
      <c r="TA16" s="23">
        <f t="shared" si="226"/>
        <v>0</v>
      </c>
      <c r="TB16" s="23">
        <f t="shared" si="227"/>
        <v>0</v>
      </c>
      <c r="TC16" s="28" t="s">
        <v>57</v>
      </c>
      <c r="TD16" s="41" t="str">
        <f t="shared" si="228"/>
        <v/>
      </c>
      <c r="TE16" s="41" t="str">
        <f t="shared" si="229"/>
        <v/>
      </c>
      <c r="TF16" s="41" t="str">
        <f t="shared" si="230"/>
        <v/>
      </c>
      <c r="TG16" s="41" t="str">
        <f t="shared" si="231"/>
        <v/>
      </c>
      <c r="TH16" s="41" t="str">
        <f t="shared" si="232"/>
        <v/>
      </c>
      <c r="TI16" s="41" t="str">
        <f t="shared" si="233"/>
        <v/>
      </c>
      <c r="TJ16" s="41" t="str">
        <f t="shared" si="234"/>
        <v/>
      </c>
      <c r="TK16" s="41" t="str">
        <f t="shared" si="235"/>
        <v/>
      </c>
      <c r="TL16" s="41" t="str">
        <f t="shared" si="236"/>
        <v/>
      </c>
      <c r="TM16" s="41" t="str">
        <f t="shared" si="237"/>
        <v/>
      </c>
      <c r="TN16" s="41" t="str">
        <f t="shared" si="238"/>
        <v/>
      </c>
    </row>
    <row r="17" spans="1:536" x14ac:dyDescent="0.2">
      <c r="B17" s="5"/>
      <c r="D17" s="1"/>
    </row>
    <row r="18" spans="1:536" x14ac:dyDescent="0.2">
      <c r="G18" s="37"/>
      <c r="I18" s="37"/>
    </row>
    <row r="19" spans="1:536" x14ac:dyDescent="0.2">
      <c r="B19" s="24" t="s">
        <v>54</v>
      </c>
      <c r="C19" s="5"/>
      <c r="G19" s="3"/>
      <c r="AJ19" s="42"/>
      <c r="AK19" s="42"/>
      <c r="AL19" s="42"/>
      <c r="AN19" s="33"/>
      <c r="AO19" s="33"/>
      <c r="AQ19" s="54">
        <v>14.2</v>
      </c>
      <c r="BK19" s="42"/>
      <c r="BL19" s="42"/>
      <c r="BM19" s="42"/>
      <c r="BO19" s="33"/>
      <c r="BP19" s="33"/>
      <c r="BR19" s="54">
        <v>14.2</v>
      </c>
      <c r="CL19" s="42"/>
      <c r="CM19" s="42"/>
      <c r="CN19" s="42"/>
      <c r="CP19" s="33"/>
      <c r="CQ19" s="33"/>
      <c r="CS19" s="54">
        <v>14.2</v>
      </c>
      <c r="DP19" s="5"/>
      <c r="DQ19" s="5"/>
      <c r="DZ19" s="2"/>
      <c r="EA19" s="2"/>
      <c r="EC19" s="43">
        <v>14.2</v>
      </c>
      <c r="EX19" s="5"/>
      <c r="EY19" s="5"/>
      <c r="FH19" s="2"/>
      <c r="FI19" s="2"/>
      <c r="FK19" s="43">
        <v>14.2</v>
      </c>
      <c r="GF19" s="5"/>
      <c r="GG19" s="5"/>
      <c r="GP19" s="2"/>
      <c r="GQ19" s="2"/>
      <c r="GS19" s="54">
        <v>14.2</v>
      </c>
      <c r="HN19" s="5"/>
      <c r="HO19" s="5"/>
      <c r="HX19" s="2"/>
      <c r="HY19" s="2"/>
      <c r="IA19" s="54">
        <v>14.2</v>
      </c>
      <c r="IV19" s="5"/>
      <c r="IW19" s="5"/>
      <c r="JF19" s="2"/>
      <c r="JG19" s="2"/>
      <c r="JI19" s="54">
        <v>14.2</v>
      </c>
      <c r="KD19" s="5"/>
      <c r="KE19" s="5"/>
      <c r="KN19" s="2"/>
      <c r="KO19" s="2"/>
      <c r="KQ19" s="54">
        <v>14.2</v>
      </c>
      <c r="LL19" s="5"/>
      <c r="LM19" s="5"/>
      <c r="LV19" s="2"/>
      <c r="LW19" s="2"/>
      <c r="LY19" s="54">
        <v>14.2</v>
      </c>
      <c r="MT19" s="5"/>
      <c r="MU19" s="5"/>
      <c r="ND19" s="2"/>
      <c r="NE19" s="2"/>
      <c r="NG19" s="54">
        <v>14.2</v>
      </c>
      <c r="OB19" s="5"/>
      <c r="OC19" s="5"/>
      <c r="OL19" s="2"/>
      <c r="OM19" s="2"/>
      <c r="OO19" s="54">
        <v>14.2</v>
      </c>
      <c r="PJ19" s="5"/>
      <c r="PK19" s="5"/>
      <c r="PT19" s="2"/>
      <c r="PU19" s="2"/>
      <c r="PW19" s="54">
        <v>14.2</v>
      </c>
      <c r="QR19" s="5"/>
      <c r="QS19" s="5"/>
      <c r="RB19" s="2"/>
      <c r="RC19" s="2"/>
      <c r="RE19" s="54">
        <v>14.2</v>
      </c>
      <c r="RZ19" s="5"/>
      <c r="SA19" s="5"/>
      <c r="SJ19" s="2"/>
      <c r="SK19" s="2"/>
      <c r="SM19" s="54">
        <v>14.2</v>
      </c>
    </row>
    <row r="20" spans="1:536" x14ac:dyDescent="0.2">
      <c r="B20" s="31" t="s">
        <v>53</v>
      </c>
      <c r="C20" s="5"/>
      <c r="P20" s="2"/>
      <c r="AJ20" s="42"/>
      <c r="AK20" s="42"/>
      <c r="AL20" s="42"/>
      <c r="AN20" s="33"/>
      <c r="AO20" s="33"/>
      <c r="AQ20" s="44">
        <v>14.6</v>
      </c>
      <c r="BK20" s="42"/>
      <c r="BL20" s="42"/>
      <c r="BM20" s="42"/>
      <c r="BO20" s="33"/>
      <c r="BP20" s="33"/>
      <c r="BR20" s="44">
        <v>14.6</v>
      </c>
      <c r="CL20" s="42"/>
      <c r="CM20" s="42"/>
      <c r="CN20" s="42"/>
      <c r="CP20" s="33"/>
      <c r="CQ20" s="33"/>
      <c r="CS20" s="44">
        <v>14.6</v>
      </c>
      <c r="DP20" s="5"/>
      <c r="DQ20" s="5"/>
      <c r="DZ20" s="2"/>
      <c r="EA20" s="2"/>
      <c r="EC20" s="44">
        <v>14.6</v>
      </c>
      <c r="EX20" s="5"/>
      <c r="EY20" s="5"/>
      <c r="FH20" s="2"/>
      <c r="FI20" s="2"/>
      <c r="FK20" s="44">
        <v>14.6</v>
      </c>
      <c r="GF20" s="5"/>
      <c r="GG20" s="5"/>
      <c r="GP20" s="2"/>
      <c r="GQ20" s="2"/>
      <c r="GS20" s="44">
        <v>14.6</v>
      </c>
      <c r="HN20" s="5"/>
      <c r="HO20" s="5"/>
      <c r="HX20" s="2"/>
      <c r="HY20" s="2"/>
      <c r="IA20" s="44">
        <v>14.6</v>
      </c>
      <c r="IV20" s="5"/>
      <c r="IW20" s="5"/>
      <c r="JF20" s="2"/>
      <c r="JG20" s="2"/>
      <c r="JI20" s="44">
        <v>14.6</v>
      </c>
      <c r="KD20" s="5"/>
      <c r="KE20" s="5"/>
      <c r="KN20" s="2"/>
      <c r="KO20" s="2"/>
      <c r="KQ20" s="44">
        <v>14.6</v>
      </c>
      <c r="LL20" s="5"/>
      <c r="LM20" s="5"/>
      <c r="LV20" s="2"/>
      <c r="LW20" s="2"/>
      <c r="LY20" s="44">
        <v>14.6</v>
      </c>
      <c r="MT20" s="5"/>
      <c r="MU20" s="5"/>
      <c r="ND20" s="2"/>
      <c r="NE20" s="2"/>
      <c r="NG20" s="44">
        <v>14.6</v>
      </c>
      <c r="OB20" s="5"/>
      <c r="OC20" s="5"/>
      <c r="OL20" s="2"/>
      <c r="OM20" s="2"/>
      <c r="OO20" s="44">
        <v>14.6</v>
      </c>
      <c r="PJ20" s="5"/>
      <c r="PK20" s="5"/>
      <c r="PT20" s="2"/>
      <c r="PU20" s="2"/>
      <c r="PW20" s="44">
        <v>14.6</v>
      </c>
      <c r="QR20" s="5"/>
      <c r="QS20" s="5"/>
      <c r="RB20" s="2"/>
      <c r="RC20" s="2"/>
      <c r="RE20" s="44">
        <v>14.6</v>
      </c>
      <c r="RZ20" s="5"/>
      <c r="SA20" s="5"/>
      <c r="SJ20" s="2"/>
      <c r="SK20" s="2"/>
      <c r="SM20" s="44">
        <v>14.6</v>
      </c>
    </row>
    <row r="21" spans="1:536" x14ac:dyDescent="0.2">
      <c r="A21" s="5"/>
      <c r="B21" s="32" t="s">
        <v>67</v>
      </c>
      <c r="C21" s="5"/>
      <c r="E21" s="2"/>
      <c r="AJ21" s="42"/>
      <c r="AK21" s="42"/>
      <c r="AL21" s="42"/>
      <c r="AM21" s="33"/>
      <c r="AN21" s="33"/>
      <c r="AO21" s="33"/>
      <c r="AP21" s="33"/>
      <c r="AQ21" s="55">
        <v>15.2</v>
      </c>
      <c r="BK21" s="42"/>
      <c r="BL21" s="42"/>
      <c r="BM21" s="42"/>
      <c r="BO21" s="33"/>
      <c r="BP21" s="33"/>
      <c r="BR21" s="55">
        <v>15.2</v>
      </c>
      <c r="CL21" s="42"/>
      <c r="CM21" s="42"/>
      <c r="CN21" s="42"/>
      <c r="CO21" s="33"/>
      <c r="CP21" s="33"/>
      <c r="CQ21" s="33"/>
      <c r="CR21" s="33"/>
      <c r="CS21" s="55">
        <v>15.2</v>
      </c>
      <c r="DP21" s="5"/>
      <c r="DQ21" s="5"/>
      <c r="DZ21" s="2"/>
      <c r="EA21" s="2"/>
      <c r="EC21" s="45">
        <v>15.2</v>
      </c>
      <c r="EX21" s="5"/>
      <c r="EY21" s="5"/>
      <c r="FH21" s="2"/>
      <c r="FI21" s="2"/>
      <c r="FK21" s="45">
        <v>15.2</v>
      </c>
      <c r="GF21" s="5"/>
      <c r="GG21" s="5"/>
      <c r="GP21" s="2"/>
      <c r="GQ21" s="2"/>
      <c r="GS21" s="55">
        <v>15.2</v>
      </c>
      <c r="HN21" s="5"/>
      <c r="HO21" s="5"/>
      <c r="HX21" s="2"/>
      <c r="HY21" s="2"/>
      <c r="IA21" s="55">
        <v>15.2</v>
      </c>
      <c r="IV21" s="5"/>
      <c r="IW21" s="5"/>
      <c r="JF21" s="2"/>
      <c r="JG21" s="2"/>
      <c r="JI21" s="55">
        <v>15.2</v>
      </c>
      <c r="KD21" s="5"/>
      <c r="KE21" s="5"/>
      <c r="KN21" s="2"/>
      <c r="KO21" s="2"/>
      <c r="KQ21" s="55">
        <v>15.2</v>
      </c>
      <c r="LL21" s="5"/>
      <c r="LM21" s="5"/>
      <c r="LV21" s="2"/>
      <c r="LW21" s="2"/>
      <c r="LY21" s="55">
        <v>15.2</v>
      </c>
      <c r="MT21" s="5"/>
      <c r="MU21" s="5"/>
      <c r="ND21" s="2"/>
      <c r="NE21" s="2"/>
      <c r="NG21" s="55">
        <v>15.2</v>
      </c>
      <c r="OB21" s="5"/>
      <c r="OC21" s="5"/>
      <c r="OL21" s="2"/>
      <c r="OM21" s="2"/>
      <c r="OO21" s="55">
        <v>15.2</v>
      </c>
      <c r="PJ21" s="5"/>
      <c r="PK21" s="5"/>
      <c r="PT21" s="2"/>
      <c r="PU21" s="2"/>
      <c r="PW21" s="55">
        <v>15.2</v>
      </c>
      <c r="QR21" s="5"/>
      <c r="QS21" s="5"/>
      <c r="RB21" s="2"/>
      <c r="RC21" s="2"/>
      <c r="RE21" s="55">
        <v>15.2</v>
      </c>
      <c r="RZ21" s="5"/>
      <c r="SA21" s="5"/>
      <c r="SJ21" s="2"/>
      <c r="SK21" s="2"/>
      <c r="SM21" s="55">
        <v>15.2</v>
      </c>
    </row>
    <row r="22" spans="1:536" x14ac:dyDescent="0.2">
      <c r="A22" s="5"/>
      <c r="B22" s="36" t="s">
        <v>80</v>
      </c>
      <c r="C22" s="5"/>
      <c r="E22" s="2"/>
      <c r="AJ22" s="42"/>
      <c r="AK22" s="42"/>
      <c r="AL22" s="42"/>
      <c r="AM22" s="33"/>
      <c r="AN22" s="33"/>
      <c r="AO22" s="33"/>
      <c r="AP22" s="33"/>
      <c r="AQ22" s="56">
        <v>16</v>
      </c>
      <c r="BK22" s="42"/>
      <c r="BL22" s="42"/>
      <c r="BM22" s="42"/>
      <c r="BO22" s="33"/>
      <c r="BP22" s="33"/>
      <c r="BR22" s="56">
        <v>16</v>
      </c>
      <c r="CL22" s="42"/>
      <c r="CM22" s="42"/>
      <c r="CN22" s="42"/>
      <c r="CO22" s="33"/>
      <c r="CP22" s="33"/>
      <c r="CQ22" s="33"/>
      <c r="CR22" s="33"/>
      <c r="CS22" s="56">
        <v>16</v>
      </c>
      <c r="DP22" s="5"/>
      <c r="DQ22" s="5"/>
      <c r="DZ22" s="2"/>
      <c r="EA22" s="2"/>
      <c r="EC22" s="46">
        <v>16</v>
      </c>
      <c r="EX22" s="5"/>
      <c r="EY22" s="5"/>
      <c r="FH22" s="2"/>
      <c r="FI22" s="2"/>
      <c r="FK22" s="46">
        <v>16</v>
      </c>
      <c r="GF22" s="5"/>
      <c r="GG22" s="5"/>
      <c r="GP22" s="2"/>
      <c r="GQ22" s="2"/>
      <c r="GS22" s="56">
        <v>16</v>
      </c>
      <c r="HN22" s="5"/>
      <c r="HO22" s="5"/>
      <c r="HX22" s="2"/>
      <c r="HY22" s="2"/>
      <c r="IA22" s="56">
        <v>16</v>
      </c>
      <c r="IV22" s="5"/>
      <c r="IW22" s="5"/>
      <c r="JF22" s="2"/>
      <c r="JG22" s="2"/>
      <c r="JI22" s="56">
        <v>16</v>
      </c>
      <c r="KD22" s="5"/>
      <c r="KE22" s="5"/>
      <c r="KN22" s="2"/>
      <c r="KO22" s="2"/>
      <c r="KQ22" s="56">
        <v>16</v>
      </c>
      <c r="LL22" s="5"/>
      <c r="LM22" s="5"/>
      <c r="LV22" s="2"/>
      <c r="LW22" s="2"/>
      <c r="LY22" s="56">
        <v>16</v>
      </c>
      <c r="MT22" s="5"/>
      <c r="MU22" s="5"/>
      <c r="ND22" s="2"/>
      <c r="NE22" s="2"/>
      <c r="NG22" s="56">
        <v>16</v>
      </c>
      <c r="OB22" s="5"/>
      <c r="OC22" s="5"/>
      <c r="OL22" s="2"/>
      <c r="OM22" s="2"/>
      <c r="OO22" s="56">
        <v>16</v>
      </c>
      <c r="PJ22" s="5"/>
      <c r="PK22" s="5"/>
      <c r="PT22" s="2"/>
      <c r="PU22" s="2"/>
      <c r="PW22" s="56">
        <v>16</v>
      </c>
      <c r="QR22" s="5"/>
      <c r="QS22" s="5"/>
      <c r="RB22" s="2"/>
      <c r="RC22" s="2"/>
      <c r="RE22" s="56">
        <v>16</v>
      </c>
      <c r="RZ22" s="5"/>
      <c r="SA22" s="5"/>
      <c r="SJ22" s="2"/>
      <c r="SK22" s="2"/>
      <c r="SM22" s="56">
        <v>16</v>
      </c>
    </row>
    <row r="23" spans="1:536" x14ac:dyDescent="0.2">
      <c r="A23" s="5"/>
      <c r="B23" s="35" t="s">
        <v>51</v>
      </c>
      <c r="C23" s="5"/>
      <c r="AJ23" s="42"/>
      <c r="AK23" s="42"/>
      <c r="AL23" s="42"/>
      <c r="AM23" s="33"/>
      <c r="AN23" s="33"/>
      <c r="AO23" s="33"/>
      <c r="AP23" s="33"/>
      <c r="AQ23" s="57">
        <v>47.2</v>
      </c>
      <c r="BK23" s="42"/>
      <c r="BL23" s="42"/>
      <c r="BM23" s="42"/>
      <c r="BO23" s="33"/>
      <c r="BP23" s="33"/>
      <c r="BR23" s="57">
        <v>47.2</v>
      </c>
      <c r="CL23" s="42"/>
      <c r="CM23" s="42"/>
      <c r="CN23" s="42"/>
      <c r="CO23" s="33"/>
      <c r="CP23" s="33"/>
      <c r="CQ23" s="33"/>
      <c r="CR23" s="33"/>
      <c r="CS23" s="57">
        <v>47.2</v>
      </c>
      <c r="DP23" s="5"/>
      <c r="DQ23" s="5"/>
      <c r="DZ23" s="2"/>
      <c r="EA23" s="2"/>
      <c r="EC23" s="47">
        <v>47.2</v>
      </c>
      <c r="EX23" s="5"/>
      <c r="EY23" s="5"/>
      <c r="FH23" s="2"/>
      <c r="FI23" s="2"/>
      <c r="FK23" s="47">
        <v>47.2</v>
      </c>
      <c r="GF23" s="5"/>
      <c r="GG23" s="5"/>
      <c r="GP23" s="2"/>
      <c r="GQ23" s="2"/>
      <c r="GS23" s="57">
        <v>47.2</v>
      </c>
      <c r="HN23" s="5"/>
      <c r="HO23" s="5"/>
      <c r="HX23" s="2"/>
      <c r="HY23" s="2"/>
      <c r="IA23" s="57">
        <v>47.2</v>
      </c>
      <c r="IV23" s="5"/>
      <c r="IW23" s="5"/>
      <c r="JF23" s="2"/>
      <c r="JG23" s="2"/>
      <c r="JI23" s="57">
        <v>47.2</v>
      </c>
      <c r="KD23" s="5"/>
      <c r="KE23" s="5"/>
      <c r="KN23" s="2"/>
      <c r="KO23" s="2"/>
      <c r="KQ23" s="57">
        <v>47.2</v>
      </c>
      <c r="LL23" s="5"/>
      <c r="LM23" s="5"/>
      <c r="LV23" s="2"/>
      <c r="LW23" s="2"/>
      <c r="LY23" s="57">
        <v>47.2</v>
      </c>
      <c r="MT23" s="5"/>
      <c r="MU23" s="5"/>
      <c r="ND23" s="2"/>
      <c r="NE23" s="2"/>
      <c r="NG23" s="57">
        <v>47.2</v>
      </c>
      <c r="OB23" s="5"/>
      <c r="OC23" s="5"/>
      <c r="OL23" s="2"/>
      <c r="OM23" s="2"/>
      <c r="OO23" s="57">
        <v>47.2</v>
      </c>
      <c r="PJ23" s="5"/>
      <c r="PK23" s="5"/>
      <c r="PT23" s="2"/>
      <c r="PU23" s="2"/>
      <c r="PW23" s="57">
        <v>47.2</v>
      </c>
      <c r="QR23" s="5"/>
      <c r="QS23" s="5"/>
      <c r="RB23" s="2"/>
      <c r="RC23" s="2"/>
      <c r="RE23" s="57">
        <v>47.2</v>
      </c>
      <c r="RZ23" s="5"/>
      <c r="SA23" s="5"/>
      <c r="SJ23" s="2"/>
      <c r="SK23" s="2"/>
      <c r="SM23" s="57">
        <v>47.2</v>
      </c>
    </row>
    <row r="24" spans="1:536" x14ac:dyDescent="0.2">
      <c r="A24" s="5"/>
      <c r="B24" s="25" t="s">
        <v>52</v>
      </c>
      <c r="C24" s="5"/>
      <c r="AJ24" s="42"/>
      <c r="AK24" s="42"/>
      <c r="AL24" s="42"/>
      <c r="AM24" s="33"/>
      <c r="AN24" s="33"/>
      <c r="AO24" s="33"/>
      <c r="AP24" s="33"/>
      <c r="AQ24" s="58">
        <v>48.5</v>
      </c>
      <c r="BK24" s="42"/>
      <c r="BL24" s="42"/>
      <c r="BM24" s="42"/>
      <c r="BO24" s="33"/>
      <c r="BP24" s="33"/>
      <c r="BR24" s="58">
        <v>48.5</v>
      </c>
      <c r="CL24" s="42"/>
      <c r="CM24" s="42"/>
      <c r="CN24" s="42"/>
      <c r="CO24" s="33"/>
      <c r="CP24" s="33"/>
      <c r="CQ24" s="33"/>
      <c r="CR24" s="33"/>
      <c r="CS24" s="58">
        <v>48.5</v>
      </c>
      <c r="DP24" s="5"/>
      <c r="DQ24" s="5"/>
      <c r="DZ24" s="2"/>
      <c r="EA24" s="2"/>
      <c r="EC24" s="48">
        <v>48.5</v>
      </c>
      <c r="EX24" s="5"/>
      <c r="EY24" s="5"/>
      <c r="FH24" s="2"/>
      <c r="FI24" s="2"/>
      <c r="FK24" s="48">
        <v>48.5</v>
      </c>
      <c r="GF24" s="5"/>
      <c r="GG24" s="5"/>
      <c r="GP24" s="2"/>
      <c r="GQ24" s="2"/>
      <c r="GS24" s="58">
        <v>48.5</v>
      </c>
      <c r="HN24" s="5"/>
      <c r="HO24" s="5"/>
      <c r="HX24" s="2"/>
      <c r="HY24" s="2"/>
      <c r="IA24" s="58">
        <v>48.5</v>
      </c>
      <c r="IV24" s="5"/>
      <c r="IW24" s="5"/>
      <c r="JF24" s="2"/>
      <c r="JG24" s="2"/>
      <c r="JI24" s="58">
        <v>48.5</v>
      </c>
      <c r="KD24" s="5"/>
      <c r="KE24" s="5"/>
      <c r="KN24" s="2"/>
      <c r="KO24" s="2"/>
      <c r="KQ24" s="58">
        <v>48.5</v>
      </c>
      <c r="LL24" s="5"/>
      <c r="LM24" s="5"/>
      <c r="LV24" s="2"/>
      <c r="LW24" s="2"/>
      <c r="LY24" s="58">
        <v>48.5</v>
      </c>
      <c r="MT24" s="5"/>
      <c r="MU24" s="5"/>
      <c r="ND24" s="2"/>
      <c r="NE24" s="2"/>
      <c r="NG24" s="58">
        <v>48.5</v>
      </c>
      <c r="OB24" s="5"/>
      <c r="OC24" s="5"/>
      <c r="OL24" s="2"/>
      <c r="OM24" s="2"/>
      <c r="OO24" s="58">
        <v>48.5</v>
      </c>
      <c r="PJ24" s="5"/>
      <c r="PK24" s="5"/>
      <c r="PT24" s="2"/>
      <c r="PU24" s="2"/>
      <c r="PW24" s="58">
        <v>48.5</v>
      </c>
      <c r="QR24" s="5"/>
      <c r="QS24" s="5"/>
      <c r="RB24" s="2"/>
      <c r="RC24" s="2"/>
      <c r="RE24" s="58">
        <v>48.5</v>
      </c>
      <c r="RZ24" s="5"/>
      <c r="SA24" s="5"/>
      <c r="SJ24" s="2"/>
      <c r="SK24" s="2"/>
      <c r="SM24" s="58">
        <v>48.5</v>
      </c>
    </row>
    <row r="25" spans="1:536" x14ac:dyDescent="0.2">
      <c r="A25" s="5"/>
      <c r="B25" s="34" t="s">
        <v>66</v>
      </c>
      <c r="C25" s="5"/>
      <c r="AJ25" s="42"/>
      <c r="AK25" s="42"/>
      <c r="AL25" s="42"/>
      <c r="AM25" s="33"/>
      <c r="AN25" s="33"/>
      <c r="AO25" s="33"/>
      <c r="AP25" s="33"/>
      <c r="AQ25" s="59">
        <v>49.2</v>
      </c>
      <c r="BK25" s="42"/>
      <c r="BL25" s="42"/>
      <c r="BM25" s="42"/>
      <c r="BO25" s="33"/>
      <c r="BP25" s="33"/>
      <c r="BR25" s="59">
        <v>49.2</v>
      </c>
      <c r="CL25" s="42"/>
      <c r="CM25" s="42"/>
      <c r="CN25" s="42"/>
      <c r="CO25" s="33"/>
      <c r="CP25" s="33"/>
      <c r="CQ25" s="33"/>
      <c r="CR25" s="33"/>
      <c r="CS25" s="59">
        <v>49.2</v>
      </c>
      <c r="DP25" s="5"/>
      <c r="DQ25" s="5"/>
      <c r="DZ25" s="2"/>
      <c r="EA25" s="2"/>
      <c r="EB25" s="38"/>
      <c r="EC25" s="49">
        <v>49.2</v>
      </c>
      <c r="EX25" s="5"/>
      <c r="EY25" s="5"/>
      <c r="FH25" s="2"/>
      <c r="FI25" s="2"/>
      <c r="FJ25" s="38"/>
      <c r="FK25" s="49">
        <v>49.2</v>
      </c>
      <c r="GF25" s="5"/>
      <c r="GG25" s="5"/>
      <c r="GP25" s="2"/>
      <c r="GQ25" s="2"/>
      <c r="GR25" s="38"/>
      <c r="GS25" s="59">
        <v>49.2</v>
      </c>
      <c r="HN25" s="5"/>
      <c r="HO25" s="5"/>
      <c r="HX25" s="2"/>
      <c r="HY25" s="2"/>
      <c r="HZ25" s="38"/>
      <c r="IA25" s="59">
        <v>49.2</v>
      </c>
      <c r="IV25" s="5"/>
      <c r="IW25" s="5"/>
      <c r="JF25" s="2"/>
      <c r="JG25" s="2"/>
      <c r="JH25" s="38"/>
      <c r="JI25" s="59">
        <v>49.2</v>
      </c>
      <c r="KD25" s="5"/>
      <c r="KE25" s="5"/>
      <c r="KN25" s="2"/>
      <c r="KO25" s="2"/>
      <c r="KP25" s="38"/>
      <c r="KQ25" s="59">
        <v>49.2</v>
      </c>
      <c r="LL25" s="5"/>
      <c r="LM25" s="5"/>
      <c r="LV25" s="2"/>
      <c r="LW25" s="2"/>
      <c r="LX25" s="38"/>
      <c r="LY25" s="59">
        <v>49.2</v>
      </c>
      <c r="MT25" s="5"/>
      <c r="MU25" s="5"/>
      <c r="ND25" s="2"/>
      <c r="NE25" s="2"/>
      <c r="NF25" s="38"/>
      <c r="NG25" s="59">
        <v>49.2</v>
      </c>
      <c r="OB25" s="5"/>
      <c r="OC25" s="5"/>
      <c r="OL25" s="2"/>
      <c r="OM25" s="2"/>
      <c r="ON25" s="38"/>
      <c r="OO25" s="59">
        <v>49.2</v>
      </c>
      <c r="PJ25" s="5"/>
      <c r="PK25" s="5"/>
      <c r="PT25" s="2"/>
      <c r="PU25" s="2"/>
      <c r="PV25" s="38"/>
      <c r="PW25" s="59">
        <v>49.2</v>
      </c>
      <c r="QR25" s="5"/>
      <c r="QS25" s="5"/>
      <c r="RB25" s="2"/>
      <c r="RC25" s="2"/>
      <c r="RD25" s="38"/>
      <c r="RE25" s="59">
        <v>49.2</v>
      </c>
      <c r="RZ25" s="5"/>
      <c r="SA25" s="5"/>
      <c r="SJ25" s="2"/>
      <c r="SK25" s="2"/>
      <c r="SL25" s="38"/>
      <c r="SM25" s="59">
        <v>49.2</v>
      </c>
    </row>
    <row r="26" spans="1:536" x14ac:dyDescent="0.2">
      <c r="A26" s="5"/>
      <c r="B26" s="26" t="s">
        <v>35</v>
      </c>
      <c r="C26" s="5"/>
      <c r="AJ26" s="42"/>
      <c r="AK26" s="42"/>
      <c r="AL26" s="42"/>
      <c r="AM26" s="33"/>
      <c r="AN26" s="42"/>
      <c r="AO26" s="42"/>
      <c r="AP26" s="33"/>
      <c r="AQ26" s="60">
        <v>50</v>
      </c>
      <c r="BK26" s="42"/>
      <c r="BL26" s="42"/>
      <c r="BM26" s="42"/>
      <c r="BO26" s="42"/>
      <c r="BP26" s="33"/>
      <c r="BR26" s="60">
        <v>50</v>
      </c>
      <c r="CL26" s="42"/>
      <c r="CM26" s="42"/>
      <c r="CN26" s="42"/>
      <c r="CO26" s="33"/>
      <c r="CP26" s="42"/>
      <c r="CQ26" s="33"/>
      <c r="CR26" s="33"/>
      <c r="CS26" s="60">
        <v>50</v>
      </c>
      <c r="DP26" s="5"/>
      <c r="DQ26" s="5"/>
      <c r="DZ26" s="42"/>
      <c r="EA26" s="2"/>
      <c r="EC26" s="50">
        <v>50</v>
      </c>
      <c r="EX26" s="5"/>
      <c r="EY26" s="5"/>
      <c r="FH26" s="42"/>
      <c r="FI26" s="2"/>
      <c r="FK26" s="50">
        <v>50</v>
      </c>
      <c r="GF26" s="5"/>
      <c r="GG26" s="5"/>
      <c r="GP26" s="2"/>
      <c r="GQ26" s="2"/>
      <c r="GS26" s="60">
        <v>50</v>
      </c>
      <c r="HN26" s="5"/>
      <c r="HO26" s="5"/>
      <c r="HX26" s="42"/>
      <c r="HY26" s="2"/>
      <c r="IA26" s="60">
        <v>50</v>
      </c>
      <c r="IV26" s="5"/>
      <c r="IW26" s="5"/>
      <c r="JF26" s="2"/>
      <c r="JG26" s="2"/>
      <c r="JI26" s="60">
        <v>50</v>
      </c>
      <c r="KD26" s="5"/>
      <c r="KE26" s="5"/>
      <c r="KN26" s="2"/>
      <c r="KO26" s="2"/>
      <c r="KQ26" s="60">
        <v>50</v>
      </c>
      <c r="LL26" s="5"/>
      <c r="LM26" s="5"/>
      <c r="LV26" s="2"/>
      <c r="LW26" s="2"/>
      <c r="LY26" s="60">
        <v>50</v>
      </c>
      <c r="MT26" s="5"/>
      <c r="MU26" s="5"/>
      <c r="ND26" s="2"/>
      <c r="NE26" s="2"/>
      <c r="NG26" s="60">
        <v>50</v>
      </c>
      <c r="OB26" s="5"/>
      <c r="OC26" s="5"/>
      <c r="OL26" s="2"/>
      <c r="OM26" s="2"/>
      <c r="OO26" s="60">
        <v>50</v>
      </c>
      <c r="PJ26" s="5"/>
      <c r="PK26" s="5"/>
      <c r="PT26" s="2"/>
      <c r="PU26" s="2"/>
      <c r="PW26" s="60">
        <v>50</v>
      </c>
      <c r="QR26" s="5"/>
      <c r="QS26" s="5"/>
      <c r="RB26" s="2"/>
      <c r="RC26" s="2"/>
      <c r="RE26" s="60">
        <v>50</v>
      </c>
      <c r="RZ26" s="5"/>
      <c r="SA26" s="5"/>
      <c r="SJ26" s="2"/>
      <c r="SK26" s="2"/>
      <c r="SM26" s="60">
        <v>50</v>
      </c>
    </row>
    <row r="27" spans="1:536" s="37" customFormat="1" x14ac:dyDescent="0.2">
      <c r="A27"/>
      <c r="B27" s="30" t="s">
        <v>58</v>
      </c>
      <c r="C27" s="2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 s="10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 s="5"/>
      <c r="B30" s="5"/>
      <c r="C30" s="20"/>
      <c r="D30"/>
      <c r="E30"/>
      <c r="F30"/>
      <c r="G30"/>
      <c r="H30"/>
      <c r="I30"/>
      <c r="J30"/>
      <c r="K30"/>
      <c r="L30"/>
      <c r="M30"/>
      <c r="N30" s="1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I33" s="33"/>
      <c r="AJ33" s="33"/>
      <c r="AK33" s="33"/>
      <c r="AL33" s="33"/>
      <c r="AM33" s="33"/>
      <c r="AP33" s="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K33" s="33"/>
      <c r="CL33" s="33"/>
      <c r="CM33" s="33"/>
      <c r="CN33" s="33"/>
      <c r="CO33" s="33"/>
      <c r="CR33" s="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s="37" customFormat="1" ht="17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 s="10"/>
      <c r="O42" s="10"/>
      <c r="P42" s="10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T42"/>
      <c r="GU42"/>
      <c r="GV42"/>
      <c r="GW42"/>
      <c r="GX42"/>
      <c r="GY42"/>
      <c r="GZ42"/>
      <c r="HA42"/>
      <c r="HB42"/>
      <c r="HC42"/>
      <c r="HD42"/>
      <c r="HE42"/>
      <c r="HF42"/>
      <c r="HG42"/>
      <c r="HH42"/>
      <c r="HI42"/>
      <c r="HJ42"/>
      <c r="HK42"/>
      <c r="HL42"/>
      <c r="HM42"/>
      <c r="HN42"/>
      <c r="HO42"/>
      <c r="HP42"/>
      <c r="HQ42"/>
      <c r="HR42"/>
      <c r="HS42"/>
      <c r="HT42"/>
      <c r="HU42"/>
      <c r="HV42"/>
      <c r="HW42"/>
      <c r="HX42"/>
      <c r="HY42"/>
      <c r="HZ42"/>
      <c r="IB42"/>
      <c r="IC42"/>
      <c r="ID42"/>
      <c r="IE42"/>
      <c r="IF42"/>
      <c r="IG42"/>
      <c r="IH42"/>
      <c r="II42"/>
      <c r="IJ42"/>
      <c r="IK42"/>
      <c r="IL42"/>
      <c r="IM42"/>
      <c r="IN42"/>
      <c r="IO42"/>
      <c r="IP42"/>
      <c r="IQ42"/>
      <c r="IR42"/>
      <c r="IS42"/>
      <c r="IT42"/>
      <c r="IU42"/>
      <c r="IV42"/>
      <c r="IW42"/>
      <c r="IX42"/>
      <c r="IY42"/>
      <c r="IZ42"/>
      <c r="JA42"/>
      <c r="JB42"/>
      <c r="JC42"/>
      <c r="JD42"/>
      <c r="JE42"/>
      <c r="JF42"/>
      <c r="JG42"/>
      <c r="JH42"/>
      <c r="JJ42"/>
      <c r="JK42"/>
      <c r="JL42"/>
      <c r="JM42"/>
      <c r="JN42"/>
      <c r="JO42"/>
      <c r="JP42"/>
      <c r="JQ42"/>
      <c r="JR42"/>
      <c r="JS42"/>
      <c r="JT42"/>
      <c r="JU42"/>
      <c r="JV42"/>
      <c r="JW42"/>
      <c r="JX42"/>
      <c r="JY42"/>
      <c r="JZ42"/>
      <c r="KA42"/>
      <c r="KB42"/>
      <c r="KC42"/>
      <c r="KD42"/>
      <c r="KE42"/>
      <c r="KF42"/>
      <c r="KG42"/>
      <c r="KH42"/>
      <c r="KI42"/>
      <c r="KJ42"/>
      <c r="KK42"/>
      <c r="KL42"/>
      <c r="KM42"/>
      <c r="KN42"/>
      <c r="KO42"/>
      <c r="KP42"/>
      <c r="KQ42"/>
      <c r="KR42"/>
      <c r="KS42"/>
      <c r="KT42"/>
      <c r="KU42"/>
      <c r="KV42"/>
      <c r="KW42"/>
      <c r="KX42"/>
      <c r="KY42"/>
      <c r="KZ42"/>
      <c r="LA42"/>
      <c r="LB42"/>
      <c r="LC42"/>
      <c r="LD42"/>
      <c r="LE42"/>
      <c r="LF42"/>
      <c r="LG42"/>
      <c r="LH42"/>
      <c r="LI42"/>
      <c r="LJ42"/>
      <c r="LK42"/>
      <c r="LL42"/>
      <c r="LM42"/>
      <c r="LN42"/>
      <c r="LO42"/>
      <c r="LP42"/>
      <c r="LQ42"/>
      <c r="LR42"/>
      <c r="LS42"/>
      <c r="LT42"/>
      <c r="LU42"/>
      <c r="LV42"/>
      <c r="LW42"/>
      <c r="LX42"/>
      <c r="LY42"/>
      <c r="LZ42"/>
      <c r="MA42"/>
      <c r="MB42"/>
      <c r="MC42"/>
      <c r="MD42"/>
      <c r="ME42"/>
      <c r="MF42"/>
      <c r="MG42"/>
      <c r="MH42"/>
      <c r="MI42"/>
      <c r="MJ42"/>
      <c r="MK42"/>
      <c r="ML42"/>
      <c r="MM42"/>
      <c r="MN42"/>
      <c r="MO42"/>
      <c r="MP42"/>
      <c r="MQ42"/>
      <c r="MR42"/>
      <c r="MS42"/>
      <c r="MT42"/>
      <c r="MU42"/>
      <c r="MV42"/>
      <c r="MW42"/>
      <c r="MX42"/>
      <c r="MY42"/>
      <c r="MZ42"/>
      <c r="NA42"/>
      <c r="NB42"/>
      <c r="NC42"/>
      <c r="ND42"/>
      <c r="NE42"/>
      <c r="NF42"/>
      <c r="NG42"/>
      <c r="NH42"/>
      <c r="NI42"/>
      <c r="NJ42"/>
      <c r="NK42"/>
      <c r="NL42"/>
      <c r="NM42"/>
      <c r="NN42"/>
      <c r="NO42"/>
      <c r="NP42"/>
      <c r="NQ42"/>
      <c r="NR42"/>
      <c r="NS42"/>
      <c r="NT42"/>
      <c r="NU42"/>
      <c r="NV42"/>
      <c r="NW42"/>
      <c r="NX42"/>
      <c r="NY42"/>
      <c r="NZ42"/>
      <c r="OA42"/>
      <c r="OB42"/>
      <c r="OC42"/>
      <c r="OD42"/>
      <c r="OE42"/>
      <c r="OF42"/>
      <c r="OG42"/>
      <c r="OH42"/>
      <c r="OI42"/>
      <c r="OJ42"/>
      <c r="OK42"/>
      <c r="OL42"/>
      <c r="OM42"/>
      <c r="ON42"/>
      <c r="OO42"/>
      <c r="OP42"/>
      <c r="OQ42"/>
      <c r="OR42"/>
      <c r="OS42"/>
      <c r="OT42"/>
      <c r="OU42"/>
      <c r="OV42"/>
      <c r="OW42"/>
      <c r="OX42"/>
      <c r="OY42"/>
      <c r="OZ42"/>
      <c r="PA42"/>
      <c r="PB42"/>
      <c r="PC42"/>
      <c r="PD42"/>
      <c r="PE42"/>
      <c r="PF42"/>
      <c r="PG42"/>
      <c r="PH42"/>
      <c r="PI42"/>
      <c r="PJ42"/>
      <c r="PK42"/>
      <c r="PL42"/>
      <c r="PM42"/>
      <c r="PN42"/>
      <c r="PO42"/>
      <c r="PP42"/>
      <c r="PQ42"/>
      <c r="PR42"/>
      <c r="PS42"/>
      <c r="PT42"/>
      <c r="PU42"/>
      <c r="PV42"/>
      <c r="PW42"/>
      <c r="PX42"/>
      <c r="PY42"/>
      <c r="PZ42"/>
      <c r="QA42"/>
      <c r="QB42"/>
      <c r="QC42"/>
      <c r="QD42"/>
      <c r="QE42"/>
      <c r="QF42"/>
      <c r="QG42"/>
      <c r="QH42"/>
      <c r="QI42"/>
      <c r="QJ42"/>
      <c r="QK42"/>
      <c r="QL42"/>
      <c r="QM42"/>
      <c r="QN42"/>
      <c r="QO42"/>
      <c r="QP42"/>
      <c r="QQ42"/>
      <c r="QR42"/>
      <c r="QS42"/>
      <c r="QT42"/>
      <c r="QU42"/>
      <c r="QV42"/>
      <c r="QW42"/>
      <c r="QX42"/>
      <c r="QY42"/>
      <c r="QZ42"/>
      <c r="RA42"/>
      <c r="RB42"/>
      <c r="RC42"/>
      <c r="RD42"/>
      <c r="RE42"/>
      <c r="RF42"/>
      <c r="RG42"/>
      <c r="RH42"/>
      <c r="RI42"/>
      <c r="RJ42"/>
      <c r="RK42"/>
      <c r="RL42"/>
      <c r="RM42"/>
      <c r="RN42"/>
      <c r="RO42"/>
      <c r="RP42"/>
      <c r="RQ42"/>
      <c r="RR42"/>
      <c r="RS42"/>
      <c r="RT42"/>
      <c r="RU42"/>
      <c r="RV42"/>
      <c r="RW42"/>
      <c r="RX42"/>
      <c r="RY42"/>
      <c r="RZ42"/>
      <c r="SA42"/>
      <c r="SB42"/>
      <c r="SC42"/>
      <c r="SD42"/>
      <c r="SE42"/>
      <c r="SF42"/>
      <c r="SG42"/>
      <c r="SH42"/>
      <c r="SI42"/>
      <c r="SJ42"/>
      <c r="SK42"/>
      <c r="SL42"/>
      <c r="SM42"/>
      <c r="SN42"/>
      <c r="SO42"/>
      <c r="SP42"/>
      <c r="SQ42"/>
      <c r="SR42"/>
      <c r="SS42"/>
      <c r="ST42"/>
      <c r="SU42"/>
      <c r="SV42"/>
      <c r="SW42"/>
      <c r="SX42"/>
      <c r="SY42"/>
      <c r="SZ42"/>
      <c r="TA42"/>
      <c r="TB42"/>
      <c r="TC42"/>
      <c r="TD42"/>
      <c r="TE42"/>
      <c r="TF42"/>
      <c r="TG42"/>
      <c r="TH42"/>
      <c r="TI42"/>
      <c r="TJ42"/>
      <c r="TK42"/>
      <c r="TL42"/>
      <c r="TM42"/>
      <c r="TN42"/>
      <c r="TO42"/>
      <c r="TP42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  <row r="48" spans="1:536" ht="17" x14ac:dyDescent="0.2">
      <c r="N48" s="10"/>
      <c r="O48" s="10"/>
      <c r="P48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16">
      <sortCondition descending="1" ref="F1:F17"/>
    </sortState>
  </autoFilter>
  <mergeCells count="93"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SN1:TN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SX2:TB2"/>
    <mergeCell ref="RF2:RJ2"/>
    <mergeCell ref="RK2:RO2"/>
    <mergeCell ref="RP2:RT2"/>
    <mergeCell ref="RU2:RY2"/>
    <mergeCell ref="SN2:SR2"/>
    <mergeCell ref="SS2:SW2"/>
  </mergeCells>
  <phoneticPr fontId="22" type="noConversion"/>
  <conditionalFormatting sqref="H1:H1048576">
    <cfRule type="containsText" dxfId="317" priority="36" operator="containsText" text="No DD">
      <formula>NOT(ISERROR(SEARCH("No DD",H1)))</formula>
    </cfRule>
    <cfRule type="containsText" dxfId="316" priority="37" operator="containsText" text="Merit">
      <formula>NOT(ISERROR(SEARCH("Merit",H1)))</formula>
    </cfRule>
    <cfRule type="containsText" dxfId="315" priority="38" operator="containsText" text="Excellence">
      <formula>NOT(ISERROR(SEARCH("Excellence",H1)))</formula>
    </cfRule>
    <cfRule type="containsText" dxfId="314" priority="39" operator="containsText" text="Worlds Team">
      <formula>NOT(ISERROR(SEARCH("Worlds Team",H1)))</formula>
    </cfRule>
    <cfRule type="containsText" dxfId="313" priority="40" operator="containsText" text="National Team">
      <formula>NOT(ISERROR(SEARCH("National Team",H1)))</formula>
    </cfRule>
  </conditionalFormatting>
  <conditionalFormatting sqref="A4:A1048576">
    <cfRule type="expression" dxfId="312" priority="41">
      <formula>IF(A4&gt;4,1,0)</formula>
    </cfRule>
    <cfRule type="expression" dxfId="311" priority="1">
      <formula>AND(G4&lt;&gt;"",F4="")</formula>
    </cfRule>
  </conditionalFormatting>
  <conditionalFormatting sqref="Q4:AQ16">
    <cfRule type="expression" dxfId="310" priority="42" stopIfTrue="1">
      <formula>IF($AF4&lt;&gt;"",1,0)</formula>
    </cfRule>
  </conditionalFormatting>
  <conditionalFormatting sqref="AR4:BR16">
    <cfRule type="expression" dxfId="309" priority="35" stopIfTrue="1">
      <formula>IF($BG4&lt;&gt;"",1,0)</formula>
    </cfRule>
  </conditionalFormatting>
  <conditionalFormatting sqref="BS4:CS16">
    <cfRule type="expression" dxfId="308" priority="34" stopIfTrue="1">
      <formula>IF($CH4&lt;&gt;"",1,0)</formula>
    </cfRule>
  </conditionalFormatting>
  <conditionalFormatting sqref="BO27:BO1048576 BH1:BH1048576 BK1:BK1048576 BO1:BO25">
    <cfRule type="cellIs" dxfId="307" priority="47" operator="between">
      <formula>$BR$22</formula>
      <formula>1000</formula>
    </cfRule>
    <cfRule type="cellIs" dxfId="306" priority="48" operator="between">
      <formula>$BR$21</formula>
      <formula>$BR$22</formula>
    </cfRule>
    <cfRule type="cellIs" dxfId="305" priority="49" operator="between">
      <formula>$BR$20</formula>
      <formula>$BR$21</formula>
    </cfRule>
    <cfRule type="cellIs" dxfId="304" priority="50" operator="between">
      <formula>$BR$19</formula>
      <formula>$BR$20</formula>
    </cfRule>
  </conditionalFormatting>
  <conditionalFormatting sqref="CP27:CP1048576 CI1:CI1048576 CL1:CL1048576 CP1:CP25">
    <cfRule type="cellIs" dxfId="303" priority="43" operator="between">
      <formula>$CS$22</formula>
      <formula>1000</formula>
    </cfRule>
    <cfRule type="cellIs" dxfId="302" priority="44" operator="between">
      <formula>$CS$21</formula>
      <formula>$CS$22</formula>
    </cfRule>
    <cfRule type="cellIs" dxfId="301" priority="45" operator="between">
      <formula>$CS$20</formula>
      <formula>$CS$21</formula>
    </cfRule>
    <cfRule type="cellIs" dxfId="300" priority="46" operator="between">
      <formula>$CS$19</formula>
      <formula>$CS$20</formula>
    </cfRule>
  </conditionalFormatting>
  <conditionalFormatting sqref="DZ27:DZ1048576 DP1:DP1048576 DS1:DS1048576 DW1:DW1048576 DZ1:DZ25">
    <cfRule type="cellIs" dxfId="299" priority="54" operator="between">
      <formula>$EC$22</formula>
      <formula>1000</formula>
    </cfRule>
    <cfRule type="cellIs" dxfId="298" priority="55" operator="between">
      <formula>$EC$21</formula>
      <formula>$EC$22</formula>
    </cfRule>
    <cfRule type="cellIs" dxfId="297" priority="56" operator="between">
      <formula>$EC$20</formula>
      <formula>$EC$21</formula>
    </cfRule>
    <cfRule type="cellIs" dxfId="296" priority="57" operator="between">
      <formula>$EC$19</formula>
      <formula>$EC$20</formula>
    </cfRule>
  </conditionalFormatting>
  <conditionalFormatting sqref="FH27:FH1048576 EX1:EX1048576 FA1:FA1048576 FE1:FE1048576 FH1:FH25">
    <cfRule type="cellIs" dxfId="295" priority="30" operator="between">
      <formula>$FK$22</formula>
      <formula>1000</formula>
    </cfRule>
    <cfRule type="cellIs" dxfId="294" priority="31" operator="between">
      <formula>$FK$21</formula>
      <formula>$FK$22</formula>
    </cfRule>
    <cfRule type="cellIs" dxfId="293" priority="32" operator="between">
      <formula>$FK$20</formula>
      <formula>$FK$21</formula>
    </cfRule>
    <cfRule type="cellIs" dxfId="292" priority="33" operator="between">
      <formula>$FK$19</formula>
      <formula>$FK$20</formula>
    </cfRule>
  </conditionalFormatting>
  <conditionalFormatting sqref="HX27:HX1048576 HN1:HN1048576 HQ1:HQ1048576 HU1:HU1048576 HX1:HX25">
    <cfRule type="cellIs" dxfId="291" priority="26" operator="between">
      <formula>$IA$22</formula>
      <formula>1000</formula>
    </cfRule>
    <cfRule type="cellIs" dxfId="290" priority="27" operator="between">
      <formula>$IA$21</formula>
      <formula>$IA$22</formula>
    </cfRule>
    <cfRule type="cellIs" dxfId="289" priority="28" operator="between">
      <formula>$IA$20</formula>
      <formula>$IA$21</formula>
    </cfRule>
    <cfRule type="cellIs" dxfId="288" priority="29" operator="between">
      <formula>$IA$19</formula>
      <formula>$IA$20</formula>
    </cfRule>
  </conditionalFormatting>
  <conditionalFormatting sqref="AO26 AG1:AG1048576 AJ1:AJ1048576 AN1:AN1048576">
    <cfRule type="cellIs" dxfId="287" priority="22" operator="between">
      <formula>$AQ$22</formula>
      <formula>1000</formula>
    </cfRule>
    <cfRule type="cellIs" dxfId="286" priority="23" operator="between">
      <formula>$AQ$21</formula>
      <formula>$AQ$22</formula>
    </cfRule>
    <cfRule type="cellIs" dxfId="285" priority="24" operator="between">
      <formula>$AQ$20</formula>
      <formula>$AQ$21</formula>
    </cfRule>
    <cfRule type="cellIs" dxfId="284" priority="25" operator="between">
      <formula>$AQ$19</formula>
      <formula>$AQ$20</formula>
    </cfRule>
  </conditionalFormatting>
  <conditionalFormatting sqref="BO26">
    <cfRule type="cellIs" dxfId="283" priority="18" operator="between">
      <formula>$AQ$22</formula>
      <formula>1000</formula>
    </cfRule>
    <cfRule type="cellIs" dxfId="282" priority="19" operator="between">
      <formula>$AQ$21</formula>
      <formula>$AQ$22</formula>
    </cfRule>
    <cfRule type="cellIs" dxfId="281" priority="20" operator="between">
      <formula>$AQ$20</formula>
      <formula>$AQ$21</formula>
    </cfRule>
    <cfRule type="cellIs" dxfId="280" priority="21" operator="between">
      <formula>$AQ$19</formula>
      <formula>$AQ$20</formula>
    </cfRule>
  </conditionalFormatting>
  <conditionalFormatting sqref="CP26">
    <cfRule type="cellIs" dxfId="279" priority="14" operator="between">
      <formula>$AQ$22</formula>
      <formula>1000</formula>
    </cfRule>
    <cfRule type="cellIs" dxfId="278" priority="15" operator="between">
      <formula>$AQ$21</formula>
      <formula>$AQ$22</formula>
    </cfRule>
    <cfRule type="cellIs" dxfId="277" priority="16" operator="between">
      <formula>$AQ$20</formula>
      <formula>$AQ$21</formula>
    </cfRule>
    <cfRule type="cellIs" dxfId="276" priority="17" operator="between">
      <formula>$AQ$19</formula>
      <formula>$AQ$20</formula>
    </cfRule>
  </conditionalFormatting>
  <conditionalFormatting sqref="DZ26">
    <cfRule type="cellIs" dxfId="275" priority="10" operator="between">
      <formula>$AQ$22</formula>
      <formula>1000</formula>
    </cfRule>
    <cfRule type="cellIs" dxfId="274" priority="11" operator="between">
      <formula>$AQ$21</formula>
      <formula>$AQ$22</formula>
    </cfRule>
    <cfRule type="cellIs" dxfId="273" priority="12" operator="between">
      <formula>$AQ$20</formula>
      <formula>$AQ$21</formula>
    </cfRule>
    <cfRule type="cellIs" dxfId="272" priority="13" operator="between">
      <formula>$AQ$19</formula>
      <formula>$AQ$20</formula>
    </cfRule>
  </conditionalFormatting>
  <conditionalFormatting sqref="FH26">
    <cfRule type="cellIs" dxfId="271" priority="6" operator="between">
      <formula>$AQ$22</formula>
      <formula>1000</formula>
    </cfRule>
    <cfRule type="cellIs" dxfId="270" priority="7" operator="between">
      <formula>$AQ$21</formula>
      <formula>$AQ$22</formula>
    </cfRule>
    <cfRule type="cellIs" dxfId="269" priority="8" operator="between">
      <formula>$AQ$20</formula>
      <formula>$AQ$21</formula>
    </cfRule>
    <cfRule type="cellIs" dxfId="268" priority="9" operator="between">
      <formula>$AQ$19</formula>
      <formula>$AQ$20</formula>
    </cfRule>
  </conditionalFormatting>
  <conditionalFormatting sqref="HX26">
    <cfRule type="cellIs" dxfId="267" priority="2" operator="between">
      <formula>$AQ$22</formula>
      <formula>1000</formula>
    </cfRule>
    <cfRule type="cellIs" dxfId="266" priority="3" operator="between">
      <formula>$AQ$21</formula>
      <formula>$AQ$22</formula>
    </cfRule>
    <cfRule type="cellIs" dxfId="265" priority="4" operator="between">
      <formula>$AQ$20</formula>
      <formula>$AQ$21</formula>
    </cfRule>
    <cfRule type="cellIs" dxfId="264" priority="5" operator="between">
      <formula>$AQ$19</formula>
      <formula>$AQ$20</formula>
    </cfRule>
  </conditionalFormatting>
  <conditionalFormatting sqref="K1:K1048576 M1:M1048576">
    <cfRule type="expression" dxfId="263" priority="51">
      <formula>IF(K1=$BS$1,1,0)</formula>
    </cfRule>
    <cfRule type="expression" dxfId="262" priority="52">
      <formula>IF(K1=$AR$1,1,0)</formula>
    </cfRule>
    <cfRule type="expression" dxfId="261" priority="53">
      <formula>IF(K1=$Q$1,1,0)</formula>
    </cfRule>
  </conditionalFormatting>
  <conditionalFormatting sqref="CN1:CN1048576 AL1:AL1048576">
    <cfRule type="cellIs" dxfId="260" priority="83377" operator="between">
      <formula>AQ$26</formula>
      <formula>1000</formula>
    </cfRule>
    <cfRule type="cellIs" dxfId="259" priority="83378" operator="between">
      <formula>AQ$25</formula>
      <formula>AQ$26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258" priority="83389" operator="between">
      <formula>EC$26</formula>
      <formula>1000</formula>
    </cfRule>
    <cfRule type="cellIs" dxfId="257" priority="83390" operator="between">
      <formula>EC$25</formula>
      <formula>EC$26</formula>
    </cfRule>
  </conditionalFormatting>
  <conditionalFormatting sqref="AI1:AI1048576 AL1:AL1048576 AP1:AP1048576">
    <cfRule type="cellIs" dxfId="256" priority="83461" operator="between">
      <formula>$AQ$26</formula>
      <formula>1000</formula>
    </cfRule>
    <cfRule type="cellIs" dxfId="255" priority="83462" operator="between">
      <formula>$AQ$25</formula>
      <formula>$AQ$26</formula>
    </cfRule>
    <cfRule type="cellIs" dxfId="254" priority="83463" operator="between">
      <formula>$AQ$24</formula>
      <formula>$AQ$25</formula>
    </cfRule>
    <cfRule type="cellIs" dxfId="253" priority="83464" operator="between">
      <formula>$AQ$23</formula>
      <formula>$AQ$24</formula>
    </cfRule>
  </conditionalFormatting>
  <conditionalFormatting sqref="BJ1:BJ1048576 BM1:BM1048576 BQ1:BQ1048576">
    <cfRule type="cellIs" dxfId="252" priority="83497" operator="between">
      <formula>$BR$26</formula>
      <formula>1000</formula>
    </cfRule>
    <cfRule type="cellIs" dxfId="251" priority="83498" operator="between">
      <formula>$BR$25</formula>
      <formula>$BR$26</formula>
    </cfRule>
    <cfRule type="cellIs" dxfId="250" priority="83499" operator="between">
      <formula>$BR$24</formula>
      <formula>$BR$25</formula>
    </cfRule>
    <cfRule type="cellIs" dxfId="249" priority="83500" operator="between">
      <formula>$BR$23</formula>
      <formula>$BR$24</formula>
    </cfRule>
  </conditionalFormatting>
  <conditionalFormatting sqref="CK1:CK1048576 CN1:CN1048576 CR1:CR1048576">
    <cfRule type="cellIs" dxfId="248" priority="83533" operator="between">
      <formula>$CS$26</formula>
      <formula>1000</formula>
    </cfRule>
    <cfRule type="cellIs" dxfId="247" priority="83534" operator="between">
      <formula>$CS$25</formula>
      <formula>$CS$26</formula>
    </cfRule>
    <cfRule type="cellIs" dxfId="246" priority="83535" operator="between">
      <formula>$CS$24</formula>
      <formula>$CS$25</formula>
    </cfRule>
    <cfRule type="cellIs" dxfId="245" priority="83536" operator="between">
      <formula>$CS$23</formula>
      <formula>$CS$24</formula>
    </cfRule>
  </conditionalFormatting>
  <conditionalFormatting sqref="MT1:MT1048576 MW1:MW1048576 NA1:NA1048576 ND1:ND1048576">
    <cfRule type="cellIs" dxfId="244" priority="83569" operator="between">
      <formula>$NG$19</formula>
      <formula>$NG$20</formula>
    </cfRule>
  </conditionalFormatting>
  <conditionalFormatting sqref="DR1:DR1048576 DU1:DU1048576 DY1:DY1048576 EB1:EB1048576">
    <cfRule type="cellIs" dxfId="243" priority="83581" operator="between">
      <formula>$EC$26</formula>
      <formula>1000</formula>
    </cfRule>
    <cfRule type="cellIs" dxfId="242" priority="83582" operator="between">
      <formula>$EC$25</formula>
      <formula>$EC$26</formula>
    </cfRule>
    <cfRule type="cellIs" dxfId="241" priority="83583" operator="between">
      <formula>$EC$24</formula>
      <formula>$EC$25</formula>
    </cfRule>
    <cfRule type="cellIs" dxfId="240" priority="83584" operator="between">
      <formula>$EC$23</formula>
      <formula>$EC$24</formula>
    </cfRule>
  </conditionalFormatting>
  <conditionalFormatting sqref="EZ1:EZ1048576 FC1:FC1048576 FG1:FG1048576 FJ1:FJ1048576">
    <cfRule type="cellIs" dxfId="239" priority="83629" operator="between">
      <formula>$FK$26</formula>
      <formula>1000</formula>
    </cfRule>
    <cfRule type="cellIs" dxfId="238" priority="83630" operator="between">
      <formula>$FK$25</formula>
      <formula>$FK$26</formula>
    </cfRule>
    <cfRule type="cellIs" dxfId="237" priority="83631" operator="between">
      <formula>$FK$24</formula>
      <formula>$FK$25</formula>
    </cfRule>
    <cfRule type="cellIs" dxfId="236" priority="83632" operator="between">
      <formula>$FK$23</formula>
      <formula>$FK$24</formula>
    </cfRule>
  </conditionalFormatting>
  <conditionalFormatting sqref="GF1:GF1048576 GI1:GI1048576 GM1:GM1048576 GP1:GP1048576">
    <cfRule type="cellIs" dxfId="235" priority="83677" operator="between">
      <formula>$GS$22</formula>
      <formula>1000</formula>
    </cfRule>
    <cfRule type="cellIs" dxfId="234" priority="83678" operator="between">
      <formula>$GS$21</formula>
      <formula>$GS$22</formula>
    </cfRule>
    <cfRule type="cellIs" dxfId="233" priority="83679" operator="between">
      <formula>$GS$20</formula>
      <formula>$GS$21</formula>
    </cfRule>
    <cfRule type="cellIs" dxfId="232" priority="83680" operator="between">
      <formula>$GS$19</formula>
      <formula>$GS$20</formula>
    </cfRule>
  </conditionalFormatting>
  <conditionalFormatting sqref="GH1:GH1048576 GK1:GK1048576 GO1:GO1048576 GR1:GR1048576">
    <cfRule type="cellIs" dxfId="231" priority="83725" operator="between">
      <formula>$GS$26</formula>
      <formula>1000</formula>
    </cfRule>
    <cfRule type="cellIs" dxfId="230" priority="83726" operator="between">
      <formula>$GS$25</formula>
      <formula>$GS$26</formula>
    </cfRule>
    <cfRule type="cellIs" dxfId="229" priority="83727" operator="between">
      <formula>$GS$24</formula>
      <formula>$GS$25</formula>
    </cfRule>
    <cfRule type="cellIs" dxfId="228" priority="83728" operator="between">
      <formula>$GS$23</formula>
      <formula>$GS$24</formula>
    </cfRule>
  </conditionalFormatting>
  <conditionalFormatting sqref="HP1:HP1048576 HS1:HS1048576 HW1:HW1048576 HZ1:HZ1048576">
    <cfRule type="cellIs" dxfId="227" priority="83773" operator="between">
      <formula>$IA$26</formula>
      <formula>1000</formula>
    </cfRule>
    <cfRule type="cellIs" dxfId="226" priority="83774" operator="between">
      <formula>$IA$25</formula>
      <formula>$IA$26</formula>
    </cfRule>
    <cfRule type="cellIs" dxfId="225" priority="83775" operator="between">
      <formula>$IA$24</formula>
      <formula>$IA$25</formula>
    </cfRule>
    <cfRule type="cellIs" dxfId="224" priority="83776" operator="between">
      <formula>$IA$23</formula>
      <formula>$IA$24</formula>
    </cfRule>
  </conditionalFormatting>
  <conditionalFormatting sqref="IV1:IV1048576 IY1:IY1048576 JC1:JC1048576 JF1:JF1048576">
    <cfRule type="cellIs" dxfId="223" priority="83821" operator="between">
      <formula>$JI$22</formula>
      <formula>1000</formula>
    </cfRule>
    <cfRule type="cellIs" dxfId="222" priority="83822" operator="between">
      <formula>$JI$21</formula>
      <formula>$JI$22</formula>
    </cfRule>
    <cfRule type="cellIs" dxfId="221" priority="83823" operator="between">
      <formula>$JI$20</formula>
      <formula>$JI$21</formula>
    </cfRule>
    <cfRule type="cellIs" dxfId="220" priority="83824" operator="between">
      <formula>$JI$19</formula>
      <formula>$JI$20</formula>
    </cfRule>
  </conditionalFormatting>
  <conditionalFormatting sqref="IX1:IX1048576 JA1:JA1048576 JE1:JE1048576 JH1:JH1048576">
    <cfRule type="cellIs" dxfId="219" priority="83869" operator="between">
      <formula>$JI$26</formula>
      <formula>1000</formula>
    </cfRule>
    <cfRule type="cellIs" dxfId="218" priority="83870" operator="between">
      <formula>$JI$25</formula>
      <formula>$JI$26</formula>
    </cfRule>
    <cfRule type="cellIs" dxfId="217" priority="83871" operator="between">
      <formula>$JI$24</formula>
      <formula>$JI$25</formula>
    </cfRule>
    <cfRule type="cellIs" dxfId="216" priority="83872" operator="between">
      <formula>$JI$23</formula>
      <formula>$JI$24</formula>
    </cfRule>
  </conditionalFormatting>
  <conditionalFormatting sqref="KD1:KD1048576 KG1:KG1048576 KK1:KK1048576 KN1:KN1048576">
    <cfRule type="cellIs" dxfId="215" priority="83917" operator="between">
      <formula>$KQ$22</formula>
      <formula>1000</formula>
    </cfRule>
    <cfRule type="cellIs" dxfId="214" priority="83918" operator="between">
      <formula>$KQ$21</formula>
      <formula>$KQ$22</formula>
    </cfRule>
    <cfRule type="cellIs" dxfId="213" priority="83919" operator="between">
      <formula>$KQ$20</formula>
      <formula>$KQ$21</formula>
    </cfRule>
    <cfRule type="cellIs" dxfId="212" priority="83920" operator="between">
      <formula>$KQ$19</formula>
      <formula>$KQ$20</formula>
    </cfRule>
  </conditionalFormatting>
  <conditionalFormatting sqref="KF1:KF1048576 KI1:KI1048576 KM1:KM1048576 KP1:KP1048576">
    <cfRule type="cellIs" dxfId="211" priority="83965" operator="between">
      <formula>$KQ$26</formula>
      <formula>1000</formula>
    </cfRule>
    <cfRule type="cellIs" dxfId="210" priority="83966" operator="between">
      <formula>$KQ$25</formula>
      <formula>$KQ$26</formula>
    </cfRule>
    <cfRule type="cellIs" dxfId="209" priority="83967" operator="between">
      <formula>$KQ$24</formula>
      <formula>$KQ$25</formula>
    </cfRule>
    <cfRule type="cellIs" dxfId="208" priority="83968" operator="between">
      <formula>$KQ$23</formula>
      <formula>$KQ$24</formula>
    </cfRule>
  </conditionalFormatting>
  <conditionalFormatting sqref="LL1:LL1048576 LO1:LO1048576 LS1:LS1048576 LV1:LV1048576">
    <cfRule type="cellIs" dxfId="207" priority="84013" operator="between">
      <formula>$LY$22</formula>
      <formula>1000</formula>
    </cfRule>
    <cfRule type="cellIs" dxfId="206" priority="84014" operator="between">
      <formula>$LY$21</formula>
      <formula>$LY$22</formula>
    </cfRule>
    <cfRule type="cellIs" dxfId="205" priority="84015" operator="between">
      <formula>$LY$20</formula>
      <formula>$LY$21</formula>
    </cfRule>
    <cfRule type="cellIs" dxfId="204" priority="84016" operator="between">
      <formula>$LY$19</formula>
      <formula>$LY$20</formula>
    </cfRule>
  </conditionalFormatting>
  <conditionalFormatting sqref="LN1:LN1048576 LQ1:LQ1048576 LU1:LU1048576 LX1:LX1048576">
    <cfRule type="cellIs" dxfId="203" priority="84061" operator="between">
      <formula>$LY$26</formula>
      <formula>1000</formula>
    </cfRule>
    <cfRule type="cellIs" dxfId="202" priority="84062" operator="between">
      <formula>$LY$25</formula>
      <formula>$LY$26</formula>
    </cfRule>
    <cfRule type="cellIs" dxfId="201" priority="84063" operator="between">
      <formula>$LY$24</formula>
      <formula>$LY$25</formula>
    </cfRule>
    <cfRule type="cellIs" dxfId="200" priority="84064" operator="between">
      <formula>$LY$23</formula>
      <formula>$LY$24</formula>
    </cfRule>
  </conditionalFormatting>
  <conditionalFormatting sqref="MT1:MT1048576 MW1:MW1048576 NA1:NA1048576">
    <cfRule type="cellIs" dxfId="199" priority="84109" operator="between">
      <formula>$NG$22</formula>
      <formula>1000</formula>
    </cfRule>
    <cfRule type="cellIs" dxfId="198" priority="84110" operator="between">
      <formula>$NG$21</formula>
      <formula>$NG$22</formula>
    </cfRule>
    <cfRule type="cellIs" dxfId="197" priority="84111" operator="between">
      <formula>$NG$20</formula>
      <formula>$NG$21</formula>
    </cfRule>
  </conditionalFormatting>
  <conditionalFormatting sqref="MV1:MV1048576 MY1:MY1048576 NC1:NC1048576 NF1:NF1048576">
    <cfRule type="cellIs" dxfId="196" priority="84136" operator="between">
      <formula>$NG$26</formula>
      <formula>1000</formula>
    </cfRule>
    <cfRule type="cellIs" dxfId="195" priority="84137" operator="between">
      <formula>$NG$25</formula>
      <formula>$NG$26</formula>
    </cfRule>
    <cfRule type="cellIs" dxfId="194" priority="84138" operator="between">
      <formula>$NG$24</formula>
      <formula>$NG$25</formula>
    </cfRule>
    <cfRule type="cellIs" dxfId="193" priority="84139" operator="between">
      <formula>$NG$23</formula>
      <formula>$NG$24</formula>
    </cfRule>
  </conditionalFormatting>
  <conditionalFormatting sqref="OB1:OB1048576 OE1:OE1048576 OI1:OI1048576 OL1:OL1048576">
    <cfRule type="cellIs" dxfId="192" priority="84184" operator="between">
      <formula>$OO$22</formula>
      <formula>1000</formula>
    </cfRule>
    <cfRule type="cellIs" dxfId="191" priority="84185" operator="between">
      <formula>$OO$21</formula>
      <formula>$OO$22</formula>
    </cfRule>
    <cfRule type="cellIs" dxfId="190" priority="84186" operator="between">
      <formula>$OO$20</formula>
      <formula>$OO$21</formula>
    </cfRule>
    <cfRule type="cellIs" dxfId="189" priority="84187" operator="between">
      <formula>$OO$19</formula>
      <formula>$OO$20</formula>
    </cfRule>
  </conditionalFormatting>
  <conditionalFormatting sqref="OD1:OD1048576 OG1:OG1048576 OK1:OK1048576 ON1:ON1048576">
    <cfRule type="cellIs" dxfId="188" priority="84232" operator="between">
      <formula>$OO$26</formula>
      <formula>1000</formula>
    </cfRule>
    <cfRule type="cellIs" dxfId="187" priority="84233" operator="between">
      <formula>$OO$25</formula>
      <formula>$OO$26</formula>
    </cfRule>
    <cfRule type="cellIs" dxfId="186" priority="84234" operator="between">
      <formula>$OO$24</formula>
      <formula>$OO$25</formula>
    </cfRule>
    <cfRule type="cellIs" dxfId="185" priority="84235" operator="between">
      <formula>$OO$23</formula>
      <formula>$OO$24</formula>
    </cfRule>
  </conditionalFormatting>
  <conditionalFormatting sqref="PJ1:PJ1048576 PM1:PM1048576 PQ1:PQ1048576 PT1:PT1048576">
    <cfRule type="cellIs" dxfId="184" priority="84280" operator="between">
      <formula>$PW$22</formula>
      <formula>1000</formula>
    </cfRule>
    <cfRule type="cellIs" dxfId="183" priority="84281" operator="between">
      <formula>$PW$21</formula>
      <formula>$PW$22</formula>
    </cfRule>
    <cfRule type="cellIs" dxfId="182" priority="84282" operator="between">
      <formula>$PW$20</formula>
      <formula>$PW$21</formula>
    </cfRule>
    <cfRule type="cellIs" dxfId="181" priority="84283" operator="between">
      <formula>$PW$19</formula>
      <formula>$PW$20</formula>
    </cfRule>
  </conditionalFormatting>
  <conditionalFormatting sqref="PL1:PL1048576 PO1:PO1048576 PS1:PS1048576 PV1:PV1048576">
    <cfRule type="cellIs" dxfId="180" priority="84328" operator="between">
      <formula>$PW$26</formula>
      <formula>1000</formula>
    </cfRule>
    <cfRule type="cellIs" dxfId="179" priority="84329" operator="between">
      <formula>$PW$25</formula>
      <formula>$PW$26</formula>
    </cfRule>
    <cfRule type="cellIs" dxfId="178" priority="84330" operator="between">
      <formula>$PW$24</formula>
      <formula>$PW$25</formula>
    </cfRule>
    <cfRule type="cellIs" dxfId="177" priority="84331" operator="between">
      <formula>$PW$23</formula>
      <formula>$PW$24</formula>
    </cfRule>
  </conditionalFormatting>
  <conditionalFormatting sqref="QR1:QR1048576 QU1:QU1048576 QY1:QY1048576 RB1:RB1048576">
    <cfRule type="cellIs" dxfId="176" priority="84376" operator="between">
      <formula>$RE$22</formula>
      <formula>1000</formula>
    </cfRule>
    <cfRule type="cellIs" dxfId="175" priority="84377" operator="between">
      <formula>$RE$21</formula>
      <formula>$RE$22</formula>
    </cfRule>
    <cfRule type="cellIs" dxfId="174" priority="84378" operator="between">
      <formula>$RE$20</formula>
      <formula>$RE$21</formula>
    </cfRule>
    <cfRule type="cellIs" dxfId="173" priority="84379" operator="between">
      <formula>$RE$19</formula>
      <formula>$RE$20</formula>
    </cfRule>
  </conditionalFormatting>
  <conditionalFormatting sqref="QT1:QT1048576 QW1:QW1048576 RA1:RA1048576 RD1:RD1048576">
    <cfRule type="cellIs" dxfId="172" priority="84424" operator="between">
      <formula>$RE$26</formula>
      <formula>1000</formula>
    </cfRule>
    <cfRule type="cellIs" dxfId="171" priority="84425" operator="between">
      <formula>$RE$25</formula>
      <formula>$RE$26</formula>
    </cfRule>
    <cfRule type="cellIs" dxfId="170" priority="84426" operator="between">
      <formula>$RE$24</formula>
      <formula>$RE$25</formula>
    </cfRule>
    <cfRule type="cellIs" dxfId="169" priority="84427" operator="between">
      <formula>$RE$23</formula>
      <formula>$RE$24</formula>
    </cfRule>
  </conditionalFormatting>
  <conditionalFormatting sqref="RZ1:RZ1048576 SC1:SC1048576 SG1:SG1048576 SJ1:SJ1048576">
    <cfRule type="cellIs" dxfId="168" priority="84472" operator="between">
      <formula>$SM$22</formula>
      <formula>1000</formula>
    </cfRule>
    <cfRule type="cellIs" dxfId="167" priority="84473" operator="between">
      <formula>$SM$21</formula>
      <formula>$SM$22</formula>
    </cfRule>
    <cfRule type="cellIs" dxfId="166" priority="84474" operator="between">
      <formula>$SM$20</formula>
      <formula>$SM$21</formula>
    </cfRule>
    <cfRule type="cellIs" dxfId="165" priority="84475" operator="between">
      <formula>$SM$19</formula>
      <formula>$SM$20</formula>
    </cfRule>
  </conditionalFormatting>
  <conditionalFormatting sqref="SB1:SB1048576 SE1:SE1048576 SI1:SI1048576 SL1:SL1048576">
    <cfRule type="cellIs" dxfId="164" priority="84520" operator="between">
      <formula>$SM$26</formula>
      <formula>1000</formula>
    </cfRule>
    <cfRule type="cellIs" dxfId="163" priority="84521" operator="between">
      <formula>$SM$25</formula>
      <formula>$SM$26</formula>
    </cfRule>
    <cfRule type="cellIs" dxfId="162" priority="84522" operator="between">
      <formula>$SM$24</formula>
      <formula>$SM$25</formula>
    </cfRule>
    <cfRule type="cellIs" dxfId="161" priority="84523" operator="between">
      <formula>$SM$23</formula>
      <formula>$SM$24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A460FC-9A04-AF46-8AD4-107EFB400784}">
  <sheetPr codeName="Sheet4"/>
  <dimension ref="A1:TP47"/>
  <sheetViews>
    <sheetView zoomScaleNormal="100" workbookViewId="0">
      <pane xSplit="3" topLeftCell="D1" activePane="topRight" state="frozen"/>
      <selection sqref="A1:A3"/>
      <selection pane="topRight" sqref="A1:A3"/>
    </sheetView>
  </sheetViews>
  <sheetFormatPr baseColWidth="10" defaultRowHeight="16" x14ac:dyDescent="0.2"/>
  <cols>
    <col min="2" max="2" width="27" bestFit="1" customWidth="1"/>
    <col min="3" max="3" width="8.1640625" bestFit="1" customWidth="1"/>
    <col min="4" max="4" width="12" customWidth="1"/>
    <col min="6" max="6" width="14.1640625" customWidth="1"/>
    <col min="7" max="7" width="18.5" bestFit="1" customWidth="1"/>
    <col min="8" max="8" width="13.33203125" bestFit="1" customWidth="1"/>
    <col min="9" max="9" width="19" bestFit="1" customWidth="1"/>
    <col min="10" max="10" width="10.83203125" customWidth="1"/>
    <col min="11" max="11" width="27" bestFit="1" customWidth="1"/>
    <col min="12" max="13" width="27" customWidth="1"/>
    <col min="14" max="14" width="24.6640625" customWidth="1"/>
    <col min="15" max="15" width="13" customWidth="1"/>
    <col min="16" max="16" width="47" customWidth="1"/>
    <col min="17" max="32" width="10.83203125" hidden="1" customWidth="1"/>
    <col min="33" max="43" width="10.83203125" style="37" customWidth="1"/>
    <col min="44" max="59" width="10.83203125" hidden="1" customWidth="1"/>
    <col min="60" max="70" width="10.83203125" style="37" customWidth="1"/>
    <col min="71" max="86" width="10.83203125" hidden="1" customWidth="1"/>
    <col min="87" max="97" width="10.83203125" style="37" customWidth="1"/>
    <col min="98" max="99" width="12.83203125" style="37" customWidth="1"/>
    <col min="100" max="119" width="10.83203125" hidden="1" customWidth="1"/>
    <col min="120" max="132" width="10.83203125" customWidth="1"/>
    <col min="133" max="133" width="10.83203125" style="37" customWidth="1"/>
    <col min="134" max="153" width="10.83203125" hidden="1" customWidth="1"/>
    <col min="154" max="166" width="10.83203125" customWidth="1"/>
    <col min="167" max="167" width="10.83203125" style="37" customWidth="1"/>
    <col min="168" max="187" width="10.83203125" hidden="1" customWidth="1"/>
    <col min="188" max="200" width="10.83203125" customWidth="1"/>
    <col min="201" max="201" width="10.83203125" style="37" customWidth="1"/>
    <col min="202" max="221" width="10.83203125" hidden="1" customWidth="1"/>
    <col min="222" max="234" width="10.83203125" customWidth="1"/>
    <col min="235" max="235" width="10.83203125" style="37" customWidth="1"/>
    <col min="236" max="255" width="10.83203125" hidden="1" customWidth="1"/>
    <col min="256" max="268" width="10.83203125" customWidth="1"/>
    <col min="269" max="269" width="10.83203125" style="37" customWidth="1"/>
    <col min="270" max="289" width="10.83203125" hidden="1" customWidth="1"/>
    <col min="290" max="303" width="10.83203125" customWidth="1"/>
    <col min="304" max="323" width="10.83203125" hidden="1" customWidth="1"/>
    <col min="324" max="337" width="10.83203125" customWidth="1"/>
    <col min="338" max="357" width="10.83203125" hidden="1" customWidth="1"/>
    <col min="358" max="371" width="10.83203125" customWidth="1"/>
    <col min="372" max="391" width="10.83203125" hidden="1" customWidth="1"/>
    <col min="392" max="405" width="10.83203125" customWidth="1"/>
    <col min="406" max="425" width="10.83203125" hidden="1" customWidth="1"/>
    <col min="426" max="439" width="10.83203125" customWidth="1"/>
    <col min="440" max="459" width="10.83203125" hidden="1" customWidth="1"/>
    <col min="460" max="473" width="10.83203125" customWidth="1"/>
    <col min="474" max="534" width="10.83203125" hidden="1" customWidth="1"/>
  </cols>
  <sheetData>
    <row r="1" spans="1:534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6" t="s">
        <v>11</v>
      </c>
      <c r="H1" s="66" t="s">
        <v>12</v>
      </c>
      <c r="I1" s="66" t="s">
        <v>89</v>
      </c>
      <c r="J1" s="72" t="s">
        <v>113</v>
      </c>
      <c r="K1" s="68" t="s">
        <v>33</v>
      </c>
      <c r="L1" s="72" t="s">
        <v>182</v>
      </c>
      <c r="M1" s="68" t="s">
        <v>33</v>
      </c>
      <c r="N1" s="71" t="s">
        <v>14</v>
      </c>
      <c r="O1" s="68" t="s">
        <v>34</v>
      </c>
      <c r="P1" s="68" t="s">
        <v>33</v>
      </c>
      <c r="Q1" s="69" t="s">
        <v>183</v>
      </c>
      <c r="R1" s="69"/>
      <c r="S1" s="69"/>
      <c r="T1" s="69"/>
      <c r="U1" s="69"/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74" t="s">
        <v>220</v>
      </c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69" t="s">
        <v>237</v>
      </c>
      <c r="BT1" s="69"/>
      <c r="BU1" s="69"/>
      <c r="BV1" s="69"/>
      <c r="BW1" s="69"/>
      <c r="BX1" s="69"/>
      <c r="BY1" s="69"/>
      <c r="BZ1" s="69"/>
      <c r="CA1" s="69"/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75" t="s">
        <v>14</v>
      </c>
      <c r="CU1" s="75"/>
      <c r="CV1" s="69" t="s">
        <v>178</v>
      </c>
      <c r="CW1" s="69"/>
      <c r="CX1" s="69"/>
      <c r="CY1" s="69"/>
      <c r="CZ1" s="69"/>
      <c r="DA1" s="69"/>
      <c r="DB1" s="69"/>
      <c r="DC1" s="69"/>
      <c r="DD1" s="69"/>
      <c r="DE1" s="69"/>
      <c r="DF1" s="69"/>
      <c r="DG1" s="69"/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74" t="s">
        <v>181</v>
      </c>
      <c r="EE1" s="74"/>
      <c r="EF1" s="74"/>
      <c r="EG1" s="74"/>
      <c r="EH1" s="74"/>
      <c r="EI1" s="74"/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74"/>
      <c r="FL1" s="69" t="s">
        <v>245</v>
      </c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69"/>
      <c r="GN1" s="69"/>
      <c r="GO1" s="69"/>
      <c r="GP1" s="69"/>
      <c r="GQ1" s="69"/>
      <c r="GR1" s="69"/>
      <c r="GS1" s="69"/>
      <c r="GT1" s="74" t="s">
        <v>213</v>
      </c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74"/>
      <c r="HP1" s="74"/>
      <c r="HQ1" s="74"/>
      <c r="HR1" s="74"/>
      <c r="HS1" s="74"/>
      <c r="HT1" s="74"/>
      <c r="HU1" s="74"/>
      <c r="HV1" s="74"/>
      <c r="HW1" s="74"/>
      <c r="HX1" s="74"/>
      <c r="HY1" s="74"/>
      <c r="HZ1" s="74"/>
      <c r="IA1" s="74"/>
      <c r="IB1" s="69" t="s">
        <v>219</v>
      </c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69"/>
      <c r="IR1" s="69"/>
      <c r="IS1" s="69"/>
      <c r="IT1" s="69"/>
      <c r="IU1" s="69"/>
      <c r="IV1" s="69"/>
      <c r="IW1" s="69"/>
      <c r="IX1" s="69"/>
      <c r="IY1" s="69"/>
      <c r="IZ1" s="69"/>
      <c r="JA1" s="69"/>
      <c r="JB1" s="69"/>
      <c r="JC1" s="69"/>
      <c r="JD1" s="69"/>
      <c r="JE1" s="69"/>
      <c r="JF1" s="69"/>
      <c r="JG1" s="69"/>
      <c r="JH1" s="69"/>
      <c r="JI1" s="69"/>
      <c r="JJ1" s="74" t="s">
        <v>232</v>
      </c>
      <c r="JK1" s="74"/>
      <c r="JL1" s="74"/>
      <c r="JM1" s="74"/>
      <c r="JN1" s="74"/>
      <c r="JO1" s="74"/>
      <c r="JP1" s="74"/>
      <c r="JQ1" s="74"/>
      <c r="JR1" s="74"/>
      <c r="JS1" s="74"/>
      <c r="JT1" s="74"/>
      <c r="JU1" s="74"/>
      <c r="JV1" s="74"/>
      <c r="JW1" s="74"/>
      <c r="JX1" s="74"/>
      <c r="JY1" s="74"/>
      <c r="JZ1" s="74"/>
      <c r="KA1" s="74"/>
      <c r="KB1" s="74"/>
      <c r="KC1" s="74"/>
      <c r="KD1" s="74"/>
      <c r="KE1" s="74"/>
      <c r="KF1" s="74"/>
      <c r="KG1" s="74"/>
      <c r="KH1" s="74"/>
      <c r="KI1" s="74"/>
      <c r="KJ1" s="74"/>
      <c r="KK1" s="74"/>
      <c r="KL1" s="74"/>
      <c r="KM1" s="74"/>
      <c r="KN1" s="74"/>
      <c r="KO1" s="74"/>
      <c r="KP1" s="74"/>
      <c r="KQ1" s="74"/>
      <c r="KR1" s="69" t="s">
        <v>243</v>
      </c>
      <c r="KS1" s="69"/>
      <c r="KT1" s="69"/>
      <c r="KU1" s="69"/>
      <c r="KV1" s="69"/>
      <c r="KW1" s="69"/>
      <c r="KX1" s="69"/>
      <c r="KY1" s="69"/>
      <c r="KZ1" s="69"/>
      <c r="LA1" s="69"/>
      <c r="LB1" s="69"/>
      <c r="LC1" s="69"/>
      <c r="LD1" s="69"/>
      <c r="LE1" s="69"/>
      <c r="LF1" s="69"/>
      <c r="LG1" s="69"/>
      <c r="LH1" s="69"/>
      <c r="LI1" s="69"/>
      <c r="LJ1" s="69"/>
      <c r="LK1" s="69"/>
      <c r="LL1" s="69"/>
      <c r="LM1" s="69"/>
      <c r="LN1" s="69"/>
      <c r="LO1" s="69"/>
      <c r="LP1" s="69"/>
      <c r="LQ1" s="69"/>
      <c r="LR1" s="69"/>
      <c r="LS1" s="69"/>
      <c r="LT1" s="69"/>
      <c r="LU1" s="69"/>
      <c r="LV1" s="69"/>
      <c r="LW1" s="69"/>
      <c r="LX1" s="69"/>
      <c r="LY1" s="69"/>
      <c r="LZ1" s="74" t="s">
        <v>244</v>
      </c>
      <c r="MA1" s="74"/>
      <c r="MB1" s="74"/>
      <c r="MC1" s="74"/>
      <c r="MD1" s="74"/>
      <c r="ME1" s="74"/>
      <c r="MF1" s="74"/>
      <c r="MG1" s="74"/>
      <c r="MH1" s="74"/>
      <c r="MI1" s="74"/>
      <c r="MJ1" s="74"/>
      <c r="MK1" s="74"/>
      <c r="ML1" s="74"/>
      <c r="MM1" s="74"/>
      <c r="MN1" s="74"/>
      <c r="MO1" s="74"/>
      <c r="MP1" s="74"/>
      <c r="MQ1" s="74"/>
      <c r="MR1" s="74"/>
      <c r="MS1" s="74"/>
      <c r="MT1" s="74"/>
      <c r="MU1" s="74"/>
      <c r="MV1" s="74"/>
      <c r="MW1" s="74"/>
      <c r="MX1" s="74"/>
      <c r="MY1" s="74"/>
      <c r="MZ1" s="74"/>
      <c r="NA1" s="74"/>
      <c r="NB1" s="74"/>
      <c r="NC1" s="74"/>
      <c r="ND1" s="74"/>
      <c r="NE1" s="74"/>
      <c r="NF1" s="74"/>
      <c r="NG1" s="74"/>
      <c r="NH1" s="69" t="s">
        <v>248</v>
      </c>
      <c r="NI1" s="69"/>
      <c r="NJ1" s="69"/>
      <c r="NK1" s="69"/>
      <c r="NL1" s="69"/>
      <c r="NM1" s="69"/>
      <c r="NN1" s="69"/>
      <c r="NO1" s="69"/>
      <c r="NP1" s="69"/>
      <c r="NQ1" s="69"/>
      <c r="NR1" s="69"/>
      <c r="NS1" s="69"/>
      <c r="NT1" s="69"/>
      <c r="NU1" s="69"/>
      <c r="NV1" s="69"/>
      <c r="NW1" s="69"/>
      <c r="NX1" s="69"/>
      <c r="NY1" s="69"/>
      <c r="NZ1" s="69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74" t="s">
        <v>247</v>
      </c>
      <c r="OQ1" s="74"/>
      <c r="OR1" s="74"/>
      <c r="OS1" s="74"/>
      <c r="OT1" s="74"/>
      <c r="OU1" s="74"/>
      <c r="OV1" s="74"/>
      <c r="OW1" s="74"/>
      <c r="OX1" s="74"/>
      <c r="OY1" s="74"/>
      <c r="OZ1" s="74"/>
      <c r="PA1" s="74"/>
      <c r="PB1" s="74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69" t="s">
        <v>254</v>
      </c>
      <c r="PY1" s="69"/>
      <c r="PZ1" s="69"/>
      <c r="QA1" s="69"/>
      <c r="QB1" s="69"/>
      <c r="QC1" s="69"/>
      <c r="QD1" s="69"/>
      <c r="QE1" s="69"/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74"/>
      <c r="RG1" s="74"/>
      <c r="RH1" s="74"/>
      <c r="RI1" s="74"/>
      <c r="RJ1" s="74"/>
      <c r="RK1" s="74"/>
      <c r="RL1" s="74"/>
      <c r="RM1" s="74"/>
      <c r="RN1" s="74"/>
      <c r="RO1" s="74"/>
      <c r="RP1" s="74"/>
      <c r="RQ1" s="74"/>
      <c r="RR1" s="74"/>
      <c r="RS1" s="74"/>
      <c r="RT1" s="74"/>
      <c r="RU1" s="74"/>
      <c r="RV1" s="74"/>
      <c r="RW1" s="74"/>
      <c r="RX1" s="74"/>
      <c r="RY1" s="74"/>
      <c r="RZ1" s="74"/>
      <c r="SA1" s="74"/>
      <c r="SB1" s="74"/>
      <c r="SC1" s="74"/>
      <c r="SD1" s="74"/>
      <c r="SE1" s="74"/>
      <c r="SF1" s="74"/>
      <c r="SG1" s="74"/>
      <c r="SH1" s="74"/>
      <c r="SI1" s="74"/>
      <c r="SJ1" s="74"/>
      <c r="SK1" s="74"/>
      <c r="SL1" s="74"/>
      <c r="SM1" s="74"/>
      <c r="SN1" s="69" t="s">
        <v>68</v>
      </c>
      <c r="SO1" s="69"/>
      <c r="SP1" s="69"/>
      <c r="SQ1" s="69"/>
      <c r="SR1" s="69"/>
      <c r="SS1" s="69"/>
      <c r="ST1" s="69"/>
      <c r="SU1" s="69"/>
      <c r="SV1" s="69"/>
      <c r="SW1" s="69"/>
      <c r="SX1" s="69"/>
      <c r="SY1" s="69"/>
      <c r="SZ1" s="69"/>
      <c r="TA1" s="69"/>
      <c r="TB1" s="69"/>
      <c r="TC1" s="69"/>
      <c r="TD1" s="69"/>
      <c r="TE1" s="69"/>
      <c r="TF1" s="69"/>
      <c r="TG1" s="69"/>
      <c r="TH1" s="69"/>
      <c r="TI1" s="69"/>
      <c r="TJ1" s="69"/>
      <c r="TK1" s="69"/>
      <c r="TL1" s="69"/>
      <c r="TM1" s="69"/>
      <c r="TN1" s="69"/>
    </row>
    <row r="2" spans="1:534" x14ac:dyDescent="0.2">
      <c r="A2" s="66"/>
      <c r="B2" s="66"/>
      <c r="C2" s="66"/>
      <c r="D2" s="66"/>
      <c r="E2" s="66"/>
      <c r="F2" s="67"/>
      <c r="G2" s="66"/>
      <c r="H2" s="66"/>
      <c r="I2" s="66"/>
      <c r="J2" s="72"/>
      <c r="K2" s="68"/>
      <c r="L2" s="72"/>
      <c r="M2" s="68"/>
      <c r="N2" s="71"/>
      <c r="O2" s="68"/>
      <c r="P2" s="68"/>
      <c r="Q2" s="70" t="s">
        <v>19</v>
      </c>
      <c r="R2" s="70"/>
      <c r="S2" s="70"/>
      <c r="T2" s="70"/>
      <c r="U2" s="70"/>
      <c r="V2" s="70" t="s">
        <v>20</v>
      </c>
      <c r="W2" s="70"/>
      <c r="X2" s="70"/>
      <c r="Y2" s="70"/>
      <c r="Z2" s="70"/>
      <c r="AA2" s="70" t="s">
        <v>23</v>
      </c>
      <c r="AB2" s="70"/>
      <c r="AC2" s="70"/>
      <c r="AD2" s="70"/>
      <c r="AE2" s="70"/>
      <c r="AF2" s="14"/>
      <c r="AG2" s="14" t="s">
        <v>105</v>
      </c>
      <c r="AH2" s="14" t="s">
        <v>144</v>
      </c>
      <c r="AI2" s="14" t="s">
        <v>21</v>
      </c>
      <c r="AJ2" s="14" t="s">
        <v>81</v>
      </c>
      <c r="AK2" s="14" t="s">
        <v>143</v>
      </c>
      <c r="AL2" s="14" t="s">
        <v>22</v>
      </c>
      <c r="AM2" s="14" t="s">
        <v>24</v>
      </c>
      <c r="AN2" s="14" t="s">
        <v>108</v>
      </c>
      <c r="AO2" s="14" t="s">
        <v>145</v>
      </c>
      <c r="AP2" s="14" t="s">
        <v>23</v>
      </c>
      <c r="AQ2" s="14" t="s">
        <v>18</v>
      </c>
      <c r="AR2" s="73" t="s">
        <v>19</v>
      </c>
      <c r="AS2" s="73"/>
      <c r="AT2" s="73"/>
      <c r="AU2" s="73"/>
      <c r="AV2" s="73"/>
      <c r="AW2" s="73" t="s">
        <v>20</v>
      </c>
      <c r="AX2" s="73"/>
      <c r="AY2" s="73"/>
      <c r="AZ2" s="73"/>
      <c r="BA2" s="73"/>
      <c r="BB2" s="73" t="s">
        <v>23</v>
      </c>
      <c r="BC2" s="73"/>
      <c r="BD2" s="73"/>
      <c r="BE2" s="73"/>
      <c r="BF2" s="73"/>
      <c r="BG2" s="13"/>
      <c r="BH2" s="13" t="s">
        <v>105</v>
      </c>
      <c r="BI2" s="13" t="s">
        <v>144</v>
      </c>
      <c r="BJ2" s="13" t="s">
        <v>21</v>
      </c>
      <c r="BK2" s="13" t="s">
        <v>81</v>
      </c>
      <c r="BL2" s="13" t="s">
        <v>143</v>
      </c>
      <c r="BM2" s="13" t="s">
        <v>22</v>
      </c>
      <c r="BN2" s="13" t="s">
        <v>24</v>
      </c>
      <c r="BO2" s="13" t="s">
        <v>108</v>
      </c>
      <c r="BP2" s="13" t="s">
        <v>145</v>
      </c>
      <c r="BQ2" s="13" t="s">
        <v>23</v>
      </c>
      <c r="BR2" s="13" t="s">
        <v>18</v>
      </c>
      <c r="BS2" s="70" t="s">
        <v>19</v>
      </c>
      <c r="BT2" s="70"/>
      <c r="BU2" s="70"/>
      <c r="BV2" s="70"/>
      <c r="BW2" s="70"/>
      <c r="BX2" s="70" t="s">
        <v>20</v>
      </c>
      <c r="BY2" s="70"/>
      <c r="BZ2" s="70"/>
      <c r="CA2" s="70"/>
      <c r="CB2" s="70"/>
      <c r="CC2" s="70" t="s">
        <v>23</v>
      </c>
      <c r="CD2" s="70"/>
      <c r="CE2" s="70"/>
      <c r="CF2" s="70"/>
      <c r="CG2" s="70"/>
      <c r="CH2" s="14"/>
      <c r="CI2" s="14" t="s">
        <v>105</v>
      </c>
      <c r="CJ2" s="14" t="s">
        <v>144</v>
      </c>
      <c r="CK2" s="14" t="s">
        <v>21</v>
      </c>
      <c r="CL2" s="14" t="s">
        <v>81</v>
      </c>
      <c r="CM2" s="14" t="s">
        <v>143</v>
      </c>
      <c r="CN2" s="14" t="s">
        <v>22</v>
      </c>
      <c r="CO2" s="14" t="s">
        <v>24</v>
      </c>
      <c r="CP2" s="14" t="s">
        <v>108</v>
      </c>
      <c r="CQ2" s="14" t="s">
        <v>145</v>
      </c>
      <c r="CR2" s="14" t="s">
        <v>23</v>
      </c>
      <c r="CS2" s="14" t="s">
        <v>18</v>
      </c>
      <c r="CT2" s="51" t="s">
        <v>24</v>
      </c>
      <c r="CU2" s="51" t="s">
        <v>23</v>
      </c>
      <c r="CV2" s="70" t="s">
        <v>19</v>
      </c>
      <c r="CW2" s="70"/>
      <c r="CX2" s="70"/>
      <c r="CY2" s="70"/>
      <c r="CZ2" s="70"/>
      <c r="DA2" s="70" t="s">
        <v>20</v>
      </c>
      <c r="DB2" s="70"/>
      <c r="DC2" s="70"/>
      <c r="DD2" s="70"/>
      <c r="DE2" s="70"/>
      <c r="DF2" s="70" t="s">
        <v>110</v>
      </c>
      <c r="DG2" s="70"/>
      <c r="DH2" s="70"/>
      <c r="DI2" s="70"/>
      <c r="DJ2" s="70"/>
      <c r="DK2" s="70" t="s">
        <v>23</v>
      </c>
      <c r="DL2" s="70"/>
      <c r="DM2" s="70"/>
      <c r="DN2" s="70"/>
      <c r="DO2" s="70"/>
      <c r="DP2" s="14" t="s">
        <v>105</v>
      </c>
      <c r="DQ2" s="14" t="s">
        <v>144</v>
      </c>
      <c r="DR2" s="14" t="s">
        <v>21</v>
      </c>
      <c r="DS2" s="14" t="s">
        <v>81</v>
      </c>
      <c r="DT2" s="14" t="s">
        <v>143</v>
      </c>
      <c r="DU2" s="14" t="s">
        <v>22</v>
      </c>
      <c r="DV2" s="14" t="s">
        <v>24</v>
      </c>
      <c r="DW2" s="14" t="s">
        <v>111</v>
      </c>
      <c r="DX2" s="14" t="s">
        <v>146</v>
      </c>
      <c r="DY2" s="14" t="s">
        <v>110</v>
      </c>
      <c r="DZ2" s="14" t="s">
        <v>108</v>
      </c>
      <c r="EA2" s="14" t="s">
        <v>145</v>
      </c>
      <c r="EB2" s="14" t="s">
        <v>23</v>
      </c>
      <c r="EC2" s="14" t="s">
        <v>18</v>
      </c>
      <c r="ED2" s="73" t="s">
        <v>19</v>
      </c>
      <c r="EE2" s="73"/>
      <c r="EF2" s="73"/>
      <c r="EG2" s="73"/>
      <c r="EH2" s="73"/>
      <c r="EI2" s="73" t="s">
        <v>20</v>
      </c>
      <c r="EJ2" s="73"/>
      <c r="EK2" s="73"/>
      <c r="EL2" s="73"/>
      <c r="EM2" s="73"/>
      <c r="EN2" s="73" t="s">
        <v>110</v>
      </c>
      <c r="EO2" s="73"/>
      <c r="EP2" s="73"/>
      <c r="EQ2" s="73"/>
      <c r="ER2" s="73"/>
      <c r="ES2" s="73" t="s">
        <v>23</v>
      </c>
      <c r="ET2" s="73"/>
      <c r="EU2" s="73"/>
      <c r="EV2" s="73"/>
      <c r="EW2" s="73"/>
      <c r="EX2" s="13" t="s">
        <v>105</v>
      </c>
      <c r="EY2" s="13" t="s">
        <v>144</v>
      </c>
      <c r="EZ2" s="13" t="s">
        <v>21</v>
      </c>
      <c r="FA2" s="13" t="s">
        <v>81</v>
      </c>
      <c r="FB2" s="13" t="s">
        <v>143</v>
      </c>
      <c r="FC2" s="13" t="s">
        <v>22</v>
      </c>
      <c r="FD2" s="13" t="s">
        <v>24</v>
      </c>
      <c r="FE2" s="13" t="s">
        <v>111</v>
      </c>
      <c r="FF2" s="13" t="s">
        <v>146</v>
      </c>
      <c r="FG2" s="13" t="s">
        <v>110</v>
      </c>
      <c r="FH2" s="13" t="s">
        <v>108</v>
      </c>
      <c r="FI2" s="13" t="s">
        <v>145</v>
      </c>
      <c r="FJ2" s="13" t="s">
        <v>23</v>
      </c>
      <c r="FK2" s="13" t="s">
        <v>18</v>
      </c>
      <c r="FL2" s="70" t="s">
        <v>19</v>
      </c>
      <c r="FM2" s="70"/>
      <c r="FN2" s="70"/>
      <c r="FO2" s="70"/>
      <c r="FP2" s="70"/>
      <c r="FQ2" s="70" t="s">
        <v>20</v>
      </c>
      <c r="FR2" s="70"/>
      <c r="FS2" s="70"/>
      <c r="FT2" s="70"/>
      <c r="FU2" s="70"/>
      <c r="FV2" s="70" t="s">
        <v>110</v>
      </c>
      <c r="FW2" s="70"/>
      <c r="FX2" s="70"/>
      <c r="FY2" s="70"/>
      <c r="FZ2" s="70"/>
      <c r="GA2" s="70" t="s">
        <v>23</v>
      </c>
      <c r="GB2" s="70"/>
      <c r="GC2" s="70"/>
      <c r="GD2" s="70"/>
      <c r="GE2" s="70"/>
      <c r="GF2" s="14" t="s">
        <v>105</v>
      </c>
      <c r="GG2" s="14" t="s">
        <v>144</v>
      </c>
      <c r="GH2" s="14" t="s">
        <v>21</v>
      </c>
      <c r="GI2" s="14" t="s">
        <v>81</v>
      </c>
      <c r="GJ2" s="14" t="s">
        <v>143</v>
      </c>
      <c r="GK2" s="14" t="s">
        <v>22</v>
      </c>
      <c r="GL2" s="14" t="s">
        <v>24</v>
      </c>
      <c r="GM2" s="14" t="s">
        <v>111</v>
      </c>
      <c r="GN2" s="14" t="s">
        <v>146</v>
      </c>
      <c r="GO2" s="14" t="s">
        <v>110</v>
      </c>
      <c r="GP2" s="14" t="s">
        <v>108</v>
      </c>
      <c r="GQ2" s="14" t="s">
        <v>145</v>
      </c>
      <c r="GR2" s="14" t="s">
        <v>23</v>
      </c>
      <c r="GS2" s="14" t="s">
        <v>18</v>
      </c>
      <c r="GT2" s="73" t="s">
        <v>19</v>
      </c>
      <c r="GU2" s="73"/>
      <c r="GV2" s="73"/>
      <c r="GW2" s="73"/>
      <c r="GX2" s="73"/>
      <c r="GY2" s="73" t="s">
        <v>20</v>
      </c>
      <c r="GZ2" s="73"/>
      <c r="HA2" s="73"/>
      <c r="HB2" s="73"/>
      <c r="HC2" s="73"/>
      <c r="HD2" s="73" t="s">
        <v>110</v>
      </c>
      <c r="HE2" s="73"/>
      <c r="HF2" s="73"/>
      <c r="HG2" s="73"/>
      <c r="HH2" s="73"/>
      <c r="HI2" s="73" t="s">
        <v>23</v>
      </c>
      <c r="HJ2" s="73"/>
      <c r="HK2" s="73"/>
      <c r="HL2" s="73"/>
      <c r="HM2" s="73"/>
      <c r="HN2" s="13" t="s">
        <v>105</v>
      </c>
      <c r="HO2" s="13" t="s">
        <v>144</v>
      </c>
      <c r="HP2" s="13" t="s">
        <v>21</v>
      </c>
      <c r="HQ2" s="13" t="s">
        <v>81</v>
      </c>
      <c r="HR2" s="13" t="s">
        <v>143</v>
      </c>
      <c r="HS2" s="13" t="s">
        <v>22</v>
      </c>
      <c r="HT2" s="13" t="s">
        <v>24</v>
      </c>
      <c r="HU2" s="13" t="s">
        <v>111</v>
      </c>
      <c r="HV2" s="13" t="s">
        <v>146</v>
      </c>
      <c r="HW2" s="13" t="s">
        <v>110</v>
      </c>
      <c r="HX2" s="13" t="s">
        <v>108</v>
      </c>
      <c r="HY2" s="13" t="s">
        <v>145</v>
      </c>
      <c r="HZ2" s="13" t="s">
        <v>23</v>
      </c>
      <c r="IA2" s="13" t="s">
        <v>18</v>
      </c>
      <c r="IB2" s="70" t="s">
        <v>19</v>
      </c>
      <c r="IC2" s="70"/>
      <c r="ID2" s="70"/>
      <c r="IE2" s="70"/>
      <c r="IF2" s="70"/>
      <c r="IG2" s="70" t="s">
        <v>20</v>
      </c>
      <c r="IH2" s="70"/>
      <c r="II2" s="70"/>
      <c r="IJ2" s="70"/>
      <c r="IK2" s="70"/>
      <c r="IL2" s="70" t="s">
        <v>110</v>
      </c>
      <c r="IM2" s="70"/>
      <c r="IN2" s="70"/>
      <c r="IO2" s="70"/>
      <c r="IP2" s="70"/>
      <c r="IQ2" s="70" t="s">
        <v>23</v>
      </c>
      <c r="IR2" s="70"/>
      <c r="IS2" s="70"/>
      <c r="IT2" s="70"/>
      <c r="IU2" s="70"/>
      <c r="IV2" s="14" t="s">
        <v>105</v>
      </c>
      <c r="IW2" s="14" t="s">
        <v>144</v>
      </c>
      <c r="IX2" s="14" t="s">
        <v>21</v>
      </c>
      <c r="IY2" s="14" t="s">
        <v>81</v>
      </c>
      <c r="IZ2" s="14" t="s">
        <v>143</v>
      </c>
      <c r="JA2" s="14" t="s">
        <v>22</v>
      </c>
      <c r="JB2" s="14" t="s">
        <v>24</v>
      </c>
      <c r="JC2" s="14" t="s">
        <v>111</v>
      </c>
      <c r="JD2" s="14" t="s">
        <v>146</v>
      </c>
      <c r="JE2" s="14" t="s">
        <v>110</v>
      </c>
      <c r="JF2" s="14" t="s">
        <v>108</v>
      </c>
      <c r="JG2" s="14" t="s">
        <v>145</v>
      </c>
      <c r="JH2" s="14" t="s">
        <v>23</v>
      </c>
      <c r="JI2" s="14" t="s">
        <v>18</v>
      </c>
      <c r="JJ2" s="73" t="s">
        <v>19</v>
      </c>
      <c r="JK2" s="73"/>
      <c r="JL2" s="73"/>
      <c r="JM2" s="73"/>
      <c r="JN2" s="73"/>
      <c r="JO2" s="73" t="s">
        <v>20</v>
      </c>
      <c r="JP2" s="73"/>
      <c r="JQ2" s="73"/>
      <c r="JR2" s="73"/>
      <c r="JS2" s="73"/>
      <c r="JT2" s="73" t="s">
        <v>110</v>
      </c>
      <c r="JU2" s="73"/>
      <c r="JV2" s="73"/>
      <c r="JW2" s="73"/>
      <c r="JX2" s="73"/>
      <c r="JY2" s="73" t="s">
        <v>23</v>
      </c>
      <c r="JZ2" s="73"/>
      <c r="KA2" s="73"/>
      <c r="KB2" s="73"/>
      <c r="KC2" s="73"/>
      <c r="KD2" s="13" t="s">
        <v>105</v>
      </c>
      <c r="KE2" s="13" t="s">
        <v>144</v>
      </c>
      <c r="KF2" s="13" t="s">
        <v>21</v>
      </c>
      <c r="KG2" s="13" t="s">
        <v>81</v>
      </c>
      <c r="KH2" s="13" t="s">
        <v>143</v>
      </c>
      <c r="KI2" s="13" t="s">
        <v>22</v>
      </c>
      <c r="KJ2" s="13" t="s">
        <v>24</v>
      </c>
      <c r="KK2" s="13" t="s">
        <v>111</v>
      </c>
      <c r="KL2" s="13" t="s">
        <v>146</v>
      </c>
      <c r="KM2" s="13" t="s">
        <v>110</v>
      </c>
      <c r="KN2" s="13" t="s">
        <v>108</v>
      </c>
      <c r="KO2" s="13" t="s">
        <v>145</v>
      </c>
      <c r="KP2" s="13" t="s">
        <v>23</v>
      </c>
      <c r="KQ2" s="13" t="s">
        <v>18</v>
      </c>
      <c r="KR2" s="70" t="s">
        <v>19</v>
      </c>
      <c r="KS2" s="70"/>
      <c r="KT2" s="70"/>
      <c r="KU2" s="70"/>
      <c r="KV2" s="70"/>
      <c r="KW2" s="70" t="s">
        <v>20</v>
      </c>
      <c r="KX2" s="70"/>
      <c r="KY2" s="70"/>
      <c r="KZ2" s="70"/>
      <c r="LA2" s="70"/>
      <c r="LB2" s="70" t="s">
        <v>110</v>
      </c>
      <c r="LC2" s="70"/>
      <c r="LD2" s="70"/>
      <c r="LE2" s="70"/>
      <c r="LF2" s="70"/>
      <c r="LG2" s="70" t="s">
        <v>23</v>
      </c>
      <c r="LH2" s="70"/>
      <c r="LI2" s="70"/>
      <c r="LJ2" s="70"/>
      <c r="LK2" s="70"/>
      <c r="LL2" s="14" t="s">
        <v>105</v>
      </c>
      <c r="LM2" s="14" t="s">
        <v>144</v>
      </c>
      <c r="LN2" s="14" t="s">
        <v>21</v>
      </c>
      <c r="LO2" s="14" t="s">
        <v>81</v>
      </c>
      <c r="LP2" s="14" t="s">
        <v>143</v>
      </c>
      <c r="LQ2" s="14" t="s">
        <v>22</v>
      </c>
      <c r="LR2" s="14" t="s">
        <v>24</v>
      </c>
      <c r="LS2" s="14" t="s">
        <v>111</v>
      </c>
      <c r="LT2" s="14" t="s">
        <v>146</v>
      </c>
      <c r="LU2" s="14" t="s">
        <v>110</v>
      </c>
      <c r="LV2" s="14" t="s">
        <v>108</v>
      </c>
      <c r="LW2" s="14" t="s">
        <v>145</v>
      </c>
      <c r="LX2" s="14" t="s">
        <v>23</v>
      </c>
      <c r="LY2" s="14" t="s">
        <v>18</v>
      </c>
      <c r="LZ2" s="73" t="s">
        <v>19</v>
      </c>
      <c r="MA2" s="73"/>
      <c r="MB2" s="73"/>
      <c r="MC2" s="73"/>
      <c r="MD2" s="73"/>
      <c r="ME2" s="73" t="s">
        <v>20</v>
      </c>
      <c r="MF2" s="73"/>
      <c r="MG2" s="73"/>
      <c r="MH2" s="73"/>
      <c r="MI2" s="73"/>
      <c r="MJ2" s="73" t="s">
        <v>110</v>
      </c>
      <c r="MK2" s="73"/>
      <c r="ML2" s="73"/>
      <c r="MM2" s="73"/>
      <c r="MN2" s="73"/>
      <c r="MO2" s="73" t="s">
        <v>23</v>
      </c>
      <c r="MP2" s="73"/>
      <c r="MQ2" s="73"/>
      <c r="MR2" s="73"/>
      <c r="MS2" s="73"/>
      <c r="MT2" s="13" t="s">
        <v>105</v>
      </c>
      <c r="MU2" s="13" t="s">
        <v>144</v>
      </c>
      <c r="MV2" s="13" t="s">
        <v>21</v>
      </c>
      <c r="MW2" s="13" t="s">
        <v>81</v>
      </c>
      <c r="MX2" s="13" t="s">
        <v>143</v>
      </c>
      <c r="MY2" s="13" t="s">
        <v>22</v>
      </c>
      <c r="MZ2" s="13" t="s">
        <v>24</v>
      </c>
      <c r="NA2" s="13" t="s">
        <v>111</v>
      </c>
      <c r="NB2" s="13" t="s">
        <v>146</v>
      </c>
      <c r="NC2" s="13" t="s">
        <v>110</v>
      </c>
      <c r="ND2" s="13" t="s">
        <v>108</v>
      </c>
      <c r="NE2" s="13" t="s">
        <v>145</v>
      </c>
      <c r="NF2" s="13" t="s">
        <v>23</v>
      </c>
      <c r="NG2" s="13" t="s">
        <v>18</v>
      </c>
      <c r="NH2" s="70" t="s">
        <v>19</v>
      </c>
      <c r="NI2" s="70"/>
      <c r="NJ2" s="70"/>
      <c r="NK2" s="70"/>
      <c r="NL2" s="70"/>
      <c r="NM2" s="70" t="s">
        <v>20</v>
      </c>
      <c r="NN2" s="70"/>
      <c r="NO2" s="70"/>
      <c r="NP2" s="70"/>
      <c r="NQ2" s="70"/>
      <c r="NR2" s="70" t="s">
        <v>110</v>
      </c>
      <c r="NS2" s="70"/>
      <c r="NT2" s="70"/>
      <c r="NU2" s="70"/>
      <c r="NV2" s="70"/>
      <c r="NW2" s="70" t="s">
        <v>23</v>
      </c>
      <c r="NX2" s="70"/>
      <c r="NY2" s="70"/>
      <c r="NZ2" s="70"/>
      <c r="OA2" s="70"/>
      <c r="OB2" s="14" t="s">
        <v>105</v>
      </c>
      <c r="OC2" s="14" t="s">
        <v>144</v>
      </c>
      <c r="OD2" s="14" t="s">
        <v>21</v>
      </c>
      <c r="OE2" s="14" t="s">
        <v>81</v>
      </c>
      <c r="OF2" s="14" t="s">
        <v>143</v>
      </c>
      <c r="OG2" s="14" t="s">
        <v>22</v>
      </c>
      <c r="OH2" s="14" t="s">
        <v>24</v>
      </c>
      <c r="OI2" s="14" t="s">
        <v>111</v>
      </c>
      <c r="OJ2" s="14" t="s">
        <v>146</v>
      </c>
      <c r="OK2" s="14" t="s">
        <v>110</v>
      </c>
      <c r="OL2" s="14" t="s">
        <v>108</v>
      </c>
      <c r="OM2" s="14" t="s">
        <v>145</v>
      </c>
      <c r="ON2" s="14" t="s">
        <v>23</v>
      </c>
      <c r="OO2" s="14" t="s">
        <v>18</v>
      </c>
      <c r="OP2" s="73" t="s">
        <v>19</v>
      </c>
      <c r="OQ2" s="73"/>
      <c r="OR2" s="73"/>
      <c r="OS2" s="73"/>
      <c r="OT2" s="73"/>
      <c r="OU2" s="73" t="s">
        <v>20</v>
      </c>
      <c r="OV2" s="73"/>
      <c r="OW2" s="73"/>
      <c r="OX2" s="73"/>
      <c r="OY2" s="73"/>
      <c r="OZ2" s="73" t="s">
        <v>110</v>
      </c>
      <c r="PA2" s="73"/>
      <c r="PB2" s="73"/>
      <c r="PC2" s="73"/>
      <c r="PD2" s="73"/>
      <c r="PE2" s="73" t="s">
        <v>23</v>
      </c>
      <c r="PF2" s="73"/>
      <c r="PG2" s="73"/>
      <c r="PH2" s="73"/>
      <c r="PI2" s="73"/>
      <c r="PJ2" s="13" t="s">
        <v>105</v>
      </c>
      <c r="PK2" s="13" t="s">
        <v>144</v>
      </c>
      <c r="PL2" s="13" t="s">
        <v>21</v>
      </c>
      <c r="PM2" s="13" t="s">
        <v>81</v>
      </c>
      <c r="PN2" s="13" t="s">
        <v>143</v>
      </c>
      <c r="PO2" s="13" t="s">
        <v>22</v>
      </c>
      <c r="PP2" s="13" t="s">
        <v>24</v>
      </c>
      <c r="PQ2" s="13" t="s">
        <v>111</v>
      </c>
      <c r="PR2" s="13" t="s">
        <v>146</v>
      </c>
      <c r="PS2" s="13" t="s">
        <v>110</v>
      </c>
      <c r="PT2" s="13" t="s">
        <v>108</v>
      </c>
      <c r="PU2" s="13" t="s">
        <v>145</v>
      </c>
      <c r="PV2" s="13" t="s">
        <v>23</v>
      </c>
      <c r="PW2" s="13" t="s">
        <v>18</v>
      </c>
      <c r="PX2" s="70" t="s">
        <v>19</v>
      </c>
      <c r="PY2" s="70"/>
      <c r="PZ2" s="70"/>
      <c r="QA2" s="70"/>
      <c r="QB2" s="70"/>
      <c r="QC2" s="70" t="s">
        <v>20</v>
      </c>
      <c r="QD2" s="70"/>
      <c r="QE2" s="70"/>
      <c r="QF2" s="70"/>
      <c r="QG2" s="70"/>
      <c r="QH2" s="70" t="s">
        <v>110</v>
      </c>
      <c r="QI2" s="70"/>
      <c r="QJ2" s="70"/>
      <c r="QK2" s="70"/>
      <c r="QL2" s="70"/>
      <c r="QM2" s="70" t="s">
        <v>23</v>
      </c>
      <c r="QN2" s="70"/>
      <c r="QO2" s="70"/>
      <c r="QP2" s="70"/>
      <c r="QQ2" s="70"/>
      <c r="QR2" s="14" t="s">
        <v>105</v>
      </c>
      <c r="QS2" s="14" t="s">
        <v>144</v>
      </c>
      <c r="QT2" s="14" t="s">
        <v>21</v>
      </c>
      <c r="QU2" s="14" t="s">
        <v>81</v>
      </c>
      <c r="QV2" s="14" t="s">
        <v>143</v>
      </c>
      <c r="QW2" s="14" t="s">
        <v>22</v>
      </c>
      <c r="QX2" s="14" t="s">
        <v>24</v>
      </c>
      <c r="QY2" s="14" t="s">
        <v>111</v>
      </c>
      <c r="QZ2" s="14" t="s">
        <v>146</v>
      </c>
      <c r="RA2" s="14" t="s">
        <v>110</v>
      </c>
      <c r="RB2" s="14" t="s">
        <v>108</v>
      </c>
      <c r="RC2" s="14" t="s">
        <v>145</v>
      </c>
      <c r="RD2" s="14" t="s">
        <v>23</v>
      </c>
      <c r="RE2" s="14" t="s">
        <v>18</v>
      </c>
      <c r="RF2" s="73" t="s">
        <v>19</v>
      </c>
      <c r="RG2" s="73"/>
      <c r="RH2" s="73"/>
      <c r="RI2" s="73"/>
      <c r="RJ2" s="73"/>
      <c r="RK2" s="73" t="s">
        <v>20</v>
      </c>
      <c r="RL2" s="73"/>
      <c r="RM2" s="73"/>
      <c r="RN2" s="73"/>
      <c r="RO2" s="73"/>
      <c r="RP2" s="73" t="s">
        <v>110</v>
      </c>
      <c r="RQ2" s="73"/>
      <c r="RR2" s="73"/>
      <c r="RS2" s="73"/>
      <c r="RT2" s="73"/>
      <c r="RU2" s="73" t="s">
        <v>23</v>
      </c>
      <c r="RV2" s="73"/>
      <c r="RW2" s="73"/>
      <c r="RX2" s="73"/>
      <c r="RY2" s="73"/>
      <c r="RZ2" s="13" t="s">
        <v>105</v>
      </c>
      <c r="SA2" s="13" t="s">
        <v>144</v>
      </c>
      <c r="SB2" s="13" t="s">
        <v>21</v>
      </c>
      <c r="SC2" s="13" t="s">
        <v>81</v>
      </c>
      <c r="SD2" s="13" t="s">
        <v>143</v>
      </c>
      <c r="SE2" s="13" t="s">
        <v>22</v>
      </c>
      <c r="SF2" s="13" t="s">
        <v>24</v>
      </c>
      <c r="SG2" s="13" t="s">
        <v>111</v>
      </c>
      <c r="SH2" s="13" t="s">
        <v>146</v>
      </c>
      <c r="SI2" s="13" t="s">
        <v>110</v>
      </c>
      <c r="SJ2" s="13" t="s">
        <v>108</v>
      </c>
      <c r="SK2" s="13" t="s">
        <v>145</v>
      </c>
      <c r="SL2" s="13" t="s">
        <v>23</v>
      </c>
      <c r="SM2" s="13" t="s">
        <v>18</v>
      </c>
      <c r="SN2" s="70" t="s">
        <v>19</v>
      </c>
      <c r="SO2" s="70"/>
      <c r="SP2" s="70"/>
      <c r="SQ2" s="70"/>
      <c r="SR2" s="70"/>
      <c r="SS2" s="70" t="s">
        <v>20</v>
      </c>
      <c r="ST2" s="70"/>
      <c r="SU2" s="70"/>
      <c r="SV2" s="70"/>
      <c r="SW2" s="70"/>
      <c r="SX2" s="70" t="s">
        <v>23</v>
      </c>
      <c r="SY2" s="70"/>
      <c r="SZ2" s="70"/>
      <c r="TA2" s="70"/>
      <c r="TB2" s="70"/>
      <c r="TC2" s="14"/>
      <c r="TD2" s="14" t="s">
        <v>105</v>
      </c>
      <c r="TE2" s="14" t="s">
        <v>144</v>
      </c>
      <c r="TF2" s="14" t="s">
        <v>21</v>
      </c>
      <c r="TG2" s="14" t="s">
        <v>81</v>
      </c>
      <c r="TH2" s="14" t="s">
        <v>143</v>
      </c>
      <c r="TI2" s="14" t="s">
        <v>22</v>
      </c>
      <c r="TJ2" s="14" t="s">
        <v>24</v>
      </c>
      <c r="TK2" s="14" t="s">
        <v>108</v>
      </c>
      <c r="TL2" s="14" t="s">
        <v>145</v>
      </c>
      <c r="TM2" s="14" t="s">
        <v>23</v>
      </c>
      <c r="TN2" s="14" t="s">
        <v>18</v>
      </c>
    </row>
    <row r="3" spans="1:534" x14ac:dyDescent="0.2">
      <c r="A3" s="66"/>
      <c r="B3" s="66"/>
      <c r="C3" s="66"/>
      <c r="D3" s="66"/>
      <c r="E3" s="66"/>
      <c r="F3" s="67"/>
      <c r="G3" s="66"/>
      <c r="H3" s="66"/>
      <c r="I3" s="66"/>
      <c r="J3" s="72"/>
      <c r="K3" s="68"/>
      <c r="L3" s="72"/>
      <c r="M3" s="68"/>
      <c r="N3" s="71"/>
      <c r="O3" s="68"/>
      <c r="P3" s="68"/>
      <c r="Q3" s="14" t="s">
        <v>15</v>
      </c>
      <c r="R3" s="14" t="s">
        <v>16</v>
      </c>
      <c r="S3" s="14" t="s">
        <v>10</v>
      </c>
      <c r="T3" s="14" t="s">
        <v>142</v>
      </c>
      <c r="U3" s="14" t="s">
        <v>30</v>
      </c>
      <c r="V3" s="14" t="s">
        <v>15</v>
      </c>
      <c r="W3" s="14" t="s">
        <v>16</v>
      </c>
      <c r="X3" s="14" t="s">
        <v>10</v>
      </c>
      <c r="Y3" s="14" t="s">
        <v>142</v>
      </c>
      <c r="Z3" s="14" t="s">
        <v>30</v>
      </c>
      <c r="AA3" s="14" t="s">
        <v>15</v>
      </c>
      <c r="AB3" s="14" t="s">
        <v>16</v>
      </c>
      <c r="AC3" s="14" t="s">
        <v>10</v>
      </c>
      <c r="AD3" s="14" t="s">
        <v>142</v>
      </c>
      <c r="AE3" s="14" t="s">
        <v>30</v>
      </c>
      <c r="AF3" s="14" t="s">
        <v>56</v>
      </c>
      <c r="AG3" s="14"/>
      <c r="AH3" s="14"/>
      <c r="AI3" s="14"/>
      <c r="AJ3" s="14"/>
      <c r="AK3" s="14"/>
      <c r="AL3" s="14"/>
      <c r="AM3" s="14"/>
      <c r="AN3" s="14"/>
      <c r="AO3" s="14"/>
      <c r="AP3" s="14"/>
      <c r="AQ3" s="14"/>
      <c r="AR3" s="13" t="s">
        <v>15</v>
      </c>
      <c r="AS3" s="13" t="s">
        <v>16</v>
      </c>
      <c r="AT3" s="13" t="s">
        <v>10</v>
      </c>
      <c r="AU3" s="13" t="s">
        <v>142</v>
      </c>
      <c r="AV3" s="13" t="s">
        <v>30</v>
      </c>
      <c r="AW3" s="13" t="s">
        <v>15</v>
      </c>
      <c r="AX3" s="13" t="s">
        <v>16</v>
      </c>
      <c r="AY3" s="13" t="s">
        <v>10</v>
      </c>
      <c r="AZ3" s="13" t="s">
        <v>142</v>
      </c>
      <c r="BA3" s="13" t="s">
        <v>30</v>
      </c>
      <c r="BB3" s="13" t="s">
        <v>15</v>
      </c>
      <c r="BC3" s="13" t="s">
        <v>16</v>
      </c>
      <c r="BD3" s="13" t="s">
        <v>10</v>
      </c>
      <c r="BE3" s="13" t="s">
        <v>142</v>
      </c>
      <c r="BF3" s="13" t="s">
        <v>30</v>
      </c>
      <c r="BG3" s="13" t="s">
        <v>56</v>
      </c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4" t="s">
        <v>15</v>
      </c>
      <c r="BT3" s="14" t="s">
        <v>16</v>
      </c>
      <c r="BU3" s="14" t="s">
        <v>10</v>
      </c>
      <c r="BV3" s="14" t="s">
        <v>142</v>
      </c>
      <c r="BW3" s="14" t="s">
        <v>30</v>
      </c>
      <c r="BX3" s="14" t="s">
        <v>15</v>
      </c>
      <c r="BY3" s="14" t="s">
        <v>16</v>
      </c>
      <c r="BZ3" s="14" t="s">
        <v>10</v>
      </c>
      <c r="CA3" s="14" t="s">
        <v>142</v>
      </c>
      <c r="CB3" s="14" t="s">
        <v>30</v>
      </c>
      <c r="CC3" s="14" t="s">
        <v>15</v>
      </c>
      <c r="CD3" s="14" t="s">
        <v>16</v>
      </c>
      <c r="CE3" s="14" t="s">
        <v>10</v>
      </c>
      <c r="CF3" s="14" t="s">
        <v>142</v>
      </c>
      <c r="CG3" s="14" t="s">
        <v>30</v>
      </c>
      <c r="CH3" s="14" t="s">
        <v>56</v>
      </c>
      <c r="CI3" s="14"/>
      <c r="CJ3" s="14"/>
      <c r="CK3" s="14"/>
      <c r="CL3" s="14"/>
      <c r="CM3" s="14"/>
      <c r="CN3" s="14"/>
      <c r="CO3" s="14"/>
      <c r="CP3" s="14"/>
      <c r="CQ3" s="14"/>
      <c r="CR3" s="14"/>
      <c r="CS3" s="14"/>
      <c r="CT3" s="51"/>
      <c r="CU3" s="51"/>
      <c r="CV3" s="14" t="s">
        <v>15</v>
      </c>
      <c r="CW3" s="14" t="s">
        <v>16</v>
      </c>
      <c r="CX3" s="14" t="s">
        <v>10</v>
      </c>
      <c r="CY3" s="14" t="s">
        <v>142</v>
      </c>
      <c r="CZ3" s="14" t="s">
        <v>30</v>
      </c>
      <c r="DA3" s="14" t="s">
        <v>15</v>
      </c>
      <c r="DB3" s="14" t="s">
        <v>16</v>
      </c>
      <c r="DC3" s="14" t="s">
        <v>10</v>
      </c>
      <c r="DD3" s="14" t="s">
        <v>142</v>
      </c>
      <c r="DE3" s="14" t="s">
        <v>30</v>
      </c>
      <c r="DF3" s="14" t="s">
        <v>15</v>
      </c>
      <c r="DG3" s="14" t="s">
        <v>16</v>
      </c>
      <c r="DH3" s="14" t="s">
        <v>10</v>
      </c>
      <c r="DI3" s="14" t="s">
        <v>142</v>
      </c>
      <c r="DJ3" s="14" t="s">
        <v>30</v>
      </c>
      <c r="DK3" s="14" t="s">
        <v>15</v>
      </c>
      <c r="DL3" s="14" t="s">
        <v>16</v>
      </c>
      <c r="DM3" s="14" t="s">
        <v>10</v>
      </c>
      <c r="DN3" s="14" t="s">
        <v>142</v>
      </c>
      <c r="DO3" s="14" t="s">
        <v>30</v>
      </c>
      <c r="DP3" s="6"/>
      <c r="DQ3" s="6"/>
      <c r="DR3" s="6"/>
      <c r="DS3" s="6"/>
      <c r="DT3" s="6"/>
      <c r="DU3" s="6"/>
      <c r="DV3" s="6"/>
      <c r="DW3" s="6"/>
      <c r="DX3" s="6"/>
      <c r="DY3" s="6"/>
      <c r="DZ3" s="6"/>
      <c r="EA3" s="6"/>
      <c r="EB3" s="6"/>
      <c r="EC3" s="14"/>
      <c r="ED3" s="13" t="s">
        <v>15</v>
      </c>
      <c r="EE3" s="13" t="s">
        <v>16</v>
      </c>
      <c r="EF3" s="13" t="s">
        <v>10</v>
      </c>
      <c r="EG3" s="13" t="s">
        <v>142</v>
      </c>
      <c r="EH3" s="13" t="s">
        <v>30</v>
      </c>
      <c r="EI3" s="13" t="s">
        <v>15</v>
      </c>
      <c r="EJ3" s="13" t="s">
        <v>16</v>
      </c>
      <c r="EK3" s="13" t="s">
        <v>10</v>
      </c>
      <c r="EL3" s="13" t="s">
        <v>142</v>
      </c>
      <c r="EM3" s="13" t="s">
        <v>30</v>
      </c>
      <c r="EN3" s="13" t="s">
        <v>15</v>
      </c>
      <c r="EO3" s="13" t="s">
        <v>16</v>
      </c>
      <c r="EP3" s="13" t="s">
        <v>10</v>
      </c>
      <c r="EQ3" s="13" t="s">
        <v>142</v>
      </c>
      <c r="ER3" s="13" t="s">
        <v>30</v>
      </c>
      <c r="ES3" s="13" t="s">
        <v>15</v>
      </c>
      <c r="ET3" s="13" t="s">
        <v>16</v>
      </c>
      <c r="EU3" s="13" t="s">
        <v>10</v>
      </c>
      <c r="EV3" s="13" t="s">
        <v>142</v>
      </c>
      <c r="EW3" s="13" t="s">
        <v>30</v>
      </c>
      <c r="EX3" s="7"/>
      <c r="EY3" s="7"/>
      <c r="EZ3" s="7"/>
      <c r="FA3" s="7"/>
      <c r="FB3" s="7"/>
      <c r="FC3" s="7"/>
      <c r="FD3" s="7"/>
      <c r="FE3" s="7"/>
      <c r="FF3" s="7"/>
      <c r="FG3" s="7"/>
      <c r="FH3" s="7"/>
      <c r="FI3" s="7"/>
      <c r="FJ3" s="7"/>
      <c r="FK3" s="13"/>
      <c r="FL3" s="14" t="s">
        <v>15</v>
      </c>
      <c r="FM3" s="14" t="s">
        <v>16</v>
      </c>
      <c r="FN3" s="14" t="s">
        <v>10</v>
      </c>
      <c r="FO3" s="14" t="s">
        <v>142</v>
      </c>
      <c r="FP3" s="14" t="s">
        <v>30</v>
      </c>
      <c r="FQ3" s="14" t="s">
        <v>15</v>
      </c>
      <c r="FR3" s="14" t="s">
        <v>16</v>
      </c>
      <c r="FS3" s="14" t="s">
        <v>10</v>
      </c>
      <c r="FT3" s="14" t="s">
        <v>142</v>
      </c>
      <c r="FU3" s="14" t="s">
        <v>30</v>
      </c>
      <c r="FV3" s="14" t="s">
        <v>15</v>
      </c>
      <c r="FW3" s="14" t="s">
        <v>16</v>
      </c>
      <c r="FX3" s="14" t="s">
        <v>10</v>
      </c>
      <c r="FY3" s="14" t="s">
        <v>142</v>
      </c>
      <c r="FZ3" s="14" t="s">
        <v>30</v>
      </c>
      <c r="GA3" s="14" t="s">
        <v>15</v>
      </c>
      <c r="GB3" s="14" t="s">
        <v>16</v>
      </c>
      <c r="GC3" s="14" t="s">
        <v>10</v>
      </c>
      <c r="GD3" s="14" t="s">
        <v>142</v>
      </c>
      <c r="GE3" s="14" t="s">
        <v>30</v>
      </c>
      <c r="GF3" s="6"/>
      <c r="GG3" s="6"/>
      <c r="GH3" s="6"/>
      <c r="GI3" s="6"/>
      <c r="GJ3" s="6"/>
      <c r="GK3" s="6"/>
      <c r="GL3" s="6"/>
      <c r="GM3" s="6"/>
      <c r="GN3" s="6"/>
      <c r="GO3" s="6"/>
      <c r="GP3" s="6"/>
      <c r="GQ3" s="6"/>
      <c r="GR3" s="6"/>
      <c r="GS3" s="14"/>
      <c r="GT3" s="13" t="s">
        <v>15</v>
      </c>
      <c r="GU3" s="13" t="s">
        <v>16</v>
      </c>
      <c r="GV3" s="13" t="s">
        <v>10</v>
      </c>
      <c r="GW3" s="13" t="s">
        <v>142</v>
      </c>
      <c r="GX3" s="13" t="s">
        <v>30</v>
      </c>
      <c r="GY3" s="13" t="s">
        <v>15</v>
      </c>
      <c r="GZ3" s="13" t="s">
        <v>16</v>
      </c>
      <c r="HA3" s="13" t="s">
        <v>10</v>
      </c>
      <c r="HB3" s="13" t="s">
        <v>142</v>
      </c>
      <c r="HC3" s="13" t="s">
        <v>30</v>
      </c>
      <c r="HD3" s="13" t="s">
        <v>15</v>
      </c>
      <c r="HE3" s="13" t="s">
        <v>16</v>
      </c>
      <c r="HF3" s="13" t="s">
        <v>10</v>
      </c>
      <c r="HG3" s="13" t="s">
        <v>142</v>
      </c>
      <c r="HH3" s="13" t="s">
        <v>30</v>
      </c>
      <c r="HI3" s="13" t="s">
        <v>15</v>
      </c>
      <c r="HJ3" s="13" t="s">
        <v>16</v>
      </c>
      <c r="HK3" s="13" t="s">
        <v>10</v>
      </c>
      <c r="HL3" s="13" t="s">
        <v>142</v>
      </c>
      <c r="HM3" s="13" t="s">
        <v>30</v>
      </c>
      <c r="HN3" s="7"/>
      <c r="HO3" s="7"/>
      <c r="HP3" s="7"/>
      <c r="HQ3" s="7"/>
      <c r="HR3" s="7"/>
      <c r="HS3" s="7"/>
      <c r="HT3" s="7"/>
      <c r="HU3" s="7"/>
      <c r="HV3" s="7"/>
      <c r="HW3" s="7"/>
      <c r="HX3" s="7"/>
      <c r="HY3" s="7"/>
      <c r="HZ3" s="7"/>
      <c r="IA3" s="13"/>
      <c r="IB3" s="14" t="s">
        <v>15</v>
      </c>
      <c r="IC3" s="14" t="s">
        <v>16</v>
      </c>
      <c r="ID3" s="14" t="s">
        <v>10</v>
      </c>
      <c r="IE3" s="14" t="s">
        <v>142</v>
      </c>
      <c r="IF3" s="14" t="s">
        <v>30</v>
      </c>
      <c r="IG3" s="14" t="s">
        <v>15</v>
      </c>
      <c r="IH3" s="14" t="s">
        <v>16</v>
      </c>
      <c r="II3" s="14" t="s">
        <v>10</v>
      </c>
      <c r="IJ3" s="14" t="s">
        <v>142</v>
      </c>
      <c r="IK3" s="14" t="s">
        <v>30</v>
      </c>
      <c r="IL3" s="14" t="s">
        <v>15</v>
      </c>
      <c r="IM3" s="14" t="s">
        <v>16</v>
      </c>
      <c r="IN3" s="14" t="s">
        <v>10</v>
      </c>
      <c r="IO3" s="14" t="s">
        <v>142</v>
      </c>
      <c r="IP3" s="14" t="s">
        <v>30</v>
      </c>
      <c r="IQ3" s="14" t="s">
        <v>15</v>
      </c>
      <c r="IR3" s="14" t="s">
        <v>16</v>
      </c>
      <c r="IS3" s="14" t="s">
        <v>10</v>
      </c>
      <c r="IT3" s="14" t="s">
        <v>142</v>
      </c>
      <c r="IU3" s="14" t="s">
        <v>30</v>
      </c>
      <c r="IV3" s="6"/>
      <c r="IW3" s="6"/>
      <c r="IX3" s="6"/>
      <c r="IY3" s="6"/>
      <c r="IZ3" s="6"/>
      <c r="JA3" s="6"/>
      <c r="JB3" s="6"/>
      <c r="JC3" s="6"/>
      <c r="JD3" s="6"/>
      <c r="JE3" s="6"/>
      <c r="JF3" s="6"/>
      <c r="JG3" s="6"/>
      <c r="JH3" s="6"/>
      <c r="JI3" s="14"/>
      <c r="JJ3" s="13" t="s">
        <v>15</v>
      </c>
      <c r="JK3" s="13" t="s">
        <v>16</v>
      </c>
      <c r="JL3" s="13" t="s">
        <v>10</v>
      </c>
      <c r="JM3" s="13" t="s">
        <v>142</v>
      </c>
      <c r="JN3" s="13" t="s">
        <v>30</v>
      </c>
      <c r="JO3" s="13" t="s">
        <v>15</v>
      </c>
      <c r="JP3" s="13" t="s">
        <v>16</v>
      </c>
      <c r="JQ3" s="13" t="s">
        <v>10</v>
      </c>
      <c r="JR3" s="13" t="s">
        <v>142</v>
      </c>
      <c r="JS3" s="13" t="s">
        <v>30</v>
      </c>
      <c r="JT3" s="13" t="s">
        <v>15</v>
      </c>
      <c r="JU3" s="13" t="s">
        <v>16</v>
      </c>
      <c r="JV3" s="13" t="s">
        <v>10</v>
      </c>
      <c r="JW3" s="13" t="s">
        <v>142</v>
      </c>
      <c r="JX3" s="13" t="s">
        <v>30</v>
      </c>
      <c r="JY3" s="13" t="s">
        <v>15</v>
      </c>
      <c r="JZ3" s="13" t="s">
        <v>16</v>
      </c>
      <c r="KA3" s="13" t="s">
        <v>10</v>
      </c>
      <c r="KB3" s="13" t="s">
        <v>142</v>
      </c>
      <c r="KC3" s="13" t="s">
        <v>30</v>
      </c>
      <c r="KD3" s="7"/>
      <c r="KE3" s="7"/>
      <c r="KF3" s="7"/>
      <c r="KG3" s="7"/>
      <c r="KH3" s="7"/>
      <c r="KI3" s="7"/>
      <c r="KJ3" s="7"/>
      <c r="KK3" s="7"/>
      <c r="KL3" s="7"/>
      <c r="KM3" s="7"/>
      <c r="KN3" s="7"/>
      <c r="KO3" s="7"/>
      <c r="KP3" s="7"/>
      <c r="KQ3" s="7"/>
      <c r="KR3" s="14" t="s">
        <v>15</v>
      </c>
      <c r="KS3" s="14" t="s">
        <v>16</v>
      </c>
      <c r="KT3" s="14" t="s">
        <v>10</v>
      </c>
      <c r="KU3" s="14" t="s">
        <v>142</v>
      </c>
      <c r="KV3" s="14" t="s">
        <v>30</v>
      </c>
      <c r="KW3" s="14" t="s">
        <v>15</v>
      </c>
      <c r="KX3" s="14" t="s">
        <v>16</v>
      </c>
      <c r="KY3" s="14" t="s">
        <v>10</v>
      </c>
      <c r="KZ3" s="14" t="s">
        <v>142</v>
      </c>
      <c r="LA3" s="14" t="s">
        <v>30</v>
      </c>
      <c r="LB3" s="14" t="s">
        <v>15</v>
      </c>
      <c r="LC3" s="14" t="s">
        <v>16</v>
      </c>
      <c r="LD3" s="14" t="s">
        <v>10</v>
      </c>
      <c r="LE3" s="14" t="s">
        <v>142</v>
      </c>
      <c r="LF3" s="14" t="s">
        <v>30</v>
      </c>
      <c r="LG3" s="14" t="s">
        <v>15</v>
      </c>
      <c r="LH3" s="14" t="s">
        <v>16</v>
      </c>
      <c r="LI3" s="14" t="s">
        <v>10</v>
      </c>
      <c r="LJ3" s="14" t="s">
        <v>142</v>
      </c>
      <c r="LK3" s="14" t="s">
        <v>30</v>
      </c>
      <c r="LL3" s="6"/>
      <c r="LM3" s="6"/>
      <c r="LN3" s="6"/>
      <c r="LO3" s="6"/>
      <c r="LP3" s="6"/>
      <c r="LQ3" s="6"/>
      <c r="LR3" s="6"/>
      <c r="LS3" s="6"/>
      <c r="LT3" s="6"/>
      <c r="LU3" s="6"/>
      <c r="LV3" s="6"/>
      <c r="LW3" s="6"/>
      <c r="LX3" s="6"/>
      <c r="LY3" s="6"/>
      <c r="LZ3" s="13" t="s">
        <v>15</v>
      </c>
      <c r="MA3" s="13" t="s">
        <v>16</v>
      </c>
      <c r="MB3" s="13" t="s">
        <v>10</v>
      </c>
      <c r="MC3" s="13" t="s">
        <v>142</v>
      </c>
      <c r="MD3" s="13" t="s">
        <v>30</v>
      </c>
      <c r="ME3" s="13" t="s">
        <v>15</v>
      </c>
      <c r="MF3" s="13" t="s">
        <v>16</v>
      </c>
      <c r="MG3" s="13" t="s">
        <v>10</v>
      </c>
      <c r="MH3" s="13" t="s">
        <v>142</v>
      </c>
      <c r="MI3" s="13" t="s">
        <v>30</v>
      </c>
      <c r="MJ3" s="13" t="s">
        <v>15</v>
      </c>
      <c r="MK3" s="13" t="s">
        <v>16</v>
      </c>
      <c r="ML3" s="13" t="s">
        <v>10</v>
      </c>
      <c r="MM3" s="13" t="s">
        <v>142</v>
      </c>
      <c r="MN3" s="13" t="s">
        <v>30</v>
      </c>
      <c r="MO3" s="13" t="s">
        <v>15</v>
      </c>
      <c r="MP3" s="13" t="s">
        <v>16</v>
      </c>
      <c r="MQ3" s="13" t="s">
        <v>10</v>
      </c>
      <c r="MR3" s="13" t="s">
        <v>142</v>
      </c>
      <c r="MS3" s="13" t="s">
        <v>30</v>
      </c>
      <c r="MT3" s="7"/>
      <c r="MU3" s="7"/>
      <c r="MV3" s="7"/>
      <c r="MW3" s="7"/>
      <c r="MX3" s="7"/>
      <c r="MY3" s="7"/>
      <c r="MZ3" s="7"/>
      <c r="NA3" s="7"/>
      <c r="NB3" s="7"/>
      <c r="NC3" s="7"/>
      <c r="ND3" s="7"/>
      <c r="NE3" s="7"/>
      <c r="NF3" s="7"/>
      <c r="NG3" s="7"/>
      <c r="NH3" s="14" t="s">
        <v>15</v>
      </c>
      <c r="NI3" s="14" t="s">
        <v>16</v>
      </c>
      <c r="NJ3" s="14" t="s">
        <v>10</v>
      </c>
      <c r="NK3" s="14" t="s">
        <v>142</v>
      </c>
      <c r="NL3" s="14" t="s">
        <v>30</v>
      </c>
      <c r="NM3" s="14" t="s">
        <v>15</v>
      </c>
      <c r="NN3" s="14" t="s">
        <v>16</v>
      </c>
      <c r="NO3" s="14" t="s">
        <v>10</v>
      </c>
      <c r="NP3" s="14" t="s">
        <v>142</v>
      </c>
      <c r="NQ3" s="14" t="s">
        <v>30</v>
      </c>
      <c r="NR3" s="14" t="s">
        <v>15</v>
      </c>
      <c r="NS3" s="14" t="s">
        <v>16</v>
      </c>
      <c r="NT3" s="14" t="s">
        <v>10</v>
      </c>
      <c r="NU3" s="14" t="s">
        <v>142</v>
      </c>
      <c r="NV3" s="14" t="s">
        <v>30</v>
      </c>
      <c r="NW3" s="14" t="s">
        <v>15</v>
      </c>
      <c r="NX3" s="14" t="s">
        <v>16</v>
      </c>
      <c r="NY3" s="14" t="s">
        <v>10</v>
      </c>
      <c r="NZ3" s="14" t="s">
        <v>142</v>
      </c>
      <c r="OA3" s="14" t="s">
        <v>30</v>
      </c>
      <c r="OB3" s="6"/>
      <c r="OC3" s="6"/>
      <c r="OD3" s="6"/>
      <c r="OE3" s="6"/>
      <c r="OF3" s="6"/>
      <c r="OG3" s="6"/>
      <c r="OH3" s="6"/>
      <c r="OI3" s="6"/>
      <c r="OJ3" s="6"/>
      <c r="OK3" s="6"/>
      <c r="OL3" s="6"/>
      <c r="OM3" s="6"/>
      <c r="ON3" s="6"/>
      <c r="OO3" s="6"/>
      <c r="OP3" s="13" t="s">
        <v>15</v>
      </c>
      <c r="OQ3" s="13" t="s">
        <v>16</v>
      </c>
      <c r="OR3" s="13" t="s">
        <v>10</v>
      </c>
      <c r="OS3" s="13" t="s">
        <v>142</v>
      </c>
      <c r="OT3" s="13" t="s">
        <v>30</v>
      </c>
      <c r="OU3" s="13" t="s">
        <v>15</v>
      </c>
      <c r="OV3" s="13" t="s">
        <v>16</v>
      </c>
      <c r="OW3" s="13" t="s">
        <v>10</v>
      </c>
      <c r="OX3" s="13" t="s">
        <v>142</v>
      </c>
      <c r="OY3" s="13" t="s">
        <v>30</v>
      </c>
      <c r="OZ3" s="13" t="s">
        <v>15</v>
      </c>
      <c r="PA3" s="13" t="s">
        <v>16</v>
      </c>
      <c r="PB3" s="13" t="s">
        <v>10</v>
      </c>
      <c r="PC3" s="13" t="s">
        <v>142</v>
      </c>
      <c r="PD3" s="13" t="s">
        <v>30</v>
      </c>
      <c r="PE3" s="13" t="s">
        <v>15</v>
      </c>
      <c r="PF3" s="13" t="s">
        <v>16</v>
      </c>
      <c r="PG3" s="13" t="s">
        <v>10</v>
      </c>
      <c r="PH3" s="13" t="s">
        <v>142</v>
      </c>
      <c r="PI3" s="13" t="s">
        <v>30</v>
      </c>
      <c r="PJ3" s="7"/>
      <c r="PK3" s="7"/>
      <c r="PL3" s="7"/>
      <c r="PM3" s="7"/>
      <c r="PN3" s="7"/>
      <c r="PO3" s="7"/>
      <c r="PP3" s="7"/>
      <c r="PQ3" s="7"/>
      <c r="PR3" s="7"/>
      <c r="PS3" s="7"/>
      <c r="PT3" s="7"/>
      <c r="PU3" s="7"/>
      <c r="PV3" s="7"/>
      <c r="PW3" s="7"/>
      <c r="PX3" s="14" t="s">
        <v>15</v>
      </c>
      <c r="PY3" s="14" t="s">
        <v>16</v>
      </c>
      <c r="PZ3" s="14" t="s">
        <v>10</v>
      </c>
      <c r="QA3" s="14" t="s">
        <v>142</v>
      </c>
      <c r="QB3" s="14" t="s">
        <v>30</v>
      </c>
      <c r="QC3" s="14" t="s">
        <v>15</v>
      </c>
      <c r="QD3" s="14" t="s">
        <v>16</v>
      </c>
      <c r="QE3" s="14" t="s">
        <v>10</v>
      </c>
      <c r="QF3" s="14" t="s">
        <v>142</v>
      </c>
      <c r="QG3" s="14" t="s">
        <v>30</v>
      </c>
      <c r="QH3" s="14" t="s">
        <v>15</v>
      </c>
      <c r="QI3" s="14" t="s">
        <v>16</v>
      </c>
      <c r="QJ3" s="14" t="s">
        <v>10</v>
      </c>
      <c r="QK3" s="14" t="s">
        <v>142</v>
      </c>
      <c r="QL3" s="14" t="s">
        <v>30</v>
      </c>
      <c r="QM3" s="14" t="s">
        <v>15</v>
      </c>
      <c r="QN3" s="14" t="s">
        <v>16</v>
      </c>
      <c r="QO3" s="14" t="s">
        <v>10</v>
      </c>
      <c r="QP3" s="14" t="s">
        <v>142</v>
      </c>
      <c r="QQ3" s="14" t="s">
        <v>30</v>
      </c>
      <c r="QR3" s="6"/>
      <c r="QS3" s="6"/>
      <c r="QT3" s="6"/>
      <c r="QU3" s="6"/>
      <c r="QV3" s="6"/>
      <c r="QW3" s="6"/>
      <c r="QX3" s="6"/>
      <c r="QY3" s="6"/>
      <c r="QZ3" s="6"/>
      <c r="RA3" s="6"/>
      <c r="RB3" s="6"/>
      <c r="RC3" s="6"/>
      <c r="RD3" s="6"/>
      <c r="RE3" s="6"/>
      <c r="RF3" s="13" t="s">
        <v>15</v>
      </c>
      <c r="RG3" s="13" t="s">
        <v>16</v>
      </c>
      <c r="RH3" s="13" t="s">
        <v>10</v>
      </c>
      <c r="RI3" s="13" t="s">
        <v>142</v>
      </c>
      <c r="RJ3" s="13" t="s">
        <v>30</v>
      </c>
      <c r="RK3" s="13" t="s">
        <v>15</v>
      </c>
      <c r="RL3" s="13" t="s">
        <v>16</v>
      </c>
      <c r="RM3" s="13" t="s">
        <v>10</v>
      </c>
      <c r="RN3" s="13" t="s">
        <v>142</v>
      </c>
      <c r="RO3" s="13" t="s">
        <v>30</v>
      </c>
      <c r="RP3" s="13" t="s">
        <v>15</v>
      </c>
      <c r="RQ3" s="13" t="s">
        <v>16</v>
      </c>
      <c r="RR3" s="13" t="s">
        <v>10</v>
      </c>
      <c r="RS3" s="13" t="s">
        <v>142</v>
      </c>
      <c r="RT3" s="13" t="s">
        <v>30</v>
      </c>
      <c r="RU3" s="13" t="s">
        <v>15</v>
      </c>
      <c r="RV3" s="13" t="s">
        <v>16</v>
      </c>
      <c r="RW3" s="13" t="s">
        <v>10</v>
      </c>
      <c r="RX3" s="13" t="s">
        <v>142</v>
      </c>
      <c r="RY3" s="13" t="s">
        <v>30</v>
      </c>
      <c r="RZ3" s="7"/>
      <c r="SA3" s="7"/>
      <c r="SB3" s="7"/>
      <c r="SC3" s="7"/>
      <c r="SD3" s="7"/>
      <c r="SE3" s="7"/>
      <c r="SF3" s="7"/>
      <c r="SG3" s="7"/>
      <c r="SH3" s="7"/>
      <c r="SI3" s="7"/>
      <c r="SJ3" s="7"/>
      <c r="SK3" s="7"/>
      <c r="SL3" s="7"/>
      <c r="SM3" s="7"/>
      <c r="SN3" s="14" t="s">
        <v>15</v>
      </c>
      <c r="SO3" s="14" t="s">
        <v>16</v>
      </c>
      <c r="SP3" s="14" t="s">
        <v>10</v>
      </c>
      <c r="SQ3" s="14" t="s">
        <v>142</v>
      </c>
      <c r="SR3" s="14" t="s">
        <v>30</v>
      </c>
      <c r="SS3" s="14" t="s">
        <v>15</v>
      </c>
      <c r="ST3" s="14" t="s">
        <v>16</v>
      </c>
      <c r="SU3" s="14" t="s">
        <v>10</v>
      </c>
      <c r="SV3" s="14" t="s">
        <v>142</v>
      </c>
      <c r="SW3" s="14" t="s">
        <v>30</v>
      </c>
      <c r="SX3" s="14" t="s">
        <v>15</v>
      </c>
      <c r="SY3" s="14" t="s">
        <v>16</v>
      </c>
      <c r="SZ3" s="14" t="s">
        <v>10</v>
      </c>
      <c r="TA3" s="14" t="s">
        <v>142</v>
      </c>
      <c r="TB3" s="14" t="s">
        <v>30</v>
      </c>
      <c r="TC3" s="14" t="s">
        <v>56</v>
      </c>
      <c r="TD3" s="14"/>
      <c r="TE3" s="14"/>
      <c r="TF3" s="14"/>
      <c r="TG3" s="14"/>
      <c r="TH3" s="14"/>
      <c r="TI3" s="14"/>
      <c r="TJ3" s="14"/>
      <c r="TK3" s="14"/>
      <c r="TL3" s="14"/>
      <c r="TM3" s="14"/>
      <c r="TN3" s="14"/>
    </row>
    <row r="4" spans="1:534" x14ac:dyDescent="0.2">
      <c r="A4" s="4" cm="1">
        <f t="array" ref="A4">IF(AND(H4&lt;&gt;"",H4&lt;&gt;"No DD"),SUMPRODUCT((H$4:H$16&lt;&gt;"")*(H$4:H$16&lt;&gt;"No DD")*(E$4:E$16&gt;E4))+1,IF(H4="No DD",SUMPRODUCT((H$4:H$16="No DD")*(E$4:E$16&gt;E4))+1+SUMPRODUCT((H$4:H$16&lt;&gt;"")*(H$4:H$16&lt;&gt;"No DD")),""))</f>
        <v>1</v>
      </c>
      <c r="B4" s="5" t="s">
        <v>100</v>
      </c>
      <c r="C4" s="4" t="s">
        <v>8</v>
      </c>
      <c r="D4" s="4" t="s">
        <v>99</v>
      </c>
      <c r="E4" s="9">
        <f t="shared" ref="E4:E15" si="0">SUM(J4,L4,N4)</f>
        <v>92.9</v>
      </c>
      <c r="F4" s="3" t="str">
        <f t="shared" ref="F4:F15" si="1">IF(OR(AND(AG4&gt;=AQ$18,AG4&lt;&gt;"",AI4&gt;=AQ$22,AI4&lt;&gt;"",AF4=""),AND(AJ4&gt;=AQ$18,AJ4&lt;&gt;"",AL4&gt;=AQ$22,AL4&lt;&gt;"",AF4=""),AND(AN4&gt;=AQ$18,AN4&lt;&gt;"",AP4&gt;=AQ$22,AP4&lt;&gt;"",AF4=""),AND(BH4&gt;=BR$18,BH4&lt;&gt;"",BJ4&gt;=BR$22,BJ4&lt;&gt;"",BG4=""),AND(BK4&gt;=BR$18,BK4&lt;&gt;"",BM4&gt;=BR$22,BM4&lt;&gt;"",BG4=""),AND(BO4&gt;=BR$18,BO4&lt;&gt;"",BQ4&gt;=BR$22,BQ4&lt;&gt;"",BG4=""),AND(CI4&gt;=CS$18,CI4&lt;&gt;"",CK4&gt;=CS$22,CK4&lt;&gt;"",CH4=""),AND(CL4&gt;=CS$18,CL4&lt;&gt;"",CN4&gt;=CS$22,CN4&lt;&gt;"",CH4=""),AND(CP4&gt;=CS$18,CP4&lt;&gt;"",CR4&gt;=CS$22,CR4&lt;&gt;"",CH4=""),AND(DP4&gt;=EC$18,DP4&lt;&gt;"",DR4&gt;=EC$22,DR4&lt;&gt;""),AND(DS4&gt;=EC$18,DS4&lt;&gt;"",DU4&gt;=EC$22,DU4&lt;&gt;""),AND(DW4&gt;=EC$18,DW4&lt;&gt;"",DY4&gt;=EC$22,DY4&lt;&gt;""),AND(DZ4&gt;=EC$18,DZ4&lt;&gt;"",EB4&gt;=EC$22,EB4&lt;&gt;""),AND(EX4&gt;=FK$18,EX4&lt;&gt;"",EZ4&gt;=FK$22,EZ4&lt;&gt;""),AND(FA4&gt;=FK$18,FA4&lt;&gt;"",FC4&gt;=FK$22,FC4&lt;&gt;""),AND(FE4&gt;=FK$18,FE4&lt;&gt;"",FG4&gt;=FK$22,FG4&lt;&gt;""),AND(FH4&gt;=FK$18,FH4&lt;&gt;"",FJ4&gt;=FK$22,FJ4&lt;&gt;""),AND(GF4&gt;=GS$18,GF4&lt;&gt;"",GH4&gt;=GS$22,GH4&lt;&gt;""),AND(GI4&gt;=GS$18,GI4&lt;&gt;"",GK4&gt;=GS$22,GK4&lt;&gt;""),AND(GM4&gt;=GS$18,GM4&lt;&gt;"",GO4&gt;=GS$22,GO4&lt;&gt;""),AND(GP4&gt;=GS$18,GP4&lt;&gt;"",GR4&gt;=GS$22,GR4&lt;&gt;""),AND(HN4&gt;=IA$18,HN4&lt;&gt;"",HP4&gt;=IA$22,HP4&lt;&gt;""),AND(HQ4&gt;=IA$18,HQ4&lt;&gt;"",HS4&gt;=IA$22,HS4&lt;&gt;""),AND(HU4&gt;=IA$18,HU4&lt;&gt;"",HW4&gt;=IA$22,HW4&lt;&gt;""),AND(HX4&gt;=IA$18,HX4&lt;&gt;"",HZ4&gt;=IA$22,HZ4&lt;&gt;""),AND(IV4&gt;=JI$18,IV4&lt;&gt;"",IX4&gt;=JI$22,IX4&lt;&gt;""),AND(IY4&gt;=JI$18,IY4&lt;&gt;"",JA4&gt;=JI$22,JA4&lt;&gt;""),AND(JC4&gt;=JI$18,JC4&lt;&gt;"",JE4&gt;=JI$22,JE4&lt;&gt;""),AND(JF4&gt;=JI$18,JF4&lt;&gt;"",JH4&gt;=JI$22,JH4&lt;&gt;""),AND(KD4&gt;=KQ$18,KD4&lt;&gt;"",KF4&gt;=KQ$22,KF4&lt;&gt;""),AND(KG4&gt;=KQ$18,KG4&lt;&gt;"",KI4&gt;=KQ$22,KI4&lt;&gt;""),AND(KK4&gt;=KQ$18,KK4&lt;&gt;"",KM4&gt;=KQ$22,KM4&lt;&gt;""),AND(KN4&gt;=KQ$18,KN4&lt;&gt;"",KP4&gt;=KQ$22,KP4&lt;&gt;""),AND(LL4&gt;=LY$18,LL4&lt;&gt;"",LN4&gt;=LY$22,LN4&lt;&gt;""),AND(LO4&gt;=LY$18,LO4&lt;&gt;"",LQ4&gt;=LY$22,LQ4&lt;&gt;""),AND(LS4&gt;=LY$18,LS4&lt;&gt;"",LU4&gt;=LY$22,LU4&lt;&gt;""),AND(LV4&gt;=LY$18,LV4&lt;&gt;"",LX4&gt;=LY$22,LX4&lt;&gt;""),AND(MT4&gt;=NG$18,MT4&lt;&gt;"",MV4&gt;=NG$22,MV4&lt;&gt;""),AND(MW4&gt;=NG$18,MW4&lt;&gt;"",MY4&gt;=NG$22,MY4&lt;&gt;""),AND(NA4&gt;=NG$18,NA4&lt;&gt;"",NC4&gt;=NG$22,NC4&lt;&gt;""),AND(ND4&gt;=NG$18,ND4&lt;&gt;"",NF4&gt;=NG$22,NF4&lt;&gt;""),AND(OB4&gt;=OO$18,OB4&lt;&gt;"",OD4&gt;=OO$22,OD4&lt;&gt;""),AND(OE4&gt;=OO$18,OE4&lt;&gt;"",OG4&gt;=OO$22,OG4&lt;&gt;""),AND(OI4&gt;=OO$18,OI4&lt;&gt;"",OK4&gt;=OO$22,OK4&lt;&gt;""),AND(OL4&gt;=OO$18,OL4&lt;&gt;"",ON4&gt;=OO$22,ON4&lt;&gt;""),AND(PJ4&gt;=PW$18,PJ4&lt;&gt;"",PL4&gt;=PW$22,PL4&lt;&gt;""),AND(PM4&gt;=PW$18,PM4&lt;&gt;"",PO4&gt;=PW$22,PO4&lt;&gt;""),AND(PQ4&gt;=PW$18,PQ4&lt;&gt;"",PS4&gt;=PW$22,PS4&lt;&gt;""),AND(PT4&gt;=PW$18,PT4&lt;&gt;"",PV4&gt;=PW$22,PV4&lt;&gt;""),AND(QR4&gt;=RE$18,QR4&lt;&gt;"",QT4&gt;=RE$22,QT4&lt;&gt;""),AND(QU4&gt;=RE$18,QU4&lt;&gt;"",QW4&gt;=RE$22,QW4&lt;&gt;""),AND(QY4&gt;=RE$18,QY4&lt;&gt;"",RA4&gt;=RE$22,RA4&lt;&gt;""),AND(RB4&gt;=RE$18,RB4&lt;&gt;"",RD4&gt;=RE$22,RD4&lt;&gt;""),AND(RZ4&gt;=SM$18,RZ4&lt;&gt;"",SB4&gt;=SM$22,SB4&lt;&gt;""),AND(SC4&gt;=SM$18,SC4&lt;&gt;"",SE4&gt;=SM$22,SE4&lt;&gt;""),AND(SG4&gt;=SM$18,SG4&lt;&gt;"",SI4&gt;=SM$22,SI4&lt;&gt;""),AND(SJ4&gt;=SM$18,SJ4&lt;&gt;"",SL4&gt;=SM$22,SL4&lt;&gt;"")),"P","")</f>
        <v>P</v>
      </c>
      <c r="G4" s="3" t="str">
        <f t="shared" ref="G4:G15" si="2">IF(OR(AND(AI4&gt;=AQ$22,AI4&lt;&gt;"",AF4=""),AND(AL4&gt;=AQ$22,AL4&lt;&gt;"",AF4=""),AND(AP4&gt;=AQ$22,AP4&lt;&gt;"",AF4=""),AND(BJ4&gt;=BR$22,BJ4&lt;&gt;"",BG4=""),AND(BM4&gt;=BR$22,BM4&lt;&gt;"",BG4=""),AND(BQ4&gt;=BR$22,BQ4&lt;&gt;"",BG4=""),AND(CK4&gt;=CS$22,CK4&lt;&gt;"",CH4=""),AND(CN4&gt;=CS$22,CN4&lt;&gt;"",CH4=""),AND(CR4&gt;=CS$22,CR4&lt;&gt;"",CH4=""),AND(DR4&gt;=EC$22,DR4&lt;&gt;""),AND(DU4&gt;=EC$22,DU4&lt;&gt;""),AND(DY4&gt;=EC$22,DY4&lt;&gt;""),AND(EB4&gt;=EC$22,EB4&lt;&gt;""),AND(EZ4&gt;=FK$22,EZ4&lt;&gt;""),AND(FC4&gt;=FK$22,FC4&lt;&gt;""),AND(FG4&gt;=FK$22,FG4&lt;&gt;""),AND(FJ4&gt;=FK$22,FJ4&lt;&gt;""),AND(GH4&gt;=GS$22,GH4&lt;&gt;""),AND(GK4&gt;=GS$22,GK4&lt;&gt;""),AND(GO4&gt;=GS$22,GO4&lt;&gt;""),AND(GR4&gt;=GS$22,GR4&lt;&gt;""),AND(HP4&gt;=IA$22,HP4&lt;&gt;""),AND(HS4&gt;=IA$22,HS4&lt;&gt;""),AND(HW4&gt;=IA$22,HW4&lt;&gt;""),AND(HZ4&gt;=IA$22,HZ4&lt;&gt;""),AND(IX4&gt;=JI$22,IX4&lt;&gt;""),AND(JA4&gt;=JI$22,JA4&lt;&gt;""),AND(JE4&gt;=JI$22,JE4&lt;&gt;""),AND(JH4&gt;=JI$22,JH4&lt;&gt;""),AND(KF4&gt;=KQ$22,KF4&lt;&gt;""),AND(KI4&gt;=KQ$22,KI4&lt;&gt;""),AND(KM4&gt;=KQ$22,KM4&lt;&gt;""),AND(KP4&gt;=KQ$22,KP4&lt;&gt;""),AND(LN4&gt;=LY$22,LN4&lt;&gt;""),AND(LQ4&gt;=LY$22,LQ4&lt;&gt;""),AND(LU4&gt;=LY$22,LU4&lt;&gt;""),AND(LX4&gt;=LY$22,LX4&lt;&gt;""),AND(MV4&gt;=NG$22,MV4&lt;&gt;""),AND(MY4&gt;=NG$22,MY4&lt;&gt;""),AND(NC4&gt;=NG$22,NC4&lt;&gt;""),AND(NF4&gt;=NG$22,NF4&lt;&gt;""),AND(OD4&gt;=OO$22,OD4&lt;&gt;""),AND(OG4&gt;=OO$22,OG4&lt;&gt;""),AND(OK4&gt;=OO$22,OK4&lt;&gt;""),AND(ON4&gt;=OO$22,ON4&lt;&gt;""),AND(PL4&gt;=PW$22,PL4&lt;&gt;""),AND(PO4&gt;=PW$22,PO4&lt;&gt;""),AND(PS4&gt;=PW$22,PS4&lt;&gt;""),AND(PV4&gt;=PW$22,PV4&lt;&gt;""),AND(QT4&gt;=RE$22,QT4&lt;&gt;""),AND(QW4&gt;=RE$22,QW4&lt;&gt;""),AND(RA4&gt;=RE$22,RA4&lt;&gt;""),AND(RD4&gt;=RE$22,RD4&lt;&gt;""),AND(SB4&gt;=SM$22,SB4&lt;&gt;""),AND(SE4&gt;=SM$22,SE4&lt;&gt;""),AND(SI4&gt;=SM$22,SI4&lt;&gt;""),AND(SL4&gt;=SM$22,SL4&lt;&gt;"")),"P","")</f>
        <v>P</v>
      </c>
      <c r="H4" s="37" t="str">
        <f t="shared" ref="H4:H15" si="3">IF(AND(G4="P",F4=""),"No DD",IF(OR(AND(AG4&gt;=AQ$21,AG4&lt;&gt;"",AI4&gt;=AQ$25,AI4&lt;&gt;"",AF4=""),AND(AJ4&gt;=AQ$21,AJ4&lt;&gt;"",AL4&gt;=AQ$25,AL4&lt;&gt;"",AF4=""),AND(AN4&gt;=AQ$21,AN4&lt;&gt;"",AP4&gt;=AQ$25,AP4&lt;&gt;"",AF4=""),AND(BH4&gt;=BR$21,BH4&lt;&gt;"",BJ4&gt;=BR$25,BJ4&lt;&gt;"",BG4=""),AND(BK4&gt;=BR$21,BK4&lt;&gt;"",BM4&gt;=BR$25,BM4&lt;&gt;"",BG4=""),AND(BO4&gt;=BR$21,BO4&lt;&gt;"",BQ4&gt;=BR$25,BQ4&lt;&gt;"",BG4=""),AND(CI4&gt;=CS$21,CI4&lt;&gt;"",CK4&gt;=CS$25,CK4&lt;&gt;"",CH4=""),AND(CL4&gt;=CS$21,CL4&lt;&gt;"",CN4&gt;=CS$25,CN4&lt;&gt;"",CH4=""),AND(CP4&gt;=CS$21,CP4&lt;&gt;"",CR4&gt;=CS$25,CR4&lt;&gt;"",CH4=""),AND(DP4&gt;=EC$21,DP4&lt;&gt;"",DR4&gt;=EC$25,DR4&lt;&gt;""),AND(DS4&gt;=EC$21,DS4&lt;&gt;"",DU4&gt;=EC$25,DU4&lt;&gt;""),AND(DW4&gt;=EC$21,DW4&lt;&gt;"",DY4&gt;=EC$25,DY4&lt;&gt;""),AND(DZ4&gt;=EC$21,DZ4&lt;&gt;"",EB4&gt;=EC$25,EB4&lt;&gt;""),AND(EX4&gt;=FK$21,EX4&lt;&gt;"",EZ4&gt;=FK$25,EZ4&lt;&gt;""),AND(FA4&gt;=FK$21,FA4&lt;&gt;"",FC4&gt;=FK$25,FC4&lt;&gt;""),AND(FE4&gt;=FK$21,FE4&lt;&gt;"",FG4&gt;=FK$25,FG4&lt;&gt;""),AND(FH4&gt;=FK$21,FH4&lt;&gt;"",FJ4&gt;=FK$25,FJ4&lt;&gt;""),AND(GF4&gt;=GS$21,GF4&lt;&gt;"",GH4&gt;=GS$25,GH4&lt;&gt;""),AND(GI4&gt;=GS$21,GI4&lt;&gt;"",GK4&gt;=GS$25,GK4&lt;&gt;""),AND(GM4&gt;=GS$21,GM4&lt;&gt;"",GO4&gt;=GS$25,GO4&lt;&gt;""),AND(GP4&gt;=GS$21,GP4&lt;&gt;"",GR4&gt;=GS$25,GR4&lt;&gt;""),AND(HN4&gt;=IA$21,HN4&lt;&gt;"",HP4&gt;=IA$25,HP4&lt;&gt;""),AND(HQ4&gt;=IA$21,HQ4&lt;&gt;"",HS4&gt;=IA$25,HS4&lt;&gt;""),AND(HU4&gt;=IA$21,HU4&lt;&gt;"",HW4&gt;=IA$25,HW4&lt;&gt;""),AND(HX4&gt;=IA$21,HX4&lt;&gt;"",HZ4&gt;=IA$25,HZ4&lt;&gt;""),AND(IV4&gt;=JI$21,IV4&lt;&gt;"",IX4&gt;=JI$25,IX4&lt;&gt;""),AND(IY4&gt;=JI$21,IY4&lt;&gt;"",JA4&gt;=JI$25,JA4&lt;&gt;""),AND(JC4&gt;=JI$21,JC4&lt;&gt;"",JE4&gt;=JI$25,JE4&lt;&gt;""),AND(JF4&gt;=JI$21,JF4&lt;&gt;"",JH4&gt;=JI$25,JH4&lt;&gt;""),AND(KD4&gt;=KQ$21,KD4&lt;&gt;"",KF4&gt;=KQ$25,KF4&lt;&gt;""),AND(KG4&gt;=KQ$21,KG4&lt;&gt;"",KI4&gt;=KQ$25,KI4&lt;&gt;""),AND(KK4&gt;=KQ$21,KK4&lt;&gt;"",KM4&gt;=KQ$25,KM4&lt;&gt;""),AND(KN4&gt;=KQ$21,KN4&lt;&gt;"",KP4&gt;=KQ$25,KP4&lt;&gt;""),AND(LL4&gt;=LY$21,LL4&lt;&gt;"",LN4&gt;=LY$25,LN4&lt;&gt;""),AND(LO4&gt;=LY$21,LO4&lt;&gt;"",LQ4&gt;=LY$25,LQ4&lt;&gt;""),AND(LS4&gt;=LY$21,LS4&lt;&gt;"",LU4&gt;=LY$25,LU4&lt;&gt;""),AND(LV4&gt;=LY$21,LV4&lt;&gt;"",LX4&gt;=LY$25,LX4&lt;&gt;""),AND(MT4&gt;=NG$21,MT4&lt;&gt;"",MV4&gt;=NG$25,MV4&lt;&gt;""),AND(MW4&gt;=NG$21,MW4&lt;&gt;"",MY4&gt;=NG$25,MY4&lt;&gt;""),AND(NA4&gt;=NG$21,NA4&lt;&gt;"",NC4&gt;=NG$25,NC4&lt;&gt;""),AND(ND4&gt;=NG$21,ND4&lt;&gt;"",NF4&gt;=NG$25,NF4&lt;&gt;""),AND(OB4&gt;=OO$21,OB4&lt;&gt;"",OD4&gt;=OO$25,OD4&lt;&gt;""),AND(OE4&gt;=OO$21,OE4&lt;&gt;"",OG4&gt;=OO$25,OG4&lt;&gt;""),AND(OI4&gt;=OO$21,OI4&lt;&gt;"",OK4&gt;=OO$25,OK4&lt;&gt;""),AND(OL4&gt;=OO$21,OL4&lt;&gt;"",ON4&gt;=OO$25,ON4&lt;&gt;""),AND(PJ4&gt;=PW$21,PJ4&lt;&gt;"",PL4&gt;=PW$25,PL4&lt;&gt;""),AND(PM4&gt;=PW$21,PM4&lt;&gt;"",PO4&gt;=PW$25,PO4&lt;&gt;""),AND(PQ4&gt;=PW$21,PQ4&lt;&gt;"",PS4&gt;=PW$25,PS4&lt;&gt;""),AND(PT4&gt;=PW$21,PT4&lt;&gt;"",PV4&gt;=PW$25,PV4&lt;&gt;""),AND(QR4&gt;=RE$21,QR4&lt;&gt;"",QT4&gt;=RE$25,QT4&lt;&gt;""),AND(QU4&gt;=RE$21,QU4&lt;&gt;"",QW4&gt;=RE$25,QW4&lt;&gt;""),AND(QY4&gt;=RE$21,QY4&lt;&gt;"",RA4&gt;=RE$25,RA4&lt;&gt;""),AND(RB4&gt;=RE$21,RB4&lt;&gt;"",RD4&gt;=RE$25,RD4&lt;&gt;""),AND(RZ4&gt;=SM$21,RZ4&lt;&gt;"",SB4&gt;=SM$25,SB4&lt;&gt;""),AND(SC4&gt;=SM$21,SC4&lt;&gt;"",SE4&gt;=SM$25,SE4&lt;&gt;""),AND(SG4&gt;=SM$21,SG4&lt;&gt;"",SI4&gt;=SM$25,SI4&lt;&gt;""),AND(SJ4&gt;=SM$21,SJ4&lt;&gt;"",SL4&gt;=SM$25,SL4&lt;&gt;"")),"Merit",IF(OR(AND(AG4&gt;=AQ$20,AG4&lt;&gt;"",AI4&gt;=AQ$24,AI4&lt;&gt;"",AF4=""),AND(AJ4&gt;=AQ$20,AJ4&lt;&gt;"",AL4&gt;=AQ$24,AL4&lt;&gt;"",AF4=""),AND(AN4&gt;=AQ$20,AN4&lt;&gt;"",AP4&gt;=AQ$24,AP4&lt;&gt;"",AF4=""),AND(BH4&gt;=BR$20,BH4&lt;&gt;"",BJ4&gt;=BR$24,BJ4&lt;&gt;"",BG4=""),AND(BK4&gt;=BR$20,BK4&lt;&gt;"",BM4&gt;=BR$24,BM4&lt;&gt;"",BG4=""),AND(BO4&gt;=BR$20,BO4&lt;&gt;"",BQ4&gt;=BR$24,BQ4&lt;&gt;"",BG4=""),AND(CI4&gt;=CS$20,CI4&lt;&gt;"",CK4&gt;=CS$24,CK4&lt;&gt;"",CH4=""),AND(CL4&gt;=CS$20,CL4&lt;&gt;"",CN4&gt;=CS$24,CN4&lt;&gt;"",CH4=""),AND(CP4&gt;=CS$20,CP4&lt;&gt;"",CR4&gt;=CS$24,CR4&lt;&gt;"",CH4=""),AND(DP4&gt;=EC$20,DP4&lt;&gt;"",DR4&gt;=EC$24,DR4&lt;&gt;""),AND(DS4&gt;=EC$20,DS4&lt;&gt;"",DU4&gt;=EC$24,DU4&lt;&gt;""),AND(DW4&gt;=EC$20,DW4&lt;&gt;"",DY4&gt;=EC$24,DY4&lt;&gt;""),AND(DZ4&gt;=EC$20,DZ4&lt;&gt;"",EB4&gt;=EC$24,EB4&lt;&gt;""),AND(EX4&gt;=FK$20,EX4&lt;&gt;"",EZ4&gt;=FK$24,EZ4&lt;&gt;""),AND(FA4&gt;=FK$20,FA4&lt;&gt;"",FC4&gt;=FK$24,FC4&lt;&gt;""),AND(FE4&gt;=FK$20,FE4&lt;&gt;"",FG4&gt;=FK$24,FG4&lt;&gt;""),AND(FH4&gt;=FK$20,FH4&lt;&gt;"",FJ4&gt;=FK$24,FJ4&lt;&gt;""),AND(GF4&gt;=GS$20,GF4&lt;&gt;"",GH4&gt;=GS$24,GH4&lt;&gt;""),AND(GI4&gt;=GS$20,GI4&lt;&gt;"",GK4&gt;=GS$24,GK4&lt;&gt;""),AND(GM4&gt;=GS$20,GM4&lt;&gt;"",GO4&gt;=GS$24,GO4&lt;&gt;""),AND(GP4&gt;=GS$20,GP4&lt;&gt;"",GR4&gt;=GS$24,GR4&lt;&gt;""),AND(HN4&gt;=IA$20,HN4&lt;&gt;"",HP4&gt;=IA$24,HP4&lt;&gt;""),AND(HQ4&gt;=IA$20,HQ4&lt;&gt;"",HS4&gt;=IA$24,HS4&lt;&gt;""),AND(HU4&gt;=IA$20,HU4&lt;&gt;"",HW4&gt;=IA$24,HW4&lt;&gt;""),AND(HX4&gt;=IA$20,HX4&lt;&gt;"",HZ4&gt;=IA$24,HZ4&lt;&gt;""),AND(IV4&gt;=JI$20,IV4&lt;&gt;"",IX4&gt;=JI$24,IX4&lt;&gt;""),AND(IY4&gt;=JI$20,IY4&lt;&gt;"",JA4&gt;=JI$24,JA4&lt;&gt;""),AND(JC4&gt;=JI$20,JC4&lt;&gt;"",JE4&gt;=JI$24,JE4&lt;&gt;""),AND(JF4&gt;=JI$20,JF4&lt;&gt;"",JH4&gt;=JI$24,JH4&lt;&gt;""),AND(KD4&gt;=KQ$20,KD4&lt;&gt;"",KF4&gt;=KQ$24,KF4&lt;&gt;""),AND(KG4&gt;=KQ$20,KG4&lt;&gt;"",KI4&gt;=KQ$24,KI4&lt;&gt;""),AND(KK4&gt;=KQ$20,KK4&lt;&gt;"",KM4&gt;=KQ$24,KM4&lt;&gt;""),AND(KN4&gt;=KQ$20,KN4&lt;&gt;"",KP4&gt;=KQ$24,KP4&lt;&gt;""),AND(LL4&gt;=LY$20,LL4&lt;&gt;"",LN4&gt;=LY$24,LN4&lt;&gt;""),AND(LO4&gt;=LY$20,LO4&lt;&gt;"",LQ4&gt;=LY$24,LQ4&lt;&gt;""),AND(LS4&gt;=LY$20,LS4&lt;&gt;"",LU4&gt;=LY$24,LU4&lt;&gt;""),AND(LV4&gt;=LY$20,LV4&lt;&gt;"",LX4&gt;=LY$24,LX4&lt;&gt;""),AND(MT4&gt;=NG$20,MT4&lt;&gt;"",MV4&gt;=NG$24,MV4&lt;&gt;""),AND(MW4&gt;=NG$20,MW4&lt;&gt;"",MY4&gt;=NG$24,MY4&lt;&gt;""),AND(NA4&gt;=NG$20,NA4&lt;&gt;"",NC4&gt;=NG$24,NC4&lt;&gt;""),AND(ND4&gt;=NG$20,ND4&lt;&gt;"",NF4&gt;=NG$24,NF4&lt;&gt;""),AND(OB4&gt;=OO$20,OB4&lt;&gt;"",OD4&gt;=OO$24,OD4&lt;&gt;""),AND(OE4&gt;=OO$20,OE4&lt;&gt;"",OG4&gt;=OO$24,OG4&lt;&gt;""),AND(OI4&gt;=OO$20,OI4&lt;&gt;"",OK4&gt;=OO$24,OK4&lt;&gt;""),AND(OL4&gt;=OO$20,OL4&lt;&gt;"",ON4&gt;=OO$24,ON4&lt;&gt;""),AND(PJ4&gt;=PW$20,PJ4&lt;&gt;"",PL4&gt;=PW$24,PL4&lt;&gt;""),AND(PM4&gt;=PW$20,PM4&lt;&gt;"",PO4&gt;=PW$24,PO4&lt;&gt;""),AND(PQ4&gt;=PW$20,PQ4&lt;&gt;"",PS4&gt;=PW$24,PS4&lt;&gt;""),AND(PT4&gt;=PW$20,PT4&lt;&gt;"",PV4&gt;=PW$24,PV4&lt;&gt;""),AND(QR4&gt;=RE$20,QR4&lt;&gt;"",QT4&gt;=RE$24,QT4&lt;&gt;""),AND(QU4&gt;=RE$20,QU4&lt;&gt;"",QW4&gt;=RE$24,QW4&lt;&gt;""),AND(QY4&gt;=RE$20,QY4&lt;&gt;"",RA4&gt;=RE$24,RA4&lt;&gt;""),AND(RB4&gt;=RE$20,RB4&lt;&gt;"",RD4&gt;=RE$24,RD4&lt;&gt;""),AND(RZ4&gt;=SM$20,RZ4&lt;&gt;"",SB4&gt;=SM$24,SB4&lt;&gt;""),AND(SC4&gt;=SM$20,SC4&lt;&gt;"",SE4&gt;=SM$24,SE4&lt;&gt;""),AND(SG4&gt;=SM$20,SG4&lt;&gt;"",SI4&gt;=SM$24,SI4&lt;&gt;""),AND(SJ4&gt;=SM$20,SJ4&lt;&gt;"",SL4&gt;=SM$24,SL4&lt;&gt;"")),"Excellence",IF(I4="P","Worlds Team",IF(F4="P","National Team","")))))</f>
        <v>Worlds Team</v>
      </c>
      <c r="I4" s="3" t="str">
        <f t="shared" ref="I4:I15" si="4">IF(OR(AND(AG4&gt;=AQ$19,AG4&lt;&gt;"",AI4&gt;=AQ$23,AI4&lt;&gt;"",AF4=""),AND(AJ4&gt;=AQ$19,AJ4&lt;&gt;"",AL4&gt;=AQ$23,AL4&lt;&gt;"",AF4=""),AND(AN4&gt;=AQ$19,AN4&lt;&gt;"",AP4&gt;=AQ$23,AP4&lt;&gt;"",AF4=""),AND(BH4&gt;=BR$19,BH4&lt;&gt;"",BJ4&gt;=BR$23,BJ4&lt;&gt;"",BG4=""),AND(BK4&gt;=BR$19,BK4&lt;&gt;"",BM4&gt;=BR$23,BM4&lt;&gt;"",BG4=""),AND(BO4&gt;=BR$19,BO4&lt;&gt;"",BQ4&gt;=BR$23,BQ4&lt;&gt;"",BG4=""),AND(CI4&gt;=CS$19,CI4&lt;&gt;"",CK4&gt;=CS$23,CK4&lt;&gt;"",CH4=""),AND(CL4&gt;=CS$19,CL4&lt;&gt;"",CN4&gt;=CS$23,CN4&lt;&gt;"",CH4=""),AND(CP4&gt;=CS$19,CP4&lt;&gt;"",CR4&gt;=CS$23,CR4&lt;&gt;"",CH4=""),AND(DP4&gt;=EC$19,DP4&lt;&gt;"",DR4&gt;=EC$23,DR4&lt;&gt;""),AND(DS4&gt;=EC$19,DS4&lt;&gt;"",DU4&gt;=EC$23,DU4&lt;&gt;""),AND(DW4&gt;=EC$19,DW4&lt;&gt;"",DY4&gt;=EC$23,DY4&lt;&gt;""),AND(DZ4&gt;=EC$19,DZ4&lt;&gt;"",EB4&gt;=EC$23,EB4&lt;&gt;""),AND(EX4&gt;=FK$19,EX4&lt;&gt;"",EZ4&gt;=FK$23,EZ4&lt;&gt;""),AND(FA4&gt;=FK$19,FA4&lt;&gt;"",FC4&gt;=FK$23,FC4&lt;&gt;""),AND(FE4&gt;=FK$19,FE4&lt;&gt;"",FG4&gt;=FK$23,FG4&lt;&gt;""),AND(FH4&gt;=FK$19,FH4&lt;&gt;"",FJ4&gt;=FK$23,FJ4&lt;&gt;""),AND(GF4&gt;=GS$19,GF4&lt;&gt;"",GH4&gt;=GS$23,GH4&lt;&gt;""),AND(GI4&gt;=GS$19,GI4&lt;&gt;"",GK4&gt;=GS$23,GK4&lt;&gt;""),AND(GM4&gt;=GS$19,GM4&lt;&gt;"",GO4&gt;=GS$23,GO4&lt;&gt;""),AND(GP4&gt;=GS$19,GP4&lt;&gt;"",GR4&gt;=GS$23,GR4&lt;&gt;""),AND(HN4&gt;=IA$19,HN4&lt;&gt;"",HP4&gt;=IA$23,HP4&lt;&gt;""),AND(HQ4&gt;=IA$19,HQ4&lt;&gt;"",HS4&gt;=IA$23,HS4&lt;&gt;""),AND(HU4&gt;=IA$19,HU4&lt;&gt;"",HW4&gt;=IA$23,HW4&lt;&gt;""),AND(HX4&gt;=IA$19,HX4&lt;&gt;"",HZ4&gt;=IA$23,HZ4&lt;&gt;""),AND(IV4&gt;=JI$19,IV4&lt;&gt;"",IX4&gt;=JI$23,IX4&lt;&gt;""),AND(IY4&gt;=JI$19,IY4&lt;&gt;"",JA4&gt;=JI$23,JA4&lt;&gt;""),AND(JC4&gt;=JI$19,JC4&lt;&gt;"",JE4&gt;=JI$23,JE4&lt;&gt;""),AND(JF4&gt;=JI$19,JF4&lt;&gt;"",JH4&gt;=JI$23,JH4&lt;&gt;""),AND(KD4&gt;=KQ$19,KD4&lt;&gt;"",KF4&gt;=KQ$23,KF4&lt;&gt;""),AND(KG4&gt;=KQ$19,KG4&lt;&gt;"",KI4&gt;=KQ$23,KI4&lt;&gt;""),AND(KK4&gt;=KQ$19,KK4&lt;&gt;"",KM4&gt;=KQ$23,KM4&lt;&gt;""),AND(KN4&gt;=KQ$19,KN4&lt;&gt;"",KP4&gt;=KQ$23,KP4&lt;&gt;""),AND(LL4&gt;=LY$19,LL4&lt;&gt;"",LN4&gt;=LY$23,LN4&lt;&gt;""),AND(LO4&gt;=LY$19,LO4&lt;&gt;"",LQ4&gt;=LY$23,LQ4&lt;&gt;""),AND(LS4&gt;=LY$19,LS4&lt;&gt;"",LU4&gt;=LY$23,LU4&lt;&gt;""),AND(LV4&gt;=LY$19,LV4&lt;&gt;"",LX4&gt;=LY$23,LX4&lt;&gt;""),AND(MT4&gt;=NG$19,MT4&lt;&gt;"",MV4&gt;=NG$23,MV4&lt;&gt;""),AND(MW4&gt;=NG$19,MW4&lt;&gt;"",MY4&gt;=NG$23,MY4&lt;&gt;""),AND(NA4&gt;=NG$19,NA4&lt;&gt;"",NC4&gt;=NG$23,NC4&lt;&gt;""),AND(ND4&gt;=NG$19,ND4&lt;&gt;"",NF4&gt;=NG$23,NF4&lt;&gt;""),AND(OB4&gt;=OO$19,OB4&lt;&gt;"",OD4&gt;=OO$23,OD4&lt;&gt;""),AND(OE4&gt;=OO$19,OE4&lt;&gt;"",OG4&gt;=OO$23,OG4&lt;&gt;""),AND(OI4&gt;=OO$19,OI4&lt;&gt;"",OK4&gt;=OO$23,OK4&lt;&gt;""),AND(OL4&gt;=OO$19,OL4&lt;&gt;"",ON4&gt;=OO$23,ON4&lt;&gt;""),AND(PJ4&gt;=PW$19,PJ4&lt;&gt;"",PL4&gt;=PW$23,PL4&lt;&gt;""),AND(PM4&gt;=PW$19,PM4&lt;&gt;"",PO4&gt;=PW$23,PO4&lt;&gt;""),AND(PQ4&gt;=PW$19,PQ4&lt;&gt;"",PS4&gt;=PW$23,PS4&lt;&gt;""),AND(PT4&gt;=PW$19,PT4&lt;&gt;"",PV4&gt;=PW$23,PV4&lt;&gt;""),AND(QR4&gt;=RE$19,QR4&lt;&gt;"",QT4&gt;=RE$23,QT4&lt;&gt;""),AND(QU4&gt;=RE$19,QU4&lt;&gt;"",QW4&gt;=RE$23,QW4&lt;&gt;""),AND(QY4&gt;=RE$19,QY4&lt;&gt;"",RA4&gt;=RE$23,RA4&lt;&gt;""),AND(RB4&gt;=RE$19,RB4&lt;&gt;"",RD4&gt;=RE$23,RD4&lt;&gt;""),AND(RZ4&gt;=SM$19,RZ4&lt;&gt;"",SB4&gt;=SM$23,SB4&lt;&gt;""),AND(SC4&gt;=SM$19,SC4&lt;&gt;"",SE4&gt;=SM$23,SE4&lt;&gt;""),AND(SG4&gt;=SM$19,SG4&lt;&gt;"",SI4&gt;=SM$23,SI4&lt;&gt;""),AND(SJ4&gt;=SM$19,SJ4&lt;&gt;"",SL4&gt;=SM$23,SL4&lt;&gt;"")),"P","")</f>
        <v>P</v>
      </c>
      <c r="J4" s="8">
        <f>IF(COUNT(AI4,AL4,AP4,BJ4,BM4,BQ4,CK4,CN4,CR4)&gt;0,LARGE((AI4,AL4,AP4,BJ4,BM4,BQ4,CK4,CN4,CR4),1),0)</f>
        <v>45.21</v>
      </c>
      <c r="K4" s="8" t="str">
        <f t="shared" ref="K4:K15" si="5">IF(J4="","",IF(OR(J4=CK4,J4=CN4,J4=CR4),$BS$1,IF(OR(J4=BJ4,J4=BM4,J4=BQ4),$AR$1,IF(OR(J4=AI4,J4=AL4,J4=AP4),$Q$1,""))))</f>
        <v>2023 Elite Canada</v>
      </c>
      <c r="L4" s="8">
        <f>IF(COUNT(AI4,AL4,AP4,BJ4,BM4,BQ4,CK4,CN4,CR4)&gt;1,LARGE((AI4,AL4,AP4,BJ4,BM4,BQ4,CK4,CN4,CR4),2),0)</f>
        <v>9.14</v>
      </c>
      <c r="M4" s="8" t="str">
        <f t="shared" ref="M4:M15" si="6">IF(L4="","",IF(OR(L4=CK4,L4=CN4,L4=CR4),$BS$1,IF(OR(L4=BJ4,L4=BM4,L4=BQ4),$AR$1,IF(OR(L4=AI4,L4=AL4,L4=AP4),$Q$1,""))))</f>
        <v>2023 Elite Canada</v>
      </c>
      <c r="N4" s="8">
        <f t="shared" ref="N4:N15" si="7">IF(MAX(CT4,CU4)&gt;0,MAX(CT4,CU4),"")</f>
        <v>38.549999999999997</v>
      </c>
      <c r="O4" s="11" t="str">
        <f t="shared" ref="O4:O15" si="8">IF(N4="","",IF(N4=CT4,"("&amp;CT$2&amp;")",IF(N4=CU4,"("&amp;CU$2&amp;")")))</f>
        <v>(Prelim)</v>
      </c>
      <c r="P4" s="8" t="str">
        <f t="shared" ref="P4:P15" si="9">IF(N4="","",IF(N4=CT4,IF(N4+IF(L4="",0,L4)=SF4,$RF$1,IF(N4+IF(L4="",0,L4)=QX4,$PX$1,IF(N4+IF(L4="",0,L4)=PP4,$OP$1,IF(N4+IF(L4="",0,L4)=OH4,$NH$1,IF(N4+IF(L4="",0,L4)=MZ4,$LZ$1,IF(N4+IF(L4="",0,L4)=LR4,$KR$1,IF(N4+IF(L4="",0,L4)=KJ4,$JJ$1,IF(N4+IF(L4="",0,L4)=JB4,$IB$1,IF(N4+IF(L4="",0,L4)=HT4,$GT$1,IF(N4+IF(L4="",0,L4)=GL4,$FL$1,IF(N4+IF(L4="",0,L4)=FD4,$ED$1,IF(N4+IF(L4="",0,L4)=DV4,$CV$1)))))))))))),IF(N4=CU4,IF(N4+IF(L4="",0,L4)=SL4,$RF$1,IF(N4+IF(L4="",0,L4)=RD4,$PX$1,IF(N4+IF(L4="",0,L4)=PV4,$OP$1,IF(N4+IF(L4="",0,L4)=ON4,$NH$1,IF(N4+IF(L4="",0,L4)=NF4,$LZ$1,IF(N4+IF(L4="",0,L4)=LX4,$KR$1,IF(N4+IF(L4="",0,L4)=KP4,$JJ$1,IF(N4+IF(L4="",0,L4)=JH4,$IB$1,IF(N4+IF(L4="",0,L4)=HZ4,$GT$1,IF(N4+IF(L4="",0,L4)=GR4,$FL$1,IF(N4+IF(L4="",0,L4)=FJ4,$ED$1,IF(N4+IF(L4="",0,L4)=EB4,$CV$1,IF(N4+IF(L4="",0,L4)=SI4,$RF$1,IF(N4+IF(L4="",0,L4)=RA4,$PX$1,IF(N4+IF(L4="",0,L4)=PS4,$OP$1,IF(N4+IF(L4="",0,L4)=OK4,$NH$1,IF(N4+IF(L4="",0,L4)=NC4,$LZ$1,IF(N4+IF(L4="",0,L4)=LU4,$KR$1,IF(N4+IF(L4="",0,L4)=KM4,$JJ$1,IF(N4+IF(L4="",0,L4)=JE4,$IB$1,IF(N4+IF(L4="",0,L4)=HW4,$GT$1,IF(N4+IF(L4="",0,L4)=GO4,$FL$1,IF(N4+IF(L4="",0,L4)=FG4,$ED$1,IF(N4+IF(L4="",0,L4)=DY4,$CV$1)))))))))))))))))))))))))))</f>
        <v>2023 World Cup POR 2 (July 8)</v>
      </c>
      <c r="Q4" s="23">
        <v>8.9</v>
      </c>
      <c r="R4" s="23">
        <v>9.15</v>
      </c>
      <c r="S4" s="23">
        <v>12</v>
      </c>
      <c r="T4" s="23">
        <v>15.16</v>
      </c>
      <c r="U4" s="23">
        <v>0</v>
      </c>
      <c r="V4" s="23">
        <v>1.75</v>
      </c>
      <c r="W4" s="23">
        <v>1.95</v>
      </c>
      <c r="X4" s="23">
        <v>2.9</v>
      </c>
      <c r="Y4" s="23">
        <v>2.54</v>
      </c>
      <c r="Z4" s="23">
        <v>0</v>
      </c>
      <c r="AA4" s="23">
        <v>0.85</v>
      </c>
      <c r="AB4" s="23">
        <v>0.95</v>
      </c>
      <c r="AC4" s="23">
        <v>1.5</v>
      </c>
      <c r="AD4" s="23">
        <v>1.4</v>
      </c>
      <c r="AE4" s="23">
        <v>0</v>
      </c>
      <c r="AF4" s="28"/>
      <c r="AG4" s="39">
        <f t="shared" ref="AG4:AG15" si="10">IF(S4&gt;0,S4,"")</f>
        <v>12</v>
      </c>
      <c r="AH4" s="39">
        <f t="shared" ref="AH4:AH15" si="11">IF(T4&gt;0,T4,"")</f>
        <v>15.16</v>
      </c>
      <c r="AI4" s="41">
        <f t="shared" ref="AI4:AI15" si="12">IF(SUM(Q4:T4)-U4&gt;0,SUM(Q4:T4)-U4,"")</f>
        <v>45.21</v>
      </c>
      <c r="AJ4" s="41">
        <f t="shared" ref="AJ4:AJ15" si="13">IF(X4&gt;0,X4,"")</f>
        <v>2.9</v>
      </c>
      <c r="AK4" s="41">
        <f t="shared" ref="AK4:AK15" si="14">IF(Y4&gt;0,Y4,"")</f>
        <v>2.54</v>
      </c>
      <c r="AL4" s="41">
        <f t="shared" ref="AL4:AL15" si="15">IF(SUM(V4:Y4)-Z4&gt;0,SUM(V4:Y4)-Z4,"")</f>
        <v>9.14</v>
      </c>
      <c r="AM4" s="41">
        <f t="shared" ref="AM4:AM15" si="16">IF(AI4="","",MAX(AI4,AL4))</f>
        <v>45.21</v>
      </c>
      <c r="AN4" s="41">
        <f t="shared" ref="AN4:AN15" si="17">IF(AC4&gt;0,AC4,"")</f>
        <v>1.5</v>
      </c>
      <c r="AO4" s="41">
        <f t="shared" ref="AO4:AO15" si="18">IF(AD4&gt;0,AD4,"")</f>
        <v>1.4</v>
      </c>
      <c r="AP4" s="41">
        <f t="shared" ref="AP4:AP15" si="19">IF(SUM(AA4:AD4)-AE4&gt;0,SUM(AA4:AD4)-AE4,"")</f>
        <v>4.6999999999999993</v>
      </c>
      <c r="AQ4" s="41">
        <f t="shared" ref="AQ4:AQ15" si="20">IF(SUM(AM4,AP4)&gt;0,SUM(AM4,AP4),"")</f>
        <v>49.91</v>
      </c>
      <c r="AR4" s="27"/>
      <c r="AS4" s="27"/>
      <c r="AT4" s="27"/>
      <c r="AU4" s="27"/>
      <c r="AV4" s="27"/>
      <c r="AW4" s="27"/>
      <c r="AX4" s="27"/>
      <c r="AY4" s="27"/>
      <c r="AZ4" s="27"/>
      <c r="BA4" s="27"/>
      <c r="BB4" s="27"/>
      <c r="BC4" s="27"/>
      <c r="BD4" s="27"/>
      <c r="BE4" s="27"/>
      <c r="BF4" s="27"/>
      <c r="BG4" s="29"/>
      <c r="BH4" s="40" t="str">
        <f t="shared" ref="BH4:BH15" si="21">IF(AT4&gt;0,AT4,"")</f>
        <v/>
      </c>
      <c r="BI4" s="40" t="str">
        <f t="shared" ref="BI4:BI15" si="22">IF(AU4&gt;0,AU4,"")</f>
        <v/>
      </c>
      <c r="BJ4" s="11" t="str">
        <f t="shared" ref="BJ4:BJ15" si="23">IF(SUM(AR4:AU4)-AV4&gt;0,SUM(AR4:AU4)-AV4,"")</f>
        <v/>
      </c>
      <c r="BK4" s="11" t="str">
        <f t="shared" ref="BK4:BK15" si="24">IF(AY4&gt;0,AY4,"")</f>
        <v/>
      </c>
      <c r="BL4" s="11" t="str">
        <f t="shared" ref="BL4:BL15" si="25">IF(AZ4&gt;0,AZ4,"")</f>
        <v/>
      </c>
      <c r="BM4" s="11" t="str">
        <f t="shared" ref="BM4:BM15" si="26">IF(SUM(AW4:AZ4)-BA4&gt;0,SUM(AW4:AZ4)-BA4,"")</f>
        <v/>
      </c>
      <c r="BN4" s="11" t="str">
        <f t="shared" ref="BN4:BN15" si="27">IF(BJ4="","",MAX(BJ4,BM4))</f>
        <v/>
      </c>
      <c r="BO4" s="11" t="str">
        <f t="shared" ref="BO4:BO15" si="28">IF(BD4&gt;0,BD4,"")</f>
        <v/>
      </c>
      <c r="BP4" s="11" t="str">
        <f t="shared" ref="BP4:BP15" si="29">IF(BE4&gt;0,BE4,"")</f>
        <v/>
      </c>
      <c r="BQ4" s="11" t="str">
        <f t="shared" ref="BQ4:BQ15" si="30">IF(SUM(BB4:BE4)-BF4&gt;0,SUM(BB4:BE4)-BF4,"")</f>
        <v/>
      </c>
      <c r="BR4" s="11" t="str">
        <f t="shared" ref="BR4:BR15" si="31">IF(SUM(BN4,BQ4)&gt;0,SUM(BN4,BQ4),"")</f>
        <v/>
      </c>
      <c r="BS4" s="23"/>
      <c r="BT4" s="23"/>
      <c r="BU4" s="23"/>
      <c r="BV4" s="23"/>
      <c r="BW4" s="23"/>
      <c r="BX4" s="23"/>
      <c r="BY4" s="23"/>
      <c r="BZ4" s="23"/>
      <c r="CA4" s="23"/>
      <c r="CB4" s="23"/>
      <c r="CC4" s="23"/>
      <c r="CD4" s="23"/>
      <c r="CE4" s="23"/>
      <c r="CF4" s="23"/>
      <c r="CG4" s="23"/>
      <c r="CH4" s="28"/>
      <c r="CI4" s="39" t="str">
        <f t="shared" ref="CI4:CI15" si="32">IF(BU4&gt;0,BU4,"")</f>
        <v/>
      </c>
      <c r="CJ4" s="39" t="str">
        <f t="shared" ref="CJ4:CJ15" si="33">IF(BV4&gt;0,BV4,"")</f>
        <v/>
      </c>
      <c r="CK4" s="41" t="str">
        <f t="shared" ref="CK4:CK15" si="34">IF(SUM(BS4:BV4)-BW4&gt;0,SUM(BS4:BV4)-BW4,"")</f>
        <v/>
      </c>
      <c r="CL4" s="41" t="str">
        <f t="shared" ref="CL4:CL15" si="35">IF(BZ4&gt;0,BZ4,"")</f>
        <v/>
      </c>
      <c r="CM4" s="41" t="str">
        <f t="shared" ref="CM4:CM15" si="36">IF(CA4&gt;0,CA4,"")</f>
        <v/>
      </c>
      <c r="CN4" s="41" t="str">
        <f t="shared" ref="CN4:CN15" si="37">IF(SUM(BX4:CA4)-CB4&gt;0,SUM(BX4:CA4)-CB4,"")</f>
        <v/>
      </c>
      <c r="CO4" s="41" t="str">
        <f t="shared" ref="CO4:CO15" si="38">IF(CK4="","",MAX(CK4,CN4))</f>
        <v/>
      </c>
      <c r="CP4" s="41" t="str">
        <f t="shared" ref="CP4:CP15" si="39">IF(CE4&gt;0,CE4,"")</f>
        <v/>
      </c>
      <c r="CQ4" s="41" t="str">
        <f t="shared" ref="CQ4:CQ15" si="40">IF(CF4&gt;0,CF4,"")</f>
        <v/>
      </c>
      <c r="CR4" s="41" t="str">
        <f t="shared" ref="CR4:CR15" si="41">IF(SUM(CC4:CF4)-CG4&gt;0,SUM(CC4:CF4)-CG4,"")</f>
        <v/>
      </c>
      <c r="CS4" s="41" t="str">
        <f t="shared" ref="CS4:CS15" si="42">IF(SUM(CO4,CR4)&gt;0,SUM(CO4,CR4),"")</f>
        <v/>
      </c>
      <c r="CT4" s="52">
        <f t="shared" ref="CT4:CT15" si="43">IF(MAX(DV4,FD4,GL4,HT4,JB4,KJ4,LR4,MZ4,OH4,PP4,QX4,SF4)-IF(L4="",0,L4)&gt;0.001,MAX(DV4,FD4,GL4,HT4,JB4,KJ4,LR4,MZ4,OH4,PP4,QX4,SF4)-IF(L4="",0,L4),"")</f>
        <v>38.549999999999997</v>
      </c>
      <c r="CU4" s="52" t="str">
        <f t="shared" ref="CU4:CU15" si="44">IF(MAX(DY4,EB4,FG4,FJ4,GO4,GR4,HW4,HZ4,JE4,JH4,KM4,KP4,LU4,LX4,NC4,NF4,OK4,ON4,PS4,PV4,RA4,RD4,SI4,SL4)-IF(L4="",0,L4)&gt;0.001,MAX(DY4,EB4,FG4,FJ4,GO4,GR4,HW4,HZ4,JE4,JH4,KM4,KP4,LU4,LX4,NC4,NF4,OK4,ON4,PS4,PV4,RA4,RD4,SI4,SL4)-IF(L4="",0,L4),"")</f>
        <v/>
      </c>
      <c r="CV4" s="17"/>
      <c r="CW4" s="17"/>
      <c r="CX4" s="17"/>
      <c r="CY4" s="17"/>
      <c r="CZ4" s="17"/>
      <c r="DA4" s="17"/>
      <c r="DB4" s="17"/>
      <c r="DC4" s="17"/>
      <c r="DD4" s="17"/>
      <c r="DE4" s="17"/>
      <c r="DF4" s="17"/>
      <c r="DG4" s="17"/>
      <c r="DH4" s="17"/>
      <c r="DI4" s="17"/>
      <c r="DJ4" s="17"/>
      <c r="DK4" s="17"/>
      <c r="DL4" s="17"/>
      <c r="DM4" s="17"/>
      <c r="DN4" s="17"/>
      <c r="DO4" s="17"/>
      <c r="DP4" s="41" t="str">
        <f t="shared" ref="DP4:DP15" si="45">IF(CX4&gt;0,CX4,"")</f>
        <v/>
      </c>
      <c r="DQ4" s="41" t="str">
        <f t="shared" ref="DQ4:DQ15" si="46">IF(CY4&gt;0,CY4,"")</f>
        <v/>
      </c>
      <c r="DR4" s="41" t="str">
        <f t="shared" ref="DR4:DR15" si="47">IF(SUM(CV4:CY4)-CZ4&gt;0,SUM(CV4:CY4)-CZ4,"")</f>
        <v/>
      </c>
      <c r="DS4" s="41" t="str">
        <f t="shared" ref="DS4:DS15" si="48">IF(DC4&gt;0,DC4,"")</f>
        <v/>
      </c>
      <c r="DT4" s="41" t="str">
        <f t="shared" ref="DT4:DT15" si="49">IF(DD4&gt;0,DD4,"")</f>
        <v/>
      </c>
      <c r="DU4" s="41" t="str">
        <f t="shared" ref="DU4:DU15" si="50">IF(SUM(DA4:DD4)-DE4&gt;0,SUM(DA4:DD4)-DE4,"")</f>
        <v/>
      </c>
      <c r="DV4" s="41" t="str">
        <f t="shared" ref="DV4:DV15" si="51">IF(MAX(DR4,DU4)&gt;0,MAX(DR4,DU4),"")</f>
        <v/>
      </c>
      <c r="DW4" s="41" t="str">
        <f t="shared" ref="DW4:DW15" si="52">IF(DH4&gt;0,DH4,"")</f>
        <v/>
      </c>
      <c r="DX4" s="41" t="str">
        <f t="shared" ref="DX4:DX15" si="53">IF(DI4&gt;0,DI4,"")</f>
        <v/>
      </c>
      <c r="DY4" s="41" t="str">
        <f t="shared" ref="DY4:DY15" si="54">IF(SUM(DF4:DI4)-DJ4&gt;0,SUM(DF4:DI4)-DJ4,"")</f>
        <v/>
      </c>
      <c r="DZ4" s="41" t="str">
        <f t="shared" ref="DZ4:DZ15" si="55">IF(DM4&gt;0,DM4,"")</f>
        <v/>
      </c>
      <c r="EA4" s="41" t="str">
        <f t="shared" ref="EA4:EA15" si="56">IF(DN4&gt;0,DN4,"")</f>
        <v/>
      </c>
      <c r="EB4" s="41" t="str">
        <f t="shared" ref="EB4:EB15" si="57">IF(SUM(DK4:DN4)-DO4&gt;0,SUM(DK4:DN4)-DO4,"")</f>
        <v/>
      </c>
      <c r="EC4" s="41" t="str">
        <f t="shared" ref="EC4:EC15" si="58">IF(SUM(DV4,DY4,EB4)&gt;0,SUM(DV4,DY4,EB4),"")</f>
        <v/>
      </c>
      <c r="ED4" s="18"/>
      <c r="EE4" s="18"/>
      <c r="EF4" s="18"/>
      <c r="EG4" s="18"/>
      <c r="EH4" s="18"/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1" t="str">
        <f t="shared" ref="EX4:EX15" si="59">IF(EF4&gt;0,EF4,"")</f>
        <v/>
      </c>
      <c r="EY4" s="11" t="str">
        <f t="shared" ref="EY4:EY15" si="60">IF(EG4&gt;0,EG4,"")</f>
        <v/>
      </c>
      <c r="EZ4" s="11" t="str">
        <f t="shared" ref="EZ4:EZ15" si="61">IF(SUM(ED4:EG4)-EH4&gt;0,SUM(ED4:EG4)-EH4,"")</f>
        <v/>
      </c>
      <c r="FA4" s="11" t="str">
        <f t="shared" ref="FA4:FA15" si="62">IF(EK4&gt;0,EK4,"")</f>
        <v/>
      </c>
      <c r="FB4" s="11" t="str">
        <f t="shared" ref="FB4:FB15" si="63">IF(EL4&gt;0,EL4,"")</f>
        <v/>
      </c>
      <c r="FC4" s="11" t="str">
        <f t="shared" ref="FC4:FC15" si="64">IF(SUM(EI4:EL4)-EM4&gt;0,SUM(EI4:EL4)-EM4,"")</f>
        <v/>
      </c>
      <c r="FD4" s="11" t="str">
        <f t="shared" ref="FD4:FD15" si="65">IF(MAX(EZ4,FC4)&gt;0,MAX(EZ4,FC4),"")</f>
        <v/>
      </c>
      <c r="FE4" s="11" t="str">
        <f t="shared" ref="FE4:FE15" si="66">IF(EP4&gt;0,EP4,"")</f>
        <v/>
      </c>
      <c r="FF4" s="11" t="str">
        <f t="shared" ref="FF4:FF15" si="67">IF(EQ4&gt;0,EQ4,"")</f>
        <v/>
      </c>
      <c r="FG4" s="11" t="str">
        <f t="shared" ref="FG4:FG15" si="68">IF(SUM(EN4:EQ4)-ER4&gt;0,SUM(EN4:EQ4)-ER4,"")</f>
        <v/>
      </c>
      <c r="FH4" s="11" t="str">
        <f t="shared" ref="FH4:FH15" si="69">IF(EU4&gt;0,EU4,"")</f>
        <v/>
      </c>
      <c r="FI4" s="11" t="str">
        <f t="shared" ref="FI4:FI15" si="70">IF(EV4&gt;0,EV4,"")</f>
        <v/>
      </c>
      <c r="FJ4" s="11" t="str">
        <f t="shared" ref="FJ4:FJ15" si="71">IF(SUM(ES4:EV4)-EW4&gt;0,SUM(ES4:EV4)-EW4,"")</f>
        <v/>
      </c>
      <c r="FK4" s="11" t="str">
        <f t="shared" ref="FK4:FK15" si="72">IF(SUM(FD4,FG4,FJ4)&gt;0,SUM(FD4,FG4,FJ4),"")</f>
        <v/>
      </c>
      <c r="FL4" s="17">
        <v>8.5500000000000007</v>
      </c>
      <c r="FM4" s="17">
        <v>9.35</v>
      </c>
      <c r="FN4" s="17">
        <v>11.8</v>
      </c>
      <c r="FO4" s="17">
        <v>17.66</v>
      </c>
      <c r="FP4" s="17">
        <v>0</v>
      </c>
      <c r="FQ4" s="17">
        <v>8.35</v>
      </c>
      <c r="FR4" s="17">
        <v>9.6</v>
      </c>
      <c r="FS4" s="17">
        <v>11.8</v>
      </c>
      <c r="FT4" s="17">
        <v>17</v>
      </c>
      <c r="FU4" s="17">
        <v>0.6</v>
      </c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41">
        <f t="shared" ref="GF4:GF15" si="73">IF(FN4&gt;0,FN4,"")</f>
        <v>11.8</v>
      </c>
      <c r="GG4" s="41">
        <f t="shared" ref="GG4:GG15" si="74">IF(FO4&gt;0,FO4,"")</f>
        <v>17.66</v>
      </c>
      <c r="GH4" s="41">
        <f t="shared" ref="GH4:GH15" si="75">IF(SUM(FL4:FO4)-FP4&gt;0,SUM(FL4:FO4)-FP4,"")</f>
        <v>47.36</v>
      </c>
      <c r="GI4" s="41">
        <f t="shared" ref="GI4:GI15" si="76">IF(FS4&gt;0,FS4,"")</f>
        <v>11.8</v>
      </c>
      <c r="GJ4" s="41">
        <f t="shared" ref="GJ4:GJ15" si="77">IF(FT4&gt;0,FT4,"")</f>
        <v>17</v>
      </c>
      <c r="GK4" s="41">
        <f t="shared" ref="GK4:GK15" si="78">IF(SUM(FQ4:FT4)-FU4&gt;0,SUM(FQ4:FT4)-FU4,"")</f>
        <v>46.15</v>
      </c>
      <c r="GL4" s="41">
        <f t="shared" ref="GL4:GL15" si="79">IF(MAX(GH4,GK4)&gt;0,MAX(GH4,GK4),"")</f>
        <v>47.36</v>
      </c>
      <c r="GM4" s="41" t="str">
        <f t="shared" ref="GM4:GM15" si="80">IF(FX4&gt;0,FX4,"")</f>
        <v/>
      </c>
      <c r="GN4" s="41" t="str">
        <f t="shared" ref="GN4:GN15" si="81">IF(FY4&gt;0,FY4,"")</f>
        <v/>
      </c>
      <c r="GO4" s="41" t="str">
        <f t="shared" ref="GO4:GO15" si="82">IF(SUM(FV4:FY4)-FZ4&gt;0,SUM(FV4:FY4)-FZ4,"")</f>
        <v/>
      </c>
      <c r="GP4" s="41" t="str">
        <f t="shared" ref="GP4:GP15" si="83">IF(GC4&gt;0,GC4,"")</f>
        <v/>
      </c>
      <c r="GQ4" s="41" t="str">
        <f t="shared" ref="GQ4:GQ15" si="84">IF(GD4&gt;0,GD4,"")</f>
        <v/>
      </c>
      <c r="GR4" s="41" t="str">
        <f t="shared" ref="GR4:GR15" si="85">IF(SUM(GA4:GD4)-GE4&gt;0,SUM(GA4:GD4)-GE4,"")</f>
        <v/>
      </c>
      <c r="GS4" s="41">
        <f t="shared" ref="GS4:GS15" si="86">IF(SUM(GL4,GO4,GR4)&gt;0,SUM(GL4,GO4,GR4),"")</f>
        <v>47.36</v>
      </c>
      <c r="GT4" s="18">
        <v>8.1</v>
      </c>
      <c r="GU4" s="18">
        <v>9</v>
      </c>
      <c r="GV4" s="18">
        <v>11.8</v>
      </c>
      <c r="GW4" s="18">
        <v>15.96</v>
      </c>
      <c r="GX4" s="18">
        <v>0</v>
      </c>
      <c r="GY4" s="18">
        <v>7.9</v>
      </c>
      <c r="GZ4" s="18">
        <v>9.1</v>
      </c>
      <c r="HA4" s="18">
        <v>11.8</v>
      </c>
      <c r="HB4" s="18">
        <v>16.2</v>
      </c>
      <c r="HC4" s="18">
        <v>0.2</v>
      </c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1">
        <f t="shared" ref="HN4:HN15" si="87">IF(GV4&gt;0,GV4,"")</f>
        <v>11.8</v>
      </c>
      <c r="HO4" s="11">
        <f t="shared" ref="HO4:HO15" si="88">IF(GW4&gt;0,GW4,"")</f>
        <v>15.96</v>
      </c>
      <c r="HP4" s="11">
        <f t="shared" ref="HP4:HP15" si="89">IF(SUM(GT4:GW4)-GX4&gt;0,SUM(GT4:GW4)-GX4,"")</f>
        <v>44.86</v>
      </c>
      <c r="HQ4" s="11">
        <f t="shared" ref="HQ4:HQ15" si="90">IF(HA4&gt;0,HA4,"")</f>
        <v>11.8</v>
      </c>
      <c r="HR4" s="11">
        <f t="shared" ref="HR4:HR15" si="91">IF(HB4&gt;0,HB4,"")</f>
        <v>16.2</v>
      </c>
      <c r="HS4" s="11">
        <f t="shared" ref="HS4:HS15" si="92">IF(SUM(GY4:HB4)-HC4&gt;0,SUM(GY4:HB4)-HC4,"")</f>
        <v>44.8</v>
      </c>
      <c r="HT4" s="11">
        <f t="shared" ref="HT4:HT15" si="93">IF(MAX(HP4,HS4)&gt;0,MAX(HP4,HS4),"")</f>
        <v>44.86</v>
      </c>
      <c r="HU4" s="11" t="str">
        <f t="shared" ref="HU4:HU15" si="94">IF(HF4&gt;0,HF4,"")</f>
        <v/>
      </c>
      <c r="HV4" s="11" t="str">
        <f t="shared" ref="HV4:HV15" si="95">IF(HG4&gt;0,HG4,"")</f>
        <v/>
      </c>
      <c r="HW4" s="11" t="str">
        <f t="shared" ref="HW4:HW15" si="96">IF(SUM(HD4:HG4)-HH4&gt;0,SUM(HD4:HG4)-HH4,"")</f>
        <v/>
      </c>
      <c r="HX4" s="11" t="str">
        <f t="shared" ref="HX4:HX15" si="97">IF(HK4&gt;0,HK4,"")</f>
        <v/>
      </c>
      <c r="HY4" s="11" t="str">
        <f t="shared" ref="HY4:HY15" si="98">IF(HL4&gt;0,HL4,"")</f>
        <v/>
      </c>
      <c r="HZ4" s="11" t="str">
        <f t="shared" ref="HZ4:HZ15" si="99">IF(SUM(HI4:HL4)-HM4&gt;0,SUM(HI4:HL4)-HM4,"")</f>
        <v/>
      </c>
      <c r="IA4" s="11">
        <f t="shared" ref="IA4:IA15" si="100">IF(SUM(HT4,HW4,HZ4)&gt;0,SUM(HT4,HW4,HZ4),"")</f>
        <v>44.86</v>
      </c>
      <c r="IB4" s="17">
        <v>8.4</v>
      </c>
      <c r="IC4" s="17">
        <v>9.35</v>
      </c>
      <c r="ID4" s="17">
        <v>11.8</v>
      </c>
      <c r="IE4" s="17">
        <v>18.14</v>
      </c>
      <c r="IF4" s="17">
        <v>0</v>
      </c>
      <c r="IG4" s="17">
        <v>8.1999999999999993</v>
      </c>
      <c r="IH4" s="17">
        <v>8.8000000000000007</v>
      </c>
      <c r="II4" s="17">
        <v>11.8</v>
      </c>
      <c r="IJ4" s="17">
        <v>15.74</v>
      </c>
      <c r="IK4" s="17">
        <v>0</v>
      </c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41">
        <f t="shared" ref="IV4:IV15" si="101">IF(ID4&gt;0,ID4,"")</f>
        <v>11.8</v>
      </c>
      <c r="IW4" s="41">
        <f t="shared" ref="IW4:IW15" si="102">IF(IE4&gt;0,IE4,"")</f>
        <v>18.14</v>
      </c>
      <c r="IX4" s="41">
        <f t="shared" ref="IX4:IX15" si="103">IF(SUM(IB4:IE4)-IF4&gt;0,SUM(IB4:IE4)-IF4,"")</f>
        <v>47.69</v>
      </c>
      <c r="IY4" s="41">
        <f t="shared" ref="IY4:IY15" si="104">IF(II4&gt;0,II4,"")</f>
        <v>11.8</v>
      </c>
      <c r="IZ4" s="41">
        <f t="shared" ref="IZ4:IZ15" si="105">IF(IJ4&gt;0,IJ4,"")</f>
        <v>15.74</v>
      </c>
      <c r="JA4" s="41">
        <f t="shared" ref="JA4:JA15" si="106">IF(SUM(IG4:IJ4)-IK4&gt;0,SUM(IG4:IJ4)-IK4,"")</f>
        <v>44.54</v>
      </c>
      <c r="JB4" s="41">
        <f t="shared" ref="JB4:JB15" si="107">IF(MAX(IX4,JA4)&gt;0,MAX(IX4,JA4),"")</f>
        <v>47.69</v>
      </c>
      <c r="JC4" s="41" t="str">
        <f t="shared" ref="JC4:JC15" si="108">IF(IN4&gt;0,IN4,"")</f>
        <v/>
      </c>
      <c r="JD4" s="41" t="str">
        <f t="shared" ref="JD4:JD15" si="109">IF(IO4&gt;0,IO4,"")</f>
        <v/>
      </c>
      <c r="JE4" s="41" t="str">
        <f t="shared" ref="JE4:JE15" si="110">IF(SUM(IL4:IO4)-IP4&gt;0,SUM(IL4:IO4)-IP4,"")</f>
        <v/>
      </c>
      <c r="JF4" s="41" t="str">
        <f t="shared" ref="JF4:JF15" si="111">IF(IS4&gt;0,IS4,"")</f>
        <v/>
      </c>
      <c r="JG4" s="41" t="str">
        <f t="shared" ref="JG4:JG15" si="112">IF(IT4&gt;0,IT4,"")</f>
        <v/>
      </c>
      <c r="JH4" s="41" t="str">
        <f t="shared" ref="JH4:JH15" si="113">IF(SUM(IQ4:IT4)-IU4&gt;0,SUM(IQ4:IT4)-IU4,"")</f>
        <v/>
      </c>
      <c r="JI4" s="41">
        <f t="shared" ref="JI4:JI15" si="114">IF(SUM(JB4,JE4,JH4)&gt;0,SUM(JB4,JE4,JH4),"")</f>
        <v>47.69</v>
      </c>
      <c r="JJ4" s="18">
        <v>0.75</v>
      </c>
      <c r="JK4" s="18">
        <v>0.95</v>
      </c>
      <c r="JL4" s="18">
        <v>1.5</v>
      </c>
      <c r="JM4" s="18">
        <v>1.68</v>
      </c>
      <c r="JN4" s="18">
        <v>0</v>
      </c>
      <c r="JO4" s="18">
        <v>7.85</v>
      </c>
      <c r="JP4" s="18">
        <v>9.1999999999999993</v>
      </c>
      <c r="JQ4" s="18">
        <v>11.8</v>
      </c>
      <c r="JR4" s="18">
        <v>16.02</v>
      </c>
      <c r="JS4" s="18">
        <v>0</v>
      </c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1">
        <f t="shared" ref="KD4:KD15" si="115">IF(JL4&gt;0,JL4,"")</f>
        <v>1.5</v>
      </c>
      <c r="KE4" s="11">
        <f t="shared" ref="KE4:KE15" si="116">IF(JM4&gt;0,JM4,"")</f>
        <v>1.68</v>
      </c>
      <c r="KF4" s="11">
        <f t="shared" ref="KF4:KF15" si="117">IF(SUM(JJ4:JM4)-JN4&gt;0,SUM(JJ4:JM4)-JN4,"")</f>
        <v>4.88</v>
      </c>
      <c r="KG4" s="11">
        <f t="shared" ref="KG4:KG15" si="118">IF(JQ4&gt;0,JQ4,"")</f>
        <v>11.8</v>
      </c>
      <c r="KH4" s="11">
        <f t="shared" ref="KH4:KH15" si="119">IF(JR4&gt;0,JR4,"")</f>
        <v>16.02</v>
      </c>
      <c r="KI4" s="11">
        <f t="shared" ref="KI4:KI15" si="120">IF(SUM(JO4:JR4)-JS4&gt;0,SUM(JO4:JR4)-JS4,"")</f>
        <v>44.87</v>
      </c>
      <c r="KJ4" s="11">
        <f t="shared" ref="KJ4:KJ15" si="121">IF(MAX(KF4,KI4)&gt;0,MAX(KF4,KI4),"")</f>
        <v>44.87</v>
      </c>
      <c r="KK4" s="11" t="str">
        <f t="shared" ref="KK4:KK15" si="122">IF(JV4&gt;0,JV4,"")</f>
        <v/>
      </c>
      <c r="KL4" s="11" t="str">
        <f t="shared" ref="KL4:KL15" si="123">IF(JW4&gt;0,JW4,"")</f>
        <v/>
      </c>
      <c r="KM4" s="11" t="str">
        <f t="shared" ref="KM4:KM15" si="124">IF(SUM(JT4:JW4)-JX4&gt;0,SUM(JT4:JW4)-JX4,"")</f>
        <v/>
      </c>
      <c r="KN4" s="11" t="str">
        <f t="shared" ref="KN4:KN15" si="125">IF(KA4&gt;0,KA4,"")</f>
        <v/>
      </c>
      <c r="KO4" s="11" t="str">
        <f t="shared" ref="KO4:KO15" si="126">IF(KB4&gt;0,KB4,"")</f>
        <v/>
      </c>
      <c r="KP4" s="11" t="str">
        <f t="shared" ref="KP4:KP15" si="127">IF(SUM(JY4:KB4)-KC4&gt;0,SUM(JY4:KB4)-KC4,"")</f>
        <v/>
      </c>
      <c r="KQ4" s="11">
        <f t="shared" ref="KQ4:KQ15" si="128">IF(SUM(KJ4,KM4,KP4)&gt;0,SUM(KJ4,KM4,KP4),"")</f>
        <v>44.87</v>
      </c>
      <c r="KR4" s="17"/>
      <c r="KS4" s="17"/>
      <c r="KT4" s="17"/>
      <c r="KU4" s="17"/>
      <c r="KV4" s="17"/>
      <c r="KW4" s="17"/>
      <c r="KX4" s="17"/>
      <c r="KY4" s="17"/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41" t="str">
        <f t="shared" ref="LL4:LL15" si="129">IF(KT4&gt;0,KT4,"")</f>
        <v/>
      </c>
      <c r="LM4" s="41" t="str">
        <f t="shared" ref="LM4:LM15" si="130">IF(KU4&gt;0,KU4,"")</f>
        <v/>
      </c>
      <c r="LN4" s="41" t="str">
        <f t="shared" ref="LN4:LN15" si="131">IF(SUM(KR4:KU4)-KV4&gt;0,SUM(KR4:KU4)-KV4,"")</f>
        <v/>
      </c>
      <c r="LO4" s="41" t="str">
        <f t="shared" ref="LO4:LO15" si="132">IF(KY4&gt;0,KY4,"")</f>
        <v/>
      </c>
      <c r="LP4" s="41" t="str">
        <f t="shared" ref="LP4:LP15" si="133">IF(KZ4&gt;0,KZ4,"")</f>
        <v/>
      </c>
      <c r="LQ4" s="41" t="str">
        <f t="shared" ref="LQ4:LQ15" si="134">IF(SUM(KW4:KZ4)-LA4&gt;0,SUM(KW4:KZ4)-LA4,"")</f>
        <v/>
      </c>
      <c r="LR4" s="41" t="str">
        <f t="shared" ref="LR4:LR15" si="135">IF(MAX(LN4,LQ4)&gt;0,MAX(LN4,LQ4),"")</f>
        <v/>
      </c>
      <c r="LS4" s="41" t="str">
        <f t="shared" ref="LS4:LS15" si="136">IF(LD4&gt;0,LD4,"")</f>
        <v/>
      </c>
      <c r="LT4" s="41" t="str">
        <f t="shared" ref="LT4:LT15" si="137">IF(LE4&gt;0,LE4,"")</f>
        <v/>
      </c>
      <c r="LU4" s="41" t="str">
        <f t="shared" ref="LU4:LU15" si="138">IF(SUM(LB4:LE4)-LF4&gt;0,SUM(LB4:LE4)-LF4,"")</f>
        <v/>
      </c>
      <c r="LV4" s="41" t="str">
        <f t="shared" ref="LV4:LV15" si="139">IF(LI4&gt;0,LI4,"")</f>
        <v/>
      </c>
      <c r="LW4" s="41" t="str">
        <f t="shared" ref="LW4:LW15" si="140">IF(LJ4&gt;0,LJ4,"")</f>
        <v/>
      </c>
      <c r="LX4" s="41" t="str">
        <f t="shared" ref="LX4:LX15" si="141">IF(SUM(LG4:LJ4)-LK4&gt;0,SUM(LG4:LJ4)-LK4,"")</f>
        <v/>
      </c>
      <c r="LY4" s="41" t="str">
        <f t="shared" ref="LY4:LY15" si="142">IF(SUM(LR4,LU4,LX4)&gt;0,SUM(LR4,LU4,LX4),"")</f>
        <v/>
      </c>
      <c r="LZ4" s="18"/>
      <c r="MA4" s="18"/>
      <c r="MB4" s="18"/>
      <c r="MC4" s="18"/>
      <c r="MD4" s="18"/>
      <c r="ME4" s="18"/>
      <c r="MF4" s="18"/>
      <c r="MG4" s="18"/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1" t="str">
        <f t="shared" ref="MT4:MT15" si="143">IF(MB4&gt;0,MB4,"")</f>
        <v/>
      </c>
      <c r="MU4" s="11" t="str">
        <f t="shared" ref="MU4:MU15" si="144">IF(MC4&gt;0,MC4,"")</f>
        <v/>
      </c>
      <c r="MV4" s="11" t="str">
        <f t="shared" ref="MV4:MV15" si="145">IF(SUM(LZ4:MC4)-MD4&gt;0,SUM(LZ4:MC4)-MD4,"")</f>
        <v/>
      </c>
      <c r="MW4" s="11" t="str">
        <f t="shared" ref="MW4:MW15" si="146">IF(MG4&gt;0,MG4,"")</f>
        <v/>
      </c>
      <c r="MX4" s="11" t="str">
        <f t="shared" ref="MX4:MX15" si="147">IF(MH4&gt;0,MH4,"")</f>
        <v/>
      </c>
      <c r="MY4" s="11" t="str">
        <f t="shared" ref="MY4:MY15" si="148">IF(SUM(ME4:MH4)-MI4&gt;0,SUM(ME4:MH4)-MI4,"")</f>
        <v/>
      </c>
      <c r="MZ4" s="11" t="str">
        <f t="shared" ref="MZ4:MZ15" si="149">IF(MAX(MV4,MY4)&gt;0,MAX(MV4,MY4),"")</f>
        <v/>
      </c>
      <c r="NA4" s="11" t="str">
        <f t="shared" ref="NA4:NA15" si="150">IF(ML4&gt;0,ML4,"")</f>
        <v/>
      </c>
      <c r="NB4" s="11" t="str">
        <f t="shared" ref="NB4:NB15" si="151">IF(MM4&gt;0,MM4,"")</f>
        <v/>
      </c>
      <c r="NC4" s="11" t="str">
        <f t="shared" ref="NC4:NC15" si="152">IF(SUM(MJ4:MM4)-MN4&gt;0,SUM(MJ4:MM4)-MN4,"")</f>
        <v/>
      </c>
      <c r="ND4" s="11" t="str">
        <f t="shared" ref="ND4:ND15" si="153">IF(MQ4&gt;0,MQ4,"")</f>
        <v/>
      </c>
      <c r="NE4" s="11" t="str">
        <f t="shared" ref="NE4:NE15" si="154">IF(MR4&gt;0,MR4,"")</f>
        <v/>
      </c>
      <c r="NF4" s="11" t="str">
        <f t="shared" ref="NF4:NF15" si="155">IF(SUM(MO4:MR4)-MS4&gt;0,SUM(MO4:MR4)-MS4,"")</f>
        <v/>
      </c>
      <c r="NG4" s="11" t="str">
        <f t="shared" ref="NG4:NG15" si="156">IF(SUM(MZ4,NC4,NF4)&gt;0,SUM(MZ4,NC4,NF4),"")</f>
        <v/>
      </c>
      <c r="NH4" s="17"/>
      <c r="NI4" s="17"/>
      <c r="NJ4" s="17"/>
      <c r="NK4" s="17"/>
      <c r="NL4" s="17"/>
      <c r="NM4" s="17"/>
      <c r="NN4" s="17"/>
      <c r="NO4" s="17"/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41" t="str">
        <f t="shared" ref="OB4:OB15" si="157">IF(NJ4&gt;0,NJ4,"")</f>
        <v/>
      </c>
      <c r="OC4" s="41" t="str">
        <f t="shared" ref="OC4:OC15" si="158">IF(NK4&gt;0,NK4,"")</f>
        <v/>
      </c>
      <c r="OD4" s="41" t="str">
        <f t="shared" ref="OD4:OD15" si="159">IF(SUM(NH4:NK4)-NL4&gt;0,SUM(NH4:NK4)-NL4,"")</f>
        <v/>
      </c>
      <c r="OE4" s="41" t="str">
        <f t="shared" ref="OE4:OE15" si="160">IF(NO4&gt;0,NO4,"")</f>
        <v/>
      </c>
      <c r="OF4" s="41" t="str">
        <f t="shared" ref="OF4:OF15" si="161">IF(NP4&gt;0,NP4,"")</f>
        <v/>
      </c>
      <c r="OG4" s="41" t="str">
        <f t="shared" ref="OG4:OG15" si="162">IF(SUM(NM4:NP4)-NQ4&gt;0,SUM(NM4:NP4)-NQ4,"")</f>
        <v/>
      </c>
      <c r="OH4" s="41" t="str">
        <f t="shared" ref="OH4:OH15" si="163">IF(MAX(OD4,OG4)&gt;0,MAX(OD4,OG4),"")</f>
        <v/>
      </c>
      <c r="OI4" s="41" t="str">
        <f t="shared" ref="OI4:OI15" si="164">IF(NT4&gt;0,NT4,"")</f>
        <v/>
      </c>
      <c r="OJ4" s="41" t="str">
        <f t="shared" ref="OJ4:OJ15" si="165">IF(NU4&gt;0,NU4,"")</f>
        <v/>
      </c>
      <c r="OK4" s="41" t="str">
        <f t="shared" ref="OK4:OK15" si="166">IF(SUM(NR4:NU4)-NV4&gt;0,SUM(NR4:NU4)-NV4,"")</f>
        <v/>
      </c>
      <c r="OL4" s="41" t="str">
        <f t="shared" ref="OL4:OL15" si="167">IF(NY4&gt;0,NY4,"")</f>
        <v/>
      </c>
      <c r="OM4" s="41" t="str">
        <f t="shared" ref="OM4:OM15" si="168">IF(NZ4&gt;0,NZ4,"")</f>
        <v/>
      </c>
      <c r="ON4" s="41" t="str">
        <f t="shared" ref="ON4:ON15" si="169">IF(SUM(NW4:NZ4)-OA4&gt;0,SUM(NW4:NZ4)-OA4,"")</f>
        <v/>
      </c>
      <c r="OO4" s="41" t="str">
        <f t="shared" ref="OO4:OO15" si="170">IF(SUM(OH4,OK4,ON4)&gt;0,SUM(OH4,OK4,ON4),"")</f>
        <v/>
      </c>
      <c r="OP4" s="18"/>
      <c r="OQ4" s="18"/>
      <c r="OR4" s="18"/>
      <c r="OS4" s="18"/>
      <c r="OT4" s="18"/>
      <c r="OU4" s="18"/>
      <c r="OV4" s="18"/>
      <c r="OW4" s="18"/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1" t="str">
        <f t="shared" ref="PJ4:PJ15" si="171">IF(OR4&gt;0,OR4,"")</f>
        <v/>
      </c>
      <c r="PK4" s="11" t="str">
        <f t="shared" ref="PK4:PK15" si="172">IF(OS4&gt;0,OS4,"")</f>
        <v/>
      </c>
      <c r="PL4" s="11" t="str">
        <f t="shared" ref="PL4:PL15" si="173">IF(SUM(OP4:OS4)-OT4&gt;0,SUM(OP4:OS4)-OT4,"")</f>
        <v/>
      </c>
      <c r="PM4" s="11" t="str">
        <f t="shared" ref="PM4:PM15" si="174">IF(OW4&gt;0,OW4,"")</f>
        <v/>
      </c>
      <c r="PN4" s="11" t="str">
        <f t="shared" ref="PN4:PN15" si="175">IF(OX4&gt;0,OX4,"")</f>
        <v/>
      </c>
      <c r="PO4" s="11" t="str">
        <f t="shared" ref="PO4:PO15" si="176">IF(SUM(OU4:OX4)-OY4&gt;0,SUM(OU4:OX4)-OY4,"")</f>
        <v/>
      </c>
      <c r="PP4" s="11" t="str">
        <f t="shared" ref="PP4:PP15" si="177">IF(MAX(PL4,PO4)&gt;0,MAX(PL4,PO4),"")</f>
        <v/>
      </c>
      <c r="PQ4" s="11" t="str">
        <f t="shared" ref="PQ4:PQ15" si="178">IF(PB4&gt;0,PB4,"")</f>
        <v/>
      </c>
      <c r="PR4" s="11" t="str">
        <f t="shared" ref="PR4:PR15" si="179">IF(PC4&gt;0,PC4,"")</f>
        <v/>
      </c>
      <c r="PS4" s="11" t="str">
        <f t="shared" ref="PS4:PS15" si="180">IF(SUM(OZ4:PC4)-PD4&gt;0,SUM(OZ4:PC4)-PD4,"")</f>
        <v/>
      </c>
      <c r="PT4" s="11" t="str">
        <f t="shared" ref="PT4:PT15" si="181">IF(PG4&gt;0,PG4,"")</f>
        <v/>
      </c>
      <c r="PU4" s="11" t="str">
        <f t="shared" ref="PU4:PU15" si="182">IF(PH4&gt;0,PH4,"")</f>
        <v/>
      </c>
      <c r="PV4" s="11" t="str">
        <f t="shared" ref="PV4:PV15" si="183">IF(SUM(PE4:PH4)-PI4&gt;0,SUM(PE4:PH4)-PI4,"")</f>
        <v/>
      </c>
      <c r="PW4" s="11" t="str">
        <f t="shared" ref="PW4:PW15" si="184">IF(SUM(PP4,PS4,PV4)&gt;0,SUM(PP4,PS4,PV4),"")</f>
        <v/>
      </c>
      <c r="PX4" s="17"/>
      <c r="PY4" s="17"/>
      <c r="PZ4" s="17"/>
      <c r="QA4" s="17"/>
      <c r="QB4" s="17"/>
      <c r="QC4" s="17"/>
      <c r="QD4" s="17"/>
      <c r="QE4" s="17"/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41" t="str">
        <f t="shared" ref="QR4:QR15" si="185">IF(PZ4&gt;0,PZ4,"")</f>
        <v/>
      </c>
      <c r="QS4" s="41" t="str">
        <f t="shared" ref="QS4:QS15" si="186">IF(QA4&gt;0,QA4,"")</f>
        <v/>
      </c>
      <c r="QT4" s="41" t="str">
        <f t="shared" ref="QT4:QT15" si="187">IF(SUM(PX4:QA4)-QB4&gt;0,SUM(PX4:QA4)-QB4,"")</f>
        <v/>
      </c>
      <c r="QU4" s="41" t="str">
        <f t="shared" ref="QU4:QU15" si="188">IF(QE4&gt;0,QE4,"")</f>
        <v/>
      </c>
      <c r="QV4" s="41" t="str">
        <f t="shared" ref="QV4:QV15" si="189">IF(QF4&gt;0,QF4,"")</f>
        <v/>
      </c>
      <c r="QW4" s="41" t="str">
        <f t="shared" ref="QW4:QW15" si="190">IF(SUM(QC4:QF4)-QG4&gt;0,SUM(QC4:QF4)-QG4,"")</f>
        <v/>
      </c>
      <c r="QX4" s="41" t="str">
        <f t="shared" ref="QX4:QX15" si="191">IF(MAX(QT4,QW4)&gt;0,MAX(QT4,QW4),"")</f>
        <v/>
      </c>
      <c r="QY4" s="41" t="str">
        <f t="shared" ref="QY4:QY15" si="192">IF(QJ4&gt;0,QJ4,"")</f>
        <v/>
      </c>
      <c r="QZ4" s="41" t="str">
        <f t="shared" ref="QZ4:QZ15" si="193">IF(QK4&gt;0,QK4,"")</f>
        <v/>
      </c>
      <c r="RA4" s="41" t="str">
        <f t="shared" ref="RA4:RA15" si="194">IF(SUM(QH4:QK4)-QL4&gt;0,SUM(QH4:QK4)-QL4,"")</f>
        <v/>
      </c>
      <c r="RB4" s="41" t="str">
        <f t="shared" ref="RB4:RB15" si="195">IF(QO4&gt;0,QO4,"")</f>
        <v/>
      </c>
      <c r="RC4" s="41" t="str">
        <f t="shared" ref="RC4:RC15" si="196">IF(QP4&gt;0,QP4,"")</f>
        <v/>
      </c>
      <c r="RD4" s="41" t="str">
        <f t="shared" ref="RD4:RD15" si="197">IF(SUM(QM4:QP4)-QQ4&gt;0,SUM(QM4:QP4)-QQ4,"")</f>
        <v/>
      </c>
      <c r="RE4" s="41" t="str">
        <f t="shared" ref="RE4:RE15" si="198">IF(SUM(QX4,RA4,RD4)&gt;0,SUM(QX4,RA4,RD4),"")</f>
        <v/>
      </c>
      <c r="RF4" s="18"/>
      <c r="RG4" s="18"/>
      <c r="RH4" s="18"/>
      <c r="RI4" s="18"/>
      <c r="RJ4" s="18"/>
      <c r="RK4" s="18"/>
      <c r="RL4" s="18"/>
      <c r="RM4" s="18"/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1" t="str">
        <f t="shared" ref="RZ4:RZ15" si="199">IF(RH4&gt;0,RH4,"")</f>
        <v/>
      </c>
      <c r="SA4" s="11" t="str">
        <f t="shared" ref="SA4:SA15" si="200">IF(RI4&gt;0,RI4,"")</f>
        <v/>
      </c>
      <c r="SB4" s="11" t="str">
        <f t="shared" ref="SB4:SB15" si="201">IF(SUM(RF4:RI4)-RJ4&gt;0,SUM(RF4:RI4)-RJ4,"")</f>
        <v/>
      </c>
      <c r="SC4" s="11" t="str">
        <f t="shared" ref="SC4:SC15" si="202">IF(RM4&gt;0,RM4,"")</f>
        <v/>
      </c>
      <c r="SD4" s="11" t="str">
        <f t="shared" ref="SD4:SD15" si="203">IF(RN4&gt;0,RN4,"")</f>
        <v/>
      </c>
      <c r="SE4" s="11" t="str">
        <f t="shared" ref="SE4:SE15" si="204">IF(SUM(RK4:RN4)-RO4&gt;0,SUM(RK4:RN4)-RO4,"")</f>
        <v/>
      </c>
      <c r="SF4" s="11" t="str">
        <f t="shared" ref="SF4:SF15" si="205">IF(MAX(SB4,SE4)&gt;0,MAX(SB4,SE4),"")</f>
        <v/>
      </c>
      <c r="SG4" s="11" t="str">
        <f t="shared" ref="SG4:SG15" si="206">IF(RR4&gt;0,RR4,"")</f>
        <v/>
      </c>
      <c r="SH4" s="11" t="str">
        <f t="shared" ref="SH4:SH15" si="207">IF(RS4&gt;0,RS4,"")</f>
        <v/>
      </c>
      <c r="SI4" s="11" t="str">
        <f t="shared" ref="SI4:SI15" si="208">IF(SUM(RP4:RS4)-RT4&gt;0,SUM(RP4:RS4)-RT4,"")</f>
        <v/>
      </c>
      <c r="SJ4" s="11" t="str">
        <f t="shared" ref="SJ4:SJ15" si="209">IF(RW4&gt;0,RW4,"")</f>
        <v/>
      </c>
      <c r="SK4" s="11" t="str">
        <f t="shared" ref="SK4:SK15" si="210">IF(RX4&gt;0,RX4,"")</f>
        <v/>
      </c>
      <c r="SL4" s="11" t="str">
        <f t="shared" ref="SL4:SL15" si="211">IF(SUM(RU4:RX4)-RY4&gt;0,SUM(RU4:RX4)-RY4,"")</f>
        <v/>
      </c>
      <c r="SM4" s="11" t="str">
        <f t="shared" ref="SM4:SM15" si="212">IF(SUM(SF4,SI4,SL4)&gt;0,SUM(SF4,SI4,SL4),"")</f>
        <v/>
      </c>
      <c r="SN4" s="23">
        <f t="shared" ref="SN4:SN15" si="213">IF($CH4="P",BS4,(BS4+AR4)/2)</f>
        <v>0</v>
      </c>
      <c r="SO4" s="23">
        <f t="shared" ref="SO4:SO15" si="214">IF($CH4="P",BT4,(BT4+AS4)/2)</f>
        <v>0</v>
      </c>
      <c r="SP4" s="23">
        <f t="shared" ref="SP4:SP15" si="215">IF($CH4="P",BU4,(BU4+AT4)/2)</f>
        <v>0</v>
      </c>
      <c r="SQ4" s="23">
        <f t="shared" ref="SQ4:SQ15" si="216">IF($CH4="P",BV4,(BV4+AU4)/2)</f>
        <v>0</v>
      </c>
      <c r="SR4" s="23">
        <f t="shared" ref="SR4:SR15" si="217">IF($CH4="P",BW4,(BW4+AV4)/2)</f>
        <v>0</v>
      </c>
      <c r="SS4" s="23">
        <f t="shared" ref="SS4:SS15" si="218">IF($CH4="P",BX4,(BX4+AW4)/2)</f>
        <v>0</v>
      </c>
      <c r="ST4" s="23">
        <f t="shared" ref="ST4:ST15" si="219">IF($CH4="P",BY4,(BY4+AX4)/2)</f>
        <v>0</v>
      </c>
      <c r="SU4" s="23">
        <f t="shared" ref="SU4:SU15" si="220">IF($CH4="P",BZ4,(BZ4+AY4)/2)</f>
        <v>0</v>
      </c>
      <c r="SV4" s="23">
        <f t="shared" ref="SV4:SV15" si="221">IF($CH4="P",CA4,(CA4+AZ4)/2)</f>
        <v>0</v>
      </c>
      <c r="SW4" s="23">
        <f t="shared" ref="SW4:SW15" si="222">IF($CH4="P",CB4,(CB4+BA4)/2)</f>
        <v>0</v>
      </c>
      <c r="SX4" s="23">
        <f t="shared" ref="SX4:SX15" si="223">IF($CH4="P",CC4,(CC4+BB4)/2)</f>
        <v>0</v>
      </c>
      <c r="SY4" s="23">
        <f t="shared" ref="SY4:SY15" si="224">IF($CH4="P",CD4,(CD4+BC4)/2)</f>
        <v>0</v>
      </c>
      <c r="SZ4" s="23">
        <f t="shared" ref="SZ4:SZ15" si="225">IF($CH4="P",CE4,(CE4+BD4)/2)</f>
        <v>0</v>
      </c>
      <c r="TA4" s="23">
        <f t="shared" ref="TA4:TA15" si="226">IF($CH4="P",CF4,(CF4+BE4)/2)</f>
        <v>0</v>
      </c>
      <c r="TB4" s="23">
        <f t="shared" ref="TB4:TB15" si="227">IF($CH4="P",CG4,(CG4+BF4)/2)</f>
        <v>0</v>
      </c>
      <c r="TC4" s="28" t="s">
        <v>57</v>
      </c>
      <c r="TD4" s="41" t="str">
        <f t="shared" ref="TD4:TD15" si="228">IF(SP4&gt;0,SP4,"")</f>
        <v/>
      </c>
      <c r="TE4" s="41" t="str">
        <f t="shared" ref="TE4:TE15" si="229">IF(SQ4&gt;0,SQ4,"")</f>
        <v/>
      </c>
      <c r="TF4" s="41" t="str">
        <f t="shared" ref="TF4:TF15" si="230">IF(SUM(SN4:SQ4)-SR4&gt;0,SUM(SN4:SQ4)-SR4,"")</f>
        <v/>
      </c>
      <c r="TG4" s="41" t="str">
        <f t="shared" ref="TG4:TG15" si="231">IF(SU4&gt;0,SU4,"")</f>
        <v/>
      </c>
      <c r="TH4" s="41" t="str">
        <f t="shared" ref="TH4:TH15" si="232">IF(SV4&gt;0,SV4,"")</f>
        <v/>
      </c>
      <c r="TI4" s="41" t="str">
        <f t="shared" ref="TI4:TI15" si="233">IF(SUM(SS4:SV4)-SW4&gt;0,SUM(SS4:SV4)-SW4,"")</f>
        <v/>
      </c>
      <c r="TJ4" s="41" t="str">
        <f t="shared" ref="TJ4:TJ15" si="234">IF(MAX(TF4,TI4)&gt;0,MAX(TF4,TI4),"")</f>
        <v/>
      </c>
      <c r="TK4" s="41" t="str">
        <f t="shared" ref="TK4:TK15" si="235">IF(SZ4&gt;0,SZ4,"")</f>
        <v/>
      </c>
      <c r="TL4" s="41" t="str">
        <f t="shared" ref="TL4:TL15" si="236">IF(TA4&gt;0,TA4,"")</f>
        <v/>
      </c>
      <c r="TM4" s="41" t="str">
        <f t="shared" ref="TM4:TM15" si="237">IF(SUM(SX4:TA4)-TB4&gt;0,SUM(SX4:TA4)-TB4,"")</f>
        <v/>
      </c>
      <c r="TN4" s="41" t="str">
        <f t="shared" ref="TN4:TN15" si="238">IF(SUM(TJ4,TM4)&gt;0,SUM(TJ4,TM4),"")</f>
        <v/>
      </c>
    </row>
    <row r="5" spans="1:534" x14ac:dyDescent="0.2">
      <c r="A5" s="4" cm="1">
        <f t="array" ref="A5">IF(AND(H5&lt;&gt;"",H5&lt;&gt;"No DD"),SUMPRODUCT((H$4:H$16&lt;&gt;"")*(H$4:H$16&lt;&gt;"No DD")*(E$4:E$16&gt;E5))+1,IF(H5="No DD",SUMPRODUCT((H$4:H$16="No DD")*(E$4:E$16&gt;E5))+1+SUMPRODUCT((H$4:H$16&lt;&gt;"")*(H$4:H$16&lt;&gt;"No DD")),""))</f>
        <v>2</v>
      </c>
      <c r="B5" s="5" t="s">
        <v>151</v>
      </c>
      <c r="C5" s="4" t="s">
        <v>6</v>
      </c>
      <c r="D5" s="4" t="s">
        <v>150</v>
      </c>
      <c r="E5" s="9">
        <f t="shared" si="0"/>
        <v>91.850000000000009</v>
      </c>
      <c r="F5" s="3" t="str">
        <f t="shared" si="1"/>
        <v>P</v>
      </c>
      <c r="G5" s="3" t="str">
        <f t="shared" si="2"/>
        <v>P</v>
      </c>
      <c r="H5" s="37" t="str">
        <f t="shared" si="3"/>
        <v>Worlds Team</v>
      </c>
      <c r="I5" s="3" t="str">
        <f t="shared" si="4"/>
        <v>P</v>
      </c>
      <c r="J5" s="8">
        <f>IF(COUNT(AI5,AL5,AP5,BJ5,BM5,BQ5,CK5,CN5,CR5)&gt;0,LARGE((AI5,AL5,AP5,BJ5,BM5,BQ5,CK5,CN5,CR5),1),0)</f>
        <v>45.870000000000005</v>
      </c>
      <c r="K5" s="8" t="str">
        <f t="shared" si="5"/>
        <v>2023 Nationals</v>
      </c>
      <c r="L5" s="8">
        <f>IF(COUNT(AI5,AL5,AP5,BJ5,BM5,BQ5,CK5,CN5,CR5)&gt;1,LARGE((AI5,AL5,AP5,BJ5,BM5,BQ5,CK5,CN5,CR5),2),0)</f>
        <v>45.510000000000005</v>
      </c>
      <c r="M5" s="8" t="str">
        <f t="shared" si="6"/>
        <v>2023 Elite Canada</v>
      </c>
      <c r="N5" s="8">
        <f t="shared" si="7"/>
        <v>0.46999999999999886</v>
      </c>
      <c r="O5" s="11" t="str">
        <f t="shared" si="8"/>
        <v>(Prelim)</v>
      </c>
      <c r="P5" s="8" t="str">
        <f t="shared" si="9"/>
        <v>2023 World Cup AZE (Feb 19)</v>
      </c>
      <c r="Q5" s="23">
        <v>7.55</v>
      </c>
      <c r="R5" s="23">
        <v>9.4</v>
      </c>
      <c r="S5" s="23">
        <v>11.3</v>
      </c>
      <c r="T5" s="23">
        <v>17.059999999999999</v>
      </c>
      <c r="U5" s="23">
        <v>0</v>
      </c>
      <c r="V5" s="23">
        <v>8.65</v>
      </c>
      <c r="W5" s="23">
        <v>9.3000000000000007</v>
      </c>
      <c r="X5" s="23">
        <v>6.9</v>
      </c>
      <c r="Y5" s="23">
        <v>16.739999999999998</v>
      </c>
      <c r="Z5" s="23">
        <v>2.1</v>
      </c>
      <c r="AA5" s="23">
        <v>7.65</v>
      </c>
      <c r="AB5" s="23">
        <v>9.1</v>
      </c>
      <c r="AC5" s="23">
        <v>11.3</v>
      </c>
      <c r="AD5" s="23">
        <v>17.46</v>
      </c>
      <c r="AE5" s="23">
        <v>0</v>
      </c>
      <c r="AF5" s="28"/>
      <c r="AG5" s="39">
        <f t="shared" si="10"/>
        <v>11.3</v>
      </c>
      <c r="AH5" s="39">
        <f t="shared" si="11"/>
        <v>17.059999999999999</v>
      </c>
      <c r="AI5" s="41">
        <f t="shared" si="12"/>
        <v>45.31</v>
      </c>
      <c r="AJ5" s="41">
        <f t="shared" si="13"/>
        <v>6.9</v>
      </c>
      <c r="AK5" s="41">
        <f t="shared" si="14"/>
        <v>16.739999999999998</v>
      </c>
      <c r="AL5" s="41">
        <f t="shared" si="15"/>
        <v>39.49</v>
      </c>
      <c r="AM5" s="41">
        <f t="shared" si="16"/>
        <v>45.31</v>
      </c>
      <c r="AN5" s="41">
        <f t="shared" si="17"/>
        <v>11.3</v>
      </c>
      <c r="AO5" s="41">
        <f t="shared" si="18"/>
        <v>17.46</v>
      </c>
      <c r="AP5" s="41">
        <f t="shared" si="19"/>
        <v>45.510000000000005</v>
      </c>
      <c r="AQ5" s="41">
        <f t="shared" si="20"/>
        <v>90.820000000000007</v>
      </c>
      <c r="AR5" s="27">
        <v>7.35</v>
      </c>
      <c r="AS5" s="27">
        <v>9.5500000000000007</v>
      </c>
      <c r="AT5" s="27">
        <v>11.3</v>
      </c>
      <c r="AU5" s="27">
        <v>15.04</v>
      </c>
      <c r="AV5" s="27">
        <v>0</v>
      </c>
      <c r="AW5" s="27">
        <v>7.4</v>
      </c>
      <c r="AX5" s="27">
        <v>9.25</v>
      </c>
      <c r="AY5" s="27">
        <v>11.3</v>
      </c>
      <c r="AZ5" s="27">
        <v>13.62</v>
      </c>
      <c r="BA5" s="27">
        <v>0</v>
      </c>
      <c r="BB5" s="27">
        <v>8.1999999999999993</v>
      </c>
      <c r="BC5" s="27">
        <v>9.25</v>
      </c>
      <c r="BD5" s="27">
        <v>11.3</v>
      </c>
      <c r="BE5" s="27">
        <v>17.12</v>
      </c>
      <c r="BF5" s="27">
        <v>0</v>
      </c>
      <c r="BG5" s="29"/>
      <c r="BH5" s="40">
        <f t="shared" si="21"/>
        <v>11.3</v>
      </c>
      <c r="BI5" s="40">
        <f t="shared" si="22"/>
        <v>15.04</v>
      </c>
      <c r="BJ5" s="11">
        <f t="shared" si="23"/>
        <v>43.239999999999995</v>
      </c>
      <c r="BK5" s="11">
        <f t="shared" si="24"/>
        <v>11.3</v>
      </c>
      <c r="BL5" s="11">
        <f t="shared" si="25"/>
        <v>13.62</v>
      </c>
      <c r="BM5" s="11">
        <f t="shared" si="26"/>
        <v>41.57</v>
      </c>
      <c r="BN5" s="11">
        <f t="shared" si="27"/>
        <v>43.239999999999995</v>
      </c>
      <c r="BO5" s="11">
        <f t="shared" si="28"/>
        <v>11.3</v>
      </c>
      <c r="BP5" s="11">
        <f t="shared" si="29"/>
        <v>17.12</v>
      </c>
      <c r="BQ5" s="11">
        <f t="shared" si="30"/>
        <v>45.870000000000005</v>
      </c>
      <c r="BR5" s="11">
        <f t="shared" si="31"/>
        <v>89.11</v>
      </c>
      <c r="BS5" s="23"/>
      <c r="BT5" s="23"/>
      <c r="BU5" s="23"/>
      <c r="BV5" s="23"/>
      <c r="BW5" s="23"/>
      <c r="BX5" s="23"/>
      <c r="BY5" s="23"/>
      <c r="BZ5" s="23"/>
      <c r="CA5" s="23"/>
      <c r="CB5" s="23"/>
      <c r="CC5" s="23"/>
      <c r="CD5" s="23"/>
      <c r="CE5" s="23"/>
      <c r="CF5" s="23"/>
      <c r="CG5" s="23"/>
      <c r="CH5" s="28"/>
      <c r="CI5" s="39" t="str">
        <f t="shared" si="32"/>
        <v/>
      </c>
      <c r="CJ5" s="39" t="str">
        <f t="shared" si="33"/>
        <v/>
      </c>
      <c r="CK5" s="41" t="str">
        <f t="shared" si="34"/>
        <v/>
      </c>
      <c r="CL5" s="41" t="str">
        <f t="shared" si="35"/>
        <v/>
      </c>
      <c r="CM5" s="41" t="str">
        <f t="shared" si="36"/>
        <v/>
      </c>
      <c r="CN5" s="41" t="str">
        <f t="shared" si="37"/>
        <v/>
      </c>
      <c r="CO5" s="41" t="str">
        <f t="shared" si="38"/>
        <v/>
      </c>
      <c r="CP5" s="41" t="str">
        <f t="shared" si="39"/>
        <v/>
      </c>
      <c r="CQ5" s="41" t="str">
        <f t="shared" si="40"/>
        <v/>
      </c>
      <c r="CR5" s="41" t="str">
        <f t="shared" si="41"/>
        <v/>
      </c>
      <c r="CS5" s="41" t="str">
        <f t="shared" si="42"/>
        <v/>
      </c>
      <c r="CT5" s="52">
        <f t="shared" si="43"/>
        <v>0.46999999999999886</v>
      </c>
      <c r="CU5" s="52" t="str">
        <f t="shared" si="44"/>
        <v/>
      </c>
      <c r="CV5" s="17">
        <v>7.15</v>
      </c>
      <c r="CW5" s="17">
        <v>9.1</v>
      </c>
      <c r="CX5" s="17">
        <v>10.4</v>
      </c>
      <c r="CY5" s="17">
        <v>11.98</v>
      </c>
      <c r="CZ5" s="17">
        <v>0.4</v>
      </c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41">
        <f t="shared" si="45"/>
        <v>10.4</v>
      </c>
      <c r="DQ5" s="41">
        <f t="shared" si="46"/>
        <v>11.98</v>
      </c>
      <c r="DR5" s="41">
        <f t="shared" si="47"/>
        <v>38.229999999999997</v>
      </c>
      <c r="DS5" s="41" t="str">
        <f t="shared" si="48"/>
        <v/>
      </c>
      <c r="DT5" s="41" t="str">
        <f t="shared" si="49"/>
        <v/>
      </c>
      <c r="DU5" s="41" t="str">
        <f t="shared" si="50"/>
        <v/>
      </c>
      <c r="DV5" s="41">
        <f t="shared" si="51"/>
        <v>38.229999999999997</v>
      </c>
      <c r="DW5" s="41" t="str">
        <f t="shared" si="52"/>
        <v/>
      </c>
      <c r="DX5" s="41" t="str">
        <f t="shared" si="53"/>
        <v/>
      </c>
      <c r="DY5" s="41" t="str">
        <f t="shared" si="54"/>
        <v/>
      </c>
      <c r="DZ5" s="41" t="str">
        <f t="shared" si="55"/>
        <v/>
      </c>
      <c r="EA5" s="41" t="str">
        <f t="shared" si="56"/>
        <v/>
      </c>
      <c r="EB5" s="41" t="str">
        <f t="shared" si="57"/>
        <v/>
      </c>
      <c r="EC5" s="41">
        <f t="shared" si="58"/>
        <v>38.229999999999997</v>
      </c>
      <c r="ED5" s="18">
        <v>7.2</v>
      </c>
      <c r="EE5" s="18">
        <v>9.1</v>
      </c>
      <c r="EF5" s="18">
        <v>11.3</v>
      </c>
      <c r="EG5" s="18">
        <v>18.38</v>
      </c>
      <c r="EH5" s="18">
        <v>0</v>
      </c>
      <c r="EI5" s="18">
        <v>5.95</v>
      </c>
      <c r="EJ5" s="18">
        <v>7.95</v>
      </c>
      <c r="EK5" s="18">
        <v>9.9</v>
      </c>
      <c r="EL5" s="18">
        <v>13.98</v>
      </c>
      <c r="EM5" s="18">
        <v>0</v>
      </c>
      <c r="EN5" s="18"/>
      <c r="EO5" s="18"/>
      <c r="EP5" s="18"/>
      <c r="EQ5" s="18"/>
      <c r="ER5" s="18"/>
      <c r="ES5" s="18">
        <v>6.75</v>
      </c>
      <c r="ET5" s="18">
        <v>9.4</v>
      </c>
      <c r="EU5" s="18">
        <v>11.3</v>
      </c>
      <c r="EV5" s="18">
        <v>15.96</v>
      </c>
      <c r="EW5" s="18">
        <v>0</v>
      </c>
      <c r="EX5" s="11">
        <f t="shared" si="59"/>
        <v>11.3</v>
      </c>
      <c r="EY5" s="11">
        <f t="shared" si="60"/>
        <v>18.38</v>
      </c>
      <c r="EZ5" s="11">
        <f t="shared" si="61"/>
        <v>45.980000000000004</v>
      </c>
      <c r="FA5" s="11">
        <f t="shared" si="62"/>
        <v>9.9</v>
      </c>
      <c r="FB5" s="11">
        <f t="shared" si="63"/>
        <v>13.98</v>
      </c>
      <c r="FC5" s="11">
        <f t="shared" si="64"/>
        <v>37.78</v>
      </c>
      <c r="FD5" s="11">
        <f t="shared" si="65"/>
        <v>45.980000000000004</v>
      </c>
      <c r="FE5" s="11" t="str">
        <f t="shared" si="66"/>
        <v/>
      </c>
      <c r="FF5" s="11" t="str">
        <f t="shared" si="67"/>
        <v/>
      </c>
      <c r="FG5" s="11" t="str">
        <f t="shared" si="68"/>
        <v/>
      </c>
      <c r="FH5" s="11">
        <f t="shared" si="69"/>
        <v>11.3</v>
      </c>
      <c r="FI5" s="11">
        <f t="shared" si="70"/>
        <v>15.96</v>
      </c>
      <c r="FJ5" s="11">
        <f t="shared" si="71"/>
        <v>43.41</v>
      </c>
      <c r="FK5" s="11">
        <f t="shared" si="72"/>
        <v>89.39</v>
      </c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41" t="str">
        <f t="shared" si="73"/>
        <v/>
      </c>
      <c r="GG5" s="41" t="str">
        <f t="shared" si="74"/>
        <v/>
      </c>
      <c r="GH5" s="41" t="str">
        <f t="shared" si="75"/>
        <v/>
      </c>
      <c r="GI5" s="41" t="str">
        <f t="shared" si="76"/>
        <v/>
      </c>
      <c r="GJ5" s="41" t="str">
        <f t="shared" si="77"/>
        <v/>
      </c>
      <c r="GK5" s="41" t="str">
        <f t="shared" si="78"/>
        <v/>
      </c>
      <c r="GL5" s="41" t="str">
        <f t="shared" si="79"/>
        <v/>
      </c>
      <c r="GM5" s="41" t="str">
        <f t="shared" si="80"/>
        <v/>
      </c>
      <c r="GN5" s="41" t="str">
        <f t="shared" si="81"/>
        <v/>
      </c>
      <c r="GO5" s="41" t="str">
        <f t="shared" si="82"/>
        <v/>
      </c>
      <c r="GP5" s="41" t="str">
        <f t="shared" si="83"/>
        <v/>
      </c>
      <c r="GQ5" s="41" t="str">
        <f t="shared" si="84"/>
        <v/>
      </c>
      <c r="GR5" s="41" t="str">
        <f t="shared" si="85"/>
        <v/>
      </c>
      <c r="GS5" s="41" t="str">
        <f t="shared" si="86"/>
        <v/>
      </c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1" t="str">
        <f t="shared" si="87"/>
        <v/>
      </c>
      <c r="HO5" s="11" t="str">
        <f t="shared" si="88"/>
        <v/>
      </c>
      <c r="HP5" s="11" t="str">
        <f t="shared" si="89"/>
        <v/>
      </c>
      <c r="HQ5" s="11" t="str">
        <f t="shared" si="90"/>
        <v/>
      </c>
      <c r="HR5" s="11" t="str">
        <f t="shared" si="91"/>
        <v/>
      </c>
      <c r="HS5" s="11" t="str">
        <f t="shared" si="92"/>
        <v/>
      </c>
      <c r="HT5" s="11" t="str">
        <f t="shared" si="93"/>
        <v/>
      </c>
      <c r="HU5" s="11" t="str">
        <f t="shared" si="94"/>
        <v/>
      </c>
      <c r="HV5" s="11" t="str">
        <f t="shared" si="95"/>
        <v/>
      </c>
      <c r="HW5" s="11" t="str">
        <f t="shared" si="96"/>
        <v/>
      </c>
      <c r="HX5" s="11" t="str">
        <f t="shared" si="97"/>
        <v/>
      </c>
      <c r="HY5" s="11" t="str">
        <f t="shared" si="98"/>
        <v/>
      </c>
      <c r="HZ5" s="11" t="str">
        <f t="shared" si="99"/>
        <v/>
      </c>
      <c r="IA5" s="11" t="str">
        <f t="shared" si="100"/>
        <v/>
      </c>
      <c r="IB5" s="17"/>
      <c r="IC5" s="17"/>
      <c r="ID5" s="17"/>
      <c r="IE5" s="17"/>
      <c r="IF5" s="17"/>
      <c r="IG5" s="17"/>
      <c r="IH5" s="17"/>
      <c r="II5" s="17"/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41" t="str">
        <f t="shared" si="101"/>
        <v/>
      </c>
      <c r="IW5" s="41" t="str">
        <f t="shared" si="102"/>
        <v/>
      </c>
      <c r="IX5" s="41" t="str">
        <f t="shared" si="103"/>
        <v/>
      </c>
      <c r="IY5" s="41" t="str">
        <f t="shared" si="104"/>
        <v/>
      </c>
      <c r="IZ5" s="41" t="str">
        <f t="shared" si="105"/>
        <v/>
      </c>
      <c r="JA5" s="41" t="str">
        <f t="shared" si="106"/>
        <v/>
      </c>
      <c r="JB5" s="41" t="str">
        <f t="shared" si="107"/>
        <v/>
      </c>
      <c r="JC5" s="41" t="str">
        <f t="shared" si="108"/>
        <v/>
      </c>
      <c r="JD5" s="41" t="str">
        <f t="shared" si="109"/>
        <v/>
      </c>
      <c r="JE5" s="41" t="str">
        <f t="shared" si="110"/>
        <v/>
      </c>
      <c r="JF5" s="41" t="str">
        <f t="shared" si="111"/>
        <v/>
      </c>
      <c r="JG5" s="41" t="str">
        <f t="shared" si="112"/>
        <v/>
      </c>
      <c r="JH5" s="41" t="str">
        <f t="shared" si="113"/>
        <v/>
      </c>
      <c r="JI5" s="41" t="str">
        <f t="shared" si="114"/>
        <v/>
      </c>
      <c r="JJ5" s="18"/>
      <c r="JK5" s="18"/>
      <c r="JL5" s="18"/>
      <c r="JM5" s="18"/>
      <c r="JN5" s="18"/>
      <c r="JO5" s="18"/>
      <c r="JP5" s="18"/>
      <c r="JQ5" s="18"/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1" t="str">
        <f t="shared" si="115"/>
        <v/>
      </c>
      <c r="KE5" s="11" t="str">
        <f t="shared" si="116"/>
        <v/>
      </c>
      <c r="KF5" s="11" t="str">
        <f t="shared" si="117"/>
        <v/>
      </c>
      <c r="KG5" s="11" t="str">
        <f t="shared" si="118"/>
        <v/>
      </c>
      <c r="KH5" s="11" t="str">
        <f t="shared" si="119"/>
        <v/>
      </c>
      <c r="KI5" s="11" t="str">
        <f t="shared" si="120"/>
        <v/>
      </c>
      <c r="KJ5" s="11" t="str">
        <f t="shared" si="121"/>
        <v/>
      </c>
      <c r="KK5" s="11" t="str">
        <f t="shared" si="122"/>
        <v/>
      </c>
      <c r="KL5" s="11" t="str">
        <f t="shared" si="123"/>
        <v/>
      </c>
      <c r="KM5" s="11" t="str">
        <f t="shared" si="124"/>
        <v/>
      </c>
      <c r="KN5" s="11" t="str">
        <f t="shared" si="125"/>
        <v/>
      </c>
      <c r="KO5" s="11" t="str">
        <f t="shared" si="126"/>
        <v/>
      </c>
      <c r="KP5" s="11" t="str">
        <f t="shared" si="127"/>
        <v/>
      </c>
      <c r="KQ5" s="11" t="str">
        <f t="shared" si="128"/>
        <v/>
      </c>
      <c r="KR5" s="17"/>
      <c r="KS5" s="17"/>
      <c r="KT5" s="17"/>
      <c r="KU5" s="17"/>
      <c r="KV5" s="17"/>
      <c r="KW5" s="17"/>
      <c r="KX5" s="17"/>
      <c r="KY5" s="17"/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41" t="str">
        <f t="shared" si="129"/>
        <v/>
      </c>
      <c r="LM5" s="41" t="str">
        <f t="shared" si="130"/>
        <v/>
      </c>
      <c r="LN5" s="41" t="str">
        <f t="shared" si="131"/>
        <v/>
      </c>
      <c r="LO5" s="41" t="str">
        <f t="shared" si="132"/>
        <v/>
      </c>
      <c r="LP5" s="41" t="str">
        <f t="shared" si="133"/>
        <v/>
      </c>
      <c r="LQ5" s="41" t="str">
        <f t="shared" si="134"/>
        <v/>
      </c>
      <c r="LR5" s="41" t="str">
        <f t="shared" si="135"/>
        <v/>
      </c>
      <c r="LS5" s="41" t="str">
        <f t="shared" si="136"/>
        <v/>
      </c>
      <c r="LT5" s="41" t="str">
        <f t="shared" si="137"/>
        <v/>
      </c>
      <c r="LU5" s="41" t="str">
        <f t="shared" si="138"/>
        <v/>
      </c>
      <c r="LV5" s="41" t="str">
        <f t="shared" si="139"/>
        <v/>
      </c>
      <c r="LW5" s="41" t="str">
        <f t="shared" si="140"/>
        <v/>
      </c>
      <c r="LX5" s="41" t="str">
        <f t="shared" si="141"/>
        <v/>
      </c>
      <c r="LY5" s="41" t="str">
        <f t="shared" si="142"/>
        <v/>
      </c>
      <c r="LZ5" s="18"/>
      <c r="MA5" s="18"/>
      <c r="MB5" s="18"/>
      <c r="MC5" s="18"/>
      <c r="MD5" s="18"/>
      <c r="ME5" s="18"/>
      <c r="MF5" s="18"/>
      <c r="MG5" s="18"/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1" t="str">
        <f t="shared" si="143"/>
        <v/>
      </c>
      <c r="MU5" s="11" t="str">
        <f t="shared" si="144"/>
        <v/>
      </c>
      <c r="MV5" s="11" t="str">
        <f t="shared" si="145"/>
        <v/>
      </c>
      <c r="MW5" s="11" t="str">
        <f t="shared" si="146"/>
        <v/>
      </c>
      <c r="MX5" s="11" t="str">
        <f t="shared" si="147"/>
        <v/>
      </c>
      <c r="MY5" s="11" t="str">
        <f t="shared" si="148"/>
        <v/>
      </c>
      <c r="MZ5" s="11" t="str">
        <f t="shared" si="149"/>
        <v/>
      </c>
      <c r="NA5" s="11" t="str">
        <f t="shared" si="150"/>
        <v/>
      </c>
      <c r="NB5" s="11" t="str">
        <f t="shared" si="151"/>
        <v/>
      </c>
      <c r="NC5" s="11" t="str">
        <f t="shared" si="152"/>
        <v/>
      </c>
      <c r="ND5" s="11" t="str">
        <f t="shared" si="153"/>
        <v/>
      </c>
      <c r="NE5" s="11" t="str">
        <f t="shared" si="154"/>
        <v/>
      </c>
      <c r="NF5" s="11" t="str">
        <f t="shared" si="155"/>
        <v/>
      </c>
      <c r="NG5" s="11" t="str">
        <f t="shared" si="156"/>
        <v/>
      </c>
      <c r="NH5" s="17"/>
      <c r="NI5" s="17"/>
      <c r="NJ5" s="17"/>
      <c r="NK5" s="17"/>
      <c r="NL5" s="17"/>
      <c r="NM5" s="17"/>
      <c r="NN5" s="17"/>
      <c r="NO5" s="17"/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41" t="str">
        <f t="shared" si="157"/>
        <v/>
      </c>
      <c r="OC5" s="41" t="str">
        <f t="shared" si="158"/>
        <v/>
      </c>
      <c r="OD5" s="41" t="str">
        <f t="shared" si="159"/>
        <v/>
      </c>
      <c r="OE5" s="41" t="str">
        <f t="shared" si="160"/>
        <v/>
      </c>
      <c r="OF5" s="41" t="str">
        <f t="shared" si="161"/>
        <v/>
      </c>
      <c r="OG5" s="41" t="str">
        <f t="shared" si="162"/>
        <v/>
      </c>
      <c r="OH5" s="41" t="str">
        <f t="shared" si="163"/>
        <v/>
      </c>
      <c r="OI5" s="41" t="str">
        <f t="shared" si="164"/>
        <v/>
      </c>
      <c r="OJ5" s="41" t="str">
        <f t="shared" si="165"/>
        <v/>
      </c>
      <c r="OK5" s="41" t="str">
        <f t="shared" si="166"/>
        <v/>
      </c>
      <c r="OL5" s="41" t="str">
        <f t="shared" si="167"/>
        <v/>
      </c>
      <c r="OM5" s="41" t="str">
        <f t="shared" si="168"/>
        <v/>
      </c>
      <c r="ON5" s="41" t="str">
        <f t="shared" si="169"/>
        <v/>
      </c>
      <c r="OO5" s="41" t="str">
        <f t="shared" si="170"/>
        <v/>
      </c>
      <c r="OP5" s="18"/>
      <c r="OQ5" s="18"/>
      <c r="OR5" s="18"/>
      <c r="OS5" s="18"/>
      <c r="OT5" s="18"/>
      <c r="OU5" s="18"/>
      <c r="OV5" s="18"/>
      <c r="OW5" s="18"/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1" t="str">
        <f t="shared" si="171"/>
        <v/>
      </c>
      <c r="PK5" s="11" t="str">
        <f t="shared" si="172"/>
        <v/>
      </c>
      <c r="PL5" s="11" t="str">
        <f t="shared" si="173"/>
        <v/>
      </c>
      <c r="PM5" s="11" t="str">
        <f t="shared" si="174"/>
        <v/>
      </c>
      <c r="PN5" s="11" t="str">
        <f t="shared" si="175"/>
        <v/>
      </c>
      <c r="PO5" s="11" t="str">
        <f t="shared" si="176"/>
        <v/>
      </c>
      <c r="PP5" s="11" t="str">
        <f t="shared" si="177"/>
        <v/>
      </c>
      <c r="PQ5" s="11" t="str">
        <f t="shared" si="178"/>
        <v/>
      </c>
      <c r="PR5" s="11" t="str">
        <f t="shared" si="179"/>
        <v/>
      </c>
      <c r="PS5" s="11" t="str">
        <f t="shared" si="180"/>
        <v/>
      </c>
      <c r="PT5" s="11" t="str">
        <f t="shared" si="181"/>
        <v/>
      </c>
      <c r="PU5" s="11" t="str">
        <f t="shared" si="182"/>
        <v/>
      </c>
      <c r="PV5" s="11" t="str">
        <f t="shared" si="183"/>
        <v/>
      </c>
      <c r="PW5" s="11" t="str">
        <f t="shared" si="184"/>
        <v/>
      </c>
      <c r="PX5" s="17"/>
      <c r="PY5" s="17"/>
      <c r="PZ5" s="17"/>
      <c r="QA5" s="17"/>
      <c r="QB5" s="17"/>
      <c r="QC5" s="17"/>
      <c r="QD5" s="17"/>
      <c r="QE5" s="17"/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41" t="str">
        <f t="shared" si="185"/>
        <v/>
      </c>
      <c r="QS5" s="41" t="str">
        <f t="shared" si="186"/>
        <v/>
      </c>
      <c r="QT5" s="41" t="str">
        <f t="shared" si="187"/>
        <v/>
      </c>
      <c r="QU5" s="41" t="str">
        <f t="shared" si="188"/>
        <v/>
      </c>
      <c r="QV5" s="41" t="str">
        <f t="shared" si="189"/>
        <v/>
      </c>
      <c r="QW5" s="41" t="str">
        <f t="shared" si="190"/>
        <v/>
      </c>
      <c r="QX5" s="41" t="str">
        <f t="shared" si="191"/>
        <v/>
      </c>
      <c r="QY5" s="41" t="str">
        <f t="shared" si="192"/>
        <v/>
      </c>
      <c r="QZ5" s="41" t="str">
        <f t="shared" si="193"/>
        <v/>
      </c>
      <c r="RA5" s="41" t="str">
        <f t="shared" si="194"/>
        <v/>
      </c>
      <c r="RB5" s="41" t="str">
        <f t="shared" si="195"/>
        <v/>
      </c>
      <c r="RC5" s="41" t="str">
        <f t="shared" si="196"/>
        <v/>
      </c>
      <c r="RD5" s="41" t="str">
        <f t="shared" si="197"/>
        <v/>
      </c>
      <c r="RE5" s="41" t="str">
        <f t="shared" si="198"/>
        <v/>
      </c>
      <c r="RF5" s="18"/>
      <c r="RG5" s="18"/>
      <c r="RH5" s="18"/>
      <c r="RI5" s="18"/>
      <c r="RJ5" s="18"/>
      <c r="RK5" s="18"/>
      <c r="RL5" s="18"/>
      <c r="RM5" s="18"/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1" t="str">
        <f t="shared" si="199"/>
        <v/>
      </c>
      <c r="SA5" s="11" t="str">
        <f t="shared" si="200"/>
        <v/>
      </c>
      <c r="SB5" s="11" t="str">
        <f t="shared" si="201"/>
        <v/>
      </c>
      <c r="SC5" s="11" t="str">
        <f t="shared" si="202"/>
        <v/>
      </c>
      <c r="SD5" s="11" t="str">
        <f t="shared" si="203"/>
        <v/>
      </c>
      <c r="SE5" s="11" t="str">
        <f t="shared" si="204"/>
        <v/>
      </c>
      <c r="SF5" s="11" t="str">
        <f t="shared" si="205"/>
        <v/>
      </c>
      <c r="SG5" s="11" t="str">
        <f t="shared" si="206"/>
        <v/>
      </c>
      <c r="SH5" s="11" t="str">
        <f t="shared" si="207"/>
        <v/>
      </c>
      <c r="SI5" s="11" t="str">
        <f t="shared" si="208"/>
        <v/>
      </c>
      <c r="SJ5" s="11" t="str">
        <f t="shared" si="209"/>
        <v/>
      </c>
      <c r="SK5" s="11" t="str">
        <f t="shared" si="210"/>
        <v/>
      </c>
      <c r="SL5" s="11" t="str">
        <f t="shared" si="211"/>
        <v/>
      </c>
      <c r="SM5" s="11" t="str">
        <f t="shared" si="212"/>
        <v/>
      </c>
      <c r="SN5" s="23">
        <f t="shared" si="213"/>
        <v>3.6749999999999998</v>
      </c>
      <c r="SO5" s="23">
        <f t="shared" si="214"/>
        <v>4.7750000000000004</v>
      </c>
      <c r="SP5" s="23">
        <f t="shared" si="215"/>
        <v>5.65</v>
      </c>
      <c r="SQ5" s="23">
        <f t="shared" si="216"/>
        <v>7.52</v>
      </c>
      <c r="SR5" s="23">
        <f t="shared" si="217"/>
        <v>0</v>
      </c>
      <c r="SS5" s="23">
        <f t="shared" si="218"/>
        <v>3.7</v>
      </c>
      <c r="ST5" s="23">
        <f t="shared" si="219"/>
        <v>4.625</v>
      </c>
      <c r="SU5" s="23">
        <f t="shared" si="220"/>
        <v>5.65</v>
      </c>
      <c r="SV5" s="23">
        <f t="shared" si="221"/>
        <v>6.81</v>
      </c>
      <c r="SW5" s="23">
        <f t="shared" si="222"/>
        <v>0</v>
      </c>
      <c r="SX5" s="23">
        <f t="shared" si="223"/>
        <v>4.0999999999999996</v>
      </c>
      <c r="SY5" s="23">
        <f t="shared" si="224"/>
        <v>4.625</v>
      </c>
      <c r="SZ5" s="23">
        <f t="shared" si="225"/>
        <v>5.65</v>
      </c>
      <c r="TA5" s="23">
        <f t="shared" si="226"/>
        <v>8.56</v>
      </c>
      <c r="TB5" s="23">
        <f t="shared" si="227"/>
        <v>0</v>
      </c>
      <c r="TC5" s="28" t="s">
        <v>57</v>
      </c>
      <c r="TD5" s="41">
        <f t="shared" si="228"/>
        <v>5.65</v>
      </c>
      <c r="TE5" s="41">
        <f t="shared" si="229"/>
        <v>7.52</v>
      </c>
      <c r="TF5" s="41">
        <f t="shared" si="230"/>
        <v>21.619999999999997</v>
      </c>
      <c r="TG5" s="41">
        <f t="shared" si="231"/>
        <v>5.65</v>
      </c>
      <c r="TH5" s="41">
        <f t="shared" si="232"/>
        <v>6.81</v>
      </c>
      <c r="TI5" s="41">
        <f t="shared" si="233"/>
        <v>20.785</v>
      </c>
      <c r="TJ5" s="41">
        <f t="shared" si="234"/>
        <v>21.619999999999997</v>
      </c>
      <c r="TK5" s="41">
        <f t="shared" si="235"/>
        <v>5.65</v>
      </c>
      <c r="TL5" s="41">
        <f t="shared" si="236"/>
        <v>8.56</v>
      </c>
      <c r="TM5" s="41">
        <f t="shared" si="237"/>
        <v>22.935000000000002</v>
      </c>
      <c r="TN5" s="41">
        <f t="shared" si="238"/>
        <v>44.555</v>
      </c>
    </row>
    <row r="6" spans="1:534" x14ac:dyDescent="0.2">
      <c r="A6" s="4" cm="1">
        <f t="array" ref="A6">IF(AND(H6&lt;&gt;"",H6&lt;&gt;"No DD"),SUMPRODUCT((H$4:H$16&lt;&gt;"")*(H$4:H$16&lt;&gt;"No DD")*(E$4:E$16&gt;E6))+1,IF(H6="No DD",SUMPRODUCT((H$4:H$16="No DD")*(E$4:E$16&gt;E6))+1+SUMPRODUCT((H$4:H$16&lt;&gt;"")*(H$4:H$16&lt;&gt;"No DD")),""))</f>
        <v>3</v>
      </c>
      <c r="B6" s="5" t="s">
        <v>197</v>
      </c>
      <c r="C6" s="4" t="s">
        <v>196</v>
      </c>
      <c r="D6" s="4" t="s">
        <v>195</v>
      </c>
      <c r="E6" s="9">
        <f t="shared" si="0"/>
        <v>91.77000000000001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IF(COUNT(AI6,AL6,AP6,BJ6,BM6,BQ6,CK6,CN6,CR6)&gt;0,LARGE((AI6,AL6,AP6,BJ6,BM6,BQ6,CK6,CN6,CR6),1),0)</f>
        <v>44.230000000000004</v>
      </c>
      <c r="K6" s="8" t="str">
        <f t="shared" si="5"/>
        <v>2023 Elite Canada</v>
      </c>
      <c r="L6" s="8">
        <f>IF(COUNT(AI6,AL6,AP6,BJ6,BM6,BQ6,CK6,CN6,CR6)&gt;1,LARGE((AI6,AL6,AP6,BJ6,BM6,BQ6,CK6,CN6,CR6),2),0)</f>
        <v>43.55</v>
      </c>
      <c r="M6" s="8" t="str">
        <f t="shared" si="6"/>
        <v>2023 Elite Canada</v>
      </c>
      <c r="N6" s="8">
        <f t="shared" si="7"/>
        <v>3.990000000000002</v>
      </c>
      <c r="O6" s="11" t="str">
        <f t="shared" si="8"/>
        <v>(Prelim)</v>
      </c>
      <c r="P6" s="8" t="str">
        <f t="shared" si="9"/>
        <v>2023 World Championships (Nov 12)</v>
      </c>
      <c r="Q6" s="23">
        <v>8.4499999999999993</v>
      </c>
      <c r="R6" s="23">
        <v>9.5</v>
      </c>
      <c r="S6" s="23">
        <v>9.6</v>
      </c>
      <c r="T6" s="23">
        <v>16</v>
      </c>
      <c r="U6" s="23">
        <v>0</v>
      </c>
      <c r="V6" s="23">
        <v>3.9</v>
      </c>
      <c r="W6" s="23">
        <v>4.8</v>
      </c>
      <c r="X6" s="23">
        <v>5.2</v>
      </c>
      <c r="Y6" s="23">
        <v>7.86</v>
      </c>
      <c r="Z6" s="23">
        <v>0</v>
      </c>
      <c r="AA6" s="23">
        <v>7.9</v>
      </c>
      <c r="AB6" s="23">
        <v>9.65</v>
      </c>
      <c r="AC6" s="23">
        <v>10.4</v>
      </c>
      <c r="AD6" s="23">
        <v>16.28</v>
      </c>
      <c r="AE6" s="23">
        <v>0</v>
      </c>
      <c r="AF6" s="28"/>
      <c r="AG6" s="39">
        <f t="shared" si="10"/>
        <v>9.6</v>
      </c>
      <c r="AH6" s="39">
        <f t="shared" si="11"/>
        <v>16</v>
      </c>
      <c r="AI6" s="41">
        <f t="shared" si="12"/>
        <v>43.55</v>
      </c>
      <c r="AJ6" s="41">
        <f t="shared" si="13"/>
        <v>5.2</v>
      </c>
      <c r="AK6" s="41">
        <f t="shared" si="14"/>
        <v>7.86</v>
      </c>
      <c r="AL6" s="41">
        <f t="shared" si="15"/>
        <v>21.759999999999998</v>
      </c>
      <c r="AM6" s="41">
        <f t="shared" si="16"/>
        <v>43.55</v>
      </c>
      <c r="AN6" s="41">
        <f t="shared" si="17"/>
        <v>10.4</v>
      </c>
      <c r="AO6" s="41">
        <f t="shared" si="18"/>
        <v>16.28</v>
      </c>
      <c r="AP6" s="41">
        <f t="shared" si="19"/>
        <v>44.230000000000004</v>
      </c>
      <c r="AQ6" s="41">
        <f t="shared" si="20"/>
        <v>87.78</v>
      </c>
      <c r="AR6" s="27"/>
      <c r="AS6" s="27"/>
      <c r="AT6" s="27"/>
      <c r="AU6" s="27"/>
      <c r="AV6" s="27"/>
      <c r="AW6" s="27"/>
      <c r="AX6" s="27"/>
      <c r="AY6" s="27"/>
      <c r="AZ6" s="27"/>
      <c r="BA6" s="27"/>
      <c r="BB6" s="27"/>
      <c r="BC6" s="27"/>
      <c r="BD6" s="27"/>
      <c r="BE6" s="27"/>
      <c r="BF6" s="27"/>
      <c r="BG6" s="29"/>
      <c r="BH6" s="40" t="str">
        <f t="shared" si="21"/>
        <v/>
      </c>
      <c r="BI6" s="40" t="str">
        <f t="shared" si="22"/>
        <v/>
      </c>
      <c r="BJ6" s="11" t="str">
        <f t="shared" si="23"/>
        <v/>
      </c>
      <c r="BK6" s="11" t="str">
        <f t="shared" si="24"/>
        <v/>
      </c>
      <c r="BL6" s="11" t="str">
        <f t="shared" si="25"/>
        <v/>
      </c>
      <c r="BM6" s="11" t="str">
        <f t="shared" si="26"/>
        <v/>
      </c>
      <c r="BN6" s="11" t="str">
        <f t="shared" si="27"/>
        <v/>
      </c>
      <c r="BO6" s="11" t="str">
        <f t="shared" si="28"/>
        <v/>
      </c>
      <c r="BP6" s="11" t="str">
        <f t="shared" si="29"/>
        <v/>
      </c>
      <c r="BQ6" s="11" t="str">
        <f t="shared" si="30"/>
        <v/>
      </c>
      <c r="BR6" s="11" t="str">
        <f t="shared" si="31"/>
        <v/>
      </c>
      <c r="BS6" s="23"/>
      <c r="BT6" s="23"/>
      <c r="BU6" s="23"/>
      <c r="BV6" s="23"/>
      <c r="BW6" s="23"/>
      <c r="BX6" s="23"/>
      <c r="BY6" s="23"/>
      <c r="BZ6" s="23"/>
      <c r="CA6" s="23"/>
      <c r="CB6" s="23"/>
      <c r="CC6" s="23"/>
      <c r="CD6" s="23"/>
      <c r="CE6" s="23"/>
      <c r="CF6" s="23"/>
      <c r="CG6" s="23"/>
      <c r="CH6" s="28"/>
      <c r="CI6" s="39" t="str">
        <f t="shared" si="32"/>
        <v/>
      </c>
      <c r="CJ6" s="39" t="str">
        <f t="shared" si="33"/>
        <v/>
      </c>
      <c r="CK6" s="41" t="str">
        <f t="shared" si="34"/>
        <v/>
      </c>
      <c r="CL6" s="41" t="str">
        <f t="shared" si="35"/>
        <v/>
      </c>
      <c r="CM6" s="41" t="str">
        <f t="shared" si="36"/>
        <v/>
      </c>
      <c r="CN6" s="41" t="str">
        <f t="shared" si="37"/>
        <v/>
      </c>
      <c r="CO6" s="41" t="str">
        <f t="shared" si="38"/>
        <v/>
      </c>
      <c r="CP6" s="41" t="str">
        <f t="shared" si="39"/>
        <v/>
      </c>
      <c r="CQ6" s="41" t="str">
        <f t="shared" si="40"/>
        <v/>
      </c>
      <c r="CR6" s="41" t="str">
        <f t="shared" si="41"/>
        <v/>
      </c>
      <c r="CS6" s="41" t="str">
        <f t="shared" si="42"/>
        <v/>
      </c>
      <c r="CT6" s="52">
        <f t="shared" si="43"/>
        <v>3.990000000000002</v>
      </c>
      <c r="CU6" s="52">
        <f t="shared" si="44"/>
        <v>3.3500000000000014</v>
      </c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41" t="str">
        <f t="shared" si="45"/>
        <v/>
      </c>
      <c r="DQ6" s="41" t="str">
        <f t="shared" si="46"/>
        <v/>
      </c>
      <c r="DR6" s="41" t="str">
        <f t="shared" si="47"/>
        <v/>
      </c>
      <c r="DS6" s="41" t="str">
        <f t="shared" si="48"/>
        <v/>
      </c>
      <c r="DT6" s="41" t="str">
        <f t="shared" si="49"/>
        <v/>
      </c>
      <c r="DU6" s="41" t="str">
        <f t="shared" si="50"/>
        <v/>
      </c>
      <c r="DV6" s="41" t="str">
        <f t="shared" si="51"/>
        <v/>
      </c>
      <c r="DW6" s="41" t="str">
        <f t="shared" si="52"/>
        <v/>
      </c>
      <c r="DX6" s="41" t="str">
        <f t="shared" si="53"/>
        <v/>
      </c>
      <c r="DY6" s="41" t="str">
        <f t="shared" si="54"/>
        <v/>
      </c>
      <c r="DZ6" s="41" t="str">
        <f t="shared" si="55"/>
        <v/>
      </c>
      <c r="EA6" s="41" t="str">
        <f t="shared" si="56"/>
        <v/>
      </c>
      <c r="EB6" s="41" t="str">
        <f t="shared" si="57"/>
        <v/>
      </c>
      <c r="EC6" s="41" t="str">
        <f t="shared" si="58"/>
        <v/>
      </c>
      <c r="ED6" s="18"/>
      <c r="EE6" s="18"/>
      <c r="EF6" s="18"/>
      <c r="EG6" s="18"/>
      <c r="EH6" s="18"/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1" t="str">
        <f t="shared" si="59"/>
        <v/>
      </c>
      <c r="EY6" s="11" t="str">
        <f t="shared" si="60"/>
        <v/>
      </c>
      <c r="EZ6" s="11" t="str">
        <f t="shared" si="61"/>
        <v/>
      </c>
      <c r="FA6" s="11" t="str">
        <f t="shared" si="62"/>
        <v/>
      </c>
      <c r="FB6" s="11" t="str">
        <f t="shared" si="63"/>
        <v/>
      </c>
      <c r="FC6" s="11" t="str">
        <f t="shared" si="64"/>
        <v/>
      </c>
      <c r="FD6" s="11" t="str">
        <f t="shared" si="65"/>
        <v/>
      </c>
      <c r="FE6" s="11" t="str">
        <f t="shared" si="66"/>
        <v/>
      </c>
      <c r="FF6" s="11" t="str">
        <f t="shared" si="67"/>
        <v/>
      </c>
      <c r="FG6" s="11" t="str">
        <f t="shared" si="68"/>
        <v/>
      </c>
      <c r="FH6" s="11" t="str">
        <f t="shared" si="69"/>
        <v/>
      </c>
      <c r="FI6" s="11" t="str">
        <f t="shared" si="70"/>
        <v/>
      </c>
      <c r="FJ6" s="11" t="str">
        <f t="shared" si="71"/>
        <v/>
      </c>
      <c r="FK6" s="11" t="str">
        <f t="shared" si="72"/>
        <v/>
      </c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41" t="str">
        <f t="shared" si="73"/>
        <v/>
      </c>
      <c r="GG6" s="41" t="str">
        <f t="shared" si="74"/>
        <v/>
      </c>
      <c r="GH6" s="41" t="str">
        <f t="shared" si="75"/>
        <v/>
      </c>
      <c r="GI6" s="41" t="str">
        <f t="shared" si="76"/>
        <v/>
      </c>
      <c r="GJ6" s="41" t="str">
        <f t="shared" si="77"/>
        <v/>
      </c>
      <c r="GK6" s="41" t="str">
        <f t="shared" si="78"/>
        <v/>
      </c>
      <c r="GL6" s="41" t="str">
        <f t="shared" si="79"/>
        <v/>
      </c>
      <c r="GM6" s="41" t="str">
        <f t="shared" si="80"/>
        <v/>
      </c>
      <c r="GN6" s="41" t="str">
        <f t="shared" si="81"/>
        <v/>
      </c>
      <c r="GO6" s="41" t="str">
        <f t="shared" si="82"/>
        <v/>
      </c>
      <c r="GP6" s="41" t="str">
        <f t="shared" si="83"/>
        <v/>
      </c>
      <c r="GQ6" s="41" t="str">
        <f t="shared" si="84"/>
        <v/>
      </c>
      <c r="GR6" s="41" t="str">
        <f t="shared" si="85"/>
        <v/>
      </c>
      <c r="GS6" s="41" t="str">
        <f t="shared" si="86"/>
        <v/>
      </c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1" t="str">
        <f t="shared" si="87"/>
        <v/>
      </c>
      <c r="HO6" s="11" t="str">
        <f t="shared" si="88"/>
        <v/>
      </c>
      <c r="HP6" s="11" t="str">
        <f t="shared" si="89"/>
        <v/>
      </c>
      <c r="HQ6" s="11" t="str">
        <f t="shared" si="90"/>
        <v/>
      </c>
      <c r="HR6" s="11" t="str">
        <f t="shared" si="91"/>
        <v/>
      </c>
      <c r="HS6" s="11" t="str">
        <f t="shared" si="92"/>
        <v/>
      </c>
      <c r="HT6" s="11" t="str">
        <f t="shared" si="93"/>
        <v/>
      </c>
      <c r="HU6" s="11" t="str">
        <f t="shared" si="94"/>
        <v/>
      </c>
      <c r="HV6" s="11" t="str">
        <f t="shared" si="95"/>
        <v/>
      </c>
      <c r="HW6" s="11" t="str">
        <f t="shared" si="96"/>
        <v/>
      </c>
      <c r="HX6" s="11" t="str">
        <f t="shared" si="97"/>
        <v/>
      </c>
      <c r="HY6" s="11" t="str">
        <f t="shared" si="98"/>
        <v/>
      </c>
      <c r="HZ6" s="11" t="str">
        <f t="shared" si="99"/>
        <v/>
      </c>
      <c r="IA6" s="11" t="str">
        <f t="shared" si="100"/>
        <v/>
      </c>
      <c r="IB6" s="17"/>
      <c r="IC6" s="17"/>
      <c r="ID6" s="17"/>
      <c r="IE6" s="17"/>
      <c r="IF6" s="17"/>
      <c r="IG6" s="17"/>
      <c r="IH6" s="17"/>
      <c r="II6" s="17"/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41" t="str">
        <f t="shared" si="101"/>
        <v/>
      </c>
      <c r="IW6" s="41" t="str">
        <f t="shared" si="102"/>
        <v/>
      </c>
      <c r="IX6" s="41" t="str">
        <f t="shared" si="103"/>
        <v/>
      </c>
      <c r="IY6" s="41" t="str">
        <f t="shared" si="104"/>
        <v/>
      </c>
      <c r="IZ6" s="41" t="str">
        <f t="shared" si="105"/>
        <v/>
      </c>
      <c r="JA6" s="41" t="str">
        <f t="shared" si="106"/>
        <v/>
      </c>
      <c r="JB6" s="41" t="str">
        <f t="shared" si="107"/>
        <v/>
      </c>
      <c r="JC6" s="41" t="str">
        <f t="shared" si="108"/>
        <v/>
      </c>
      <c r="JD6" s="41" t="str">
        <f t="shared" si="109"/>
        <v/>
      </c>
      <c r="JE6" s="41" t="str">
        <f t="shared" si="110"/>
        <v/>
      </c>
      <c r="JF6" s="41" t="str">
        <f t="shared" si="111"/>
        <v/>
      </c>
      <c r="JG6" s="41" t="str">
        <f t="shared" si="112"/>
        <v/>
      </c>
      <c r="JH6" s="41" t="str">
        <f t="shared" si="113"/>
        <v/>
      </c>
      <c r="JI6" s="41" t="str">
        <f t="shared" si="114"/>
        <v/>
      </c>
      <c r="JJ6" s="18"/>
      <c r="JK6" s="18"/>
      <c r="JL6" s="18"/>
      <c r="JM6" s="18"/>
      <c r="JN6" s="18"/>
      <c r="JO6" s="18"/>
      <c r="JP6" s="18"/>
      <c r="JQ6" s="18"/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1" t="str">
        <f t="shared" si="115"/>
        <v/>
      </c>
      <c r="KE6" s="11" t="str">
        <f t="shared" si="116"/>
        <v/>
      </c>
      <c r="KF6" s="11" t="str">
        <f t="shared" si="117"/>
        <v/>
      </c>
      <c r="KG6" s="11" t="str">
        <f t="shared" si="118"/>
        <v/>
      </c>
      <c r="KH6" s="11" t="str">
        <f t="shared" si="119"/>
        <v/>
      </c>
      <c r="KI6" s="11" t="str">
        <f t="shared" si="120"/>
        <v/>
      </c>
      <c r="KJ6" s="11" t="str">
        <f t="shared" si="121"/>
        <v/>
      </c>
      <c r="KK6" s="11" t="str">
        <f t="shared" si="122"/>
        <v/>
      </c>
      <c r="KL6" s="11" t="str">
        <f t="shared" si="123"/>
        <v/>
      </c>
      <c r="KM6" s="11" t="str">
        <f t="shared" si="124"/>
        <v/>
      </c>
      <c r="KN6" s="11" t="str">
        <f t="shared" si="125"/>
        <v/>
      </c>
      <c r="KO6" s="11" t="str">
        <f t="shared" si="126"/>
        <v/>
      </c>
      <c r="KP6" s="11" t="str">
        <f t="shared" si="127"/>
        <v/>
      </c>
      <c r="KQ6" s="11" t="str">
        <f t="shared" si="128"/>
        <v/>
      </c>
      <c r="KR6" s="17"/>
      <c r="KS6" s="17"/>
      <c r="KT6" s="17"/>
      <c r="KU6" s="17"/>
      <c r="KV6" s="17"/>
      <c r="KW6" s="17"/>
      <c r="KX6" s="17"/>
      <c r="KY6" s="17"/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41" t="str">
        <f t="shared" si="129"/>
        <v/>
      </c>
      <c r="LM6" s="41" t="str">
        <f t="shared" si="130"/>
        <v/>
      </c>
      <c r="LN6" s="41" t="str">
        <f t="shared" si="131"/>
        <v/>
      </c>
      <c r="LO6" s="41" t="str">
        <f t="shared" si="132"/>
        <v/>
      </c>
      <c r="LP6" s="41" t="str">
        <f t="shared" si="133"/>
        <v/>
      </c>
      <c r="LQ6" s="41" t="str">
        <f t="shared" si="134"/>
        <v/>
      </c>
      <c r="LR6" s="41" t="str">
        <f t="shared" si="135"/>
        <v/>
      </c>
      <c r="LS6" s="41" t="str">
        <f t="shared" si="136"/>
        <v/>
      </c>
      <c r="LT6" s="41" t="str">
        <f t="shared" si="137"/>
        <v/>
      </c>
      <c r="LU6" s="41" t="str">
        <f t="shared" si="138"/>
        <v/>
      </c>
      <c r="LV6" s="41" t="str">
        <f t="shared" si="139"/>
        <v/>
      </c>
      <c r="LW6" s="41" t="str">
        <f t="shared" si="140"/>
        <v/>
      </c>
      <c r="LX6" s="41" t="str">
        <f t="shared" si="141"/>
        <v/>
      </c>
      <c r="LY6" s="41" t="str">
        <f t="shared" si="142"/>
        <v/>
      </c>
      <c r="LZ6" s="18"/>
      <c r="MA6" s="18"/>
      <c r="MB6" s="18"/>
      <c r="MC6" s="18"/>
      <c r="MD6" s="18"/>
      <c r="ME6" s="18"/>
      <c r="MF6" s="18"/>
      <c r="MG6" s="18"/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1" t="str">
        <f t="shared" si="143"/>
        <v/>
      </c>
      <c r="MU6" s="11" t="str">
        <f t="shared" si="144"/>
        <v/>
      </c>
      <c r="MV6" s="11" t="str">
        <f t="shared" si="145"/>
        <v/>
      </c>
      <c r="MW6" s="11" t="str">
        <f t="shared" si="146"/>
        <v/>
      </c>
      <c r="MX6" s="11" t="str">
        <f t="shared" si="147"/>
        <v/>
      </c>
      <c r="MY6" s="11" t="str">
        <f t="shared" si="148"/>
        <v/>
      </c>
      <c r="MZ6" s="11" t="str">
        <f t="shared" si="149"/>
        <v/>
      </c>
      <c r="NA6" s="11" t="str">
        <f t="shared" si="150"/>
        <v/>
      </c>
      <c r="NB6" s="11" t="str">
        <f t="shared" si="151"/>
        <v/>
      </c>
      <c r="NC6" s="11" t="str">
        <f t="shared" si="152"/>
        <v/>
      </c>
      <c r="ND6" s="11" t="str">
        <f t="shared" si="153"/>
        <v/>
      </c>
      <c r="NE6" s="11" t="str">
        <f t="shared" si="154"/>
        <v/>
      </c>
      <c r="NF6" s="11" t="str">
        <f t="shared" si="155"/>
        <v/>
      </c>
      <c r="NG6" s="11" t="str">
        <f t="shared" si="156"/>
        <v/>
      </c>
      <c r="NH6" s="17">
        <v>7.55</v>
      </c>
      <c r="NI6" s="17">
        <v>9.35</v>
      </c>
      <c r="NJ6" s="17">
        <v>11.7</v>
      </c>
      <c r="NK6" s="17">
        <v>18.940000000000001</v>
      </c>
      <c r="NL6" s="17">
        <v>0</v>
      </c>
      <c r="NM6" s="17">
        <v>7.15</v>
      </c>
      <c r="NN6" s="17">
        <v>9.3000000000000007</v>
      </c>
      <c r="NO6" s="17">
        <v>11.7</v>
      </c>
      <c r="NP6" s="17">
        <v>18.62</v>
      </c>
      <c r="NQ6" s="17">
        <v>0</v>
      </c>
      <c r="NR6" s="17"/>
      <c r="NS6" s="17"/>
      <c r="NT6" s="17"/>
      <c r="NU6" s="17"/>
      <c r="NV6" s="17"/>
      <c r="NW6" s="17">
        <v>6.95</v>
      </c>
      <c r="NX6" s="17">
        <v>9.35</v>
      </c>
      <c r="NY6" s="17">
        <v>11.7</v>
      </c>
      <c r="NZ6" s="17">
        <v>18.899999999999999</v>
      </c>
      <c r="OA6" s="17">
        <v>0</v>
      </c>
      <c r="OB6" s="41">
        <f t="shared" si="157"/>
        <v>11.7</v>
      </c>
      <c r="OC6" s="41">
        <f t="shared" si="158"/>
        <v>18.940000000000001</v>
      </c>
      <c r="OD6" s="41">
        <f t="shared" si="159"/>
        <v>47.54</v>
      </c>
      <c r="OE6" s="41">
        <f t="shared" si="160"/>
        <v>11.7</v>
      </c>
      <c r="OF6" s="41">
        <f t="shared" si="161"/>
        <v>18.62</v>
      </c>
      <c r="OG6" s="41">
        <f t="shared" si="162"/>
        <v>46.77</v>
      </c>
      <c r="OH6" s="41">
        <f t="shared" si="163"/>
        <v>47.54</v>
      </c>
      <c r="OI6" s="41" t="str">
        <f t="shared" si="164"/>
        <v/>
      </c>
      <c r="OJ6" s="41" t="str">
        <f t="shared" si="165"/>
        <v/>
      </c>
      <c r="OK6" s="41" t="str">
        <f t="shared" si="166"/>
        <v/>
      </c>
      <c r="OL6" s="41">
        <f t="shared" si="167"/>
        <v>11.7</v>
      </c>
      <c r="OM6" s="41">
        <f t="shared" si="168"/>
        <v>18.899999999999999</v>
      </c>
      <c r="ON6" s="41">
        <f t="shared" si="169"/>
        <v>46.9</v>
      </c>
      <c r="OO6" s="41">
        <f t="shared" si="170"/>
        <v>94.44</v>
      </c>
      <c r="OP6" s="18"/>
      <c r="OQ6" s="18"/>
      <c r="OR6" s="18"/>
      <c r="OS6" s="18"/>
      <c r="OT6" s="18"/>
      <c r="OU6" s="18"/>
      <c r="OV6" s="18"/>
      <c r="OW6" s="18"/>
      <c r="OX6" s="18"/>
      <c r="OY6" s="18"/>
      <c r="OZ6" s="18"/>
      <c r="PA6" s="18"/>
      <c r="PB6" s="18"/>
      <c r="PC6" s="18"/>
      <c r="PD6" s="18"/>
      <c r="PE6" s="18">
        <v>2.9</v>
      </c>
      <c r="PF6" s="18">
        <v>3.55</v>
      </c>
      <c r="PG6" s="18">
        <v>5.2</v>
      </c>
      <c r="PH6" s="18">
        <v>7.3</v>
      </c>
      <c r="PI6" s="18">
        <v>0</v>
      </c>
      <c r="PJ6" s="11" t="str">
        <f t="shared" si="171"/>
        <v/>
      </c>
      <c r="PK6" s="11" t="str">
        <f t="shared" si="172"/>
        <v/>
      </c>
      <c r="PL6" s="11" t="str">
        <f t="shared" si="173"/>
        <v/>
      </c>
      <c r="PM6" s="11" t="str">
        <f t="shared" si="174"/>
        <v/>
      </c>
      <c r="PN6" s="11" t="str">
        <f t="shared" si="175"/>
        <v/>
      </c>
      <c r="PO6" s="11" t="str">
        <f t="shared" si="176"/>
        <v/>
      </c>
      <c r="PP6" s="11" t="str">
        <f t="shared" si="177"/>
        <v/>
      </c>
      <c r="PQ6" s="11" t="str">
        <f t="shared" si="178"/>
        <v/>
      </c>
      <c r="PR6" s="11" t="str">
        <f t="shared" si="179"/>
        <v/>
      </c>
      <c r="PS6" s="11" t="str">
        <f t="shared" si="180"/>
        <v/>
      </c>
      <c r="PT6" s="11">
        <f t="shared" si="181"/>
        <v>5.2</v>
      </c>
      <c r="PU6" s="11">
        <f t="shared" si="182"/>
        <v>7.3</v>
      </c>
      <c r="PV6" s="11">
        <f t="shared" si="183"/>
        <v>18.95</v>
      </c>
      <c r="PW6" s="11">
        <f t="shared" si="184"/>
        <v>18.95</v>
      </c>
      <c r="PX6" s="17"/>
      <c r="PY6" s="17"/>
      <c r="PZ6" s="17"/>
      <c r="QA6" s="17"/>
      <c r="QB6" s="17"/>
      <c r="QC6" s="17"/>
      <c r="QD6" s="17"/>
      <c r="QE6" s="17"/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41" t="str">
        <f t="shared" si="185"/>
        <v/>
      </c>
      <c r="QS6" s="41" t="str">
        <f t="shared" si="186"/>
        <v/>
      </c>
      <c r="QT6" s="41" t="str">
        <f t="shared" si="187"/>
        <v/>
      </c>
      <c r="QU6" s="41" t="str">
        <f t="shared" si="188"/>
        <v/>
      </c>
      <c r="QV6" s="41" t="str">
        <f t="shared" si="189"/>
        <v/>
      </c>
      <c r="QW6" s="41" t="str">
        <f t="shared" si="190"/>
        <v/>
      </c>
      <c r="QX6" s="41" t="str">
        <f t="shared" si="191"/>
        <v/>
      </c>
      <c r="QY6" s="41" t="str">
        <f t="shared" si="192"/>
        <v/>
      </c>
      <c r="QZ6" s="41" t="str">
        <f t="shared" si="193"/>
        <v/>
      </c>
      <c r="RA6" s="41" t="str">
        <f t="shared" si="194"/>
        <v/>
      </c>
      <c r="RB6" s="41" t="str">
        <f t="shared" si="195"/>
        <v/>
      </c>
      <c r="RC6" s="41" t="str">
        <f t="shared" si="196"/>
        <v/>
      </c>
      <c r="RD6" s="41" t="str">
        <f t="shared" si="197"/>
        <v/>
      </c>
      <c r="RE6" s="41" t="str">
        <f t="shared" si="198"/>
        <v/>
      </c>
      <c r="RF6" s="18"/>
      <c r="RG6" s="18"/>
      <c r="RH6" s="18"/>
      <c r="RI6" s="18"/>
      <c r="RJ6" s="18"/>
      <c r="RK6" s="18"/>
      <c r="RL6" s="18"/>
      <c r="RM6" s="18"/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1" t="str">
        <f t="shared" si="199"/>
        <v/>
      </c>
      <c r="SA6" s="11" t="str">
        <f t="shared" si="200"/>
        <v/>
      </c>
      <c r="SB6" s="11" t="str">
        <f t="shared" si="201"/>
        <v/>
      </c>
      <c r="SC6" s="11" t="str">
        <f t="shared" si="202"/>
        <v/>
      </c>
      <c r="SD6" s="11" t="str">
        <f t="shared" si="203"/>
        <v/>
      </c>
      <c r="SE6" s="11" t="str">
        <f t="shared" si="204"/>
        <v/>
      </c>
      <c r="SF6" s="11" t="str">
        <f t="shared" si="205"/>
        <v/>
      </c>
      <c r="SG6" s="11" t="str">
        <f t="shared" si="206"/>
        <v/>
      </c>
      <c r="SH6" s="11" t="str">
        <f t="shared" si="207"/>
        <v/>
      </c>
      <c r="SI6" s="11" t="str">
        <f t="shared" si="208"/>
        <v/>
      </c>
      <c r="SJ6" s="11" t="str">
        <f t="shared" si="209"/>
        <v/>
      </c>
      <c r="SK6" s="11" t="str">
        <f t="shared" si="210"/>
        <v/>
      </c>
      <c r="SL6" s="11" t="str">
        <f t="shared" si="211"/>
        <v/>
      </c>
      <c r="SM6" s="11" t="str">
        <f t="shared" si="212"/>
        <v/>
      </c>
      <c r="SN6" s="23">
        <f t="shared" si="213"/>
        <v>0</v>
      </c>
      <c r="SO6" s="23">
        <f t="shared" si="214"/>
        <v>0</v>
      </c>
      <c r="SP6" s="23">
        <f t="shared" si="215"/>
        <v>0</v>
      </c>
      <c r="SQ6" s="23">
        <f t="shared" si="216"/>
        <v>0</v>
      </c>
      <c r="SR6" s="23">
        <f t="shared" si="217"/>
        <v>0</v>
      </c>
      <c r="SS6" s="23">
        <f t="shared" si="218"/>
        <v>0</v>
      </c>
      <c r="ST6" s="23">
        <f t="shared" si="219"/>
        <v>0</v>
      </c>
      <c r="SU6" s="23">
        <f t="shared" si="220"/>
        <v>0</v>
      </c>
      <c r="SV6" s="23">
        <f t="shared" si="221"/>
        <v>0</v>
      </c>
      <c r="SW6" s="23">
        <f t="shared" si="222"/>
        <v>0</v>
      </c>
      <c r="SX6" s="23">
        <f t="shared" si="223"/>
        <v>0</v>
      </c>
      <c r="SY6" s="23">
        <f t="shared" si="224"/>
        <v>0</v>
      </c>
      <c r="SZ6" s="23">
        <f t="shared" si="225"/>
        <v>0</v>
      </c>
      <c r="TA6" s="23">
        <f t="shared" si="226"/>
        <v>0</v>
      </c>
      <c r="TB6" s="23">
        <f t="shared" si="227"/>
        <v>0</v>
      </c>
      <c r="TC6" s="28" t="s">
        <v>57</v>
      </c>
      <c r="TD6" s="41" t="str">
        <f t="shared" si="228"/>
        <v/>
      </c>
      <c r="TE6" s="41" t="str">
        <f t="shared" si="229"/>
        <v/>
      </c>
      <c r="TF6" s="41" t="str">
        <f t="shared" si="230"/>
        <v/>
      </c>
      <c r="TG6" s="41" t="str">
        <f t="shared" si="231"/>
        <v/>
      </c>
      <c r="TH6" s="41" t="str">
        <f t="shared" si="232"/>
        <v/>
      </c>
      <c r="TI6" s="41" t="str">
        <f t="shared" si="233"/>
        <v/>
      </c>
      <c r="TJ6" s="41" t="str">
        <f t="shared" si="234"/>
        <v/>
      </c>
      <c r="TK6" s="41" t="str">
        <f t="shared" si="235"/>
        <v/>
      </c>
      <c r="TL6" s="41" t="str">
        <f t="shared" si="236"/>
        <v/>
      </c>
      <c r="TM6" s="41" t="str">
        <f t="shared" si="237"/>
        <v/>
      </c>
      <c r="TN6" s="41" t="str">
        <f t="shared" si="238"/>
        <v/>
      </c>
    </row>
    <row r="7" spans="1:534" x14ac:dyDescent="0.2">
      <c r="A7" s="4" cm="1">
        <f t="array" ref="A7">IF(AND(H7&lt;&gt;"",H7&lt;&gt;"No DD"),SUMPRODUCT((H$4:H$16&lt;&gt;"")*(H$4:H$16&lt;&gt;"No DD")*(E$4:E$16&gt;E7))+1,IF(H7="No DD",SUMPRODUCT((H$4:H$16="No DD")*(E$4:E$16&gt;E7))+1+SUMPRODUCT((H$4:H$16&lt;&gt;"")*(H$4:H$16&lt;&gt;"No DD")),""))</f>
        <v>4</v>
      </c>
      <c r="B7" s="5" t="s">
        <v>163</v>
      </c>
      <c r="C7" s="4" t="s">
        <v>3</v>
      </c>
      <c r="D7" s="4" t="s">
        <v>164</v>
      </c>
      <c r="E7" s="9">
        <f t="shared" si="0"/>
        <v>89.490000000000009</v>
      </c>
      <c r="F7" s="3" t="str">
        <f t="shared" si="1"/>
        <v>P</v>
      </c>
      <c r="G7" s="3" t="str">
        <f t="shared" si="2"/>
        <v>P</v>
      </c>
      <c r="H7" s="37" t="str">
        <f t="shared" si="3"/>
        <v>National Team</v>
      </c>
      <c r="I7" s="3" t="str">
        <f t="shared" si="4"/>
        <v/>
      </c>
      <c r="J7" s="8">
        <f>IF(COUNT(AI7,AL7,AP7,BJ7,BM7,BQ7,CK7,CN7,CR7)&gt;0,LARGE((AI7,AL7,AP7,BJ7,BM7,BQ7,CK7,CN7,CR7),1),0)</f>
        <v>44.790000000000006</v>
      </c>
      <c r="K7" s="8" t="str">
        <f t="shared" si="5"/>
        <v>2023 Elite Canada</v>
      </c>
      <c r="L7" s="8">
        <f>IF(COUNT(AI7,AL7,AP7,BJ7,BM7,BQ7,CK7,CN7,CR7)&gt;1,LARGE((AI7,AL7,AP7,BJ7,BM7,BQ7,CK7,CN7,CR7),2),0)</f>
        <v>44.7</v>
      </c>
      <c r="M7" s="8" t="str">
        <f t="shared" si="6"/>
        <v>2023 Nationals</v>
      </c>
      <c r="N7" s="8" t="str">
        <f t="shared" si="7"/>
        <v/>
      </c>
      <c r="O7" s="11" t="str">
        <f t="shared" si="8"/>
        <v/>
      </c>
      <c r="P7" s="8" t="str">
        <f t="shared" si="9"/>
        <v/>
      </c>
      <c r="Q7" s="23">
        <v>7.35</v>
      </c>
      <c r="R7" s="23">
        <v>8.85</v>
      </c>
      <c r="S7" s="23">
        <v>11.3</v>
      </c>
      <c r="T7" s="23">
        <v>14.62</v>
      </c>
      <c r="U7" s="23">
        <v>0</v>
      </c>
      <c r="V7" s="23">
        <v>7</v>
      </c>
      <c r="W7" s="23">
        <v>9.15</v>
      </c>
      <c r="X7" s="23">
        <v>11.3</v>
      </c>
      <c r="Y7" s="23">
        <v>16.86</v>
      </c>
      <c r="Z7" s="23">
        <v>0</v>
      </c>
      <c r="AA7" s="23">
        <v>7.55</v>
      </c>
      <c r="AB7" s="23">
        <v>9.3000000000000007</v>
      </c>
      <c r="AC7" s="23">
        <v>11.3</v>
      </c>
      <c r="AD7" s="23">
        <v>16.64</v>
      </c>
      <c r="AE7" s="23">
        <v>0</v>
      </c>
      <c r="AF7" s="28"/>
      <c r="AG7" s="39">
        <f t="shared" si="10"/>
        <v>11.3</v>
      </c>
      <c r="AH7" s="39">
        <f t="shared" si="11"/>
        <v>14.62</v>
      </c>
      <c r="AI7" s="41">
        <f t="shared" si="12"/>
        <v>42.12</v>
      </c>
      <c r="AJ7" s="41">
        <f t="shared" si="13"/>
        <v>11.3</v>
      </c>
      <c r="AK7" s="41">
        <f t="shared" si="14"/>
        <v>16.86</v>
      </c>
      <c r="AL7" s="41">
        <f t="shared" si="15"/>
        <v>44.31</v>
      </c>
      <c r="AM7" s="41">
        <f t="shared" si="16"/>
        <v>44.31</v>
      </c>
      <c r="AN7" s="41">
        <f t="shared" si="17"/>
        <v>11.3</v>
      </c>
      <c r="AO7" s="41">
        <f t="shared" si="18"/>
        <v>16.64</v>
      </c>
      <c r="AP7" s="41">
        <f t="shared" si="19"/>
        <v>44.790000000000006</v>
      </c>
      <c r="AQ7" s="41">
        <f t="shared" si="20"/>
        <v>89.100000000000009</v>
      </c>
      <c r="AR7" s="27">
        <v>7.35</v>
      </c>
      <c r="AS7" s="27">
        <v>9</v>
      </c>
      <c r="AT7" s="27">
        <v>11.3</v>
      </c>
      <c r="AU7" s="27">
        <v>15.54</v>
      </c>
      <c r="AV7" s="27">
        <v>0</v>
      </c>
      <c r="AW7" s="27">
        <v>7.2</v>
      </c>
      <c r="AX7" s="27">
        <v>9.4</v>
      </c>
      <c r="AY7" s="27">
        <v>11.3</v>
      </c>
      <c r="AZ7" s="27">
        <v>16.12</v>
      </c>
      <c r="BA7" s="27">
        <v>0</v>
      </c>
      <c r="BB7" s="27">
        <v>7.55</v>
      </c>
      <c r="BC7" s="27">
        <v>8.9499999999999993</v>
      </c>
      <c r="BD7" s="27">
        <v>11.3</v>
      </c>
      <c r="BE7" s="27">
        <v>16.899999999999999</v>
      </c>
      <c r="BF7" s="27">
        <v>0</v>
      </c>
      <c r="BG7" s="29"/>
      <c r="BH7" s="40">
        <f t="shared" si="21"/>
        <v>11.3</v>
      </c>
      <c r="BI7" s="40">
        <f t="shared" si="22"/>
        <v>15.54</v>
      </c>
      <c r="BJ7" s="11">
        <f t="shared" si="23"/>
        <v>43.19</v>
      </c>
      <c r="BK7" s="11">
        <f t="shared" si="24"/>
        <v>11.3</v>
      </c>
      <c r="BL7" s="11">
        <f t="shared" si="25"/>
        <v>16.12</v>
      </c>
      <c r="BM7" s="11">
        <f t="shared" si="26"/>
        <v>44.02</v>
      </c>
      <c r="BN7" s="11">
        <f t="shared" si="27"/>
        <v>44.02</v>
      </c>
      <c r="BO7" s="11">
        <f t="shared" si="28"/>
        <v>11.3</v>
      </c>
      <c r="BP7" s="11">
        <f t="shared" si="29"/>
        <v>16.899999999999999</v>
      </c>
      <c r="BQ7" s="11">
        <f t="shared" si="30"/>
        <v>44.7</v>
      </c>
      <c r="BR7" s="11">
        <f t="shared" si="31"/>
        <v>88.72</v>
      </c>
      <c r="BS7" s="23"/>
      <c r="BT7" s="23"/>
      <c r="BU7" s="23"/>
      <c r="BV7" s="23"/>
      <c r="BW7" s="23"/>
      <c r="BX7" s="23"/>
      <c r="BY7" s="23"/>
      <c r="BZ7" s="23"/>
      <c r="CA7" s="23"/>
      <c r="CB7" s="23"/>
      <c r="CC7" s="23"/>
      <c r="CD7" s="23"/>
      <c r="CE7" s="23"/>
      <c r="CF7" s="23"/>
      <c r="CG7" s="23"/>
      <c r="CH7" s="28"/>
      <c r="CI7" s="39" t="str">
        <f t="shared" si="32"/>
        <v/>
      </c>
      <c r="CJ7" s="39" t="str">
        <f t="shared" si="33"/>
        <v/>
      </c>
      <c r="CK7" s="41" t="str">
        <f t="shared" si="34"/>
        <v/>
      </c>
      <c r="CL7" s="41" t="str">
        <f t="shared" si="35"/>
        <v/>
      </c>
      <c r="CM7" s="41" t="str">
        <f t="shared" si="36"/>
        <v/>
      </c>
      <c r="CN7" s="41" t="str">
        <f t="shared" si="37"/>
        <v/>
      </c>
      <c r="CO7" s="41" t="str">
        <f t="shared" si="38"/>
        <v/>
      </c>
      <c r="CP7" s="41" t="str">
        <f t="shared" si="39"/>
        <v/>
      </c>
      <c r="CQ7" s="41" t="str">
        <f t="shared" si="40"/>
        <v/>
      </c>
      <c r="CR7" s="41" t="str">
        <f t="shared" si="41"/>
        <v/>
      </c>
      <c r="CS7" s="41" t="str">
        <f t="shared" si="42"/>
        <v/>
      </c>
      <c r="CT7" s="52" t="str">
        <f t="shared" si="43"/>
        <v/>
      </c>
      <c r="CU7" s="52" t="str">
        <f t="shared" si="44"/>
        <v/>
      </c>
      <c r="CV7" s="17">
        <v>5.2</v>
      </c>
      <c r="CW7" s="17">
        <v>6.25</v>
      </c>
      <c r="CX7" s="17">
        <v>7.2</v>
      </c>
      <c r="CY7" s="17">
        <v>13.2</v>
      </c>
      <c r="CZ7" s="17">
        <v>0</v>
      </c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41">
        <f t="shared" si="45"/>
        <v>7.2</v>
      </c>
      <c r="DQ7" s="41">
        <f t="shared" si="46"/>
        <v>13.2</v>
      </c>
      <c r="DR7" s="41">
        <f t="shared" si="47"/>
        <v>31.849999999999998</v>
      </c>
      <c r="DS7" s="41" t="str">
        <f t="shared" si="48"/>
        <v/>
      </c>
      <c r="DT7" s="41" t="str">
        <f t="shared" si="49"/>
        <v/>
      </c>
      <c r="DU7" s="41" t="str">
        <f t="shared" si="50"/>
        <v/>
      </c>
      <c r="DV7" s="41">
        <f t="shared" si="51"/>
        <v>31.849999999999998</v>
      </c>
      <c r="DW7" s="41" t="str">
        <f t="shared" si="52"/>
        <v/>
      </c>
      <c r="DX7" s="41" t="str">
        <f t="shared" si="53"/>
        <v/>
      </c>
      <c r="DY7" s="41" t="str">
        <f t="shared" si="54"/>
        <v/>
      </c>
      <c r="DZ7" s="41" t="str">
        <f t="shared" si="55"/>
        <v/>
      </c>
      <c r="EA7" s="41" t="str">
        <f t="shared" si="56"/>
        <v/>
      </c>
      <c r="EB7" s="41" t="str">
        <f t="shared" si="57"/>
        <v/>
      </c>
      <c r="EC7" s="41">
        <f t="shared" si="58"/>
        <v>31.849999999999998</v>
      </c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1" t="str">
        <f t="shared" si="59"/>
        <v/>
      </c>
      <c r="EY7" s="11" t="str">
        <f t="shared" si="60"/>
        <v/>
      </c>
      <c r="EZ7" s="11" t="str">
        <f t="shared" si="61"/>
        <v/>
      </c>
      <c r="FA7" s="11" t="str">
        <f t="shared" si="62"/>
        <v/>
      </c>
      <c r="FB7" s="11" t="str">
        <f t="shared" si="63"/>
        <v/>
      </c>
      <c r="FC7" s="11" t="str">
        <f t="shared" si="64"/>
        <v/>
      </c>
      <c r="FD7" s="11" t="str">
        <f t="shared" si="65"/>
        <v/>
      </c>
      <c r="FE7" s="11" t="str">
        <f t="shared" si="66"/>
        <v/>
      </c>
      <c r="FF7" s="11" t="str">
        <f t="shared" si="67"/>
        <v/>
      </c>
      <c r="FG7" s="11" t="str">
        <f t="shared" si="68"/>
        <v/>
      </c>
      <c r="FH7" s="11" t="str">
        <f t="shared" si="69"/>
        <v/>
      </c>
      <c r="FI7" s="11" t="str">
        <f t="shared" si="70"/>
        <v/>
      </c>
      <c r="FJ7" s="11" t="str">
        <f t="shared" si="71"/>
        <v/>
      </c>
      <c r="FK7" s="11" t="str">
        <f t="shared" si="72"/>
        <v/>
      </c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41" t="str">
        <f t="shared" si="73"/>
        <v/>
      </c>
      <c r="GG7" s="41" t="str">
        <f t="shared" si="74"/>
        <v/>
      </c>
      <c r="GH7" s="41" t="str">
        <f t="shared" si="75"/>
        <v/>
      </c>
      <c r="GI7" s="41" t="str">
        <f t="shared" si="76"/>
        <v/>
      </c>
      <c r="GJ7" s="41" t="str">
        <f t="shared" si="77"/>
        <v/>
      </c>
      <c r="GK7" s="41" t="str">
        <f t="shared" si="78"/>
        <v/>
      </c>
      <c r="GL7" s="41" t="str">
        <f t="shared" si="79"/>
        <v/>
      </c>
      <c r="GM7" s="41" t="str">
        <f t="shared" si="80"/>
        <v/>
      </c>
      <c r="GN7" s="41" t="str">
        <f t="shared" si="81"/>
        <v/>
      </c>
      <c r="GO7" s="41" t="str">
        <f t="shared" si="82"/>
        <v/>
      </c>
      <c r="GP7" s="41" t="str">
        <f t="shared" si="83"/>
        <v/>
      </c>
      <c r="GQ7" s="41" t="str">
        <f t="shared" si="84"/>
        <v/>
      </c>
      <c r="GR7" s="41" t="str">
        <f t="shared" si="85"/>
        <v/>
      </c>
      <c r="GS7" s="41" t="str">
        <f t="shared" si="86"/>
        <v/>
      </c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1" t="str">
        <f t="shared" si="87"/>
        <v/>
      </c>
      <c r="HO7" s="11" t="str">
        <f t="shared" si="88"/>
        <v/>
      </c>
      <c r="HP7" s="11" t="str">
        <f t="shared" si="89"/>
        <v/>
      </c>
      <c r="HQ7" s="11" t="str">
        <f t="shared" si="90"/>
        <v/>
      </c>
      <c r="HR7" s="11" t="str">
        <f t="shared" si="91"/>
        <v/>
      </c>
      <c r="HS7" s="11" t="str">
        <f t="shared" si="92"/>
        <v/>
      </c>
      <c r="HT7" s="11" t="str">
        <f t="shared" si="93"/>
        <v/>
      </c>
      <c r="HU7" s="11" t="str">
        <f t="shared" si="94"/>
        <v/>
      </c>
      <c r="HV7" s="11" t="str">
        <f t="shared" si="95"/>
        <v/>
      </c>
      <c r="HW7" s="11" t="str">
        <f t="shared" si="96"/>
        <v/>
      </c>
      <c r="HX7" s="11" t="str">
        <f t="shared" si="97"/>
        <v/>
      </c>
      <c r="HY7" s="11" t="str">
        <f t="shared" si="98"/>
        <v/>
      </c>
      <c r="HZ7" s="11" t="str">
        <f t="shared" si="99"/>
        <v/>
      </c>
      <c r="IA7" s="11" t="str">
        <f t="shared" si="100"/>
        <v/>
      </c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41" t="str">
        <f t="shared" si="101"/>
        <v/>
      </c>
      <c r="IW7" s="41" t="str">
        <f t="shared" si="102"/>
        <v/>
      </c>
      <c r="IX7" s="41" t="str">
        <f t="shared" si="103"/>
        <v/>
      </c>
      <c r="IY7" s="41" t="str">
        <f t="shared" si="104"/>
        <v/>
      </c>
      <c r="IZ7" s="41" t="str">
        <f t="shared" si="105"/>
        <v/>
      </c>
      <c r="JA7" s="41" t="str">
        <f t="shared" si="106"/>
        <v/>
      </c>
      <c r="JB7" s="41" t="str">
        <f t="shared" si="107"/>
        <v/>
      </c>
      <c r="JC7" s="41" t="str">
        <f t="shared" si="108"/>
        <v/>
      </c>
      <c r="JD7" s="41" t="str">
        <f t="shared" si="109"/>
        <v/>
      </c>
      <c r="JE7" s="41" t="str">
        <f t="shared" si="110"/>
        <v/>
      </c>
      <c r="JF7" s="41" t="str">
        <f t="shared" si="111"/>
        <v/>
      </c>
      <c r="JG7" s="41" t="str">
        <f t="shared" si="112"/>
        <v/>
      </c>
      <c r="JH7" s="41" t="str">
        <f t="shared" si="113"/>
        <v/>
      </c>
      <c r="JI7" s="41" t="str">
        <f t="shared" si="114"/>
        <v/>
      </c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1" t="str">
        <f t="shared" si="115"/>
        <v/>
      </c>
      <c r="KE7" s="11" t="str">
        <f t="shared" si="116"/>
        <v/>
      </c>
      <c r="KF7" s="11" t="str">
        <f t="shared" si="117"/>
        <v/>
      </c>
      <c r="KG7" s="11" t="str">
        <f t="shared" si="118"/>
        <v/>
      </c>
      <c r="KH7" s="11" t="str">
        <f t="shared" si="119"/>
        <v/>
      </c>
      <c r="KI7" s="11" t="str">
        <f t="shared" si="120"/>
        <v/>
      </c>
      <c r="KJ7" s="11" t="str">
        <f t="shared" si="121"/>
        <v/>
      </c>
      <c r="KK7" s="11" t="str">
        <f t="shared" si="122"/>
        <v/>
      </c>
      <c r="KL7" s="11" t="str">
        <f t="shared" si="123"/>
        <v/>
      </c>
      <c r="KM7" s="11" t="str">
        <f t="shared" si="124"/>
        <v/>
      </c>
      <c r="KN7" s="11" t="str">
        <f t="shared" si="125"/>
        <v/>
      </c>
      <c r="KO7" s="11" t="str">
        <f t="shared" si="126"/>
        <v/>
      </c>
      <c r="KP7" s="11" t="str">
        <f t="shared" si="127"/>
        <v/>
      </c>
      <c r="KQ7" s="11" t="str">
        <f t="shared" si="128"/>
        <v/>
      </c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41" t="str">
        <f t="shared" si="129"/>
        <v/>
      </c>
      <c r="LM7" s="41" t="str">
        <f t="shared" si="130"/>
        <v/>
      </c>
      <c r="LN7" s="41" t="str">
        <f t="shared" si="131"/>
        <v/>
      </c>
      <c r="LO7" s="41" t="str">
        <f t="shared" si="132"/>
        <v/>
      </c>
      <c r="LP7" s="41" t="str">
        <f t="shared" si="133"/>
        <v/>
      </c>
      <c r="LQ7" s="41" t="str">
        <f t="shared" si="134"/>
        <v/>
      </c>
      <c r="LR7" s="41" t="str">
        <f t="shared" si="135"/>
        <v/>
      </c>
      <c r="LS7" s="41" t="str">
        <f t="shared" si="136"/>
        <v/>
      </c>
      <c r="LT7" s="41" t="str">
        <f t="shared" si="137"/>
        <v/>
      </c>
      <c r="LU7" s="41" t="str">
        <f t="shared" si="138"/>
        <v/>
      </c>
      <c r="LV7" s="41" t="str">
        <f t="shared" si="139"/>
        <v/>
      </c>
      <c r="LW7" s="41" t="str">
        <f t="shared" si="140"/>
        <v/>
      </c>
      <c r="LX7" s="41" t="str">
        <f t="shared" si="141"/>
        <v/>
      </c>
      <c r="LY7" s="41" t="str">
        <f t="shared" si="142"/>
        <v/>
      </c>
      <c r="LZ7" s="18"/>
      <c r="MA7" s="18"/>
      <c r="MB7" s="18"/>
      <c r="MC7" s="18"/>
      <c r="MD7" s="18"/>
      <c r="ME7" s="18"/>
      <c r="MF7" s="18"/>
      <c r="MG7" s="18"/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1" t="str">
        <f t="shared" si="143"/>
        <v/>
      </c>
      <c r="MU7" s="11" t="str">
        <f t="shared" si="144"/>
        <v/>
      </c>
      <c r="MV7" s="11" t="str">
        <f t="shared" si="145"/>
        <v/>
      </c>
      <c r="MW7" s="11" t="str">
        <f t="shared" si="146"/>
        <v/>
      </c>
      <c r="MX7" s="11" t="str">
        <f t="shared" si="147"/>
        <v/>
      </c>
      <c r="MY7" s="11" t="str">
        <f t="shared" si="148"/>
        <v/>
      </c>
      <c r="MZ7" s="11" t="str">
        <f t="shared" si="149"/>
        <v/>
      </c>
      <c r="NA7" s="11" t="str">
        <f t="shared" si="150"/>
        <v/>
      </c>
      <c r="NB7" s="11" t="str">
        <f t="shared" si="151"/>
        <v/>
      </c>
      <c r="NC7" s="11" t="str">
        <f t="shared" si="152"/>
        <v/>
      </c>
      <c r="ND7" s="11" t="str">
        <f t="shared" si="153"/>
        <v/>
      </c>
      <c r="NE7" s="11" t="str">
        <f t="shared" si="154"/>
        <v/>
      </c>
      <c r="NF7" s="11" t="str">
        <f t="shared" si="155"/>
        <v/>
      </c>
      <c r="NG7" s="11" t="str">
        <f t="shared" si="156"/>
        <v/>
      </c>
      <c r="NH7" s="17"/>
      <c r="NI7" s="17"/>
      <c r="NJ7" s="17"/>
      <c r="NK7" s="17"/>
      <c r="NL7" s="17"/>
      <c r="NM7" s="17"/>
      <c r="NN7" s="17"/>
      <c r="NO7" s="17"/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41" t="str">
        <f t="shared" si="157"/>
        <v/>
      </c>
      <c r="OC7" s="41" t="str">
        <f t="shared" si="158"/>
        <v/>
      </c>
      <c r="OD7" s="41" t="str">
        <f t="shared" si="159"/>
        <v/>
      </c>
      <c r="OE7" s="41" t="str">
        <f t="shared" si="160"/>
        <v/>
      </c>
      <c r="OF7" s="41" t="str">
        <f t="shared" si="161"/>
        <v/>
      </c>
      <c r="OG7" s="41" t="str">
        <f t="shared" si="162"/>
        <v/>
      </c>
      <c r="OH7" s="41" t="str">
        <f t="shared" si="163"/>
        <v/>
      </c>
      <c r="OI7" s="41" t="str">
        <f t="shared" si="164"/>
        <v/>
      </c>
      <c r="OJ7" s="41" t="str">
        <f t="shared" si="165"/>
        <v/>
      </c>
      <c r="OK7" s="41" t="str">
        <f t="shared" si="166"/>
        <v/>
      </c>
      <c r="OL7" s="41" t="str">
        <f t="shared" si="167"/>
        <v/>
      </c>
      <c r="OM7" s="41" t="str">
        <f t="shared" si="168"/>
        <v/>
      </c>
      <c r="ON7" s="41" t="str">
        <f t="shared" si="169"/>
        <v/>
      </c>
      <c r="OO7" s="41" t="str">
        <f t="shared" si="170"/>
        <v/>
      </c>
      <c r="OP7" s="18"/>
      <c r="OQ7" s="18"/>
      <c r="OR7" s="18"/>
      <c r="OS7" s="18"/>
      <c r="OT7" s="18"/>
      <c r="OU7" s="18"/>
      <c r="OV7" s="18"/>
      <c r="OW7" s="18"/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1" t="str">
        <f t="shared" si="171"/>
        <v/>
      </c>
      <c r="PK7" s="11" t="str">
        <f t="shared" si="172"/>
        <v/>
      </c>
      <c r="PL7" s="11" t="str">
        <f t="shared" si="173"/>
        <v/>
      </c>
      <c r="PM7" s="11" t="str">
        <f t="shared" si="174"/>
        <v/>
      </c>
      <c r="PN7" s="11" t="str">
        <f t="shared" si="175"/>
        <v/>
      </c>
      <c r="PO7" s="11" t="str">
        <f t="shared" si="176"/>
        <v/>
      </c>
      <c r="PP7" s="11" t="str">
        <f t="shared" si="177"/>
        <v/>
      </c>
      <c r="PQ7" s="11" t="str">
        <f t="shared" si="178"/>
        <v/>
      </c>
      <c r="PR7" s="11" t="str">
        <f t="shared" si="179"/>
        <v/>
      </c>
      <c r="PS7" s="11" t="str">
        <f t="shared" si="180"/>
        <v/>
      </c>
      <c r="PT7" s="11" t="str">
        <f t="shared" si="181"/>
        <v/>
      </c>
      <c r="PU7" s="11" t="str">
        <f t="shared" si="182"/>
        <v/>
      </c>
      <c r="PV7" s="11" t="str">
        <f t="shared" si="183"/>
        <v/>
      </c>
      <c r="PW7" s="11" t="str">
        <f t="shared" si="184"/>
        <v/>
      </c>
      <c r="PX7" s="17"/>
      <c r="PY7" s="17"/>
      <c r="PZ7" s="17"/>
      <c r="QA7" s="17"/>
      <c r="QB7" s="17"/>
      <c r="QC7" s="17"/>
      <c r="QD7" s="17"/>
      <c r="QE7" s="17"/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41" t="str">
        <f t="shared" si="185"/>
        <v/>
      </c>
      <c r="QS7" s="41" t="str">
        <f t="shared" si="186"/>
        <v/>
      </c>
      <c r="QT7" s="41" t="str">
        <f t="shared" si="187"/>
        <v/>
      </c>
      <c r="QU7" s="41" t="str">
        <f t="shared" si="188"/>
        <v/>
      </c>
      <c r="QV7" s="41" t="str">
        <f t="shared" si="189"/>
        <v/>
      </c>
      <c r="QW7" s="41" t="str">
        <f t="shared" si="190"/>
        <v/>
      </c>
      <c r="QX7" s="41" t="str">
        <f t="shared" si="191"/>
        <v/>
      </c>
      <c r="QY7" s="41" t="str">
        <f t="shared" si="192"/>
        <v/>
      </c>
      <c r="QZ7" s="41" t="str">
        <f t="shared" si="193"/>
        <v/>
      </c>
      <c r="RA7" s="41" t="str">
        <f t="shared" si="194"/>
        <v/>
      </c>
      <c r="RB7" s="41" t="str">
        <f t="shared" si="195"/>
        <v/>
      </c>
      <c r="RC7" s="41" t="str">
        <f t="shared" si="196"/>
        <v/>
      </c>
      <c r="RD7" s="41" t="str">
        <f t="shared" si="197"/>
        <v/>
      </c>
      <c r="RE7" s="41" t="str">
        <f t="shared" si="198"/>
        <v/>
      </c>
      <c r="RF7" s="18"/>
      <c r="RG7" s="18"/>
      <c r="RH7" s="18"/>
      <c r="RI7" s="18"/>
      <c r="RJ7" s="18"/>
      <c r="RK7" s="18"/>
      <c r="RL7" s="18"/>
      <c r="RM7" s="18"/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1" t="str">
        <f t="shared" si="199"/>
        <v/>
      </c>
      <c r="SA7" s="11" t="str">
        <f t="shared" si="200"/>
        <v/>
      </c>
      <c r="SB7" s="11" t="str">
        <f t="shared" si="201"/>
        <v/>
      </c>
      <c r="SC7" s="11" t="str">
        <f t="shared" si="202"/>
        <v/>
      </c>
      <c r="SD7" s="11" t="str">
        <f t="shared" si="203"/>
        <v/>
      </c>
      <c r="SE7" s="11" t="str">
        <f t="shared" si="204"/>
        <v/>
      </c>
      <c r="SF7" s="11" t="str">
        <f t="shared" si="205"/>
        <v/>
      </c>
      <c r="SG7" s="11" t="str">
        <f t="shared" si="206"/>
        <v/>
      </c>
      <c r="SH7" s="11" t="str">
        <f t="shared" si="207"/>
        <v/>
      </c>
      <c r="SI7" s="11" t="str">
        <f t="shared" si="208"/>
        <v/>
      </c>
      <c r="SJ7" s="11" t="str">
        <f t="shared" si="209"/>
        <v/>
      </c>
      <c r="SK7" s="11" t="str">
        <f t="shared" si="210"/>
        <v/>
      </c>
      <c r="SL7" s="11" t="str">
        <f t="shared" si="211"/>
        <v/>
      </c>
      <c r="SM7" s="11" t="str">
        <f t="shared" si="212"/>
        <v/>
      </c>
      <c r="SN7" s="23">
        <f t="shared" si="213"/>
        <v>3.6749999999999998</v>
      </c>
      <c r="SO7" s="23">
        <f t="shared" si="214"/>
        <v>4.5</v>
      </c>
      <c r="SP7" s="23">
        <f t="shared" si="215"/>
        <v>5.65</v>
      </c>
      <c r="SQ7" s="23">
        <f t="shared" si="216"/>
        <v>7.77</v>
      </c>
      <c r="SR7" s="23">
        <f t="shared" si="217"/>
        <v>0</v>
      </c>
      <c r="SS7" s="23">
        <f t="shared" si="218"/>
        <v>3.6</v>
      </c>
      <c r="ST7" s="23">
        <f t="shared" si="219"/>
        <v>4.7</v>
      </c>
      <c r="SU7" s="23">
        <f t="shared" si="220"/>
        <v>5.65</v>
      </c>
      <c r="SV7" s="23">
        <f t="shared" si="221"/>
        <v>8.06</v>
      </c>
      <c r="SW7" s="23">
        <f t="shared" si="222"/>
        <v>0</v>
      </c>
      <c r="SX7" s="23">
        <f t="shared" si="223"/>
        <v>3.7749999999999999</v>
      </c>
      <c r="SY7" s="23">
        <f t="shared" si="224"/>
        <v>4.4749999999999996</v>
      </c>
      <c r="SZ7" s="23">
        <f t="shared" si="225"/>
        <v>5.65</v>
      </c>
      <c r="TA7" s="23">
        <f t="shared" si="226"/>
        <v>8.4499999999999993</v>
      </c>
      <c r="TB7" s="23">
        <f t="shared" si="227"/>
        <v>0</v>
      </c>
      <c r="TC7" s="28" t="s">
        <v>57</v>
      </c>
      <c r="TD7" s="41">
        <f t="shared" si="228"/>
        <v>5.65</v>
      </c>
      <c r="TE7" s="41">
        <f t="shared" si="229"/>
        <v>7.77</v>
      </c>
      <c r="TF7" s="41">
        <f t="shared" si="230"/>
        <v>21.594999999999999</v>
      </c>
      <c r="TG7" s="41">
        <f t="shared" si="231"/>
        <v>5.65</v>
      </c>
      <c r="TH7" s="41">
        <f t="shared" si="232"/>
        <v>8.06</v>
      </c>
      <c r="TI7" s="41">
        <f t="shared" si="233"/>
        <v>22.01</v>
      </c>
      <c r="TJ7" s="41">
        <f t="shared" si="234"/>
        <v>22.01</v>
      </c>
      <c r="TK7" s="41">
        <f t="shared" si="235"/>
        <v>5.65</v>
      </c>
      <c r="TL7" s="41">
        <f t="shared" si="236"/>
        <v>8.4499999999999993</v>
      </c>
      <c r="TM7" s="41">
        <f t="shared" si="237"/>
        <v>22.35</v>
      </c>
      <c r="TN7" s="41">
        <f t="shared" si="238"/>
        <v>44.36</v>
      </c>
    </row>
    <row r="8" spans="1:534" x14ac:dyDescent="0.2">
      <c r="A8" s="4" cm="1">
        <f t="array" ref="A8">IF(AND(H8&lt;&gt;"",H8&lt;&gt;"No DD"),SUMPRODUCT((H$4:H$16&lt;&gt;"")*(H$4:H$16&lt;&gt;"No DD")*(E$4:E$16&gt;E8))+1,IF(H8="No DD",SUMPRODUCT((H$4:H$16="No DD")*(E$4:E$16&gt;E8))+1+SUMPRODUCT((H$4:H$16&lt;&gt;"")*(H$4:H$16&lt;&gt;"No DD")),""))</f>
        <v>5</v>
      </c>
      <c r="B8" s="5" t="s">
        <v>138</v>
      </c>
      <c r="C8" s="4" t="s">
        <v>137</v>
      </c>
      <c r="D8" s="4" t="s">
        <v>136</v>
      </c>
      <c r="E8" s="9">
        <f t="shared" si="0"/>
        <v>47.78</v>
      </c>
      <c r="F8" s="3" t="str">
        <f t="shared" si="1"/>
        <v>P</v>
      </c>
      <c r="G8" s="3" t="str">
        <f t="shared" si="2"/>
        <v>P</v>
      </c>
      <c r="H8" s="37" t="str">
        <f t="shared" si="3"/>
        <v>Merit</v>
      </c>
      <c r="I8" s="3" t="str">
        <f t="shared" si="4"/>
        <v>P</v>
      </c>
      <c r="J8" s="8">
        <f>IF(COUNT(AI8,AL8,AP8,BJ8,BM8,BQ8,CK8,CN8,CR8)&gt;0,LARGE((AI8,AL8,AP8,BJ8,BM8,BQ8,CK8,CN8,CR8),1),0)</f>
        <v>0</v>
      </c>
      <c r="K8" s="8" t="str">
        <f t="shared" si="5"/>
        <v/>
      </c>
      <c r="L8" s="8">
        <f>IF(COUNT(AI8,AL8,AP8,BJ8,BM8,BQ8,CK8,CN8,CR8)&gt;1,LARGE((AI8,AL8,AP8,BJ8,BM8,BQ8,CK8,CN8,CR8),2),0)</f>
        <v>0</v>
      </c>
      <c r="M8" s="8" t="str">
        <f t="shared" si="6"/>
        <v/>
      </c>
      <c r="N8" s="8">
        <f t="shared" si="7"/>
        <v>47.78</v>
      </c>
      <c r="O8" s="11" t="str">
        <f t="shared" si="8"/>
        <v>(Prelim)</v>
      </c>
      <c r="P8" s="8" t="str">
        <f t="shared" si="9"/>
        <v>2023 World Cup POR 2 (July 8)</v>
      </c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8"/>
      <c r="AG8" s="39" t="str">
        <f t="shared" si="10"/>
        <v/>
      </c>
      <c r="AH8" s="39" t="str">
        <f t="shared" si="11"/>
        <v/>
      </c>
      <c r="AI8" s="41" t="str">
        <f t="shared" si="12"/>
        <v/>
      </c>
      <c r="AJ8" s="41" t="str">
        <f t="shared" si="13"/>
        <v/>
      </c>
      <c r="AK8" s="41" t="str">
        <f t="shared" si="14"/>
        <v/>
      </c>
      <c r="AL8" s="41" t="str">
        <f t="shared" si="15"/>
        <v/>
      </c>
      <c r="AM8" s="41" t="str">
        <f t="shared" si="16"/>
        <v/>
      </c>
      <c r="AN8" s="41" t="str">
        <f t="shared" si="17"/>
        <v/>
      </c>
      <c r="AO8" s="41" t="str">
        <f t="shared" si="18"/>
        <v/>
      </c>
      <c r="AP8" s="41" t="str">
        <f t="shared" si="19"/>
        <v/>
      </c>
      <c r="AQ8" s="41" t="str">
        <f t="shared" si="20"/>
        <v/>
      </c>
      <c r="AR8" s="27"/>
      <c r="AS8" s="27"/>
      <c r="AT8" s="27"/>
      <c r="AU8" s="27"/>
      <c r="AV8" s="27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9"/>
      <c r="BH8" s="40" t="str">
        <f t="shared" si="21"/>
        <v/>
      </c>
      <c r="BI8" s="40" t="str">
        <f t="shared" si="22"/>
        <v/>
      </c>
      <c r="BJ8" s="11" t="str">
        <f t="shared" si="23"/>
        <v/>
      </c>
      <c r="BK8" s="11" t="str">
        <f t="shared" si="24"/>
        <v/>
      </c>
      <c r="BL8" s="11" t="str">
        <f t="shared" si="25"/>
        <v/>
      </c>
      <c r="BM8" s="11" t="str">
        <f t="shared" si="26"/>
        <v/>
      </c>
      <c r="BN8" s="11" t="str">
        <f t="shared" si="27"/>
        <v/>
      </c>
      <c r="BO8" s="11" t="str">
        <f t="shared" si="28"/>
        <v/>
      </c>
      <c r="BP8" s="11" t="str">
        <f t="shared" si="29"/>
        <v/>
      </c>
      <c r="BQ8" s="11" t="str">
        <f t="shared" si="30"/>
        <v/>
      </c>
      <c r="BR8" s="11" t="str">
        <f t="shared" si="31"/>
        <v/>
      </c>
      <c r="BS8" s="23"/>
      <c r="BT8" s="23"/>
      <c r="BU8" s="23"/>
      <c r="BV8" s="23"/>
      <c r="BW8" s="23"/>
      <c r="BX8" s="23"/>
      <c r="BY8" s="23"/>
      <c r="BZ8" s="23"/>
      <c r="CA8" s="23"/>
      <c r="CB8" s="23"/>
      <c r="CC8" s="23"/>
      <c r="CD8" s="23"/>
      <c r="CE8" s="23"/>
      <c r="CF8" s="23"/>
      <c r="CG8" s="23"/>
      <c r="CH8" s="28"/>
      <c r="CI8" s="39" t="str">
        <f t="shared" si="32"/>
        <v/>
      </c>
      <c r="CJ8" s="39" t="str">
        <f t="shared" si="33"/>
        <v/>
      </c>
      <c r="CK8" s="41" t="str">
        <f t="shared" si="34"/>
        <v/>
      </c>
      <c r="CL8" s="41" t="str">
        <f t="shared" si="35"/>
        <v/>
      </c>
      <c r="CM8" s="41" t="str">
        <f t="shared" si="36"/>
        <v/>
      </c>
      <c r="CN8" s="41" t="str">
        <f t="shared" si="37"/>
        <v/>
      </c>
      <c r="CO8" s="41" t="str">
        <f t="shared" si="38"/>
        <v/>
      </c>
      <c r="CP8" s="41" t="str">
        <f t="shared" si="39"/>
        <v/>
      </c>
      <c r="CQ8" s="41" t="str">
        <f t="shared" si="40"/>
        <v/>
      </c>
      <c r="CR8" s="41" t="str">
        <f t="shared" si="41"/>
        <v/>
      </c>
      <c r="CS8" s="41" t="str">
        <f t="shared" si="42"/>
        <v/>
      </c>
      <c r="CT8" s="52">
        <f t="shared" si="43"/>
        <v>47.78</v>
      </c>
      <c r="CU8" s="52">
        <f t="shared" si="44"/>
        <v>47.72</v>
      </c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41" t="str">
        <f t="shared" si="45"/>
        <v/>
      </c>
      <c r="DQ8" s="41" t="str">
        <f t="shared" si="46"/>
        <v/>
      </c>
      <c r="DR8" s="41" t="str">
        <f t="shared" si="47"/>
        <v/>
      </c>
      <c r="DS8" s="41" t="str">
        <f t="shared" si="48"/>
        <v/>
      </c>
      <c r="DT8" s="41" t="str">
        <f t="shared" si="49"/>
        <v/>
      </c>
      <c r="DU8" s="41" t="str">
        <f t="shared" si="50"/>
        <v/>
      </c>
      <c r="DV8" s="41" t="str">
        <f t="shared" si="51"/>
        <v/>
      </c>
      <c r="DW8" s="41" t="str">
        <f t="shared" si="52"/>
        <v/>
      </c>
      <c r="DX8" s="41" t="str">
        <f t="shared" si="53"/>
        <v/>
      </c>
      <c r="DY8" s="41" t="str">
        <f t="shared" si="54"/>
        <v/>
      </c>
      <c r="DZ8" s="41" t="str">
        <f t="shared" si="55"/>
        <v/>
      </c>
      <c r="EA8" s="41" t="str">
        <f t="shared" si="56"/>
        <v/>
      </c>
      <c r="EB8" s="41" t="str">
        <f t="shared" si="57"/>
        <v/>
      </c>
      <c r="EC8" s="41" t="str">
        <f t="shared" si="58"/>
        <v/>
      </c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1" t="str">
        <f t="shared" si="59"/>
        <v/>
      </c>
      <c r="EY8" s="11" t="str">
        <f t="shared" si="60"/>
        <v/>
      </c>
      <c r="EZ8" s="11" t="str">
        <f t="shared" si="61"/>
        <v/>
      </c>
      <c r="FA8" s="11" t="str">
        <f t="shared" si="62"/>
        <v/>
      </c>
      <c r="FB8" s="11" t="str">
        <f t="shared" si="63"/>
        <v/>
      </c>
      <c r="FC8" s="11" t="str">
        <f t="shared" si="64"/>
        <v/>
      </c>
      <c r="FD8" s="11" t="str">
        <f t="shared" si="65"/>
        <v/>
      </c>
      <c r="FE8" s="11" t="str">
        <f t="shared" si="66"/>
        <v/>
      </c>
      <c r="FF8" s="11" t="str">
        <f t="shared" si="67"/>
        <v/>
      </c>
      <c r="FG8" s="11" t="str">
        <f t="shared" si="68"/>
        <v/>
      </c>
      <c r="FH8" s="11" t="str">
        <f t="shared" si="69"/>
        <v/>
      </c>
      <c r="FI8" s="11" t="str">
        <f t="shared" si="70"/>
        <v/>
      </c>
      <c r="FJ8" s="11" t="str">
        <f t="shared" si="71"/>
        <v/>
      </c>
      <c r="FK8" s="11" t="str">
        <f t="shared" si="72"/>
        <v/>
      </c>
      <c r="FL8" s="17">
        <v>7.6</v>
      </c>
      <c r="FM8" s="17">
        <v>9.15</v>
      </c>
      <c r="FN8" s="17">
        <v>13.1</v>
      </c>
      <c r="FO8" s="17">
        <v>17.7</v>
      </c>
      <c r="FP8" s="17">
        <v>0</v>
      </c>
      <c r="FQ8" s="17">
        <v>5.3</v>
      </c>
      <c r="FR8" s="17">
        <v>6.6</v>
      </c>
      <c r="FS8" s="17">
        <v>9.4</v>
      </c>
      <c r="FT8" s="17">
        <v>12.56</v>
      </c>
      <c r="FU8" s="17">
        <v>0</v>
      </c>
      <c r="FV8" s="17"/>
      <c r="FW8" s="17"/>
      <c r="FX8" s="17"/>
      <c r="FY8" s="17"/>
      <c r="FZ8" s="17"/>
      <c r="GA8" s="17">
        <v>0.75</v>
      </c>
      <c r="GB8" s="17">
        <v>0.95</v>
      </c>
      <c r="GC8" s="17">
        <v>1.5</v>
      </c>
      <c r="GD8" s="17">
        <v>2</v>
      </c>
      <c r="GE8" s="17">
        <v>0</v>
      </c>
      <c r="GF8" s="41">
        <f t="shared" si="73"/>
        <v>13.1</v>
      </c>
      <c r="GG8" s="41">
        <f t="shared" si="74"/>
        <v>17.7</v>
      </c>
      <c r="GH8" s="41">
        <f t="shared" si="75"/>
        <v>47.55</v>
      </c>
      <c r="GI8" s="41">
        <f t="shared" si="76"/>
        <v>9.4</v>
      </c>
      <c r="GJ8" s="41">
        <f t="shared" si="77"/>
        <v>12.56</v>
      </c>
      <c r="GK8" s="41">
        <f t="shared" si="78"/>
        <v>33.86</v>
      </c>
      <c r="GL8" s="41">
        <f t="shared" si="79"/>
        <v>47.55</v>
      </c>
      <c r="GM8" s="41" t="str">
        <f t="shared" si="80"/>
        <v/>
      </c>
      <c r="GN8" s="41" t="str">
        <f t="shared" si="81"/>
        <v/>
      </c>
      <c r="GO8" s="41" t="str">
        <f t="shared" si="82"/>
        <v/>
      </c>
      <c r="GP8" s="41">
        <f t="shared" si="83"/>
        <v>1.5</v>
      </c>
      <c r="GQ8" s="41">
        <f t="shared" si="84"/>
        <v>2</v>
      </c>
      <c r="GR8" s="41">
        <f t="shared" si="85"/>
        <v>5.2</v>
      </c>
      <c r="GS8" s="41">
        <f t="shared" si="86"/>
        <v>52.75</v>
      </c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1" t="str">
        <f t="shared" si="87"/>
        <v/>
      </c>
      <c r="HO8" s="11" t="str">
        <f t="shared" si="88"/>
        <v/>
      </c>
      <c r="HP8" s="11" t="str">
        <f t="shared" si="89"/>
        <v/>
      </c>
      <c r="HQ8" s="11" t="str">
        <f t="shared" si="90"/>
        <v/>
      </c>
      <c r="HR8" s="11" t="str">
        <f t="shared" si="91"/>
        <v/>
      </c>
      <c r="HS8" s="11" t="str">
        <f t="shared" si="92"/>
        <v/>
      </c>
      <c r="HT8" s="11" t="str">
        <f t="shared" si="93"/>
        <v/>
      </c>
      <c r="HU8" s="11" t="str">
        <f t="shared" si="94"/>
        <v/>
      </c>
      <c r="HV8" s="11" t="str">
        <f t="shared" si="95"/>
        <v/>
      </c>
      <c r="HW8" s="11" t="str">
        <f t="shared" si="96"/>
        <v/>
      </c>
      <c r="HX8" s="11" t="str">
        <f t="shared" si="97"/>
        <v/>
      </c>
      <c r="HY8" s="11" t="str">
        <f t="shared" si="98"/>
        <v/>
      </c>
      <c r="HZ8" s="11" t="str">
        <f t="shared" si="99"/>
        <v/>
      </c>
      <c r="IA8" s="11" t="str">
        <f t="shared" si="100"/>
        <v/>
      </c>
      <c r="IB8" s="17">
        <v>7.15</v>
      </c>
      <c r="IC8" s="17">
        <v>9.25</v>
      </c>
      <c r="ID8" s="17">
        <v>13.1</v>
      </c>
      <c r="IE8" s="17">
        <v>18.28</v>
      </c>
      <c r="IF8" s="17">
        <v>0</v>
      </c>
      <c r="IG8" s="17">
        <v>6.6</v>
      </c>
      <c r="IH8" s="17">
        <v>8.35</v>
      </c>
      <c r="II8" s="17">
        <v>11.5</v>
      </c>
      <c r="IJ8" s="17">
        <v>13.92</v>
      </c>
      <c r="IK8" s="17">
        <v>0</v>
      </c>
      <c r="IL8" s="17"/>
      <c r="IM8" s="17"/>
      <c r="IN8" s="17"/>
      <c r="IO8" s="17"/>
      <c r="IP8" s="17"/>
      <c r="IQ8" s="17">
        <v>7.35</v>
      </c>
      <c r="IR8" s="17">
        <v>9.25</v>
      </c>
      <c r="IS8" s="17">
        <v>13.1</v>
      </c>
      <c r="IT8" s="17">
        <v>18.02</v>
      </c>
      <c r="IU8" s="17">
        <v>0</v>
      </c>
      <c r="IV8" s="41">
        <f t="shared" si="101"/>
        <v>13.1</v>
      </c>
      <c r="IW8" s="41">
        <f t="shared" si="102"/>
        <v>18.28</v>
      </c>
      <c r="IX8" s="41">
        <f t="shared" si="103"/>
        <v>47.78</v>
      </c>
      <c r="IY8" s="41">
        <f t="shared" si="104"/>
        <v>11.5</v>
      </c>
      <c r="IZ8" s="41">
        <f t="shared" si="105"/>
        <v>13.92</v>
      </c>
      <c r="JA8" s="41">
        <f t="shared" si="106"/>
        <v>40.369999999999997</v>
      </c>
      <c r="JB8" s="41">
        <f t="shared" si="107"/>
        <v>47.78</v>
      </c>
      <c r="JC8" s="41" t="str">
        <f t="shared" si="108"/>
        <v/>
      </c>
      <c r="JD8" s="41" t="str">
        <f t="shared" si="109"/>
        <v/>
      </c>
      <c r="JE8" s="41" t="str">
        <f t="shared" si="110"/>
        <v/>
      </c>
      <c r="JF8" s="41">
        <f t="shared" si="111"/>
        <v>13.1</v>
      </c>
      <c r="JG8" s="41">
        <f t="shared" si="112"/>
        <v>18.02</v>
      </c>
      <c r="JH8" s="41">
        <f t="shared" si="113"/>
        <v>47.72</v>
      </c>
      <c r="JI8" s="41">
        <f t="shared" si="114"/>
        <v>95.5</v>
      </c>
      <c r="JJ8" s="18"/>
      <c r="JK8" s="18"/>
      <c r="JL8" s="18"/>
      <c r="JM8" s="18"/>
      <c r="JN8" s="18"/>
      <c r="JO8" s="18"/>
      <c r="JP8" s="18"/>
      <c r="JQ8" s="18"/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1" t="str">
        <f t="shared" si="115"/>
        <v/>
      </c>
      <c r="KE8" s="11" t="str">
        <f t="shared" si="116"/>
        <v/>
      </c>
      <c r="KF8" s="11" t="str">
        <f t="shared" si="117"/>
        <v/>
      </c>
      <c r="KG8" s="11" t="str">
        <f t="shared" si="118"/>
        <v/>
      </c>
      <c r="KH8" s="11" t="str">
        <f t="shared" si="119"/>
        <v/>
      </c>
      <c r="KI8" s="11" t="str">
        <f t="shared" si="120"/>
        <v/>
      </c>
      <c r="KJ8" s="11" t="str">
        <f t="shared" si="121"/>
        <v/>
      </c>
      <c r="KK8" s="11" t="str">
        <f t="shared" si="122"/>
        <v/>
      </c>
      <c r="KL8" s="11" t="str">
        <f t="shared" si="123"/>
        <v/>
      </c>
      <c r="KM8" s="11" t="str">
        <f t="shared" si="124"/>
        <v/>
      </c>
      <c r="KN8" s="11" t="str">
        <f t="shared" si="125"/>
        <v/>
      </c>
      <c r="KO8" s="11" t="str">
        <f t="shared" si="126"/>
        <v/>
      </c>
      <c r="KP8" s="11" t="str">
        <f t="shared" si="127"/>
        <v/>
      </c>
      <c r="KQ8" s="11" t="str">
        <f t="shared" si="128"/>
        <v/>
      </c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41" t="str">
        <f t="shared" si="129"/>
        <v/>
      </c>
      <c r="LM8" s="41" t="str">
        <f t="shared" si="130"/>
        <v/>
      </c>
      <c r="LN8" s="41" t="str">
        <f t="shared" si="131"/>
        <v/>
      </c>
      <c r="LO8" s="41" t="str">
        <f t="shared" si="132"/>
        <v/>
      </c>
      <c r="LP8" s="41" t="str">
        <f t="shared" si="133"/>
        <v/>
      </c>
      <c r="LQ8" s="41" t="str">
        <f t="shared" si="134"/>
        <v/>
      </c>
      <c r="LR8" s="41" t="str">
        <f t="shared" si="135"/>
        <v/>
      </c>
      <c r="LS8" s="41" t="str">
        <f t="shared" si="136"/>
        <v/>
      </c>
      <c r="LT8" s="41" t="str">
        <f t="shared" si="137"/>
        <v/>
      </c>
      <c r="LU8" s="41" t="str">
        <f t="shared" si="138"/>
        <v/>
      </c>
      <c r="LV8" s="41" t="str">
        <f t="shared" si="139"/>
        <v/>
      </c>
      <c r="LW8" s="41" t="str">
        <f t="shared" si="140"/>
        <v/>
      </c>
      <c r="LX8" s="41" t="str">
        <f t="shared" si="141"/>
        <v/>
      </c>
      <c r="LY8" s="41" t="str">
        <f t="shared" si="142"/>
        <v/>
      </c>
      <c r="LZ8" s="18"/>
      <c r="MA8" s="18"/>
      <c r="MB8" s="18"/>
      <c r="MC8" s="18"/>
      <c r="MD8" s="18"/>
      <c r="ME8" s="18"/>
      <c r="MF8" s="18"/>
      <c r="MG8" s="18"/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1" t="str">
        <f t="shared" si="143"/>
        <v/>
      </c>
      <c r="MU8" s="11" t="str">
        <f t="shared" si="144"/>
        <v/>
      </c>
      <c r="MV8" s="11" t="str">
        <f t="shared" si="145"/>
        <v/>
      </c>
      <c r="MW8" s="11" t="str">
        <f t="shared" si="146"/>
        <v/>
      </c>
      <c r="MX8" s="11" t="str">
        <f t="shared" si="147"/>
        <v/>
      </c>
      <c r="MY8" s="11" t="str">
        <f t="shared" si="148"/>
        <v/>
      </c>
      <c r="MZ8" s="11" t="str">
        <f t="shared" si="149"/>
        <v/>
      </c>
      <c r="NA8" s="11" t="str">
        <f t="shared" si="150"/>
        <v/>
      </c>
      <c r="NB8" s="11" t="str">
        <f t="shared" si="151"/>
        <v/>
      </c>
      <c r="NC8" s="11" t="str">
        <f t="shared" si="152"/>
        <v/>
      </c>
      <c r="ND8" s="11" t="str">
        <f t="shared" si="153"/>
        <v/>
      </c>
      <c r="NE8" s="11" t="str">
        <f t="shared" si="154"/>
        <v/>
      </c>
      <c r="NF8" s="11" t="str">
        <f t="shared" si="155"/>
        <v/>
      </c>
      <c r="NG8" s="11" t="str">
        <f t="shared" si="156"/>
        <v/>
      </c>
      <c r="NH8" s="17"/>
      <c r="NI8" s="17"/>
      <c r="NJ8" s="17"/>
      <c r="NK8" s="17"/>
      <c r="NL8" s="17"/>
      <c r="NM8" s="17"/>
      <c r="NN8" s="17"/>
      <c r="NO8" s="17"/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41" t="str">
        <f t="shared" si="157"/>
        <v/>
      </c>
      <c r="OC8" s="41" t="str">
        <f t="shared" si="158"/>
        <v/>
      </c>
      <c r="OD8" s="41" t="str">
        <f t="shared" si="159"/>
        <v/>
      </c>
      <c r="OE8" s="41" t="str">
        <f t="shared" si="160"/>
        <v/>
      </c>
      <c r="OF8" s="41" t="str">
        <f t="shared" si="161"/>
        <v/>
      </c>
      <c r="OG8" s="41" t="str">
        <f t="shared" si="162"/>
        <v/>
      </c>
      <c r="OH8" s="41" t="str">
        <f t="shared" si="163"/>
        <v/>
      </c>
      <c r="OI8" s="41" t="str">
        <f t="shared" si="164"/>
        <v/>
      </c>
      <c r="OJ8" s="41" t="str">
        <f t="shared" si="165"/>
        <v/>
      </c>
      <c r="OK8" s="41" t="str">
        <f t="shared" si="166"/>
        <v/>
      </c>
      <c r="OL8" s="41" t="str">
        <f t="shared" si="167"/>
        <v/>
      </c>
      <c r="OM8" s="41" t="str">
        <f t="shared" si="168"/>
        <v/>
      </c>
      <c r="ON8" s="41" t="str">
        <f t="shared" si="169"/>
        <v/>
      </c>
      <c r="OO8" s="41" t="str">
        <f t="shared" si="170"/>
        <v/>
      </c>
      <c r="OP8" s="18"/>
      <c r="OQ8" s="18"/>
      <c r="OR8" s="18"/>
      <c r="OS8" s="18"/>
      <c r="OT8" s="18"/>
      <c r="OU8" s="18"/>
      <c r="OV8" s="18"/>
      <c r="OW8" s="18"/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1" t="str">
        <f t="shared" si="171"/>
        <v/>
      </c>
      <c r="PK8" s="11" t="str">
        <f t="shared" si="172"/>
        <v/>
      </c>
      <c r="PL8" s="11" t="str">
        <f t="shared" si="173"/>
        <v/>
      </c>
      <c r="PM8" s="11" t="str">
        <f t="shared" si="174"/>
        <v/>
      </c>
      <c r="PN8" s="11" t="str">
        <f t="shared" si="175"/>
        <v/>
      </c>
      <c r="PO8" s="11" t="str">
        <f t="shared" si="176"/>
        <v/>
      </c>
      <c r="PP8" s="11" t="str">
        <f t="shared" si="177"/>
        <v/>
      </c>
      <c r="PQ8" s="11" t="str">
        <f t="shared" si="178"/>
        <v/>
      </c>
      <c r="PR8" s="11" t="str">
        <f t="shared" si="179"/>
        <v/>
      </c>
      <c r="PS8" s="11" t="str">
        <f t="shared" si="180"/>
        <v/>
      </c>
      <c r="PT8" s="11" t="str">
        <f t="shared" si="181"/>
        <v/>
      </c>
      <c r="PU8" s="11" t="str">
        <f t="shared" si="182"/>
        <v/>
      </c>
      <c r="PV8" s="11" t="str">
        <f t="shared" si="183"/>
        <v/>
      </c>
      <c r="PW8" s="11" t="str">
        <f t="shared" si="184"/>
        <v/>
      </c>
      <c r="PX8" s="17"/>
      <c r="PY8" s="17"/>
      <c r="PZ8" s="17"/>
      <c r="QA8" s="17"/>
      <c r="QB8" s="17"/>
      <c r="QC8" s="17"/>
      <c r="QD8" s="17"/>
      <c r="QE8" s="17"/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41" t="str">
        <f t="shared" si="185"/>
        <v/>
      </c>
      <c r="QS8" s="41" t="str">
        <f t="shared" si="186"/>
        <v/>
      </c>
      <c r="QT8" s="41" t="str">
        <f t="shared" si="187"/>
        <v/>
      </c>
      <c r="QU8" s="41" t="str">
        <f t="shared" si="188"/>
        <v/>
      </c>
      <c r="QV8" s="41" t="str">
        <f t="shared" si="189"/>
        <v/>
      </c>
      <c r="QW8" s="41" t="str">
        <f t="shared" si="190"/>
        <v/>
      </c>
      <c r="QX8" s="41" t="str">
        <f t="shared" si="191"/>
        <v/>
      </c>
      <c r="QY8" s="41" t="str">
        <f t="shared" si="192"/>
        <v/>
      </c>
      <c r="QZ8" s="41" t="str">
        <f t="shared" si="193"/>
        <v/>
      </c>
      <c r="RA8" s="41" t="str">
        <f t="shared" si="194"/>
        <v/>
      </c>
      <c r="RB8" s="41" t="str">
        <f t="shared" si="195"/>
        <v/>
      </c>
      <c r="RC8" s="41" t="str">
        <f t="shared" si="196"/>
        <v/>
      </c>
      <c r="RD8" s="41" t="str">
        <f t="shared" si="197"/>
        <v/>
      </c>
      <c r="RE8" s="41" t="str">
        <f t="shared" si="198"/>
        <v/>
      </c>
      <c r="RF8" s="18"/>
      <c r="RG8" s="18"/>
      <c r="RH8" s="18"/>
      <c r="RI8" s="18"/>
      <c r="RJ8" s="18"/>
      <c r="RK8" s="18"/>
      <c r="RL8" s="18"/>
      <c r="RM8" s="18"/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1" t="str">
        <f t="shared" si="199"/>
        <v/>
      </c>
      <c r="SA8" s="11" t="str">
        <f t="shared" si="200"/>
        <v/>
      </c>
      <c r="SB8" s="11" t="str">
        <f t="shared" si="201"/>
        <v/>
      </c>
      <c r="SC8" s="11" t="str">
        <f t="shared" si="202"/>
        <v/>
      </c>
      <c r="SD8" s="11" t="str">
        <f t="shared" si="203"/>
        <v/>
      </c>
      <c r="SE8" s="11" t="str">
        <f t="shared" si="204"/>
        <v/>
      </c>
      <c r="SF8" s="11" t="str">
        <f t="shared" si="205"/>
        <v/>
      </c>
      <c r="SG8" s="11" t="str">
        <f t="shared" si="206"/>
        <v/>
      </c>
      <c r="SH8" s="11" t="str">
        <f t="shared" si="207"/>
        <v/>
      </c>
      <c r="SI8" s="11" t="str">
        <f t="shared" si="208"/>
        <v/>
      </c>
      <c r="SJ8" s="11" t="str">
        <f t="shared" si="209"/>
        <v/>
      </c>
      <c r="SK8" s="11" t="str">
        <f t="shared" si="210"/>
        <v/>
      </c>
      <c r="SL8" s="11" t="str">
        <f t="shared" si="211"/>
        <v/>
      </c>
      <c r="SM8" s="11" t="str">
        <f t="shared" si="212"/>
        <v/>
      </c>
      <c r="SN8" s="23">
        <f t="shared" si="213"/>
        <v>0</v>
      </c>
      <c r="SO8" s="23">
        <f t="shared" si="214"/>
        <v>0</v>
      </c>
      <c r="SP8" s="23">
        <f t="shared" si="215"/>
        <v>0</v>
      </c>
      <c r="SQ8" s="23">
        <f t="shared" si="216"/>
        <v>0</v>
      </c>
      <c r="SR8" s="23">
        <f t="shared" si="217"/>
        <v>0</v>
      </c>
      <c r="SS8" s="23">
        <f t="shared" si="218"/>
        <v>0</v>
      </c>
      <c r="ST8" s="23">
        <f t="shared" si="219"/>
        <v>0</v>
      </c>
      <c r="SU8" s="23">
        <f t="shared" si="220"/>
        <v>0</v>
      </c>
      <c r="SV8" s="23">
        <f t="shared" si="221"/>
        <v>0</v>
      </c>
      <c r="SW8" s="23">
        <f t="shared" si="222"/>
        <v>0</v>
      </c>
      <c r="SX8" s="23">
        <f t="shared" si="223"/>
        <v>0</v>
      </c>
      <c r="SY8" s="23">
        <f t="shared" si="224"/>
        <v>0</v>
      </c>
      <c r="SZ8" s="23">
        <f t="shared" si="225"/>
        <v>0</v>
      </c>
      <c r="TA8" s="23">
        <f t="shared" si="226"/>
        <v>0</v>
      </c>
      <c r="TB8" s="23">
        <f t="shared" si="227"/>
        <v>0</v>
      </c>
      <c r="TC8" s="28" t="s">
        <v>57</v>
      </c>
      <c r="TD8" s="41" t="str">
        <f t="shared" si="228"/>
        <v/>
      </c>
      <c r="TE8" s="41" t="str">
        <f t="shared" si="229"/>
        <v/>
      </c>
      <c r="TF8" s="41" t="str">
        <f t="shared" si="230"/>
        <v/>
      </c>
      <c r="TG8" s="41" t="str">
        <f t="shared" si="231"/>
        <v/>
      </c>
      <c r="TH8" s="41" t="str">
        <f t="shared" si="232"/>
        <v/>
      </c>
      <c r="TI8" s="41" t="str">
        <f t="shared" si="233"/>
        <v/>
      </c>
      <c r="TJ8" s="41" t="str">
        <f t="shared" si="234"/>
        <v/>
      </c>
      <c r="TK8" s="41" t="str">
        <f t="shared" si="235"/>
        <v/>
      </c>
      <c r="TL8" s="41" t="str">
        <f t="shared" si="236"/>
        <v/>
      </c>
      <c r="TM8" s="41" t="str">
        <f t="shared" si="237"/>
        <v/>
      </c>
      <c r="TN8" s="41" t="str">
        <f t="shared" si="238"/>
        <v/>
      </c>
    </row>
    <row r="9" spans="1:534" x14ac:dyDescent="0.2">
      <c r="A9" s="4" cm="1">
        <f t="array" ref="A9">IF(AND(H9&lt;&gt;"",H9&lt;&gt;"No DD"),SUMPRODUCT((H$4:H$16&lt;&gt;"")*(H$4:H$16&lt;&gt;"No DD")*(E$4:E$16&gt;E9))+1,IF(H9="No DD",SUMPRODUCT((H$4:H$16="No DD")*(E$4:E$16&gt;E9))+1+SUMPRODUCT((H$4:H$16&lt;&gt;"")*(H$4:H$16&lt;&gt;"No DD")),""))</f>
        <v>6</v>
      </c>
      <c r="B9" s="5" t="s">
        <v>218</v>
      </c>
      <c r="C9" s="4" t="s">
        <v>137</v>
      </c>
      <c r="D9" s="4" t="s">
        <v>217</v>
      </c>
      <c r="E9" s="9">
        <f t="shared" si="0"/>
        <v>46.739999999999995</v>
      </c>
      <c r="F9" s="3" t="str">
        <f t="shared" si="1"/>
        <v>P</v>
      </c>
      <c r="G9" s="3" t="str">
        <f t="shared" si="2"/>
        <v>P</v>
      </c>
      <c r="H9" s="37" t="str">
        <f t="shared" si="3"/>
        <v>Excellence</v>
      </c>
      <c r="I9" s="3" t="str">
        <f t="shared" si="4"/>
        <v>P</v>
      </c>
      <c r="J9" s="8">
        <f>IF(COUNT(AI9,AL9,AP9,BJ9,BM9,BQ9,CK9,CN9,CR9)&gt;0,LARGE((AI9,AL9,AP9,BJ9,BM9,BQ9,CK9,CN9,CR9),1),0)</f>
        <v>0</v>
      </c>
      <c r="K9" s="8" t="str">
        <f t="shared" si="5"/>
        <v/>
      </c>
      <c r="L9" s="8">
        <f>IF(COUNT(AI9,AL9,AP9,BJ9,BM9,BQ9,CK9,CN9,CR9)&gt;1,LARGE((AI9,AL9,AP9,BJ9,BM9,BQ9,CK9,CN9,CR9),2),0)</f>
        <v>0</v>
      </c>
      <c r="M9" s="8" t="str">
        <f t="shared" si="6"/>
        <v/>
      </c>
      <c r="N9" s="8">
        <f t="shared" si="7"/>
        <v>46.739999999999995</v>
      </c>
      <c r="O9" s="11" t="str">
        <f t="shared" si="8"/>
        <v>(Prelim)</v>
      </c>
      <c r="P9" s="8" t="str">
        <f t="shared" si="9"/>
        <v>2023 World Cup BUL (Oct 8)</v>
      </c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8"/>
      <c r="AG9" s="39" t="str">
        <f t="shared" si="10"/>
        <v/>
      </c>
      <c r="AH9" s="39" t="str">
        <f t="shared" si="11"/>
        <v/>
      </c>
      <c r="AI9" s="41" t="str">
        <f t="shared" si="12"/>
        <v/>
      </c>
      <c r="AJ9" s="41" t="str">
        <f t="shared" si="13"/>
        <v/>
      </c>
      <c r="AK9" s="41" t="str">
        <f t="shared" si="14"/>
        <v/>
      </c>
      <c r="AL9" s="41" t="str">
        <f t="shared" si="15"/>
        <v/>
      </c>
      <c r="AM9" s="41" t="str">
        <f t="shared" si="16"/>
        <v/>
      </c>
      <c r="AN9" s="41" t="str">
        <f t="shared" si="17"/>
        <v/>
      </c>
      <c r="AO9" s="41" t="str">
        <f t="shared" si="18"/>
        <v/>
      </c>
      <c r="AP9" s="41" t="str">
        <f t="shared" si="19"/>
        <v/>
      </c>
      <c r="AQ9" s="41" t="str">
        <f t="shared" si="20"/>
        <v/>
      </c>
      <c r="AR9" s="27"/>
      <c r="AS9" s="27"/>
      <c r="AT9" s="27"/>
      <c r="AU9" s="27"/>
      <c r="AV9" s="27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9"/>
      <c r="BH9" s="40" t="str">
        <f t="shared" si="21"/>
        <v/>
      </c>
      <c r="BI9" s="40" t="str">
        <f t="shared" si="22"/>
        <v/>
      </c>
      <c r="BJ9" s="11" t="str">
        <f t="shared" si="23"/>
        <v/>
      </c>
      <c r="BK9" s="11" t="str">
        <f t="shared" si="24"/>
        <v/>
      </c>
      <c r="BL9" s="11" t="str">
        <f t="shared" si="25"/>
        <v/>
      </c>
      <c r="BM9" s="11" t="str">
        <f t="shared" si="26"/>
        <v/>
      </c>
      <c r="BN9" s="11" t="str">
        <f t="shared" si="27"/>
        <v/>
      </c>
      <c r="BO9" s="11" t="str">
        <f t="shared" si="28"/>
        <v/>
      </c>
      <c r="BP9" s="11" t="str">
        <f t="shared" si="29"/>
        <v/>
      </c>
      <c r="BQ9" s="11" t="str">
        <f t="shared" si="30"/>
        <v/>
      </c>
      <c r="BR9" s="11" t="str">
        <f t="shared" si="31"/>
        <v/>
      </c>
      <c r="BS9" s="23"/>
      <c r="BT9" s="23"/>
      <c r="BU9" s="23"/>
      <c r="BV9" s="23"/>
      <c r="BW9" s="23"/>
      <c r="BX9" s="23"/>
      <c r="BY9" s="23"/>
      <c r="BZ9" s="23"/>
      <c r="CA9" s="23"/>
      <c r="CB9" s="23"/>
      <c r="CC9" s="23"/>
      <c r="CD9" s="23"/>
      <c r="CE9" s="23"/>
      <c r="CF9" s="23"/>
      <c r="CG9" s="23"/>
      <c r="CH9" s="28"/>
      <c r="CI9" s="39" t="str">
        <f t="shared" si="32"/>
        <v/>
      </c>
      <c r="CJ9" s="39" t="str">
        <f t="shared" si="33"/>
        <v/>
      </c>
      <c r="CK9" s="41" t="str">
        <f t="shared" si="34"/>
        <v/>
      </c>
      <c r="CL9" s="41" t="str">
        <f t="shared" si="35"/>
        <v/>
      </c>
      <c r="CM9" s="41" t="str">
        <f t="shared" si="36"/>
        <v/>
      </c>
      <c r="CN9" s="41" t="str">
        <f t="shared" si="37"/>
        <v/>
      </c>
      <c r="CO9" s="41" t="str">
        <f t="shared" si="38"/>
        <v/>
      </c>
      <c r="CP9" s="41" t="str">
        <f t="shared" si="39"/>
        <v/>
      </c>
      <c r="CQ9" s="41" t="str">
        <f t="shared" si="40"/>
        <v/>
      </c>
      <c r="CR9" s="41" t="str">
        <f t="shared" si="41"/>
        <v/>
      </c>
      <c r="CS9" s="41" t="str">
        <f t="shared" si="42"/>
        <v/>
      </c>
      <c r="CT9" s="52">
        <f t="shared" si="43"/>
        <v>46.739999999999995</v>
      </c>
      <c r="CU9" s="52">
        <f t="shared" si="44"/>
        <v>44.18</v>
      </c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41" t="str">
        <f t="shared" si="45"/>
        <v/>
      </c>
      <c r="DQ9" s="41" t="str">
        <f t="shared" si="46"/>
        <v/>
      </c>
      <c r="DR9" s="41" t="str">
        <f t="shared" si="47"/>
        <v/>
      </c>
      <c r="DS9" s="41" t="str">
        <f t="shared" si="48"/>
        <v/>
      </c>
      <c r="DT9" s="41" t="str">
        <f t="shared" si="49"/>
        <v/>
      </c>
      <c r="DU9" s="41" t="str">
        <f t="shared" si="50"/>
        <v/>
      </c>
      <c r="DV9" s="41" t="str">
        <f t="shared" si="51"/>
        <v/>
      </c>
      <c r="DW9" s="41" t="str">
        <f t="shared" si="52"/>
        <v/>
      </c>
      <c r="DX9" s="41" t="str">
        <f t="shared" si="53"/>
        <v/>
      </c>
      <c r="DY9" s="41" t="str">
        <f t="shared" si="54"/>
        <v/>
      </c>
      <c r="DZ9" s="41" t="str">
        <f t="shared" si="55"/>
        <v/>
      </c>
      <c r="EA9" s="41" t="str">
        <f t="shared" si="56"/>
        <v/>
      </c>
      <c r="EB9" s="41" t="str">
        <f t="shared" si="57"/>
        <v/>
      </c>
      <c r="EC9" s="41" t="str">
        <f t="shared" si="58"/>
        <v/>
      </c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1" t="str">
        <f t="shared" si="59"/>
        <v/>
      </c>
      <c r="EY9" s="11" t="str">
        <f t="shared" si="60"/>
        <v/>
      </c>
      <c r="EZ9" s="11" t="str">
        <f t="shared" si="61"/>
        <v/>
      </c>
      <c r="FA9" s="11" t="str">
        <f t="shared" si="62"/>
        <v/>
      </c>
      <c r="FB9" s="11" t="str">
        <f t="shared" si="63"/>
        <v/>
      </c>
      <c r="FC9" s="11" t="str">
        <f t="shared" si="64"/>
        <v/>
      </c>
      <c r="FD9" s="11" t="str">
        <f t="shared" si="65"/>
        <v/>
      </c>
      <c r="FE9" s="11" t="str">
        <f t="shared" si="66"/>
        <v/>
      </c>
      <c r="FF9" s="11" t="str">
        <f t="shared" si="67"/>
        <v/>
      </c>
      <c r="FG9" s="11" t="str">
        <f t="shared" si="68"/>
        <v/>
      </c>
      <c r="FH9" s="11" t="str">
        <f t="shared" si="69"/>
        <v/>
      </c>
      <c r="FI9" s="11" t="str">
        <f t="shared" si="70"/>
        <v/>
      </c>
      <c r="FJ9" s="11" t="str">
        <f t="shared" si="71"/>
        <v/>
      </c>
      <c r="FK9" s="11" t="str">
        <f t="shared" si="72"/>
        <v/>
      </c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41" t="str">
        <f t="shared" si="73"/>
        <v/>
      </c>
      <c r="GG9" s="41" t="str">
        <f t="shared" si="74"/>
        <v/>
      </c>
      <c r="GH9" s="41" t="str">
        <f t="shared" si="75"/>
        <v/>
      </c>
      <c r="GI9" s="41" t="str">
        <f t="shared" si="76"/>
        <v/>
      </c>
      <c r="GJ9" s="41" t="str">
        <f t="shared" si="77"/>
        <v/>
      </c>
      <c r="GK9" s="41" t="str">
        <f t="shared" si="78"/>
        <v/>
      </c>
      <c r="GL9" s="41" t="str">
        <f t="shared" si="79"/>
        <v/>
      </c>
      <c r="GM9" s="41" t="str">
        <f t="shared" si="80"/>
        <v/>
      </c>
      <c r="GN9" s="41" t="str">
        <f t="shared" si="81"/>
        <v/>
      </c>
      <c r="GO9" s="41" t="str">
        <f t="shared" si="82"/>
        <v/>
      </c>
      <c r="GP9" s="41" t="str">
        <f t="shared" si="83"/>
        <v/>
      </c>
      <c r="GQ9" s="41" t="str">
        <f t="shared" si="84"/>
        <v/>
      </c>
      <c r="GR9" s="41" t="str">
        <f t="shared" si="85"/>
        <v/>
      </c>
      <c r="GS9" s="41" t="str">
        <f t="shared" si="86"/>
        <v/>
      </c>
      <c r="GT9" s="18">
        <v>7.2</v>
      </c>
      <c r="GU9" s="18">
        <v>9.0500000000000007</v>
      </c>
      <c r="GV9" s="18">
        <v>12.1</v>
      </c>
      <c r="GW9" s="18">
        <v>15.6</v>
      </c>
      <c r="GX9" s="18">
        <v>0</v>
      </c>
      <c r="GY9" s="18">
        <v>7.15</v>
      </c>
      <c r="GZ9" s="18">
        <v>9.65</v>
      </c>
      <c r="HA9" s="18">
        <v>12.1</v>
      </c>
      <c r="HB9" s="18">
        <v>16.32</v>
      </c>
      <c r="HC9" s="18">
        <v>0</v>
      </c>
      <c r="HD9" s="18"/>
      <c r="HE9" s="18"/>
      <c r="HF9" s="18"/>
      <c r="HG9" s="18"/>
      <c r="HH9" s="18"/>
      <c r="HI9" s="18">
        <v>6.35</v>
      </c>
      <c r="HJ9" s="18">
        <v>9.0500000000000007</v>
      </c>
      <c r="HK9" s="18">
        <v>12.1</v>
      </c>
      <c r="HL9" s="18">
        <v>16.68</v>
      </c>
      <c r="HM9" s="18">
        <v>0</v>
      </c>
      <c r="HN9" s="11">
        <f t="shared" si="87"/>
        <v>12.1</v>
      </c>
      <c r="HO9" s="11">
        <f t="shared" si="88"/>
        <v>15.6</v>
      </c>
      <c r="HP9" s="11">
        <f t="shared" si="89"/>
        <v>43.95</v>
      </c>
      <c r="HQ9" s="11">
        <f t="shared" si="90"/>
        <v>12.1</v>
      </c>
      <c r="HR9" s="11">
        <f t="shared" si="91"/>
        <v>16.32</v>
      </c>
      <c r="HS9" s="11">
        <f t="shared" si="92"/>
        <v>45.22</v>
      </c>
      <c r="HT9" s="11">
        <f t="shared" si="93"/>
        <v>45.22</v>
      </c>
      <c r="HU9" s="11" t="str">
        <f t="shared" si="94"/>
        <v/>
      </c>
      <c r="HV9" s="11" t="str">
        <f t="shared" si="95"/>
        <v/>
      </c>
      <c r="HW9" s="11" t="str">
        <f t="shared" si="96"/>
        <v/>
      </c>
      <c r="HX9" s="11">
        <f t="shared" si="97"/>
        <v>12.1</v>
      </c>
      <c r="HY9" s="11">
        <f t="shared" si="98"/>
        <v>16.68</v>
      </c>
      <c r="HZ9" s="11">
        <f t="shared" si="99"/>
        <v>44.18</v>
      </c>
      <c r="IA9" s="11">
        <f t="shared" si="100"/>
        <v>89.4</v>
      </c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41" t="str">
        <f t="shared" si="101"/>
        <v/>
      </c>
      <c r="IW9" s="41" t="str">
        <f t="shared" si="102"/>
        <v/>
      </c>
      <c r="IX9" s="41" t="str">
        <f t="shared" si="103"/>
        <v/>
      </c>
      <c r="IY9" s="41" t="str">
        <f t="shared" si="104"/>
        <v/>
      </c>
      <c r="IZ9" s="41" t="str">
        <f t="shared" si="105"/>
        <v/>
      </c>
      <c r="JA9" s="41" t="str">
        <f t="shared" si="106"/>
        <v/>
      </c>
      <c r="JB9" s="41" t="str">
        <f t="shared" si="107"/>
        <v/>
      </c>
      <c r="JC9" s="41" t="str">
        <f t="shared" si="108"/>
        <v/>
      </c>
      <c r="JD9" s="41" t="str">
        <f t="shared" si="109"/>
        <v/>
      </c>
      <c r="JE9" s="41" t="str">
        <f t="shared" si="110"/>
        <v/>
      </c>
      <c r="JF9" s="41" t="str">
        <f t="shared" si="111"/>
        <v/>
      </c>
      <c r="JG9" s="41" t="str">
        <f t="shared" si="112"/>
        <v/>
      </c>
      <c r="JH9" s="41" t="str">
        <f t="shared" si="113"/>
        <v/>
      </c>
      <c r="JI9" s="41" t="str">
        <f t="shared" si="114"/>
        <v/>
      </c>
      <c r="JJ9" s="18"/>
      <c r="JK9" s="18"/>
      <c r="JL9" s="18"/>
      <c r="JM9" s="18"/>
      <c r="JN9" s="18"/>
      <c r="JO9" s="18"/>
      <c r="JP9" s="18"/>
      <c r="JQ9" s="18"/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1" t="str">
        <f t="shared" si="115"/>
        <v/>
      </c>
      <c r="KE9" s="11" t="str">
        <f t="shared" si="116"/>
        <v/>
      </c>
      <c r="KF9" s="11" t="str">
        <f t="shared" si="117"/>
        <v/>
      </c>
      <c r="KG9" s="11" t="str">
        <f t="shared" si="118"/>
        <v/>
      </c>
      <c r="KH9" s="11" t="str">
        <f t="shared" si="119"/>
        <v/>
      </c>
      <c r="KI9" s="11" t="str">
        <f t="shared" si="120"/>
        <v/>
      </c>
      <c r="KJ9" s="11" t="str">
        <f t="shared" si="121"/>
        <v/>
      </c>
      <c r="KK9" s="11" t="str">
        <f t="shared" si="122"/>
        <v/>
      </c>
      <c r="KL9" s="11" t="str">
        <f t="shared" si="123"/>
        <v/>
      </c>
      <c r="KM9" s="11" t="str">
        <f t="shared" si="124"/>
        <v/>
      </c>
      <c r="KN9" s="11" t="str">
        <f t="shared" si="125"/>
        <v/>
      </c>
      <c r="KO9" s="11" t="str">
        <f t="shared" si="126"/>
        <v/>
      </c>
      <c r="KP9" s="11" t="str">
        <f t="shared" si="127"/>
        <v/>
      </c>
      <c r="KQ9" s="11" t="str">
        <f t="shared" si="128"/>
        <v/>
      </c>
      <c r="KR9" s="17">
        <v>3.05</v>
      </c>
      <c r="KS9" s="17">
        <v>3.55</v>
      </c>
      <c r="KT9" s="17">
        <v>4.4000000000000004</v>
      </c>
      <c r="KU9" s="17">
        <v>7.1</v>
      </c>
      <c r="KV9" s="17">
        <v>0</v>
      </c>
      <c r="KW9" s="17">
        <v>7.35</v>
      </c>
      <c r="KX9" s="17">
        <v>9.4499999999999993</v>
      </c>
      <c r="KY9" s="17">
        <v>12.1</v>
      </c>
      <c r="KZ9" s="17">
        <v>17.84</v>
      </c>
      <c r="LA9" s="17">
        <v>0</v>
      </c>
      <c r="LB9" s="17"/>
      <c r="LC9" s="17"/>
      <c r="LD9" s="17"/>
      <c r="LE9" s="17"/>
      <c r="LF9" s="17"/>
      <c r="LG9" s="17">
        <v>2.35</v>
      </c>
      <c r="LH9" s="17">
        <v>2.5499999999999998</v>
      </c>
      <c r="LI9" s="17">
        <v>3.4</v>
      </c>
      <c r="LJ9" s="17">
        <v>5.6</v>
      </c>
      <c r="LK9" s="17">
        <v>0</v>
      </c>
      <c r="LL9" s="41">
        <f t="shared" si="129"/>
        <v>4.4000000000000004</v>
      </c>
      <c r="LM9" s="41">
        <f t="shared" si="130"/>
        <v>7.1</v>
      </c>
      <c r="LN9" s="41">
        <f t="shared" si="131"/>
        <v>18.100000000000001</v>
      </c>
      <c r="LO9" s="41">
        <f t="shared" si="132"/>
        <v>12.1</v>
      </c>
      <c r="LP9" s="41">
        <f t="shared" si="133"/>
        <v>17.84</v>
      </c>
      <c r="LQ9" s="41">
        <f t="shared" si="134"/>
        <v>46.739999999999995</v>
      </c>
      <c r="LR9" s="41">
        <f t="shared" si="135"/>
        <v>46.739999999999995</v>
      </c>
      <c r="LS9" s="41" t="str">
        <f t="shared" si="136"/>
        <v/>
      </c>
      <c r="LT9" s="41" t="str">
        <f t="shared" si="137"/>
        <v/>
      </c>
      <c r="LU9" s="41" t="str">
        <f t="shared" si="138"/>
        <v/>
      </c>
      <c r="LV9" s="41">
        <f t="shared" si="139"/>
        <v>3.4</v>
      </c>
      <c r="LW9" s="41">
        <f t="shared" si="140"/>
        <v>5.6</v>
      </c>
      <c r="LX9" s="41">
        <f t="shared" si="141"/>
        <v>13.9</v>
      </c>
      <c r="LY9" s="41">
        <f t="shared" si="142"/>
        <v>60.639999999999993</v>
      </c>
      <c r="LZ9" s="18">
        <v>2.25</v>
      </c>
      <c r="MA9" s="18">
        <v>2.6</v>
      </c>
      <c r="MB9" s="18">
        <v>2.5</v>
      </c>
      <c r="MC9" s="18">
        <v>5.84</v>
      </c>
      <c r="MD9" s="18">
        <v>0</v>
      </c>
      <c r="ME9" s="18">
        <v>7.3</v>
      </c>
      <c r="MF9" s="18">
        <v>9.0500000000000007</v>
      </c>
      <c r="MG9" s="18">
        <v>9.5</v>
      </c>
      <c r="MH9" s="18">
        <v>19.079999999999998</v>
      </c>
      <c r="MI9" s="18">
        <v>0</v>
      </c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1">
        <f t="shared" si="143"/>
        <v>2.5</v>
      </c>
      <c r="MU9" s="11">
        <f t="shared" si="144"/>
        <v>5.84</v>
      </c>
      <c r="MV9" s="11">
        <f t="shared" si="145"/>
        <v>13.19</v>
      </c>
      <c r="MW9" s="11">
        <f t="shared" si="146"/>
        <v>9.5</v>
      </c>
      <c r="MX9" s="11">
        <f t="shared" si="147"/>
        <v>19.079999999999998</v>
      </c>
      <c r="MY9" s="11">
        <f t="shared" si="148"/>
        <v>44.93</v>
      </c>
      <c r="MZ9" s="11">
        <f t="shared" si="149"/>
        <v>44.93</v>
      </c>
      <c r="NA9" s="11" t="str">
        <f t="shared" si="150"/>
        <v/>
      </c>
      <c r="NB9" s="11" t="str">
        <f t="shared" si="151"/>
        <v/>
      </c>
      <c r="NC9" s="11" t="str">
        <f t="shared" si="152"/>
        <v/>
      </c>
      <c r="ND9" s="11" t="str">
        <f t="shared" si="153"/>
        <v/>
      </c>
      <c r="NE9" s="11" t="str">
        <f t="shared" si="154"/>
        <v/>
      </c>
      <c r="NF9" s="11" t="str">
        <f t="shared" si="155"/>
        <v/>
      </c>
      <c r="NG9" s="11">
        <f t="shared" si="156"/>
        <v>44.93</v>
      </c>
      <c r="NH9" s="17"/>
      <c r="NI9" s="17"/>
      <c r="NJ9" s="17"/>
      <c r="NK9" s="17"/>
      <c r="NL9" s="17"/>
      <c r="NM9" s="17"/>
      <c r="NN9" s="17"/>
      <c r="NO9" s="17"/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41" t="str">
        <f t="shared" si="157"/>
        <v/>
      </c>
      <c r="OC9" s="41" t="str">
        <f t="shared" si="158"/>
        <v/>
      </c>
      <c r="OD9" s="41" t="str">
        <f t="shared" si="159"/>
        <v/>
      </c>
      <c r="OE9" s="41" t="str">
        <f t="shared" si="160"/>
        <v/>
      </c>
      <c r="OF9" s="41" t="str">
        <f t="shared" si="161"/>
        <v/>
      </c>
      <c r="OG9" s="41" t="str">
        <f t="shared" si="162"/>
        <v/>
      </c>
      <c r="OH9" s="41" t="str">
        <f t="shared" si="163"/>
        <v/>
      </c>
      <c r="OI9" s="41" t="str">
        <f t="shared" si="164"/>
        <v/>
      </c>
      <c r="OJ9" s="41" t="str">
        <f t="shared" si="165"/>
        <v/>
      </c>
      <c r="OK9" s="41" t="str">
        <f t="shared" si="166"/>
        <v/>
      </c>
      <c r="OL9" s="41" t="str">
        <f t="shared" si="167"/>
        <v/>
      </c>
      <c r="OM9" s="41" t="str">
        <f t="shared" si="168"/>
        <v/>
      </c>
      <c r="ON9" s="41" t="str">
        <f t="shared" si="169"/>
        <v/>
      </c>
      <c r="OO9" s="41" t="str">
        <f t="shared" si="170"/>
        <v/>
      </c>
      <c r="OP9" s="18"/>
      <c r="OQ9" s="18"/>
      <c r="OR9" s="18"/>
      <c r="OS9" s="18"/>
      <c r="OT9" s="18"/>
      <c r="OU9" s="18"/>
      <c r="OV9" s="18"/>
      <c r="OW9" s="18"/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1" t="str">
        <f t="shared" si="171"/>
        <v/>
      </c>
      <c r="PK9" s="11" t="str">
        <f t="shared" si="172"/>
        <v/>
      </c>
      <c r="PL9" s="11" t="str">
        <f t="shared" si="173"/>
        <v/>
      </c>
      <c r="PM9" s="11" t="str">
        <f t="shared" si="174"/>
        <v/>
      </c>
      <c r="PN9" s="11" t="str">
        <f t="shared" si="175"/>
        <v/>
      </c>
      <c r="PO9" s="11" t="str">
        <f t="shared" si="176"/>
        <v/>
      </c>
      <c r="PP9" s="11" t="str">
        <f t="shared" si="177"/>
        <v/>
      </c>
      <c r="PQ9" s="11" t="str">
        <f t="shared" si="178"/>
        <v/>
      </c>
      <c r="PR9" s="11" t="str">
        <f t="shared" si="179"/>
        <v/>
      </c>
      <c r="PS9" s="11" t="str">
        <f t="shared" si="180"/>
        <v/>
      </c>
      <c r="PT9" s="11" t="str">
        <f t="shared" si="181"/>
        <v/>
      </c>
      <c r="PU9" s="11" t="str">
        <f t="shared" si="182"/>
        <v/>
      </c>
      <c r="PV9" s="11" t="str">
        <f t="shared" si="183"/>
        <v/>
      </c>
      <c r="PW9" s="11" t="str">
        <f t="shared" si="184"/>
        <v/>
      </c>
      <c r="PX9" s="17"/>
      <c r="PY9" s="17"/>
      <c r="PZ9" s="17"/>
      <c r="QA9" s="17"/>
      <c r="QB9" s="17"/>
      <c r="QC9" s="17"/>
      <c r="QD9" s="17"/>
      <c r="QE9" s="17"/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41" t="str">
        <f t="shared" si="185"/>
        <v/>
      </c>
      <c r="QS9" s="41" t="str">
        <f t="shared" si="186"/>
        <v/>
      </c>
      <c r="QT9" s="41" t="str">
        <f t="shared" si="187"/>
        <v/>
      </c>
      <c r="QU9" s="41" t="str">
        <f t="shared" si="188"/>
        <v/>
      </c>
      <c r="QV9" s="41" t="str">
        <f t="shared" si="189"/>
        <v/>
      </c>
      <c r="QW9" s="41" t="str">
        <f t="shared" si="190"/>
        <v/>
      </c>
      <c r="QX9" s="41" t="str">
        <f t="shared" si="191"/>
        <v/>
      </c>
      <c r="QY9" s="41" t="str">
        <f t="shared" si="192"/>
        <v/>
      </c>
      <c r="QZ9" s="41" t="str">
        <f t="shared" si="193"/>
        <v/>
      </c>
      <c r="RA9" s="41" t="str">
        <f t="shared" si="194"/>
        <v/>
      </c>
      <c r="RB9" s="41" t="str">
        <f t="shared" si="195"/>
        <v/>
      </c>
      <c r="RC9" s="41" t="str">
        <f t="shared" si="196"/>
        <v/>
      </c>
      <c r="RD9" s="41" t="str">
        <f t="shared" si="197"/>
        <v/>
      </c>
      <c r="RE9" s="41" t="str">
        <f t="shared" si="198"/>
        <v/>
      </c>
      <c r="RF9" s="18"/>
      <c r="RG9" s="18"/>
      <c r="RH9" s="18"/>
      <c r="RI9" s="18"/>
      <c r="RJ9" s="18"/>
      <c r="RK9" s="18"/>
      <c r="RL9" s="18"/>
      <c r="RM9" s="18"/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1" t="str">
        <f t="shared" si="199"/>
        <v/>
      </c>
      <c r="SA9" s="11" t="str">
        <f t="shared" si="200"/>
        <v/>
      </c>
      <c r="SB9" s="11" t="str">
        <f t="shared" si="201"/>
        <v/>
      </c>
      <c r="SC9" s="11" t="str">
        <f t="shared" si="202"/>
        <v/>
      </c>
      <c r="SD9" s="11" t="str">
        <f t="shared" si="203"/>
        <v/>
      </c>
      <c r="SE9" s="11" t="str">
        <f t="shared" si="204"/>
        <v/>
      </c>
      <c r="SF9" s="11" t="str">
        <f t="shared" si="205"/>
        <v/>
      </c>
      <c r="SG9" s="11" t="str">
        <f t="shared" si="206"/>
        <v/>
      </c>
      <c r="SH9" s="11" t="str">
        <f t="shared" si="207"/>
        <v/>
      </c>
      <c r="SI9" s="11" t="str">
        <f t="shared" si="208"/>
        <v/>
      </c>
      <c r="SJ9" s="11" t="str">
        <f t="shared" si="209"/>
        <v/>
      </c>
      <c r="SK9" s="11" t="str">
        <f t="shared" si="210"/>
        <v/>
      </c>
      <c r="SL9" s="11" t="str">
        <f t="shared" si="211"/>
        <v/>
      </c>
      <c r="SM9" s="11" t="str">
        <f t="shared" si="212"/>
        <v/>
      </c>
      <c r="SN9" s="23">
        <f t="shared" si="213"/>
        <v>0</v>
      </c>
      <c r="SO9" s="23">
        <f t="shared" si="214"/>
        <v>0</v>
      </c>
      <c r="SP9" s="23">
        <f t="shared" si="215"/>
        <v>0</v>
      </c>
      <c r="SQ9" s="23">
        <f t="shared" si="216"/>
        <v>0</v>
      </c>
      <c r="SR9" s="23">
        <f t="shared" si="217"/>
        <v>0</v>
      </c>
      <c r="SS9" s="23">
        <f t="shared" si="218"/>
        <v>0</v>
      </c>
      <c r="ST9" s="23">
        <f t="shared" si="219"/>
        <v>0</v>
      </c>
      <c r="SU9" s="23">
        <f t="shared" si="220"/>
        <v>0</v>
      </c>
      <c r="SV9" s="23">
        <f t="shared" si="221"/>
        <v>0</v>
      </c>
      <c r="SW9" s="23">
        <f t="shared" si="222"/>
        <v>0</v>
      </c>
      <c r="SX9" s="23">
        <f t="shared" si="223"/>
        <v>0</v>
      </c>
      <c r="SY9" s="23">
        <f t="shared" si="224"/>
        <v>0</v>
      </c>
      <c r="SZ9" s="23">
        <f t="shared" si="225"/>
        <v>0</v>
      </c>
      <c r="TA9" s="23">
        <f t="shared" si="226"/>
        <v>0</v>
      </c>
      <c r="TB9" s="23">
        <f t="shared" si="227"/>
        <v>0</v>
      </c>
      <c r="TC9" s="28" t="s">
        <v>57</v>
      </c>
      <c r="TD9" s="41" t="str">
        <f t="shared" si="228"/>
        <v/>
      </c>
      <c r="TE9" s="41" t="str">
        <f t="shared" si="229"/>
        <v/>
      </c>
      <c r="TF9" s="41" t="str">
        <f t="shared" si="230"/>
        <v/>
      </c>
      <c r="TG9" s="41" t="str">
        <f t="shared" si="231"/>
        <v/>
      </c>
      <c r="TH9" s="41" t="str">
        <f t="shared" si="232"/>
        <v/>
      </c>
      <c r="TI9" s="41" t="str">
        <f t="shared" si="233"/>
        <v/>
      </c>
      <c r="TJ9" s="41" t="str">
        <f t="shared" si="234"/>
        <v/>
      </c>
      <c r="TK9" s="41" t="str">
        <f t="shared" si="235"/>
        <v/>
      </c>
      <c r="TL9" s="41" t="str">
        <f t="shared" si="236"/>
        <v/>
      </c>
      <c r="TM9" s="41" t="str">
        <f t="shared" si="237"/>
        <v/>
      </c>
      <c r="TN9" s="41" t="str">
        <f t="shared" si="238"/>
        <v/>
      </c>
    </row>
    <row r="10" spans="1:534" x14ac:dyDescent="0.2">
      <c r="A10" s="4" cm="1">
        <f t="array" ref="A10">IF(AND(H10&lt;&gt;"",H10&lt;&gt;"No DD"),SUMPRODUCT((H$4:H$16&lt;&gt;"")*(H$4:H$16&lt;&gt;"No DD")*(E$4:E$16&gt;E10))+1,IF(H10="No DD",SUMPRODUCT((H$4:H$16="No DD")*(E$4:E$16&gt;E10))+1+SUMPRODUCT((H$4:H$16&lt;&gt;"")*(H$4:H$16&lt;&gt;"No DD")),""))</f>
        <v>7</v>
      </c>
      <c r="B10" s="5" t="s">
        <v>236</v>
      </c>
      <c r="C10" s="4" t="s">
        <v>3</v>
      </c>
      <c r="D10" s="4" t="s">
        <v>235</v>
      </c>
      <c r="E10" s="9">
        <f t="shared" si="0"/>
        <v>46.2</v>
      </c>
      <c r="F10" s="3" t="str">
        <f t="shared" si="1"/>
        <v>P</v>
      </c>
      <c r="G10" s="3" t="str">
        <f t="shared" si="2"/>
        <v>P</v>
      </c>
      <c r="H10" s="37" t="str">
        <f t="shared" si="3"/>
        <v>Worlds Team</v>
      </c>
      <c r="I10" s="3" t="str">
        <f t="shared" si="4"/>
        <v>P</v>
      </c>
      <c r="J10" s="8">
        <f>IF(COUNT(AI10,AL10,AP10,BJ10,BM10,BQ10,CK10,CN10,CR10)&gt;0,LARGE((AI10,AL10,AP10,BJ10,BM10,BQ10,CK10,CN10,CR10),1),0)</f>
        <v>0</v>
      </c>
      <c r="K10" s="8" t="str">
        <f t="shared" si="5"/>
        <v/>
      </c>
      <c r="L10" s="8">
        <f>IF(COUNT(AI10,AL10,AP10,BJ10,BM10,BQ10,CK10,CN10,CR10)&gt;1,LARGE((AI10,AL10,AP10,BJ10,BM10,BQ10,CK10,CN10,CR10),2),0)</f>
        <v>0</v>
      </c>
      <c r="M10" s="8" t="str">
        <f t="shared" si="6"/>
        <v/>
      </c>
      <c r="N10" s="8">
        <f t="shared" si="7"/>
        <v>46.2</v>
      </c>
      <c r="O10" s="11" t="str">
        <f t="shared" si="8"/>
        <v>(Prelim)</v>
      </c>
      <c r="P10" s="8" t="str">
        <f t="shared" si="9"/>
        <v>2023 World Cup USA (Aug 5)</v>
      </c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8"/>
      <c r="AG10" s="39" t="str">
        <f t="shared" si="10"/>
        <v/>
      </c>
      <c r="AH10" s="39" t="str">
        <f t="shared" si="11"/>
        <v/>
      </c>
      <c r="AI10" s="41" t="str">
        <f t="shared" si="12"/>
        <v/>
      </c>
      <c r="AJ10" s="41" t="str">
        <f t="shared" si="13"/>
        <v/>
      </c>
      <c r="AK10" s="41" t="str">
        <f t="shared" si="14"/>
        <v/>
      </c>
      <c r="AL10" s="41" t="str">
        <f t="shared" si="15"/>
        <v/>
      </c>
      <c r="AM10" s="41" t="str">
        <f t="shared" si="16"/>
        <v/>
      </c>
      <c r="AN10" s="41" t="str">
        <f t="shared" si="17"/>
        <v/>
      </c>
      <c r="AO10" s="41" t="str">
        <f t="shared" si="18"/>
        <v/>
      </c>
      <c r="AP10" s="41" t="str">
        <f t="shared" si="19"/>
        <v/>
      </c>
      <c r="AQ10" s="41" t="str">
        <f t="shared" si="20"/>
        <v/>
      </c>
      <c r="AR10" s="27"/>
      <c r="AS10" s="27"/>
      <c r="AT10" s="27"/>
      <c r="AU10" s="27"/>
      <c r="AV10" s="27"/>
      <c r="AW10" s="27"/>
      <c r="AX10" s="27"/>
      <c r="AY10" s="27"/>
      <c r="AZ10" s="27"/>
      <c r="BA10" s="27"/>
      <c r="BB10" s="27"/>
      <c r="BC10" s="27"/>
      <c r="BD10" s="27"/>
      <c r="BE10" s="27"/>
      <c r="BF10" s="27"/>
      <c r="BG10" s="29"/>
      <c r="BH10" s="40" t="str">
        <f t="shared" si="21"/>
        <v/>
      </c>
      <c r="BI10" s="40" t="str">
        <f t="shared" si="22"/>
        <v/>
      </c>
      <c r="BJ10" s="11" t="str">
        <f t="shared" si="23"/>
        <v/>
      </c>
      <c r="BK10" s="11" t="str">
        <f t="shared" si="24"/>
        <v/>
      </c>
      <c r="BL10" s="11" t="str">
        <f t="shared" si="25"/>
        <v/>
      </c>
      <c r="BM10" s="11" t="str">
        <f t="shared" si="26"/>
        <v/>
      </c>
      <c r="BN10" s="11" t="str">
        <f t="shared" si="27"/>
        <v/>
      </c>
      <c r="BO10" s="11" t="str">
        <f t="shared" si="28"/>
        <v/>
      </c>
      <c r="BP10" s="11" t="str">
        <f t="shared" si="29"/>
        <v/>
      </c>
      <c r="BQ10" s="11" t="str">
        <f t="shared" si="30"/>
        <v/>
      </c>
      <c r="BR10" s="11" t="str">
        <f t="shared" si="31"/>
        <v/>
      </c>
      <c r="BS10" s="23"/>
      <c r="BT10" s="23"/>
      <c r="BU10" s="23"/>
      <c r="BV10" s="23"/>
      <c r="BW10" s="23"/>
      <c r="BX10" s="23"/>
      <c r="BY10" s="23"/>
      <c r="BZ10" s="23"/>
      <c r="CA10" s="23"/>
      <c r="CB10" s="23"/>
      <c r="CC10" s="23"/>
      <c r="CD10" s="23"/>
      <c r="CE10" s="23"/>
      <c r="CF10" s="23"/>
      <c r="CG10" s="23"/>
      <c r="CH10" s="28"/>
      <c r="CI10" s="39" t="str">
        <f t="shared" si="32"/>
        <v/>
      </c>
      <c r="CJ10" s="39" t="str">
        <f t="shared" si="33"/>
        <v/>
      </c>
      <c r="CK10" s="41" t="str">
        <f t="shared" si="34"/>
        <v/>
      </c>
      <c r="CL10" s="41" t="str">
        <f t="shared" si="35"/>
        <v/>
      </c>
      <c r="CM10" s="41" t="str">
        <f t="shared" si="36"/>
        <v/>
      </c>
      <c r="CN10" s="41" t="str">
        <f t="shared" si="37"/>
        <v/>
      </c>
      <c r="CO10" s="41" t="str">
        <f t="shared" si="38"/>
        <v/>
      </c>
      <c r="CP10" s="41" t="str">
        <f t="shared" si="39"/>
        <v/>
      </c>
      <c r="CQ10" s="41" t="str">
        <f t="shared" si="40"/>
        <v/>
      </c>
      <c r="CR10" s="41" t="str">
        <f t="shared" si="41"/>
        <v/>
      </c>
      <c r="CS10" s="41" t="str">
        <f t="shared" si="42"/>
        <v/>
      </c>
      <c r="CT10" s="52">
        <f t="shared" si="43"/>
        <v>46.2</v>
      </c>
      <c r="CU10" s="52" t="str">
        <f t="shared" si="44"/>
        <v/>
      </c>
      <c r="CV10" s="17"/>
      <c r="CW10" s="17"/>
      <c r="CX10" s="17"/>
      <c r="CY10" s="17"/>
      <c r="CZ10" s="17"/>
      <c r="DA10" s="17"/>
      <c r="DB10" s="17"/>
      <c r="DC10" s="17"/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41" t="str">
        <f t="shared" si="45"/>
        <v/>
      </c>
      <c r="DQ10" s="41" t="str">
        <f t="shared" si="46"/>
        <v/>
      </c>
      <c r="DR10" s="41" t="str">
        <f t="shared" si="47"/>
        <v/>
      </c>
      <c r="DS10" s="41" t="str">
        <f t="shared" si="48"/>
        <v/>
      </c>
      <c r="DT10" s="41" t="str">
        <f t="shared" si="49"/>
        <v/>
      </c>
      <c r="DU10" s="41" t="str">
        <f t="shared" si="50"/>
        <v/>
      </c>
      <c r="DV10" s="41" t="str">
        <f t="shared" si="51"/>
        <v/>
      </c>
      <c r="DW10" s="41" t="str">
        <f t="shared" si="52"/>
        <v/>
      </c>
      <c r="DX10" s="41" t="str">
        <f t="shared" si="53"/>
        <v/>
      </c>
      <c r="DY10" s="41" t="str">
        <f t="shared" si="54"/>
        <v/>
      </c>
      <c r="DZ10" s="41" t="str">
        <f t="shared" si="55"/>
        <v/>
      </c>
      <c r="EA10" s="41" t="str">
        <f t="shared" si="56"/>
        <v/>
      </c>
      <c r="EB10" s="41" t="str">
        <f t="shared" si="57"/>
        <v/>
      </c>
      <c r="EC10" s="41" t="str">
        <f t="shared" si="58"/>
        <v/>
      </c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1" t="str">
        <f t="shared" si="59"/>
        <v/>
      </c>
      <c r="EY10" s="11" t="str">
        <f t="shared" si="60"/>
        <v/>
      </c>
      <c r="EZ10" s="11" t="str">
        <f t="shared" si="61"/>
        <v/>
      </c>
      <c r="FA10" s="11" t="str">
        <f t="shared" si="62"/>
        <v/>
      </c>
      <c r="FB10" s="11" t="str">
        <f t="shared" si="63"/>
        <v/>
      </c>
      <c r="FC10" s="11" t="str">
        <f t="shared" si="64"/>
        <v/>
      </c>
      <c r="FD10" s="11" t="str">
        <f t="shared" si="65"/>
        <v/>
      </c>
      <c r="FE10" s="11" t="str">
        <f t="shared" si="66"/>
        <v/>
      </c>
      <c r="FF10" s="11" t="str">
        <f t="shared" si="67"/>
        <v/>
      </c>
      <c r="FG10" s="11" t="str">
        <f t="shared" si="68"/>
        <v/>
      </c>
      <c r="FH10" s="11" t="str">
        <f t="shared" si="69"/>
        <v/>
      </c>
      <c r="FI10" s="11" t="str">
        <f t="shared" si="70"/>
        <v/>
      </c>
      <c r="FJ10" s="11" t="str">
        <f t="shared" si="71"/>
        <v/>
      </c>
      <c r="FK10" s="11" t="str">
        <f t="shared" si="72"/>
        <v/>
      </c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41" t="str">
        <f t="shared" si="73"/>
        <v/>
      </c>
      <c r="GG10" s="41" t="str">
        <f t="shared" si="74"/>
        <v/>
      </c>
      <c r="GH10" s="41" t="str">
        <f t="shared" si="75"/>
        <v/>
      </c>
      <c r="GI10" s="41" t="str">
        <f t="shared" si="76"/>
        <v/>
      </c>
      <c r="GJ10" s="41" t="str">
        <f t="shared" si="77"/>
        <v/>
      </c>
      <c r="GK10" s="41" t="str">
        <f t="shared" si="78"/>
        <v/>
      </c>
      <c r="GL10" s="41" t="str">
        <f t="shared" si="79"/>
        <v/>
      </c>
      <c r="GM10" s="41" t="str">
        <f t="shared" si="80"/>
        <v/>
      </c>
      <c r="GN10" s="41" t="str">
        <f t="shared" si="81"/>
        <v/>
      </c>
      <c r="GO10" s="41" t="str">
        <f t="shared" si="82"/>
        <v/>
      </c>
      <c r="GP10" s="41" t="str">
        <f t="shared" si="83"/>
        <v/>
      </c>
      <c r="GQ10" s="41" t="str">
        <f t="shared" si="84"/>
        <v/>
      </c>
      <c r="GR10" s="41" t="str">
        <f t="shared" si="85"/>
        <v/>
      </c>
      <c r="GS10" s="41" t="str">
        <f t="shared" si="86"/>
        <v/>
      </c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1" t="str">
        <f t="shared" si="87"/>
        <v/>
      </c>
      <c r="HO10" s="11" t="str">
        <f t="shared" si="88"/>
        <v/>
      </c>
      <c r="HP10" s="11" t="str">
        <f t="shared" si="89"/>
        <v/>
      </c>
      <c r="HQ10" s="11" t="str">
        <f t="shared" si="90"/>
        <v/>
      </c>
      <c r="HR10" s="11" t="str">
        <f t="shared" si="91"/>
        <v/>
      </c>
      <c r="HS10" s="11" t="str">
        <f t="shared" si="92"/>
        <v/>
      </c>
      <c r="HT10" s="11" t="str">
        <f t="shared" si="93"/>
        <v/>
      </c>
      <c r="HU10" s="11" t="str">
        <f t="shared" si="94"/>
        <v/>
      </c>
      <c r="HV10" s="11" t="str">
        <f t="shared" si="95"/>
        <v/>
      </c>
      <c r="HW10" s="11" t="str">
        <f t="shared" si="96"/>
        <v/>
      </c>
      <c r="HX10" s="11" t="str">
        <f t="shared" si="97"/>
        <v/>
      </c>
      <c r="HY10" s="11" t="str">
        <f t="shared" si="98"/>
        <v/>
      </c>
      <c r="HZ10" s="11" t="str">
        <f t="shared" si="99"/>
        <v/>
      </c>
      <c r="IA10" s="11" t="str">
        <f t="shared" si="100"/>
        <v/>
      </c>
      <c r="IB10" s="17"/>
      <c r="IC10" s="17"/>
      <c r="ID10" s="17"/>
      <c r="IE10" s="17"/>
      <c r="IF10" s="17"/>
      <c r="IG10" s="17"/>
      <c r="IH10" s="17"/>
      <c r="II10" s="17"/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41" t="str">
        <f t="shared" si="101"/>
        <v/>
      </c>
      <c r="IW10" s="41" t="str">
        <f t="shared" si="102"/>
        <v/>
      </c>
      <c r="IX10" s="41" t="str">
        <f t="shared" si="103"/>
        <v/>
      </c>
      <c r="IY10" s="41" t="str">
        <f t="shared" si="104"/>
        <v/>
      </c>
      <c r="IZ10" s="41" t="str">
        <f t="shared" si="105"/>
        <v/>
      </c>
      <c r="JA10" s="41" t="str">
        <f t="shared" si="106"/>
        <v/>
      </c>
      <c r="JB10" s="41" t="str">
        <f t="shared" si="107"/>
        <v/>
      </c>
      <c r="JC10" s="41" t="str">
        <f t="shared" si="108"/>
        <v/>
      </c>
      <c r="JD10" s="41" t="str">
        <f t="shared" si="109"/>
        <v/>
      </c>
      <c r="JE10" s="41" t="str">
        <f t="shared" si="110"/>
        <v/>
      </c>
      <c r="JF10" s="41" t="str">
        <f t="shared" si="111"/>
        <v/>
      </c>
      <c r="JG10" s="41" t="str">
        <f t="shared" si="112"/>
        <v/>
      </c>
      <c r="JH10" s="41" t="str">
        <f t="shared" si="113"/>
        <v/>
      </c>
      <c r="JI10" s="41" t="str">
        <f t="shared" si="114"/>
        <v/>
      </c>
      <c r="JJ10" s="18">
        <v>6.95</v>
      </c>
      <c r="JK10" s="18">
        <v>9.15</v>
      </c>
      <c r="JL10" s="18">
        <v>11.4</v>
      </c>
      <c r="JM10" s="18">
        <v>18.7</v>
      </c>
      <c r="JN10" s="18">
        <v>0</v>
      </c>
      <c r="JO10" s="18">
        <v>1.4</v>
      </c>
      <c r="JP10" s="18">
        <v>1.85</v>
      </c>
      <c r="JQ10" s="18">
        <v>2.7</v>
      </c>
      <c r="JR10" s="18">
        <v>3.56</v>
      </c>
      <c r="JS10" s="18">
        <v>0</v>
      </c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1">
        <f t="shared" si="115"/>
        <v>11.4</v>
      </c>
      <c r="KE10" s="11">
        <f t="shared" si="116"/>
        <v>18.7</v>
      </c>
      <c r="KF10" s="11">
        <f t="shared" si="117"/>
        <v>46.2</v>
      </c>
      <c r="KG10" s="11">
        <f t="shared" si="118"/>
        <v>2.7</v>
      </c>
      <c r="KH10" s="11">
        <f t="shared" si="119"/>
        <v>3.56</v>
      </c>
      <c r="KI10" s="11">
        <f t="shared" si="120"/>
        <v>9.51</v>
      </c>
      <c r="KJ10" s="11">
        <f t="shared" si="121"/>
        <v>46.2</v>
      </c>
      <c r="KK10" s="11" t="str">
        <f t="shared" si="122"/>
        <v/>
      </c>
      <c r="KL10" s="11" t="str">
        <f t="shared" si="123"/>
        <v/>
      </c>
      <c r="KM10" s="11" t="str">
        <f t="shared" si="124"/>
        <v/>
      </c>
      <c r="KN10" s="11" t="str">
        <f t="shared" si="125"/>
        <v/>
      </c>
      <c r="KO10" s="11" t="str">
        <f t="shared" si="126"/>
        <v/>
      </c>
      <c r="KP10" s="11" t="str">
        <f t="shared" si="127"/>
        <v/>
      </c>
      <c r="KQ10" s="11">
        <f t="shared" si="128"/>
        <v>46.2</v>
      </c>
      <c r="KR10" s="17"/>
      <c r="KS10" s="17"/>
      <c r="KT10" s="17"/>
      <c r="KU10" s="17"/>
      <c r="KV10" s="17"/>
      <c r="KW10" s="17"/>
      <c r="KX10" s="17"/>
      <c r="KY10" s="17"/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41" t="str">
        <f t="shared" si="129"/>
        <v/>
      </c>
      <c r="LM10" s="41" t="str">
        <f t="shared" si="130"/>
        <v/>
      </c>
      <c r="LN10" s="41" t="str">
        <f t="shared" si="131"/>
        <v/>
      </c>
      <c r="LO10" s="41" t="str">
        <f t="shared" si="132"/>
        <v/>
      </c>
      <c r="LP10" s="41" t="str">
        <f t="shared" si="133"/>
        <v/>
      </c>
      <c r="LQ10" s="41" t="str">
        <f t="shared" si="134"/>
        <v/>
      </c>
      <c r="LR10" s="41" t="str">
        <f t="shared" si="135"/>
        <v/>
      </c>
      <c r="LS10" s="41" t="str">
        <f t="shared" si="136"/>
        <v/>
      </c>
      <c r="LT10" s="41" t="str">
        <f t="shared" si="137"/>
        <v/>
      </c>
      <c r="LU10" s="41" t="str">
        <f t="shared" si="138"/>
        <v/>
      </c>
      <c r="LV10" s="41" t="str">
        <f t="shared" si="139"/>
        <v/>
      </c>
      <c r="LW10" s="41" t="str">
        <f t="shared" si="140"/>
        <v/>
      </c>
      <c r="LX10" s="41" t="str">
        <f t="shared" si="141"/>
        <v/>
      </c>
      <c r="LY10" s="41" t="str">
        <f t="shared" si="142"/>
        <v/>
      </c>
      <c r="LZ10" s="18"/>
      <c r="MA10" s="18"/>
      <c r="MB10" s="18"/>
      <c r="MC10" s="18"/>
      <c r="MD10" s="18"/>
      <c r="ME10" s="18"/>
      <c r="MF10" s="18"/>
      <c r="MG10" s="18"/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1" t="str">
        <f t="shared" si="143"/>
        <v/>
      </c>
      <c r="MU10" s="11" t="str">
        <f t="shared" si="144"/>
        <v/>
      </c>
      <c r="MV10" s="11" t="str">
        <f t="shared" si="145"/>
        <v/>
      </c>
      <c r="MW10" s="11" t="str">
        <f t="shared" si="146"/>
        <v/>
      </c>
      <c r="MX10" s="11" t="str">
        <f t="shared" si="147"/>
        <v/>
      </c>
      <c r="MY10" s="11" t="str">
        <f t="shared" si="148"/>
        <v/>
      </c>
      <c r="MZ10" s="11" t="str">
        <f t="shared" si="149"/>
        <v/>
      </c>
      <c r="NA10" s="11" t="str">
        <f t="shared" si="150"/>
        <v/>
      </c>
      <c r="NB10" s="11" t="str">
        <f t="shared" si="151"/>
        <v/>
      </c>
      <c r="NC10" s="11" t="str">
        <f t="shared" si="152"/>
        <v/>
      </c>
      <c r="ND10" s="11" t="str">
        <f t="shared" si="153"/>
        <v/>
      </c>
      <c r="NE10" s="11" t="str">
        <f t="shared" si="154"/>
        <v/>
      </c>
      <c r="NF10" s="11" t="str">
        <f t="shared" si="155"/>
        <v/>
      </c>
      <c r="NG10" s="11" t="str">
        <f t="shared" si="156"/>
        <v/>
      </c>
      <c r="NH10" s="17"/>
      <c r="NI10" s="17"/>
      <c r="NJ10" s="17"/>
      <c r="NK10" s="17"/>
      <c r="NL10" s="17"/>
      <c r="NM10" s="17"/>
      <c r="NN10" s="17"/>
      <c r="NO10" s="17"/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41" t="str">
        <f t="shared" si="157"/>
        <v/>
      </c>
      <c r="OC10" s="41" t="str">
        <f t="shared" si="158"/>
        <v/>
      </c>
      <c r="OD10" s="41" t="str">
        <f t="shared" si="159"/>
        <v/>
      </c>
      <c r="OE10" s="41" t="str">
        <f t="shared" si="160"/>
        <v/>
      </c>
      <c r="OF10" s="41" t="str">
        <f t="shared" si="161"/>
        <v/>
      </c>
      <c r="OG10" s="41" t="str">
        <f t="shared" si="162"/>
        <v/>
      </c>
      <c r="OH10" s="41" t="str">
        <f t="shared" si="163"/>
        <v/>
      </c>
      <c r="OI10" s="41" t="str">
        <f t="shared" si="164"/>
        <v/>
      </c>
      <c r="OJ10" s="41" t="str">
        <f t="shared" si="165"/>
        <v/>
      </c>
      <c r="OK10" s="41" t="str">
        <f t="shared" si="166"/>
        <v/>
      </c>
      <c r="OL10" s="41" t="str">
        <f t="shared" si="167"/>
        <v/>
      </c>
      <c r="OM10" s="41" t="str">
        <f t="shared" si="168"/>
        <v/>
      </c>
      <c r="ON10" s="41" t="str">
        <f t="shared" si="169"/>
        <v/>
      </c>
      <c r="OO10" s="41" t="str">
        <f t="shared" si="170"/>
        <v/>
      </c>
      <c r="OP10" s="18"/>
      <c r="OQ10" s="18"/>
      <c r="OR10" s="18"/>
      <c r="OS10" s="18"/>
      <c r="OT10" s="18"/>
      <c r="OU10" s="18"/>
      <c r="OV10" s="18"/>
      <c r="OW10" s="18"/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1" t="str">
        <f t="shared" si="171"/>
        <v/>
      </c>
      <c r="PK10" s="11" t="str">
        <f t="shared" si="172"/>
        <v/>
      </c>
      <c r="PL10" s="11" t="str">
        <f t="shared" si="173"/>
        <v/>
      </c>
      <c r="PM10" s="11" t="str">
        <f t="shared" si="174"/>
        <v/>
      </c>
      <c r="PN10" s="11" t="str">
        <f t="shared" si="175"/>
        <v/>
      </c>
      <c r="PO10" s="11" t="str">
        <f t="shared" si="176"/>
        <v/>
      </c>
      <c r="PP10" s="11" t="str">
        <f t="shared" si="177"/>
        <v/>
      </c>
      <c r="PQ10" s="11" t="str">
        <f t="shared" si="178"/>
        <v/>
      </c>
      <c r="PR10" s="11" t="str">
        <f t="shared" si="179"/>
        <v/>
      </c>
      <c r="PS10" s="11" t="str">
        <f t="shared" si="180"/>
        <v/>
      </c>
      <c r="PT10" s="11" t="str">
        <f t="shared" si="181"/>
        <v/>
      </c>
      <c r="PU10" s="11" t="str">
        <f t="shared" si="182"/>
        <v/>
      </c>
      <c r="PV10" s="11" t="str">
        <f t="shared" si="183"/>
        <v/>
      </c>
      <c r="PW10" s="11" t="str">
        <f t="shared" si="184"/>
        <v/>
      </c>
      <c r="PX10" s="17"/>
      <c r="PY10" s="17"/>
      <c r="PZ10" s="17"/>
      <c r="QA10" s="17"/>
      <c r="QB10" s="17"/>
      <c r="QC10" s="17"/>
      <c r="QD10" s="17"/>
      <c r="QE10" s="17"/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41" t="str">
        <f t="shared" si="185"/>
        <v/>
      </c>
      <c r="QS10" s="41" t="str">
        <f t="shared" si="186"/>
        <v/>
      </c>
      <c r="QT10" s="41" t="str">
        <f t="shared" si="187"/>
        <v/>
      </c>
      <c r="QU10" s="41" t="str">
        <f t="shared" si="188"/>
        <v/>
      </c>
      <c r="QV10" s="41" t="str">
        <f t="shared" si="189"/>
        <v/>
      </c>
      <c r="QW10" s="41" t="str">
        <f t="shared" si="190"/>
        <v/>
      </c>
      <c r="QX10" s="41" t="str">
        <f t="shared" si="191"/>
        <v/>
      </c>
      <c r="QY10" s="41" t="str">
        <f t="shared" si="192"/>
        <v/>
      </c>
      <c r="QZ10" s="41" t="str">
        <f t="shared" si="193"/>
        <v/>
      </c>
      <c r="RA10" s="41" t="str">
        <f t="shared" si="194"/>
        <v/>
      </c>
      <c r="RB10" s="41" t="str">
        <f t="shared" si="195"/>
        <v/>
      </c>
      <c r="RC10" s="41" t="str">
        <f t="shared" si="196"/>
        <v/>
      </c>
      <c r="RD10" s="41" t="str">
        <f t="shared" si="197"/>
        <v/>
      </c>
      <c r="RE10" s="41" t="str">
        <f t="shared" si="198"/>
        <v/>
      </c>
      <c r="RF10" s="18"/>
      <c r="RG10" s="18"/>
      <c r="RH10" s="18"/>
      <c r="RI10" s="18"/>
      <c r="RJ10" s="18"/>
      <c r="RK10" s="18"/>
      <c r="RL10" s="18"/>
      <c r="RM10" s="18"/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1" t="str">
        <f t="shared" si="199"/>
        <v/>
      </c>
      <c r="SA10" s="11" t="str">
        <f t="shared" si="200"/>
        <v/>
      </c>
      <c r="SB10" s="11" t="str">
        <f t="shared" si="201"/>
        <v/>
      </c>
      <c r="SC10" s="11" t="str">
        <f t="shared" si="202"/>
        <v/>
      </c>
      <c r="SD10" s="11" t="str">
        <f t="shared" si="203"/>
        <v/>
      </c>
      <c r="SE10" s="11" t="str">
        <f t="shared" si="204"/>
        <v/>
      </c>
      <c r="SF10" s="11" t="str">
        <f t="shared" si="205"/>
        <v/>
      </c>
      <c r="SG10" s="11" t="str">
        <f t="shared" si="206"/>
        <v/>
      </c>
      <c r="SH10" s="11" t="str">
        <f t="shared" si="207"/>
        <v/>
      </c>
      <c r="SI10" s="11" t="str">
        <f t="shared" si="208"/>
        <v/>
      </c>
      <c r="SJ10" s="11" t="str">
        <f t="shared" si="209"/>
        <v/>
      </c>
      <c r="SK10" s="11" t="str">
        <f t="shared" si="210"/>
        <v/>
      </c>
      <c r="SL10" s="11" t="str">
        <f t="shared" si="211"/>
        <v/>
      </c>
      <c r="SM10" s="11" t="str">
        <f t="shared" si="212"/>
        <v/>
      </c>
      <c r="SN10" s="23">
        <f t="shared" si="213"/>
        <v>0</v>
      </c>
      <c r="SO10" s="23">
        <f t="shared" si="214"/>
        <v>0</v>
      </c>
      <c r="SP10" s="23">
        <f t="shared" si="215"/>
        <v>0</v>
      </c>
      <c r="SQ10" s="23">
        <f t="shared" si="216"/>
        <v>0</v>
      </c>
      <c r="SR10" s="23">
        <f t="shared" si="217"/>
        <v>0</v>
      </c>
      <c r="SS10" s="23">
        <f t="shared" si="218"/>
        <v>0</v>
      </c>
      <c r="ST10" s="23">
        <f t="shared" si="219"/>
        <v>0</v>
      </c>
      <c r="SU10" s="23">
        <f t="shared" si="220"/>
        <v>0</v>
      </c>
      <c r="SV10" s="23">
        <f t="shared" si="221"/>
        <v>0</v>
      </c>
      <c r="SW10" s="23">
        <f t="shared" si="222"/>
        <v>0</v>
      </c>
      <c r="SX10" s="23">
        <f t="shared" si="223"/>
        <v>0</v>
      </c>
      <c r="SY10" s="23">
        <f t="shared" si="224"/>
        <v>0</v>
      </c>
      <c r="SZ10" s="23">
        <f t="shared" si="225"/>
        <v>0</v>
      </c>
      <c r="TA10" s="23">
        <f t="shared" si="226"/>
        <v>0</v>
      </c>
      <c r="TB10" s="23">
        <f t="shared" si="227"/>
        <v>0</v>
      </c>
      <c r="TC10" s="28" t="s">
        <v>57</v>
      </c>
      <c r="TD10" s="41" t="str">
        <f t="shared" si="228"/>
        <v/>
      </c>
      <c r="TE10" s="41" t="str">
        <f t="shared" si="229"/>
        <v/>
      </c>
      <c r="TF10" s="41" t="str">
        <f t="shared" si="230"/>
        <v/>
      </c>
      <c r="TG10" s="41" t="str">
        <f t="shared" si="231"/>
        <v/>
      </c>
      <c r="TH10" s="41" t="str">
        <f t="shared" si="232"/>
        <v/>
      </c>
      <c r="TI10" s="41" t="str">
        <f t="shared" si="233"/>
        <v/>
      </c>
      <c r="TJ10" s="41" t="str">
        <f t="shared" si="234"/>
        <v/>
      </c>
      <c r="TK10" s="41" t="str">
        <f t="shared" si="235"/>
        <v/>
      </c>
      <c r="TL10" s="41" t="str">
        <f t="shared" si="236"/>
        <v/>
      </c>
      <c r="TM10" s="41" t="str">
        <f t="shared" si="237"/>
        <v/>
      </c>
      <c r="TN10" s="41" t="str">
        <f t="shared" si="238"/>
        <v/>
      </c>
    </row>
    <row r="11" spans="1:534" x14ac:dyDescent="0.2">
      <c r="A11" s="4" cm="1">
        <f t="array" ref="A11">IF(AND(H11&lt;&gt;"",H11&lt;&gt;"No DD"),SUMPRODUCT((H$4:H$16&lt;&gt;"")*(H$4:H$16&lt;&gt;"No DD")*(E$4:E$16&gt;E11))+1,IF(H11="No DD",SUMPRODUCT((H$4:H$16="No DD")*(E$4:E$16&gt;E11))+1+SUMPRODUCT((H$4:H$16&lt;&gt;"")*(H$4:H$16&lt;&gt;"No DD")),""))</f>
        <v>8</v>
      </c>
      <c r="B11" s="5" t="s">
        <v>198</v>
      </c>
      <c r="C11" s="4" t="s">
        <v>3</v>
      </c>
      <c r="D11" s="4" t="s">
        <v>199</v>
      </c>
      <c r="E11" s="9">
        <f t="shared" si="0"/>
        <v>87.9</v>
      </c>
      <c r="F11" s="3" t="str">
        <f t="shared" si="1"/>
        <v/>
      </c>
      <c r="G11" s="3" t="str">
        <f t="shared" si="2"/>
        <v>P</v>
      </c>
      <c r="H11" s="37" t="str">
        <f t="shared" si="3"/>
        <v>No DD</v>
      </c>
      <c r="I11" s="3" t="str">
        <f t="shared" si="4"/>
        <v/>
      </c>
      <c r="J11" s="8">
        <f>IF(COUNT(AI11,AL11,AP11,BJ11,BM11,BQ11,CK11,CN11,CR11)&gt;0,LARGE((AI11,AL11,AP11,BJ11,BM11,BQ11,CK11,CN11,CR11),1),0)</f>
        <v>44.629999999999995</v>
      </c>
      <c r="K11" s="8" t="str">
        <f t="shared" si="5"/>
        <v>2023 Nationals</v>
      </c>
      <c r="L11" s="8">
        <f>IF(COUNT(AI11,AL11,AP11,BJ11,BM11,BQ11,CK11,CN11,CR11)&gt;1,LARGE((AI11,AL11,AP11,BJ11,BM11,BQ11,CK11,CN11,CR11),2),0)</f>
        <v>43.27</v>
      </c>
      <c r="M11" s="8" t="str">
        <f t="shared" si="6"/>
        <v>2023 Nationals</v>
      </c>
      <c r="N11" s="8" t="str">
        <f t="shared" si="7"/>
        <v/>
      </c>
      <c r="O11" s="11" t="str">
        <f t="shared" si="8"/>
        <v/>
      </c>
      <c r="P11" s="8" t="str">
        <f t="shared" si="9"/>
        <v/>
      </c>
      <c r="Q11" s="23">
        <v>7.25</v>
      </c>
      <c r="R11" s="23">
        <v>9.65</v>
      </c>
      <c r="S11" s="23">
        <v>9.6</v>
      </c>
      <c r="T11" s="23">
        <v>16.760000000000002</v>
      </c>
      <c r="U11" s="23">
        <v>0</v>
      </c>
      <c r="V11" s="23">
        <v>1.4</v>
      </c>
      <c r="W11" s="23">
        <v>1.65</v>
      </c>
      <c r="X11" s="23">
        <v>2.1</v>
      </c>
      <c r="Y11" s="23">
        <v>3.78</v>
      </c>
      <c r="Z11" s="23">
        <v>0</v>
      </c>
      <c r="AA11" s="23">
        <v>4.3</v>
      </c>
      <c r="AB11" s="23">
        <v>5.55</v>
      </c>
      <c r="AC11" s="23">
        <v>7.1</v>
      </c>
      <c r="AD11" s="23">
        <v>10.220000000000001</v>
      </c>
      <c r="AE11" s="23">
        <v>0</v>
      </c>
      <c r="AF11" s="28"/>
      <c r="AG11" s="39">
        <f t="shared" si="10"/>
        <v>9.6</v>
      </c>
      <c r="AH11" s="39">
        <f t="shared" si="11"/>
        <v>16.760000000000002</v>
      </c>
      <c r="AI11" s="41">
        <f t="shared" si="12"/>
        <v>43.260000000000005</v>
      </c>
      <c r="AJ11" s="41">
        <f t="shared" si="13"/>
        <v>2.1</v>
      </c>
      <c r="AK11" s="41">
        <f t="shared" si="14"/>
        <v>3.78</v>
      </c>
      <c r="AL11" s="41">
        <f t="shared" si="15"/>
        <v>8.93</v>
      </c>
      <c r="AM11" s="41">
        <f t="shared" si="16"/>
        <v>43.260000000000005</v>
      </c>
      <c r="AN11" s="41">
        <f t="shared" si="17"/>
        <v>7.1</v>
      </c>
      <c r="AO11" s="41">
        <f t="shared" si="18"/>
        <v>10.220000000000001</v>
      </c>
      <c r="AP11" s="41">
        <f t="shared" si="19"/>
        <v>27.17</v>
      </c>
      <c r="AQ11" s="41">
        <f t="shared" si="20"/>
        <v>70.430000000000007</v>
      </c>
      <c r="AR11" s="27">
        <v>5</v>
      </c>
      <c r="AS11" s="27">
        <v>6.6</v>
      </c>
      <c r="AT11" s="27">
        <v>6.8</v>
      </c>
      <c r="AU11" s="27">
        <v>12.6</v>
      </c>
      <c r="AV11" s="27">
        <v>0</v>
      </c>
      <c r="AW11" s="27">
        <v>7.4</v>
      </c>
      <c r="AX11" s="27">
        <v>9.65</v>
      </c>
      <c r="AY11" s="27">
        <v>9.6</v>
      </c>
      <c r="AZ11" s="27">
        <v>17.98</v>
      </c>
      <c r="BA11" s="27">
        <v>0</v>
      </c>
      <c r="BB11" s="27">
        <v>7.4</v>
      </c>
      <c r="BC11" s="27">
        <v>9.35</v>
      </c>
      <c r="BD11" s="27">
        <v>9.6</v>
      </c>
      <c r="BE11" s="27">
        <v>16.920000000000002</v>
      </c>
      <c r="BF11" s="27">
        <v>0</v>
      </c>
      <c r="BG11" s="29"/>
      <c r="BH11" s="40">
        <f t="shared" si="21"/>
        <v>6.8</v>
      </c>
      <c r="BI11" s="40">
        <f t="shared" si="22"/>
        <v>12.6</v>
      </c>
      <c r="BJ11" s="11">
        <f t="shared" si="23"/>
        <v>31</v>
      </c>
      <c r="BK11" s="11">
        <f t="shared" si="24"/>
        <v>9.6</v>
      </c>
      <c r="BL11" s="11">
        <f t="shared" si="25"/>
        <v>17.98</v>
      </c>
      <c r="BM11" s="11">
        <f t="shared" si="26"/>
        <v>44.629999999999995</v>
      </c>
      <c r="BN11" s="11">
        <f t="shared" si="27"/>
        <v>44.629999999999995</v>
      </c>
      <c r="BO11" s="11">
        <f t="shared" si="28"/>
        <v>9.6</v>
      </c>
      <c r="BP11" s="11">
        <f t="shared" si="29"/>
        <v>16.920000000000002</v>
      </c>
      <c r="BQ11" s="11">
        <f t="shared" si="30"/>
        <v>43.27</v>
      </c>
      <c r="BR11" s="11">
        <f t="shared" si="31"/>
        <v>87.9</v>
      </c>
      <c r="BS11" s="23"/>
      <c r="BT11" s="23"/>
      <c r="BU11" s="23"/>
      <c r="BV11" s="23"/>
      <c r="BW11" s="23"/>
      <c r="BX11" s="23"/>
      <c r="BY11" s="23"/>
      <c r="BZ11" s="23"/>
      <c r="CA11" s="23"/>
      <c r="CB11" s="23"/>
      <c r="CC11" s="23"/>
      <c r="CD11" s="23"/>
      <c r="CE11" s="23"/>
      <c r="CF11" s="23"/>
      <c r="CG11" s="23"/>
      <c r="CH11" s="28"/>
      <c r="CI11" s="39" t="str">
        <f t="shared" si="32"/>
        <v/>
      </c>
      <c r="CJ11" s="39" t="str">
        <f t="shared" si="33"/>
        <v/>
      </c>
      <c r="CK11" s="41" t="str">
        <f t="shared" si="34"/>
        <v/>
      </c>
      <c r="CL11" s="41" t="str">
        <f t="shared" si="35"/>
        <v/>
      </c>
      <c r="CM11" s="41" t="str">
        <f t="shared" si="36"/>
        <v/>
      </c>
      <c r="CN11" s="41" t="str">
        <f t="shared" si="37"/>
        <v/>
      </c>
      <c r="CO11" s="41" t="str">
        <f t="shared" si="38"/>
        <v/>
      </c>
      <c r="CP11" s="41" t="str">
        <f t="shared" si="39"/>
        <v/>
      </c>
      <c r="CQ11" s="41" t="str">
        <f t="shared" si="40"/>
        <v/>
      </c>
      <c r="CR11" s="41" t="str">
        <f t="shared" si="41"/>
        <v/>
      </c>
      <c r="CS11" s="41" t="str">
        <f t="shared" si="42"/>
        <v/>
      </c>
      <c r="CT11" s="52" t="str">
        <f t="shared" si="43"/>
        <v/>
      </c>
      <c r="CU11" s="52" t="str">
        <f t="shared" si="44"/>
        <v/>
      </c>
      <c r="CV11" s="17"/>
      <c r="CW11" s="17"/>
      <c r="CX11" s="17"/>
      <c r="CY11" s="17"/>
      <c r="CZ11" s="17"/>
      <c r="DA11" s="17"/>
      <c r="DB11" s="17"/>
      <c r="DC11" s="17"/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41" t="str">
        <f t="shared" si="45"/>
        <v/>
      </c>
      <c r="DQ11" s="41" t="str">
        <f t="shared" si="46"/>
        <v/>
      </c>
      <c r="DR11" s="41" t="str">
        <f t="shared" si="47"/>
        <v/>
      </c>
      <c r="DS11" s="41" t="str">
        <f t="shared" si="48"/>
        <v/>
      </c>
      <c r="DT11" s="41" t="str">
        <f t="shared" si="49"/>
        <v/>
      </c>
      <c r="DU11" s="41" t="str">
        <f t="shared" si="50"/>
        <v/>
      </c>
      <c r="DV11" s="41" t="str">
        <f t="shared" si="51"/>
        <v/>
      </c>
      <c r="DW11" s="41" t="str">
        <f t="shared" si="52"/>
        <v/>
      </c>
      <c r="DX11" s="41" t="str">
        <f t="shared" si="53"/>
        <v/>
      </c>
      <c r="DY11" s="41" t="str">
        <f t="shared" si="54"/>
        <v/>
      </c>
      <c r="DZ11" s="41" t="str">
        <f t="shared" si="55"/>
        <v/>
      </c>
      <c r="EA11" s="41" t="str">
        <f t="shared" si="56"/>
        <v/>
      </c>
      <c r="EB11" s="41" t="str">
        <f t="shared" si="57"/>
        <v/>
      </c>
      <c r="EC11" s="41" t="str">
        <f t="shared" si="58"/>
        <v/>
      </c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1" t="str">
        <f t="shared" si="59"/>
        <v/>
      </c>
      <c r="EY11" s="11" t="str">
        <f t="shared" si="60"/>
        <v/>
      </c>
      <c r="EZ11" s="11" t="str">
        <f t="shared" si="61"/>
        <v/>
      </c>
      <c r="FA11" s="11" t="str">
        <f t="shared" si="62"/>
        <v/>
      </c>
      <c r="FB11" s="11" t="str">
        <f t="shared" si="63"/>
        <v/>
      </c>
      <c r="FC11" s="11" t="str">
        <f t="shared" si="64"/>
        <v/>
      </c>
      <c r="FD11" s="11" t="str">
        <f t="shared" si="65"/>
        <v/>
      </c>
      <c r="FE11" s="11" t="str">
        <f t="shared" si="66"/>
        <v/>
      </c>
      <c r="FF11" s="11" t="str">
        <f t="shared" si="67"/>
        <v/>
      </c>
      <c r="FG11" s="11" t="str">
        <f t="shared" si="68"/>
        <v/>
      </c>
      <c r="FH11" s="11" t="str">
        <f t="shared" si="69"/>
        <v/>
      </c>
      <c r="FI11" s="11" t="str">
        <f t="shared" si="70"/>
        <v/>
      </c>
      <c r="FJ11" s="11" t="str">
        <f t="shared" si="71"/>
        <v/>
      </c>
      <c r="FK11" s="11" t="str">
        <f t="shared" si="72"/>
        <v/>
      </c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41" t="str">
        <f t="shared" si="73"/>
        <v/>
      </c>
      <c r="GG11" s="41" t="str">
        <f t="shared" si="74"/>
        <v/>
      </c>
      <c r="GH11" s="41" t="str">
        <f t="shared" si="75"/>
        <v/>
      </c>
      <c r="GI11" s="41" t="str">
        <f t="shared" si="76"/>
        <v/>
      </c>
      <c r="GJ11" s="41" t="str">
        <f t="shared" si="77"/>
        <v/>
      </c>
      <c r="GK11" s="41" t="str">
        <f t="shared" si="78"/>
        <v/>
      </c>
      <c r="GL11" s="41" t="str">
        <f t="shared" si="79"/>
        <v/>
      </c>
      <c r="GM11" s="41" t="str">
        <f t="shared" si="80"/>
        <v/>
      </c>
      <c r="GN11" s="41" t="str">
        <f t="shared" si="81"/>
        <v/>
      </c>
      <c r="GO11" s="41" t="str">
        <f t="shared" si="82"/>
        <v/>
      </c>
      <c r="GP11" s="41" t="str">
        <f t="shared" si="83"/>
        <v/>
      </c>
      <c r="GQ11" s="41" t="str">
        <f t="shared" si="84"/>
        <v/>
      </c>
      <c r="GR11" s="41" t="str">
        <f t="shared" si="85"/>
        <v/>
      </c>
      <c r="GS11" s="41" t="str">
        <f t="shared" si="86"/>
        <v/>
      </c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1" t="str">
        <f t="shared" si="87"/>
        <v/>
      </c>
      <c r="HO11" s="11" t="str">
        <f t="shared" si="88"/>
        <v/>
      </c>
      <c r="HP11" s="11" t="str">
        <f t="shared" si="89"/>
        <v/>
      </c>
      <c r="HQ11" s="11" t="str">
        <f t="shared" si="90"/>
        <v/>
      </c>
      <c r="HR11" s="11" t="str">
        <f t="shared" si="91"/>
        <v/>
      </c>
      <c r="HS11" s="11" t="str">
        <f t="shared" si="92"/>
        <v/>
      </c>
      <c r="HT11" s="11" t="str">
        <f t="shared" si="93"/>
        <v/>
      </c>
      <c r="HU11" s="11" t="str">
        <f t="shared" si="94"/>
        <v/>
      </c>
      <c r="HV11" s="11" t="str">
        <f t="shared" si="95"/>
        <v/>
      </c>
      <c r="HW11" s="11" t="str">
        <f t="shared" si="96"/>
        <v/>
      </c>
      <c r="HX11" s="11" t="str">
        <f t="shared" si="97"/>
        <v/>
      </c>
      <c r="HY11" s="11" t="str">
        <f t="shared" si="98"/>
        <v/>
      </c>
      <c r="HZ11" s="11" t="str">
        <f t="shared" si="99"/>
        <v/>
      </c>
      <c r="IA11" s="11" t="str">
        <f t="shared" si="100"/>
        <v/>
      </c>
      <c r="IB11" s="17"/>
      <c r="IC11" s="17"/>
      <c r="ID11" s="17"/>
      <c r="IE11" s="17"/>
      <c r="IF11" s="17"/>
      <c r="IG11" s="17"/>
      <c r="IH11" s="17"/>
      <c r="II11" s="17"/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41" t="str">
        <f t="shared" si="101"/>
        <v/>
      </c>
      <c r="IW11" s="41" t="str">
        <f t="shared" si="102"/>
        <v/>
      </c>
      <c r="IX11" s="41" t="str">
        <f t="shared" si="103"/>
        <v/>
      </c>
      <c r="IY11" s="41" t="str">
        <f t="shared" si="104"/>
        <v/>
      </c>
      <c r="IZ11" s="41" t="str">
        <f t="shared" si="105"/>
        <v/>
      </c>
      <c r="JA11" s="41" t="str">
        <f t="shared" si="106"/>
        <v/>
      </c>
      <c r="JB11" s="41" t="str">
        <f t="shared" si="107"/>
        <v/>
      </c>
      <c r="JC11" s="41" t="str">
        <f t="shared" si="108"/>
        <v/>
      </c>
      <c r="JD11" s="41" t="str">
        <f t="shared" si="109"/>
        <v/>
      </c>
      <c r="JE11" s="41" t="str">
        <f t="shared" si="110"/>
        <v/>
      </c>
      <c r="JF11" s="41" t="str">
        <f t="shared" si="111"/>
        <v/>
      </c>
      <c r="JG11" s="41" t="str">
        <f t="shared" si="112"/>
        <v/>
      </c>
      <c r="JH11" s="41" t="str">
        <f t="shared" si="113"/>
        <v/>
      </c>
      <c r="JI11" s="41" t="str">
        <f t="shared" si="114"/>
        <v/>
      </c>
      <c r="JJ11" s="18"/>
      <c r="JK11" s="18"/>
      <c r="JL11" s="18"/>
      <c r="JM11" s="18"/>
      <c r="JN11" s="18"/>
      <c r="JO11" s="18"/>
      <c r="JP11" s="18"/>
      <c r="JQ11" s="18"/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1" t="str">
        <f t="shared" si="115"/>
        <v/>
      </c>
      <c r="KE11" s="11" t="str">
        <f t="shared" si="116"/>
        <v/>
      </c>
      <c r="KF11" s="11" t="str">
        <f t="shared" si="117"/>
        <v/>
      </c>
      <c r="KG11" s="11" t="str">
        <f t="shared" si="118"/>
        <v/>
      </c>
      <c r="KH11" s="11" t="str">
        <f t="shared" si="119"/>
        <v/>
      </c>
      <c r="KI11" s="11" t="str">
        <f t="shared" si="120"/>
        <v/>
      </c>
      <c r="KJ11" s="11" t="str">
        <f t="shared" si="121"/>
        <v/>
      </c>
      <c r="KK11" s="11" t="str">
        <f t="shared" si="122"/>
        <v/>
      </c>
      <c r="KL11" s="11" t="str">
        <f t="shared" si="123"/>
        <v/>
      </c>
      <c r="KM11" s="11" t="str">
        <f t="shared" si="124"/>
        <v/>
      </c>
      <c r="KN11" s="11" t="str">
        <f t="shared" si="125"/>
        <v/>
      </c>
      <c r="KO11" s="11" t="str">
        <f t="shared" si="126"/>
        <v/>
      </c>
      <c r="KP11" s="11" t="str">
        <f t="shared" si="127"/>
        <v/>
      </c>
      <c r="KQ11" s="11" t="str">
        <f t="shared" si="128"/>
        <v/>
      </c>
      <c r="KR11" s="17"/>
      <c r="KS11" s="17"/>
      <c r="KT11" s="17"/>
      <c r="KU11" s="17"/>
      <c r="KV11" s="17"/>
      <c r="KW11" s="17"/>
      <c r="KX11" s="17"/>
      <c r="KY11" s="17"/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41" t="str">
        <f t="shared" si="129"/>
        <v/>
      </c>
      <c r="LM11" s="41" t="str">
        <f t="shared" si="130"/>
        <v/>
      </c>
      <c r="LN11" s="41" t="str">
        <f t="shared" si="131"/>
        <v/>
      </c>
      <c r="LO11" s="41" t="str">
        <f t="shared" si="132"/>
        <v/>
      </c>
      <c r="LP11" s="41" t="str">
        <f t="shared" si="133"/>
        <v/>
      </c>
      <c r="LQ11" s="41" t="str">
        <f t="shared" si="134"/>
        <v/>
      </c>
      <c r="LR11" s="41" t="str">
        <f t="shared" si="135"/>
        <v/>
      </c>
      <c r="LS11" s="41" t="str">
        <f t="shared" si="136"/>
        <v/>
      </c>
      <c r="LT11" s="41" t="str">
        <f t="shared" si="137"/>
        <v/>
      </c>
      <c r="LU11" s="41" t="str">
        <f t="shared" si="138"/>
        <v/>
      </c>
      <c r="LV11" s="41" t="str">
        <f t="shared" si="139"/>
        <v/>
      </c>
      <c r="LW11" s="41" t="str">
        <f t="shared" si="140"/>
        <v/>
      </c>
      <c r="LX11" s="41" t="str">
        <f t="shared" si="141"/>
        <v/>
      </c>
      <c r="LY11" s="41" t="str">
        <f t="shared" si="142"/>
        <v/>
      </c>
      <c r="LZ11" s="18"/>
      <c r="MA11" s="18"/>
      <c r="MB11" s="18"/>
      <c r="MC11" s="18"/>
      <c r="MD11" s="18"/>
      <c r="ME11" s="18"/>
      <c r="MF11" s="18"/>
      <c r="MG11" s="18"/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1" t="str">
        <f t="shared" si="143"/>
        <v/>
      </c>
      <c r="MU11" s="11" t="str">
        <f t="shared" si="144"/>
        <v/>
      </c>
      <c r="MV11" s="11" t="str">
        <f t="shared" si="145"/>
        <v/>
      </c>
      <c r="MW11" s="11" t="str">
        <f t="shared" si="146"/>
        <v/>
      </c>
      <c r="MX11" s="11" t="str">
        <f t="shared" si="147"/>
        <v/>
      </c>
      <c r="MY11" s="11" t="str">
        <f t="shared" si="148"/>
        <v/>
      </c>
      <c r="MZ11" s="11" t="str">
        <f t="shared" si="149"/>
        <v/>
      </c>
      <c r="NA11" s="11" t="str">
        <f t="shared" si="150"/>
        <v/>
      </c>
      <c r="NB11" s="11" t="str">
        <f t="shared" si="151"/>
        <v/>
      </c>
      <c r="NC11" s="11" t="str">
        <f t="shared" si="152"/>
        <v/>
      </c>
      <c r="ND11" s="11" t="str">
        <f t="shared" si="153"/>
        <v/>
      </c>
      <c r="NE11" s="11" t="str">
        <f t="shared" si="154"/>
        <v/>
      </c>
      <c r="NF11" s="11" t="str">
        <f t="shared" si="155"/>
        <v/>
      </c>
      <c r="NG11" s="11" t="str">
        <f t="shared" si="156"/>
        <v/>
      </c>
      <c r="NH11" s="17"/>
      <c r="NI11" s="17"/>
      <c r="NJ11" s="17"/>
      <c r="NK11" s="17"/>
      <c r="NL11" s="17"/>
      <c r="NM11" s="17"/>
      <c r="NN11" s="17"/>
      <c r="NO11" s="17"/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41" t="str">
        <f t="shared" si="157"/>
        <v/>
      </c>
      <c r="OC11" s="41" t="str">
        <f t="shared" si="158"/>
        <v/>
      </c>
      <c r="OD11" s="41" t="str">
        <f t="shared" si="159"/>
        <v/>
      </c>
      <c r="OE11" s="41" t="str">
        <f t="shared" si="160"/>
        <v/>
      </c>
      <c r="OF11" s="41" t="str">
        <f t="shared" si="161"/>
        <v/>
      </c>
      <c r="OG11" s="41" t="str">
        <f t="shared" si="162"/>
        <v/>
      </c>
      <c r="OH11" s="41" t="str">
        <f t="shared" si="163"/>
        <v/>
      </c>
      <c r="OI11" s="41" t="str">
        <f t="shared" si="164"/>
        <v/>
      </c>
      <c r="OJ11" s="41" t="str">
        <f t="shared" si="165"/>
        <v/>
      </c>
      <c r="OK11" s="41" t="str">
        <f t="shared" si="166"/>
        <v/>
      </c>
      <c r="OL11" s="41" t="str">
        <f t="shared" si="167"/>
        <v/>
      </c>
      <c r="OM11" s="41" t="str">
        <f t="shared" si="168"/>
        <v/>
      </c>
      <c r="ON11" s="41" t="str">
        <f t="shared" si="169"/>
        <v/>
      </c>
      <c r="OO11" s="41" t="str">
        <f t="shared" si="170"/>
        <v/>
      </c>
      <c r="OP11" s="18"/>
      <c r="OQ11" s="18"/>
      <c r="OR11" s="18"/>
      <c r="OS11" s="18"/>
      <c r="OT11" s="18"/>
      <c r="OU11" s="18"/>
      <c r="OV11" s="18"/>
      <c r="OW11" s="18"/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1" t="str">
        <f t="shared" si="171"/>
        <v/>
      </c>
      <c r="PK11" s="11" t="str">
        <f t="shared" si="172"/>
        <v/>
      </c>
      <c r="PL11" s="11" t="str">
        <f t="shared" si="173"/>
        <v/>
      </c>
      <c r="PM11" s="11" t="str">
        <f t="shared" si="174"/>
        <v/>
      </c>
      <c r="PN11" s="11" t="str">
        <f t="shared" si="175"/>
        <v/>
      </c>
      <c r="PO11" s="11" t="str">
        <f t="shared" si="176"/>
        <v/>
      </c>
      <c r="PP11" s="11" t="str">
        <f t="shared" si="177"/>
        <v/>
      </c>
      <c r="PQ11" s="11" t="str">
        <f t="shared" si="178"/>
        <v/>
      </c>
      <c r="PR11" s="11" t="str">
        <f t="shared" si="179"/>
        <v/>
      </c>
      <c r="PS11" s="11" t="str">
        <f t="shared" si="180"/>
        <v/>
      </c>
      <c r="PT11" s="11" t="str">
        <f t="shared" si="181"/>
        <v/>
      </c>
      <c r="PU11" s="11" t="str">
        <f t="shared" si="182"/>
        <v/>
      </c>
      <c r="PV11" s="11" t="str">
        <f t="shared" si="183"/>
        <v/>
      </c>
      <c r="PW11" s="11" t="str">
        <f t="shared" si="184"/>
        <v/>
      </c>
      <c r="PX11" s="17">
        <v>6.7</v>
      </c>
      <c r="PY11" s="17">
        <v>8.9499999999999993</v>
      </c>
      <c r="PZ11" s="17">
        <v>10.5</v>
      </c>
      <c r="QA11" s="17">
        <v>16.52</v>
      </c>
      <c r="QB11" s="17">
        <v>0</v>
      </c>
      <c r="QC11" s="17"/>
      <c r="QD11" s="17"/>
      <c r="QE11" s="17"/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41">
        <f t="shared" si="185"/>
        <v>10.5</v>
      </c>
      <c r="QS11" s="41">
        <f t="shared" si="186"/>
        <v>16.52</v>
      </c>
      <c r="QT11" s="41">
        <f t="shared" si="187"/>
        <v>42.67</v>
      </c>
      <c r="QU11" s="41" t="str">
        <f t="shared" si="188"/>
        <v/>
      </c>
      <c r="QV11" s="41" t="str">
        <f t="shared" si="189"/>
        <v/>
      </c>
      <c r="QW11" s="41" t="str">
        <f t="shared" si="190"/>
        <v/>
      </c>
      <c r="QX11" s="41">
        <f t="shared" si="191"/>
        <v>42.67</v>
      </c>
      <c r="QY11" s="41" t="str">
        <f t="shared" si="192"/>
        <v/>
      </c>
      <c r="QZ11" s="41" t="str">
        <f t="shared" si="193"/>
        <v/>
      </c>
      <c r="RA11" s="41" t="str">
        <f t="shared" si="194"/>
        <v/>
      </c>
      <c r="RB11" s="41" t="str">
        <f t="shared" si="195"/>
        <v/>
      </c>
      <c r="RC11" s="41" t="str">
        <f t="shared" si="196"/>
        <v/>
      </c>
      <c r="RD11" s="41" t="str">
        <f t="shared" si="197"/>
        <v/>
      </c>
      <c r="RE11" s="41">
        <f t="shared" si="198"/>
        <v>42.67</v>
      </c>
      <c r="RF11" s="18"/>
      <c r="RG11" s="18"/>
      <c r="RH11" s="18"/>
      <c r="RI11" s="18"/>
      <c r="RJ11" s="18"/>
      <c r="RK11" s="18"/>
      <c r="RL11" s="18"/>
      <c r="RM11" s="18"/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1" t="str">
        <f t="shared" si="199"/>
        <v/>
      </c>
      <c r="SA11" s="11" t="str">
        <f t="shared" si="200"/>
        <v/>
      </c>
      <c r="SB11" s="11" t="str">
        <f t="shared" si="201"/>
        <v/>
      </c>
      <c r="SC11" s="11" t="str">
        <f t="shared" si="202"/>
        <v/>
      </c>
      <c r="SD11" s="11" t="str">
        <f t="shared" si="203"/>
        <v/>
      </c>
      <c r="SE11" s="11" t="str">
        <f t="shared" si="204"/>
        <v/>
      </c>
      <c r="SF11" s="11" t="str">
        <f t="shared" si="205"/>
        <v/>
      </c>
      <c r="SG11" s="11" t="str">
        <f t="shared" si="206"/>
        <v/>
      </c>
      <c r="SH11" s="11" t="str">
        <f t="shared" si="207"/>
        <v/>
      </c>
      <c r="SI11" s="11" t="str">
        <f t="shared" si="208"/>
        <v/>
      </c>
      <c r="SJ11" s="11" t="str">
        <f t="shared" si="209"/>
        <v/>
      </c>
      <c r="SK11" s="11" t="str">
        <f t="shared" si="210"/>
        <v/>
      </c>
      <c r="SL11" s="11" t="str">
        <f t="shared" si="211"/>
        <v/>
      </c>
      <c r="SM11" s="11" t="str">
        <f t="shared" si="212"/>
        <v/>
      </c>
      <c r="SN11" s="23">
        <f t="shared" si="213"/>
        <v>2.5</v>
      </c>
      <c r="SO11" s="23">
        <f t="shared" si="214"/>
        <v>3.3</v>
      </c>
      <c r="SP11" s="23">
        <f t="shared" si="215"/>
        <v>3.4</v>
      </c>
      <c r="SQ11" s="23">
        <f t="shared" si="216"/>
        <v>6.3</v>
      </c>
      <c r="SR11" s="23">
        <f t="shared" si="217"/>
        <v>0</v>
      </c>
      <c r="SS11" s="23">
        <f t="shared" si="218"/>
        <v>3.7</v>
      </c>
      <c r="ST11" s="23">
        <f t="shared" si="219"/>
        <v>4.8250000000000002</v>
      </c>
      <c r="SU11" s="23">
        <f t="shared" si="220"/>
        <v>4.8</v>
      </c>
      <c r="SV11" s="23">
        <f t="shared" si="221"/>
        <v>8.99</v>
      </c>
      <c r="SW11" s="23">
        <f t="shared" si="222"/>
        <v>0</v>
      </c>
      <c r="SX11" s="23">
        <f t="shared" si="223"/>
        <v>3.7</v>
      </c>
      <c r="SY11" s="23">
        <f t="shared" si="224"/>
        <v>4.6749999999999998</v>
      </c>
      <c r="SZ11" s="23">
        <f t="shared" si="225"/>
        <v>4.8</v>
      </c>
      <c r="TA11" s="23">
        <f t="shared" si="226"/>
        <v>8.4600000000000009</v>
      </c>
      <c r="TB11" s="23">
        <f t="shared" si="227"/>
        <v>0</v>
      </c>
      <c r="TC11" s="28" t="s">
        <v>57</v>
      </c>
      <c r="TD11" s="41">
        <f t="shared" si="228"/>
        <v>3.4</v>
      </c>
      <c r="TE11" s="41">
        <f t="shared" si="229"/>
        <v>6.3</v>
      </c>
      <c r="TF11" s="41">
        <f t="shared" si="230"/>
        <v>15.5</v>
      </c>
      <c r="TG11" s="41">
        <f t="shared" si="231"/>
        <v>4.8</v>
      </c>
      <c r="TH11" s="41">
        <f t="shared" si="232"/>
        <v>8.99</v>
      </c>
      <c r="TI11" s="41">
        <f t="shared" si="233"/>
        <v>22.314999999999998</v>
      </c>
      <c r="TJ11" s="41">
        <f t="shared" si="234"/>
        <v>22.314999999999998</v>
      </c>
      <c r="TK11" s="41">
        <f t="shared" si="235"/>
        <v>4.8</v>
      </c>
      <c r="TL11" s="41">
        <f t="shared" si="236"/>
        <v>8.4600000000000009</v>
      </c>
      <c r="TM11" s="41">
        <f t="shared" si="237"/>
        <v>21.635000000000002</v>
      </c>
      <c r="TN11" s="41">
        <f t="shared" si="238"/>
        <v>43.95</v>
      </c>
    </row>
    <row r="12" spans="1:534" x14ac:dyDescent="0.2">
      <c r="A12" s="4" cm="1">
        <f t="array" ref="A12">IF(AND(H12&lt;&gt;"",H12&lt;&gt;"No DD"),SUMPRODUCT((H$4:H$16&lt;&gt;"")*(H$4:H$16&lt;&gt;"No DD")*(E$4:E$16&gt;E12))+1,IF(H12="No DD",SUMPRODUCT((H$4:H$16="No DD")*(E$4:E$16&gt;E12))+1+SUMPRODUCT((H$4:H$16&lt;&gt;"")*(H$4:H$16&lt;&gt;"No DD")),""))</f>
        <v>9</v>
      </c>
      <c r="B12" s="5" t="s">
        <v>162</v>
      </c>
      <c r="C12" s="4" t="s">
        <v>5</v>
      </c>
      <c r="D12" s="4" t="s">
        <v>161</v>
      </c>
      <c r="E12" s="9">
        <f t="shared" si="0"/>
        <v>87.06</v>
      </c>
      <c r="F12" s="3" t="str">
        <f t="shared" si="1"/>
        <v/>
      </c>
      <c r="G12" s="3" t="str">
        <f t="shared" si="2"/>
        <v>P</v>
      </c>
      <c r="H12" s="37" t="str">
        <f t="shared" si="3"/>
        <v>No DD</v>
      </c>
      <c r="I12" s="3" t="str">
        <f t="shared" si="4"/>
        <v/>
      </c>
      <c r="J12" s="8">
        <f>IF(COUNT(AI12,AL12,AP12,BJ12,BM12,BQ12,CK12,CN12,CR12)&gt;0,LARGE((AI12,AL12,AP12,BJ12,BM12,BQ12,CK12,CN12,CR12),1),0)</f>
        <v>44.26</v>
      </c>
      <c r="K12" s="8" t="str">
        <f t="shared" si="5"/>
        <v>2023 Nationals</v>
      </c>
      <c r="L12" s="8">
        <f>IF(COUNT(AI12,AL12,AP12,BJ12,BM12,BQ12,CK12,CN12,CR12)&gt;1,LARGE((AI12,AL12,AP12,BJ12,BM12,BQ12,CK12,CN12,CR12),2),0)</f>
        <v>42.8</v>
      </c>
      <c r="M12" s="8" t="str">
        <f t="shared" si="6"/>
        <v>2023 Nationals</v>
      </c>
      <c r="N12" s="8" t="str">
        <f t="shared" si="7"/>
        <v/>
      </c>
      <c r="O12" s="11" t="str">
        <f t="shared" si="8"/>
        <v/>
      </c>
      <c r="P12" s="8" t="str">
        <f t="shared" si="9"/>
        <v/>
      </c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8"/>
      <c r="AG12" s="39" t="str">
        <f t="shared" si="10"/>
        <v/>
      </c>
      <c r="AH12" s="39" t="str">
        <f t="shared" si="11"/>
        <v/>
      </c>
      <c r="AI12" s="41" t="str">
        <f t="shared" si="12"/>
        <v/>
      </c>
      <c r="AJ12" s="41" t="str">
        <f t="shared" si="13"/>
        <v/>
      </c>
      <c r="AK12" s="41" t="str">
        <f t="shared" si="14"/>
        <v/>
      </c>
      <c r="AL12" s="41" t="str">
        <f t="shared" si="15"/>
        <v/>
      </c>
      <c r="AM12" s="41" t="str">
        <f t="shared" si="16"/>
        <v/>
      </c>
      <c r="AN12" s="41" t="str">
        <f t="shared" si="17"/>
        <v/>
      </c>
      <c r="AO12" s="41" t="str">
        <f t="shared" si="18"/>
        <v/>
      </c>
      <c r="AP12" s="41" t="str">
        <f t="shared" si="19"/>
        <v/>
      </c>
      <c r="AQ12" s="41" t="str">
        <f t="shared" si="20"/>
        <v/>
      </c>
      <c r="AR12" s="27">
        <v>5.55</v>
      </c>
      <c r="AS12" s="27">
        <v>7.05</v>
      </c>
      <c r="AT12" s="27">
        <v>7.8</v>
      </c>
      <c r="AU12" s="27">
        <v>11.36</v>
      </c>
      <c r="AV12" s="27">
        <v>0</v>
      </c>
      <c r="AW12" s="27">
        <v>7.3</v>
      </c>
      <c r="AX12" s="27">
        <v>9.5</v>
      </c>
      <c r="AY12" s="27">
        <v>9.6</v>
      </c>
      <c r="AZ12" s="27">
        <v>17.86</v>
      </c>
      <c r="BA12" s="27">
        <v>0</v>
      </c>
      <c r="BB12" s="27">
        <v>7.8</v>
      </c>
      <c r="BC12" s="27">
        <v>9.1999999999999993</v>
      </c>
      <c r="BD12" s="27">
        <v>9.8000000000000007</v>
      </c>
      <c r="BE12" s="27">
        <v>16</v>
      </c>
      <c r="BF12" s="27">
        <v>0</v>
      </c>
      <c r="BG12" s="29"/>
      <c r="BH12" s="40">
        <f t="shared" si="21"/>
        <v>7.8</v>
      </c>
      <c r="BI12" s="40">
        <f t="shared" si="22"/>
        <v>11.36</v>
      </c>
      <c r="BJ12" s="11">
        <f t="shared" si="23"/>
        <v>31.759999999999998</v>
      </c>
      <c r="BK12" s="11">
        <f t="shared" si="24"/>
        <v>9.6</v>
      </c>
      <c r="BL12" s="11">
        <f t="shared" si="25"/>
        <v>17.86</v>
      </c>
      <c r="BM12" s="11">
        <f t="shared" si="26"/>
        <v>44.26</v>
      </c>
      <c r="BN12" s="11">
        <f t="shared" si="27"/>
        <v>44.26</v>
      </c>
      <c r="BO12" s="11">
        <f t="shared" si="28"/>
        <v>9.8000000000000007</v>
      </c>
      <c r="BP12" s="11">
        <f t="shared" si="29"/>
        <v>16</v>
      </c>
      <c r="BQ12" s="11">
        <f t="shared" si="30"/>
        <v>42.8</v>
      </c>
      <c r="BR12" s="11">
        <f t="shared" si="31"/>
        <v>87.06</v>
      </c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8"/>
      <c r="CI12" s="39" t="str">
        <f t="shared" si="32"/>
        <v/>
      </c>
      <c r="CJ12" s="39" t="str">
        <f t="shared" si="33"/>
        <v/>
      </c>
      <c r="CK12" s="41" t="str">
        <f t="shared" si="34"/>
        <v/>
      </c>
      <c r="CL12" s="41" t="str">
        <f t="shared" si="35"/>
        <v/>
      </c>
      <c r="CM12" s="41" t="str">
        <f t="shared" si="36"/>
        <v/>
      </c>
      <c r="CN12" s="41" t="str">
        <f t="shared" si="37"/>
        <v/>
      </c>
      <c r="CO12" s="41" t="str">
        <f t="shared" si="38"/>
        <v/>
      </c>
      <c r="CP12" s="41" t="str">
        <f t="shared" si="39"/>
        <v/>
      </c>
      <c r="CQ12" s="41" t="str">
        <f t="shared" si="40"/>
        <v/>
      </c>
      <c r="CR12" s="41" t="str">
        <f t="shared" si="41"/>
        <v/>
      </c>
      <c r="CS12" s="41" t="str">
        <f t="shared" si="42"/>
        <v/>
      </c>
      <c r="CT12" s="52" t="str">
        <f t="shared" si="43"/>
        <v/>
      </c>
      <c r="CU12" s="52" t="str">
        <f t="shared" si="44"/>
        <v/>
      </c>
      <c r="CV12" s="17"/>
      <c r="CW12" s="17"/>
      <c r="CX12" s="17"/>
      <c r="CY12" s="17"/>
      <c r="CZ12" s="17"/>
      <c r="DA12" s="17"/>
      <c r="DB12" s="17"/>
      <c r="DC12" s="17"/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41" t="str">
        <f t="shared" si="45"/>
        <v/>
      </c>
      <c r="DQ12" s="41" t="str">
        <f t="shared" si="46"/>
        <v/>
      </c>
      <c r="DR12" s="41" t="str">
        <f t="shared" si="47"/>
        <v/>
      </c>
      <c r="DS12" s="41" t="str">
        <f t="shared" si="48"/>
        <v/>
      </c>
      <c r="DT12" s="41" t="str">
        <f t="shared" si="49"/>
        <v/>
      </c>
      <c r="DU12" s="41" t="str">
        <f t="shared" si="50"/>
        <v/>
      </c>
      <c r="DV12" s="41" t="str">
        <f t="shared" si="51"/>
        <v/>
      </c>
      <c r="DW12" s="41" t="str">
        <f t="shared" si="52"/>
        <v/>
      </c>
      <c r="DX12" s="41" t="str">
        <f t="shared" si="53"/>
        <v/>
      </c>
      <c r="DY12" s="41" t="str">
        <f t="shared" si="54"/>
        <v/>
      </c>
      <c r="DZ12" s="41" t="str">
        <f t="shared" si="55"/>
        <v/>
      </c>
      <c r="EA12" s="41" t="str">
        <f t="shared" si="56"/>
        <v/>
      </c>
      <c r="EB12" s="41" t="str">
        <f t="shared" si="57"/>
        <v/>
      </c>
      <c r="EC12" s="41" t="str">
        <f t="shared" si="58"/>
        <v/>
      </c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1" t="str">
        <f t="shared" si="59"/>
        <v/>
      </c>
      <c r="EY12" s="11" t="str">
        <f t="shared" si="60"/>
        <v/>
      </c>
      <c r="EZ12" s="11" t="str">
        <f t="shared" si="61"/>
        <v/>
      </c>
      <c r="FA12" s="11" t="str">
        <f t="shared" si="62"/>
        <v/>
      </c>
      <c r="FB12" s="11" t="str">
        <f t="shared" si="63"/>
        <v/>
      </c>
      <c r="FC12" s="11" t="str">
        <f t="shared" si="64"/>
        <v/>
      </c>
      <c r="FD12" s="11" t="str">
        <f t="shared" si="65"/>
        <v/>
      </c>
      <c r="FE12" s="11" t="str">
        <f t="shared" si="66"/>
        <v/>
      </c>
      <c r="FF12" s="11" t="str">
        <f t="shared" si="67"/>
        <v/>
      </c>
      <c r="FG12" s="11" t="str">
        <f t="shared" si="68"/>
        <v/>
      </c>
      <c r="FH12" s="11" t="str">
        <f t="shared" si="69"/>
        <v/>
      </c>
      <c r="FI12" s="11" t="str">
        <f t="shared" si="70"/>
        <v/>
      </c>
      <c r="FJ12" s="11" t="str">
        <f t="shared" si="71"/>
        <v/>
      </c>
      <c r="FK12" s="11" t="str">
        <f t="shared" si="72"/>
        <v/>
      </c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41" t="str">
        <f t="shared" si="73"/>
        <v/>
      </c>
      <c r="GG12" s="41" t="str">
        <f t="shared" si="74"/>
        <v/>
      </c>
      <c r="GH12" s="41" t="str">
        <f t="shared" si="75"/>
        <v/>
      </c>
      <c r="GI12" s="41" t="str">
        <f t="shared" si="76"/>
        <v/>
      </c>
      <c r="GJ12" s="41" t="str">
        <f t="shared" si="77"/>
        <v/>
      </c>
      <c r="GK12" s="41" t="str">
        <f t="shared" si="78"/>
        <v/>
      </c>
      <c r="GL12" s="41" t="str">
        <f t="shared" si="79"/>
        <v/>
      </c>
      <c r="GM12" s="41" t="str">
        <f t="shared" si="80"/>
        <v/>
      </c>
      <c r="GN12" s="41" t="str">
        <f t="shared" si="81"/>
        <v/>
      </c>
      <c r="GO12" s="41" t="str">
        <f t="shared" si="82"/>
        <v/>
      </c>
      <c r="GP12" s="41" t="str">
        <f t="shared" si="83"/>
        <v/>
      </c>
      <c r="GQ12" s="41" t="str">
        <f t="shared" si="84"/>
        <v/>
      </c>
      <c r="GR12" s="41" t="str">
        <f t="shared" si="85"/>
        <v/>
      </c>
      <c r="GS12" s="41" t="str">
        <f t="shared" si="86"/>
        <v/>
      </c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1" t="str">
        <f t="shared" si="87"/>
        <v/>
      </c>
      <c r="HO12" s="11" t="str">
        <f t="shared" si="88"/>
        <v/>
      </c>
      <c r="HP12" s="11" t="str">
        <f t="shared" si="89"/>
        <v/>
      </c>
      <c r="HQ12" s="11" t="str">
        <f t="shared" si="90"/>
        <v/>
      </c>
      <c r="HR12" s="11" t="str">
        <f t="shared" si="91"/>
        <v/>
      </c>
      <c r="HS12" s="11" t="str">
        <f t="shared" si="92"/>
        <v/>
      </c>
      <c r="HT12" s="11" t="str">
        <f t="shared" si="93"/>
        <v/>
      </c>
      <c r="HU12" s="11" t="str">
        <f t="shared" si="94"/>
        <v/>
      </c>
      <c r="HV12" s="11" t="str">
        <f t="shared" si="95"/>
        <v/>
      </c>
      <c r="HW12" s="11" t="str">
        <f t="shared" si="96"/>
        <v/>
      </c>
      <c r="HX12" s="11" t="str">
        <f t="shared" si="97"/>
        <v/>
      </c>
      <c r="HY12" s="11" t="str">
        <f t="shared" si="98"/>
        <v/>
      </c>
      <c r="HZ12" s="11" t="str">
        <f t="shared" si="99"/>
        <v/>
      </c>
      <c r="IA12" s="11" t="str">
        <f t="shared" si="100"/>
        <v/>
      </c>
      <c r="IB12" s="17"/>
      <c r="IC12" s="17"/>
      <c r="ID12" s="17"/>
      <c r="IE12" s="17"/>
      <c r="IF12" s="17"/>
      <c r="IG12" s="17"/>
      <c r="IH12" s="17"/>
      <c r="II12" s="17"/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41" t="str">
        <f t="shared" si="101"/>
        <v/>
      </c>
      <c r="IW12" s="41" t="str">
        <f t="shared" si="102"/>
        <v/>
      </c>
      <c r="IX12" s="41" t="str">
        <f t="shared" si="103"/>
        <v/>
      </c>
      <c r="IY12" s="41" t="str">
        <f t="shared" si="104"/>
        <v/>
      </c>
      <c r="IZ12" s="41" t="str">
        <f t="shared" si="105"/>
        <v/>
      </c>
      <c r="JA12" s="41" t="str">
        <f t="shared" si="106"/>
        <v/>
      </c>
      <c r="JB12" s="41" t="str">
        <f t="shared" si="107"/>
        <v/>
      </c>
      <c r="JC12" s="41" t="str">
        <f t="shared" si="108"/>
        <v/>
      </c>
      <c r="JD12" s="41" t="str">
        <f t="shared" si="109"/>
        <v/>
      </c>
      <c r="JE12" s="41" t="str">
        <f t="shared" si="110"/>
        <v/>
      </c>
      <c r="JF12" s="41" t="str">
        <f t="shared" si="111"/>
        <v/>
      </c>
      <c r="JG12" s="41" t="str">
        <f t="shared" si="112"/>
        <v/>
      </c>
      <c r="JH12" s="41" t="str">
        <f t="shared" si="113"/>
        <v/>
      </c>
      <c r="JI12" s="41" t="str">
        <f t="shared" si="114"/>
        <v/>
      </c>
      <c r="JJ12" s="18"/>
      <c r="JK12" s="18"/>
      <c r="JL12" s="18"/>
      <c r="JM12" s="18"/>
      <c r="JN12" s="18"/>
      <c r="JO12" s="18"/>
      <c r="JP12" s="18"/>
      <c r="JQ12" s="18"/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1" t="str">
        <f t="shared" si="115"/>
        <v/>
      </c>
      <c r="KE12" s="11" t="str">
        <f t="shared" si="116"/>
        <v/>
      </c>
      <c r="KF12" s="11" t="str">
        <f t="shared" si="117"/>
        <v/>
      </c>
      <c r="KG12" s="11" t="str">
        <f t="shared" si="118"/>
        <v/>
      </c>
      <c r="KH12" s="11" t="str">
        <f t="shared" si="119"/>
        <v/>
      </c>
      <c r="KI12" s="11" t="str">
        <f t="shared" si="120"/>
        <v/>
      </c>
      <c r="KJ12" s="11" t="str">
        <f t="shared" si="121"/>
        <v/>
      </c>
      <c r="KK12" s="11" t="str">
        <f t="shared" si="122"/>
        <v/>
      </c>
      <c r="KL12" s="11" t="str">
        <f t="shared" si="123"/>
        <v/>
      </c>
      <c r="KM12" s="11" t="str">
        <f t="shared" si="124"/>
        <v/>
      </c>
      <c r="KN12" s="11" t="str">
        <f t="shared" si="125"/>
        <v/>
      </c>
      <c r="KO12" s="11" t="str">
        <f t="shared" si="126"/>
        <v/>
      </c>
      <c r="KP12" s="11" t="str">
        <f t="shared" si="127"/>
        <v/>
      </c>
      <c r="KQ12" s="11" t="str">
        <f t="shared" si="128"/>
        <v/>
      </c>
      <c r="KR12" s="17"/>
      <c r="KS12" s="17"/>
      <c r="KT12" s="17"/>
      <c r="KU12" s="17"/>
      <c r="KV12" s="17"/>
      <c r="KW12" s="17"/>
      <c r="KX12" s="17"/>
      <c r="KY12" s="17"/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41" t="str">
        <f t="shared" si="129"/>
        <v/>
      </c>
      <c r="LM12" s="41" t="str">
        <f t="shared" si="130"/>
        <v/>
      </c>
      <c r="LN12" s="41" t="str">
        <f t="shared" si="131"/>
        <v/>
      </c>
      <c r="LO12" s="41" t="str">
        <f t="shared" si="132"/>
        <v/>
      </c>
      <c r="LP12" s="41" t="str">
        <f t="shared" si="133"/>
        <v/>
      </c>
      <c r="LQ12" s="41" t="str">
        <f t="shared" si="134"/>
        <v/>
      </c>
      <c r="LR12" s="41" t="str">
        <f t="shared" si="135"/>
        <v/>
      </c>
      <c r="LS12" s="41" t="str">
        <f t="shared" si="136"/>
        <v/>
      </c>
      <c r="LT12" s="41" t="str">
        <f t="shared" si="137"/>
        <v/>
      </c>
      <c r="LU12" s="41" t="str">
        <f t="shared" si="138"/>
        <v/>
      </c>
      <c r="LV12" s="41" t="str">
        <f t="shared" si="139"/>
        <v/>
      </c>
      <c r="LW12" s="41" t="str">
        <f t="shared" si="140"/>
        <v/>
      </c>
      <c r="LX12" s="41" t="str">
        <f t="shared" si="141"/>
        <v/>
      </c>
      <c r="LY12" s="41" t="str">
        <f t="shared" si="142"/>
        <v/>
      </c>
      <c r="LZ12" s="18"/>
      <c r="MA12" s="18"/>
      <c r="MB12" s="18"/>
      <c r="MC12" s="18"/>
      <c r="MD12" s="18"/>
      <c r="ME12" s="18"/>
      <c r="MF12" s="18"/>
      <c r="MG12" s="18"/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1" t="str">
        <f t="shared" si="143"/>
        <v/>
      </c>
      <c r="MU12" s="11" t="str">
        <f t="shared" si="144"/>
        <v/>
      </c>
      <c r="MV12" s="11" t="str">
        <f t="shared" si="145"/>
        <v/>
      </c>
      <c r="MW12" s="11" t="str">
        <f t="shared" si="146"/>
        <v/>
      </c>
      <c r="MX12" s="11" t="str">
        <f t="shared" si="147"/>
        <v/>
      </c>
      <c r="MY12" s="11" t="str">
        <f t="shared" si="148"/>
        <v/>
      </c>
      <c r="MZ12" s="11" t="str">
        <f t="shared" si="149"/>
        <v/>
      </c>
      <c r="NA12" s="11" t="str">
        <f t="shared" si="150"/>
        <v/>
      </c>
      <c r="NB12" s="11" t="str">
        <f t="shared" si="151"/>
        <v/>
      </c>
      <c r="NC12" s="11" t="str">
        <f t="shared" si="152"/>
        <v/>
      </c>
      <c r="ND12" s="11" t="str">
        <f t="shared" si="153"/>
        <v/>
      </c>
      <c r="NE12" s="11" t="str">
        <f t="shared" si="154"/>
        <v/>
      </c>
      <c r="NF12" s="11" t="str">
        <f t="shared" si="155"/>
        <v/>
      </c>
      <c r="NG12" s="11" t="str">
        <f t="shared" si="156"/>
        <v/>
      </c>
      <c r="NH12" s="17"/>
      <c r="NI12" s="17"/>
      <c r="NJ12" s="17"/>
      <c r="NK12" s="17"/>
      <c r="NL12" s="17"/>
      <c r="NM12" s="17"/>
      <c r="NN12" s="17"/>
      <c r="NO12" s="17"/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41" t="str">
        <f t="shared" si="157"/>
        <v/>
      </c>
      <c r="OC12" s="41" t="str">
        <f t="shared" si="158"/>
        <v/>
      </c>
      <c r="OD12" s="41" t="str">
        <f t="shared" si="159"/>
        <v/>
      </c>
      <c r="OE12" s="41" t="str">
        <f t="shared" si="160"/>
        <v/>
      </c>
      <c r="OF12" s="41" t="str">
        <f t="shared" si="161"/>
        <v/>
      </c>
      <c r="OG12" s="41" t="str">
        <f t="shared" si="162"/>
        <v/>
      </c>
      <c r="OH12" s="41" t="str">
        <f t="shared" si="163"/>
        <v/>
      </c>
      <c r="OI12" s="41" t="str">
        <f t="shared" si="164"/>
        <v/>
      </c>
      <c r="OJ12" s="41" t="str">
        <f t="shared" si="165"/>
        <v/>
      </c>
      <c r="OK12" s="41" t="str">
        <f t="shared" si="166"/>
        <v/>
      </c>
      <c r="OL12" s="41" t="str">
        <f t="shared" si="167"/>
        <v/>
      </c>
      <c r="OM12" s="41" t="str">
        <f t="shared" si="168"/>
        <v/>
      </c>
      <c r="ON12" s="41" t="str">
        <f t="shared" si="169"/>
        <v/>
      </c>
      <c r="OO12" s="41" t="str">
        <f t="shared" si="170"/>
        <v/>
      </c>
      <c r="OP12" s="18"/>
      <c r="OQ12" s="18"/>
      <c r="OR12" s="18"/>
      <c r="OS12" s="18"/>
      <c r="OT12" s="18"/>
      <c r="OU12" s="18"/>
      <c r="OV12" s="18"/>
      <c r="OW12" s="18"/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1" t="str">
        <f t="shared" si="171"/>
        <v/>
      </c>
      <c r="PK12" s="11" t="str">
        <f t="shared" si="172"/>
        <v/>
      </c>
      <c r="PL12" s="11" t="str">
        <f t="shared" si="173"/>
        <v/>
      </c>
      <c r="PM12" s="11" t="str">
        <f t="shared" si="174"/>
        <v/>
      </c>
      <c r="PN12" s="11" t="str">
        <f t="shared" si="175"/>
        <v/>
      </c>
      <c r="PO12" s="11" t="str">
        <f t="shared" si="176"/>
        <v/>
      </c>
      <c r="PP12" s="11" t="str">
        <f t="shared" si="177"/>
        <v/>
      </c>
      <c r="PQ12" s="11" t="str">
        <f t="shared" si="178"/>
        <v/>
      </c>
      <c r="PR12" s="11" t="str">
        <f t="shared" si="179"/>
        <v/>
      </c>
      <c r="PS12" s="11" t="str">
        <f t="shared" si="180"/>
        <v/>
      </c>
      <c r="PT12" s="11" t="str">
        <f t="shared" si="181"/>
        <v/>
      </c>
      <c r="PU12" s="11" t="str">
        <f t="shared" si="182"/>
        <v/>
      </c>
      <c r="PV12" s="11" t="str">
        <f t="shared" si="183"/>
        <v/>
      </c>
      <c r="PW12" s="11" t="str">
        <f t="shared" si="184"/>
        <v/>
      </c>
      <c r="PX12" s="17"/>
      <c r="PY12" s="17"/>
      <c r="PZ12" s="17"/>
      <c r="QA12" s="17"/>
      <c r="QB12" s="17"/>
      <c r="QC12" s="17"/>
      <c r="QD12" s="17"/>
      <c r="QE12" s="17"/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41" t="str">
        <f t="shared" si="185"/>
        <v/>
      </c>
      <c r="QS12" s="41" t="str">
        <f t="shared" si="186"/>
        <v/>
      </c>
      <c r="QT12" s="41" t="str">
        <f t="shared" si="187"/>
        <v/>
      </c>
      <c r="QU12" s="41" t="str">
        <f t="shared" si="188"/>
        <v/>
      </c>
      <c r="QV12" s="41" t="str">
        <f t="shared" si="189"/>
        <v/>
      </c>
      <c r="QW12" s="41" t="str">
        <f t="shared" si="190"/>
        <v/>
      </c>
      <c r="QX12" s="41" t="str">
        <f t="shared" si="191"/>
        <v/>
      </c>
      <c r="QY12" s="41" t="str">
        <f t="shared" si="192"/>
        <v/>
      </c>
      <c r="QZ12" s="41" t="str">
        <f t="shared" si="193"/>
        <v/>
      </c>
      <c r="RA12" s="41" t="str">
        <f t="shared" si="194"/>
        <v/>
      </c>
      <c r="RB12" s="41" t="str">
        <f t="shared" si="195"/>
        <v/>
      </c>
      <c r="RC12" s="41" t="str">
        <f t="shared" si="196"/>
        <v/>
      </c>
      <c r="RD12" s="41" t="str">
        <f t="shared" si="197"/>
        <v/>
      </c>
      <c r="RE12" s="41" t="str">
        <f t="shared" si="198"/>
        <v/>
      </c>
      <c r="RF12" s="18"/>
      <c r="RG12" s="18"/>
      <c r="RH12" s="18"/>
      <c r="RI12" s="18"/>
      <c r="RJ12" s="18"/>
      <c r="RK12" s="18"/>
      <c r="RL12" s="18"/>
      <c r="RM12" s="18"/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1" t="str">
        <f t="shared" si="199"/>
        <v/>
      </c>
      <c r="SA12" s="11" t="str">
        <f t="shared" si="200"/>
        <v/>
      </c>
      <c r="SB12" s="11" t="str">
        <f t="shared" si="201"/>
        <v/>
      </c>
      <c r="SC12" s="11" t="str">
        <f t="shared" si="202"/>
        <v/>
      </c>
      <c r="SD12" s="11" t="str">
        <f t="shared" si="203"/>
        <v/>
      </c>
      <c r="SE12" s="11" t="str">
        <f t="shared" si="204"/>
        <v/>
      </c>
      <c r="SF12" s="11" t="str">
        <f t="shared" si="205"/>
        <v/>
      </c>
      <c r="SG12" s="11" t="str">
        <f t="shared" si="206"/>
        <v/>
      </c>
      <c r="SH12" s="11" t="str">
        <f t="shared" si="207"/>
        <v/>
      </c>
      <c r="SI12" s="11" t="str">
        <f t="shared" si="208"/>
        <v/>
      </c>
      <c r="SJ12" s="11" t="str">
        <f t="shared" si="209"/>
        <v/>
      </c>
      <c r="SK12" s="11" t="str">
        <f t="shared" si="210"/>
        <v/>
      </c>
      <c r="SL12" s="11" t="str">
        <f t="shared" si="211"/>
        <v/>
      </c>
      <c r="SM12" s="11" t="str">
        <f t="shared" si="212"/>
        <v/>
      </c>
      <c r="SN12" s="23">
        <f t="shared" si="213"/>
        <v>2.7749999999999999</v>
      </c>
      <c r="SO12" s="23">
        <f t="shared" si="214"/>
        <v>3.5249999999999999</v>
      </c>
      <c r="SP12" s="23">
        <f t="shared" si="215"/>
        <v>3.9</v>
      </c>
      <c r="SQ12" s="23">
        <f t="shared" si="216"/>
        <v>5.68</v>
      </c>
      <c r="SR12" s="23">
        <f t="shared" si="217"/>
        <v>0</v>
      </c>
      <c r="SS12" s="23">
        <f t="shared" si="218"/>
        <v>3.65</v>
      </c>
      <c r="ST12" s="23">
        <f t="shared" si="219"/>
        <v>4.75</v>
      </c>
      <c r="SU12" s="23">
        <f t="shared" si="220"/>
        <v>4.8</v>
      </c>
      <c r="SV12" s="23">
        <f t="shared" si="221"/>
        <v>8.93</v>
      </c>
      <c r="SW12" s="23">
        <f t="shared" si="222"/>
        <v>0</v>
      </c>
      <c r="SX12" s="23">
        <f t="shared" si="223"/>
        <v>3.9</v>
      </c>
      <c r="SY12" s="23">
        <f t="shared" si="224"/>
        <v>4.5999999999999996</v>
      </c>
      <c r="SZ12" s="23">
        <f t="shared" si="225"/>
        <v>4.9000000000000004</v>
      </c>
      <c r="TA12" s="23">
        <f t="shared" si="226"/>
        <v>8</v>
      </c>
      <c r="TB12" s="23">
        <f t="shared" si="227"/>
        <v>0</v>
      </c>
      <c r="TC12" s="28" t="s">
        <v>57</v>
      </c>
      <c r="TD12" s="41">
        <f t="shared" si="228"/>
        <v>3.9</v>
      </c>
      <c r="TE12" s="41">
        <f t="shared" si="229"/>
        <v>5.68</v>
      </c>
      <c r="TF12" s="41">
        <f t="shared" si="230"/>
        <v>15.879999999999999</v>
      </c>
      <c r="TG12" s="41">
        <f t="shared" si="231"/>
        <v>4.8</v>
      </c>
      <c r="TH12" s="41">
        <f t="shared" si="232"/>
        <v>8.93</v>
      </c>
      <c r="TI12" s="41">
        <f t="shared" si="233"/>
        <v>22.13</v>
      </c>
      <c r="TJ12" s="41">
        <f t="shared" si="234"/>
        <v>22.13</v>
      </c>
      <c r="TK12" s="41">
        <f t="shared" si="235"/>
        <v>4.9000000000000004</v>
      </c>
      <c r="TL12" s="41">
        <f t="shared" si="236"/>
        <v>8</v>
      </c>
      <c r="TM12" s="41">
        <f t="shared" si="237"/>
        <v>21.4</v>
      </c>
      <c r="TN12" s="41">
        <f t="shared" si="238"/>
        <v>43.53</v>
      </c>
    </row>
    <row r="13" spans="1:534" x14ac:dyDescent="0.2">
      <c r="A13" s="4" t="str" cm="1">
        <f t="array" ref="A13">IF(AND(H13&lt;&gt;"",H13&lt;&gt;"No DD"),SUMPRODUCT((H$4:H$16&lt;&gt;"")*(H$4:H$16&lt;&gt;"No DD")*(E$4:E$16&gt;E13))+1,IF(H13="No DD",SUMPRODUCT((H$4:H$16="No DD")*(E$4:E$16&gt;E13))+1+SUMPRODUCT((H$4:H$16&lt;&gt;"")*(H$4:H$16&lt;&gt;"No DD")),""))</f>
        <v/>
      </c>
      <c r="B13" s="5" t="s">
        <v>228</v>
      </c>
      <c r="C13" s="4" t="s">
        <v>8</v>
      </c>
      <c r="D13" s="4" t="s">
        <v>227</v>
      </c>
      <c r="E13" s="9">
        <f t="shared" si="0"/>
        <v>86.37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IF(COUNT(AI13,AL13,AP13,BJ13,BM13,BQ13,CK13,CN13,CR13)&gt;0,LARGE((AI13,AL13,AP13,BJ13,BM13,BQ13,CK13,CN13,CR13),1),0)</f>
        <v>43.54</v>
      </c>
      <c r="K13" s="8" t="str">
        <f t="shared" si="5"/>
        <v>2023 Nationals</v>
      </c>
      <c r="L13" s="8">
        <f>IF(COUNT(AI13,AL13,AP13,BJ13,BM13,BQ13,CK13,CN13,CR13)&gt;1,LARGE((AI13,AL13,AP13,BJ13,BM13,BQ13,CK13,CN13,CR13),2),0)</f>
        <v>40.260000000000005</v>
      </c>
      <c r="M13" s="8" t="str">
        <f t="shared" si="6"/>
        <v>2023 Nationals</v>
      </c>
      <c r="N13" s="8">
        <f t="shared" si="7"/>
        <v>2.5699999999999932</v>
      </c>
      <c r="O13" s="11" t="str">
        <f t="shared" si="8"/>
        <v>(Prelim)</v>
      </c>
      <c r="P13" s="8" t="str">
        <f t="shared" si="9"/>
        <v>2023 WAGC (Nov 16)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8"/>
      <c r="AG13" s="39" t="str">
        <f t="shared" si="10"/>
        <v/>
      </c>
      <c r="AH13" s="39" t="str">
        <f t="shared" si="11"/>
        <v/>
      </c>
      <c r="AI13" s="41" t="str">
        <f t="shared" si="12"/>
        <v/>
      </c>
      <c r="AJ13" s="41" t="str">
        <f t="shared" si="13"/>
        <v/>
      </c>
      <c r="AK13" s="41" t="str">
        <f t="shared" si="14"/>
        <v/>
      </c>
      <c r="AL13" s="41" t="str">
        <f t="shared" si="15"/>
        <v/>
      </c>
      <c r="AM13" s="41" t="str">
        <f t="shared" si="16"/>
        <v/>
      </c>
      <c r="AN13" s="41" t="str">
        <f t="shared" si="17"/>
        <v/>
      </c>
      <c r="AO13" s="41" t="str">
        <f t="shared" si="18"/>
        <v/>
      </c>
      <c r="AP13" s="41" t="str">
        <f t="shared" si="19"/>
        <v/>
      </c>
      <c r="AQ13" s="41" t="str">
        <f t="shared" si="20"/>
        <v/>
      </c>
      <c r="AR13" s="27">
        <v>7.7</v>
      </c>
      <c r="AS13" s="27">
        <v>9.1999999999999993</v>
      </c>
      <c r="AT13" s="27">
        <v>9</v>
      </c>
      <c r="AU13" s="27">
        <v>17.64</v>
      </c>
      <c r="AV13" s="27">
        <v>0</v>
      </c>
      <c r="AW13" s="27">
        <v>7.45</v>
      </c>
      <c r="AX13" s="27">
        <v>9.35</v>
      </c>
      <c r="AY13" s="27">
        <v>9</v>
      </c>
      <c r="AZ13" s="27">
        <v>14.46</v>
      </c>
      <c r="BA13" s="27">
        <v>0</v>
      </c>
      <c r="BB13" s="27">
        <v>4.9000000000000004</v>
      </c>
      <c r="BC13" s="27">
        <v>5.6</v>
      </c>
      <c r="BD13" s="27">
        <v>5.8</v>
      </c>
      <c r="BE13" s="27">
        <v>9.8800000000000008</v>
      </c>
      <c r="BF13" s="27">
        <v>0</v>
      </c>
      <c r="BG13" s="29"/>
      <c r="BH13" s="40">
        <f t="shared" si="21"/>
        <v>9</v>
      </c>
      <c r="BI13" s="40">
        <f t="shared" si="22"/>
        <v>17.64</v>
      </c>
      <c r="BJ13" s="11">
        <f t="shared" si="23"/>
        <v>43.54</v>
      </c>
      <c r="BK13" s="11">
        <f t="shared" si="24"/>
        <v>9</v>
      </c>
      <c r="BL13" s="11">
        <f t="shared" si="25"/>
        <v>14.46</v>
      </c>
      <c r="BM13" s="11">
        <f t="shared" si="26"/>
        <v>40.260000000000005</v>
      </c>
      <c r="BN13" s="11">
        <f t="shared" si="27"/>
        <v>43.54</v>
      </c>
      <c r="BO13" s="11">
        <f t="shared" si="28"/>
        <v>5.8</v>
      </c>
      <c r="BP13" s="11">
        <f t="shared" si="29"/>
        <v>9.8800000000000008</v>
      </c>
      <c r="BQ13" s="11">
        <f t="shared" si="30"/>
        <v>26.18</v>
      </c>
      <c r="BR13" s="11">
        <f t="shared" si="31"/>
        <v>69.72</v>
      </c>
      <c r="BS13" s="23"/>
      <c r="BT13" s="23"/>
      <c r="BU13" s="23"/>
      <c r="BV13" s="23"/>
      <c r="BW13" s="23"/>
      <c r="BX13" s="23"/>
      <c r="BY13" s="23"/>
      <c r="BZ13" s="23"/>
      <c r="CA13" s="23"/>
      <c r="CB13" s="23"/>
      <c r="CC13" s="23"/>
      <c r="CD13" s="23"/>
      <c r="CE13" s="23"/>
      <c r="CF13" s="23"/>
      <c r="CG13" s="23"/>
      <c r="CH13" s="28"/>
      <c r="CI13" s="39" t="str">
        <f t="shared" si="32"/>
        <v/>
      </c>
      <c r="CJ13" s="39" t="str">
        <f t="shared" si="33"/>
        <v/>
      </c>
      <c r="CK13" s="41" t="str">
        <f t="shared" si="34"/>
        <v/>
      </c>
      <c r="CL13" s="41" t="str">
        <f t="shared" si="35"/>
        <v/>
      </c>
      <c r="CM13" s="41" t="str">
        <f t="shared" si="36"/>
        <v/>
      </c>
      <c r="CN13" s="41" t="str">
        <f t="shared" si="37"/>
        <v/>
      </c>
      <c r="CO13" s="41" t="str">
        <f t="shared" si="38"/>
        <v/>
      </c>
      <c r="CP13" s="41" t="str">
        <f t="shared" si="39"/>
        <v/>
      </c>
      <c r="CQ13" s="41" t="str">
        <f t="shared" si="40"/>
        <v/>
      </c>
      <c r="CR13" s="41" t="str">
        <f t="shared" si="41"/>
        <v/>
      </c>
      <c r="CS13" s="41" t="str">
        <f t="shared" si="42"/>
        <v/>
      </c>
      <c r="CT13" s="52">
        <f t="shared" si="43"/>
        <v>2.5699999999999932</v>
      </c>
      <c r="CU13" s="52" t="str">
        <f t="shared" si="44"/>
        <v/>
      </c>
      <c r="CV13" s="17"/>
      <c r="CW13" s="17"/>
      <c r="CX13" s="17"/>
      <c r="CY13" s="17"/>
      <c r="CZ13" s="17"/>
      <c r="DA13" s="17"/>
      <c r="DB13" s="17"/>
      <c r="DC13" s="17"/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41" t="str">
        <f t="shared" si="45"/>
        <v/>
      </c>
      <c r="DQ13" s="41" t="str">
        <f t="shared" si="46"/>
        <v/>
      </c>
      <c r="DR13" s="41" t="str">
        <f t="shared" si="47"/>
        <v/>
      </c>
      <c r="DS13" s="41" t="str">
        <f t="shared" si="48"/>
        <v/>
      </c>
      <c r="DT13" s="41" t="str">
        <f t="shared" si="49"/>
        <v/>
      </c>
      <c r="DU13" s="41" t="str">
        <f t="shared" si="50"/>
        <v/>
      </c>
      <c r="DV13" s="41" t="str">
        <f t="shared" si="51"/>
        <v/>
      </c>
      <c r="DW13" s="41" t="str">
        <f t="shared" si="52"/>
        <v/>
      </c>
      <c r="DX13" s="41" t="str">
        <f t="shared" si="53"/>
        <v/>
      </c>
      <c r="DY13" s="41" t="str">
        <f t="shared" si="54"/>
        <v/>
      </c>
      <c r="DZ13" s="41" t="str">
        <f t="shared" si="55"/>
        <v/>
      </c>
      <c r="EA13" s="41" t="str">
        <f t="shared" si="56"/>
        <v/>
      </c>
      <c r="EB13" s="41" t="str">
        <f t="shared" si="57"/>
        <v/>
      </c>
      <c r="EC13" s="41" t="str">
        <f t="shared" si="58"/>
        <v/>
      </c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1" t="str">
        <f t="shared" si="59"/>
        <v/>
      </c>
      <c r="EY13" s="11" t="str">
        <f t="shared" si="60"/>
        <v/>
      </c>
      <c r="EZ13" s="11" t="str">
        <f t="shared" si="61"/>
        <v/>
      </c>
      <c r="FA13" s="11" t="str">
        <f t="shared" si="62"/>
        <v/>
      </c>
      <c r="FB13" s="11" t="str">
        <f t="shared" si="63"/>
        <v/>
      </c>
      <c r="FC13" s="11" t="str">
        <f t="shared" si="64"/>
        <v/>
      </c>
      <c r="FD13" s="11" t="str">
        <f t="shared" si="65"/>
        <v/>
      </c>
      <c r="FE13" s="11" t="str">
        <f t="shared" si="66"/>
        <v/>
      </c>
      <c r="FF13" s="11" t="str">
        <f t="shared" si="67"/>
        <v/>
      </c>
      <c r="FG13" s="11" t="str">
        <f t="shared" si="68"/>
        <v/>
      </c>
      <c r="FH13" s="11" t="str">
        <f t="shared" si="69"/>
        <v/>
      </c>
      <c r="FI13" s="11" t="str">
        <f t="shared" si="70"/>
        <v/>
      </c>
      <c r="FJ13" s="11" t="str">
        <f t="shared" si="71"/>
        <v/>
      </c>
      <c r="FK13" s="11" t="str">
        <f t="shared" si="72"/>
        <v/>
      </c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41" t="str">
        <f t="shared" si="73"/>
        <v/>
      </c>
      <c r="GG13" s="41" t="str">
        <f t="shared" si="74"/>
        <v/>
      </c>
      <c r="GH13" s="41" t="str">
        <f t="shared" si="75"/>
        <v/>
      </c>
      <c r="GI13" s="41" t="str">
        <f t="shared" si="76"/>
        <v/>
      </c>
      <c r="GJ13" s="41" t="str">
        <f t="shared" si="77"/>
        <v/>
      </c>
      <c r="GK13" s="41" t="str">
        <f t="shared" si="78"/>
        <v/>
      </c>
      <c r="GL13" s="41" t="str">
        <f t="shared" si="79"/>
        <v/>
      </c>
      <c r="GM13" s="41" t="str">
        <f t="shared" si="80"/>
        <v/>
      </c>
      <c r="GN13" s="41" t="str">
        <f t="shared" si="81"/>
        <v/>
      </c>
      <c r="GO13" s="41" t="str">
        <f t="shared" si="82"/>
        <v/>
      </c>
      <c r="GP13" s="41" t="str">
        <f t="shared" si="83"/>
        <v/>
      </c>
      <c r="GQ13" s="41" t="str">
        <f t="shared" si="84"/>
        <v/>
      </c>
      <c r="GR13" s="41" t="str">
        <f t="shared" si="85"/>
        <v/>
      </c>
      <c r="GS13" s="41" t="str">
        <f t="shared" si="86"/>
        <v/>
      </c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1" t="str">
        <f t="shared" si="87"/>
        <v/>
      </c>
      <c r="HO13" s="11" t="str">
        <f t="shared" si="88"/>
        <v/>
      </c>
      <c r="HP13" s="11" t="str">
        <f t="shared" si="89"/>
        <v/>
      </c>
      <c r="HQ13" s="11" t="str">
        <f t="shared" si="90"/>
        <v/>
      </c>
      <c r="HR13" s="11" t="str">
        <f t="shared" si="91"/>
        <v/>
      </c>
      <c r="HS13" s="11" t="str">
        <f t="shared" si="92"/>
        <v/>
      </c>
      <c r="HT13" s="11" t="str">
        <f t="shared" si="93"/>
        <v/>
      </c>
      <c r="HU13" s="11" t="str">
        <f t="shared" si="94"/>
        <v/>
      </c>
      <c r="HV13" s="11" t="str">
        <f t="shared" si="95"/>
        <v/>
      </c>
      <c r="HW13" s="11" t="str">
        <f t="shared" si="96"/>
        <v/>
      </c>
      <c r="HX13" s="11" t="str">
        <f t="shared" si="97"/>
        <v/>
      </c>
      <c r="HY13" s="11" t="str">
        <f t="shared" si="98"/>
        <v/>
      </c>
      <c r="HZ13" s="11" t="str">
        <f t="shared" si="99"/>
        <v/>
      </c>
      <c r="IA13" s="11" t="str">
        <f t="shared" si="100"/>
        <v/>
      </c>
      <c r="IB13" s="17"/>
      <c r="IC13" s="17"/>
      <c r="ID13" s="17"/>
      <c r="IE13" s="17"/>
      <c r="IF13" s="17"/>
      <c r="IG13" s="17"/>
      <c r="IH13" s="17"/>
      <c r="II13" s="17"/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41" t="str">
        <f t="shared" si="101"/>
        <v/>
      </c>
      <c r="IW13" s="41" t="str">
        <f t="shared" si="102"/>
        <v/>
      </c>
      <c r="IX13" s="41" t="str">
        <f t="shared" si="103"/>
        <v/>
      </c>
      <c r="IY13" s="41" t="str">
        <f t="shared" si="104"/>
        <v/>
      </c>
      <c r="IZ13" s="41" t="str">
        <f t="shared" si="105"/>
        <v/>
      </c>
      <c r="JA13" s="41" t="str">
        <f t="shared" si="106"/>
        <v/>
      </c>
      <c r="JB13" s="41" t="str">
        <f t="shared" si="107"/>
        <v/>
      </c>
      <c r="JC13" s="41" t="str">
        <f t="shared" si="108"/>
        <v/>
      </c>
      <c r="JD13" s="41" t="str">
        <f t="shared" si="109"/>
        <v/>
      </c>
      <c r="JE13" s="41" t="str">
        <f t="shared" si="110"/>
        <v/>
      </c>
      <c r="JF13" s="41" t="str">
        <f t="shared" si="111"/>
        <v/>
      </c>
      <c r="JG13" s="41" t="str">
        <f t="shared" si="112"/>
        <v/>
      </c>
      <c r="JH13" s="41" t="str">
        <f t="shared" si="113"/>
        <v/>
      </c>
      <c r="JI13" s="41" t="str">
        <f t="shared" si="114"/>
        <v/>
      </c>
      <c r="JJ13" s="18"/>
      <c r="JK13" s="18"/>
      <c r="JL13" s="18"/>
      <c r="JM13" s="18"/>
      <c r="JN13" s="18"/>
      <c r="JO13" s="18"/>
      <c r="JP13" s="18"/>
      <c r="JQ13" s="18"/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1" t="str">
        <f t="shared" si="115"/>
        <v/>
      </c>
      <c r="KE13" s="11" t="str">
        <f t="shared" si="116"/>
        <v/>
      </c>
      <c r="KF13" s="11" t="str">
        <f t="shared" si="117"/>
        <v/>
      </c>
      <c r="KG13" s="11" t="str">
        <f t="shared" si="118"/>
        <v/>
      </c>
      <c r="KH13" s="11" t="str">
        <f t="shared" si="119"/>
        <v/>
      </c>
      <c r="KI13" s="11" t="str">
        <f t="shared" si="120"/>
        <v/>
      </c>
      <c r="KJ13" s="11" t="str">
        <f t="shared" si="121"/>
        <v/>
      </c>
      <c r="KK13" s="11" t="str">
        <f t="shared" si="122"/>
        <v/>
      </c>
      <c r="KL13" s="11" t="str">
        <f t="shared" si="123"/>
        <v/>
      </c>
      <c r="KM13" s="11" t="str">
        <f t="shared" si="124"/>
        <v/>
      </c>
      <c r="KN13" s="11" t="str">
        <f t="shared" si="125"/>
        <v/>
      </c>
      <c r="KO13" s="11" t="str">
        <f t="shared" si="126"/>
        <v/>
      </c>
      <c r="KP13" s="11" t="str">
        <f t="shared" si="127"/>
        <v/>
      </c>
      <c r="KQ13" s="11" t="str">
        <f t="shared" si="128"/>
        <v/>
      </c>
      <c r="KR13" s="17"/>
      <c r="KS13" s="17"/>
      <c r="KT13" s="17"/>
      <c r="KU13" s="17"/>
      <c r="KV13" s="17"/>
      <c r="KW13" s="17"/>
      <c r="KX13" s="17"/>
      <c r="KY13" s="17"/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41" t="str">
        <f t="shared" si="129"/>
        <v/>
      </c>
      <c r="LM13" s="41" t="str">
        <f t="shared" si="130"/>
        <v/>
      </c>
      <c r="LN13" s="41" t="str">
        <f t="shared" si="131"/>
        <v/>
      </c>
      <c r="LO13" s="41" t="str">
        <f t="shared" si="132"/>
        <v/>
      </c>
      <c r="LP13" s="41" t="str">
        <f t="shared" si="133"/>
        <v/>
      </c>
      <c r="LQ13" s="41" t="str">
        <f t="shared" si="134"/>
        <v/>
      </c>
      <c r="LR13" s="41" t="str">
        <f t="shared" si="135"/>
        <v/>
      </c>
      <c r="LS13" s="41" t="str">
        <f t="shared" si="136"/>
        <v/>
      </c>
      <c r="LT13" s="41" t="str">
        <f t="shared" si="137"/>
        <v/>
      </c>
      <c r="LU13" s="41" t="str">
        <f t="shared" si="138"/>
        <v/>
      </c>
      <c r="LV13" s="41" t="str">
        <f t="shared" si="139"/>
        <v/>
      </c>
      <c r="LW13" s="41" t="str">
        <f t="shared" si="140"/>
        <v/>
      </c>
      <c r="LX13" s="41" t="str">
        <f t="shared" si="141"/>
        <v/>
      </c>
      <c r="LY13" s="41" t="str">
        <f t="shared" si="142"/>
        <v/>
      </c>
      <c r="LZ13" s="18"/>
      <c r="MA13" s="18"/>
      <c r="MB13" s="18"/>
      <c r="MC13" s="18"/>
      <c r="MD13" s="18"/>
      <c r="ME13" s="18"/>
      <c r="MF13" s="18"/>
      <c r="MG13" s="18"/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1" t="str">
        <f t="shared" si="143"/>
        <v/>
      </c>
      <c r="MU13" s="11" t="str">
        <f t="shared" si="144"/>
        <v/>
      </c>
      <c r="MV13" s="11" t="str">
        <f t="shared" si="145"/>
        <v/>
      </c>
      <c r="MW13" s="11" t="str">
        <f t="shared" si="146"/>
        <v/>
      </c>
      <c r="MX13" s="11" t="str">
        <f t="shared" si="147"/>
        <v/>
      </c>
      <c r="MY13" s="11" t="str">
        <f t="shared" si="148"/>
        <v/>
      </c>
      <c r="MZ13" s="11" t="str">
        <f t="shared" si="149"/>
        <v/>
      </c>
      <c r="NA13" s="11" t="str">
        <f t="shared" si="150"/>
        <v/>
      </c>
      <c r="NB13" s="11" t="str">
        <f t="shared" si="151"/>
        <v/>
      </c>
      <c r="NC13" s="11" t="str">
        <f t="shared" si="152"/>
        <v/>
      </c>
      <c r="ND13" s="11" t="str">
        <f t="shared" si="153"/>
        <v/>
      </c>
      <c r="NE13" s="11" t="str">
        <f t="shared" si="154"/>
        <v/>
      </c>
      <c r="NF13" s="11" t="str">
        <f t="shared" si="155"/>
        <v/>
      </c>
      <c r="NG13" s="11" t="str">
        <f t="shared" si="156"/>
        <v/>
      </c>
      <c r="NH13" s="17"/>
      <c r="NI13" s="17"/>
      <c r="NJ13" s="17"/>
      <c r="NK13" s="17"/>
      <c r="NL13" s="17"/>
      <c r="NM13" s="17"/>
      <c r="NN13" s="17"/>
      <c r="NO13" s="17"/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41" t="str">
        <f t="shared" si="157"/>
        <v/>
      </c>
      <c r="OC13" s="41" t="str">
        <f t="shared" si="158"/>
        <v/>
      </c>
      <c r="OD13" s="41" t="str">
        <f t="shared" si="159"/>
        <v/>
      </c>
      <c r="OE13" s="41" t="str">
        <f t="shared" si="160"/>
        <v/>
      </c>
      <c r="OF13" s="41" t="str">
        <f t="shared" si="161"/>
        <v/>
      </c>
      <c r="OG13" s="41" t="str">
        <f t="shared" si="162"/>
        <v/>
      </c>
      <c r="OH13" s="41" t="str">
        <f t="shared" si="163"/>
        <v/>
      </c>
      <c r="OI13" s="41" t="str">
        <f t="shared" si="164"/>
        <v/>
      </c>
      <c r="OJ13" s="41" t="str">
        <f t="shared" si="165"/>
        <v/>
      </c>
      <c r="OK13" s="41" t="str">
        <f t="shared" si="166"/>
        <v/>
      </c>
      <c r="OL13" s="41" t="str">
        <f t="shared" si="167"/>
        <v/>
      </c>
      <c r="OM13" s="41" t="str">
        <f t="shared" si="168"/>
        <v/>
      </c>
      <c r="ON13" s="41" t="str">
        <f t="shared" si="169"/>
        <v/>
      </c>
      <c r="OO13" s="41" t="str">
        <f t="shared" si="170"/>
        <v/>
      </c>
      <c r="OP13" s="18"/>
      <c r="OQ13" s="18"/>
      <c r="OR13" s="18"/>
      <c r="OS13" s="18"/>
      <c r="OT13" s="18"/>
      <c r="OU13" s="18"/>
      <c r="OV13" s="18"/>
      <c r="OW13" s="18"/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1" t="str">
        <f t="shared" si="171"/>
        <v/>
      </c>
      <c r="PK13" s="11" t="str">
        <f t="shared" si="172"/>
        <v/>
      </c>
      <c r="PL13" s="11" t="str">
        <f t="shared" si="173"/>
        <v/>
      </c>
      <c r="PM13" s="11" t="str">
        <f t="shared" si="174"/>
        <v/>
      </c>
      <c r="PN13" s="11" t="str">
        <f t="shared" si="175"/>
        <v/>
      </c>
      <c r="PO13" s="11" t="str">
        <f t="shared" si="176"/>
        <v/>
      </c>
      <c r="PP13" s="11" t="str">
        <f t="shared" si="177"/>
        <v/>
      </c>
      <c r="PQ13" s="11" t="str">
        <f t="shared" si="178"/>
        <v/>
      </c>
      <c r="PR13" s="11" t="str">
        <f t="shared" si="179"/>
        <v/>
      </c>
      <c r="PS13" s="11" t="str">
        <f t="shared" si="180"/>
        <v/>
      </c>
      <c r="PT13" s="11" t="str">
        <f t="shared" si="181"/>
        <v/>
      </c>
      <c r="PU13" s="11" t="str">
        <f t="shared" si="182"/>
        <v/>
      </c>
      <c r="PV13" s="11" t="str">
        <f t="shared" si="183"/>
        <v/>
      </c>
      <c r="PW13" s="11" t="str">
        <f t="shared" si="184"/>
        <v/>
      </c>
      <c r="PX13" s="17">
        <v>7.2</v>
      </c>
      <c r="PY13" s="17">
        <v>9.4499999999999993</v>
      </c>
      <c r="PZ13" s="17">
        <v>9.6</v>
      </c>
      <c r="QA13" s="17">
        <v>16.579999999999998</v>
      </c>
      <c r="QB13" s="17">
        <v>0</v>
      </c>
      <c r="QC13" s="17"/>
      <c r="QD13" s="17"/>
      <c r="QE13" s="17"/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41">
        <f t="shared" si="185"/>
        <v>9.6</v>
      </c>
      <c r="QS13" s="41">
        <f t="shared" si="186"/>
        <v>16.579999999999998</v>
      </c>
      <c r="QT13" s="41">
        <f t="shared" si="187"/>
        <v>42.83</v>
      </c>
      <c r="QU13" s="41" t="str">
        <f t="shared" si="188"/>
        <v/>
      </c>
      <c r="QV13" s="41" t="str">
        <f t="shared" si="189"/>
        <v/>
      </c>
      <c r="QW13" s="41" t="str">
        <f t="shared" si="190"/>
        <v/>
      </c>
      <c r="QX13" s="41">
        <f t="shared" si="191"/>
        <v>42.83</v>
      </c>
      <c r="QY13" s="41" t="str">
        <f t="shared" si="192"/>
        <v/>
      </c>
      <c r="QZ13" s="41" t="str">
        <f t="shared" si="193"/>
        <v/>
      </c>
      <c r="RA13" s="41" t="str">
        <f t="shared" si="194"/>
        <v/>
      </c>
      <c r="RB13" s="41" t="str">
        <f t="shared" si="195"/>
        <v/>
      </c>
      <c r="RC13" s="41" t="str">
        <f t="shared" si="196"/>
        <v/>
      </c>
      <c r="RD13" s="41" t="str">
        <f t="shared" si="197"/>
        <v/>
      </c>
      <c r="RE13" s="41">
        <f t="shared" si="198"/>
        <v>42.83</v>
      </c>
      <c r="RF13" s="18"/>
      <c r="RG13" s="18"/>
      <c r="RH13" s="18"/>
      <c r="RI13" s="18"/>
      <c r="RJ13" s="18"/>
      <c r="RK13" s="18"/>
      <c r="RL13" s="18"/>
      <c r="RM13" s="18"/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1" t="str">
        <f t="shared" si="199"/>
        <v/>
      </c>
      <c r="SA13" s="11" t="str">
        <f t="shared" si="200"/>
        <v/>
      </c>
      <c r="SB13" s="11" t="str">
        <f t="shared" si="201"/>
        <v/>
      </c>
      <c r="SC13" s="11" t="str">
        <f t="shared" si="202"/>
        <v/>
      </c>
      <c r="SD13" s="11" t="str">
        <f t="shared" si="203"/>
        <v/>
      </c>
      <c r="SE13" s="11" t="str">
        <f t="shared" si="204"/>
        <v/>
      </c>
      <c r="SF13" s="11" t="str">
        <f t="shared" si="205"/>
        <v/>
      </c>
      <c r="SG13" s="11" t="str">
        <f t="shared" si="206"/>
        <v/>
      </c>
      <c r="SH13" s="11" t="str">
        <f t="shared" si="207"/>
        <v/>
      </c>
      <c r="SI13" s="11" t="str">
        <f t="shared" si="208"/>
        <v/>
      </c>
      <c r="SJ13" s="11" t="str">
        <f t="shared" si="209"/>
        <v/>
      </c>
      <c r="SK13" s="11" t="str">
        <f t="shared" si="210"/>
        <v/>
      </c>
      <c r="SL13" s="11" t="str">
        <f t="shared" si="211"/>
        <v/>
      </c>
      <c r="SM13" s="11" t="str">
        <f t="shared" si="212"/>
        <v/>
      </c>
      <c r="SN13" s="23">
        <f t="shared" si="213"/>
        <v>3.85</v>
      </c>
      <c r="SO13" s="23">
        <f t="shared" si="214"/>
        <v>4.5999999999999996</v>
      </c>
      <c r="SP13" s="23">
        <f t="shared" si="215"/>
        <v>4.5</v>
      </c>
      <c r="SQ13" s="23">
        <f t="shared" si="216"/>
        <v>8.82</v>
      </c>
      <c r="SR13" s="23">
        <f t="shared" si="217"/>
        <v>0</v>
      </c>
      <c r="SS13" s="23">
        <f t="shared" si="218"/>
        <v>3.7250000000000001</v>
      </c>
      <c r="ST13" s="23">
        <f t="shared" si="219"/>
        <v>4.6749999999999998</v>
      </c>
      <c r="SU13" s="23">
        <f t="shared" si="220"/>
        <v>4.5</v>
      </c>
      <c r="SV13" s="23">
        <f t="shared" si="221"/>
        <v>7.23</v>
      </c>
      <c r="SW13" s="23">
        <f t="shared" si="222"/>
        <v>0</v>
      </c>
      <c r="SX13" s="23">
        <f t="shared" si="223"/>
        <v>2.4500000000000002</v>
      </c>
      <c r="SY13" s="23">
        <f t="shared" si="224"/>
        <v>2.8</v>
      </c>
      <c r="SZ13" s="23">
        <f t="shared" si="225"/>
        <v>2.9</v>
      </c>
      <c r="TA13" s="23">
        <f t="shared" si="226"/>
        <v>4.9400000000000004</v>
      </c>
      <c r="TB13" s="23">
        <f t="shared" si="227"/>
        <v>0</v>
      </c>
      <c r="TC13" s="28" t="s">
        <v>57</v>
      </c>
      <c r="TD13" s="41">
        <f t="shared" si="228"/>
        <v>4.5</v>
      </c>
      <c r="TE13" s="41">
        <f t="shared" si="229"/>
        <v>8.82</v>
      </c>
      <c r="TF13" s="41">
        <f t="shared" si="230"/>
        <v>21.77</v>
      </c>
      <c r="TG13" s="41">
        <f t="shared" si="231"/>
        <v>4.5</v>
      </c>
      <c r="TH13" s="41">
        <f t="shared" si="232"/>
        <v>7.23</v>
      </c>
      <c r="TI13" s="41">
        <f t="shared" si="233"/>
        <v>20.130000000000003</v>
      </c>
      <c r="TJ13" s="41">
        <f t="shared" si="234"/>
        <v>21.77</v>
      </c>
      <c r="TK13" s="41">
        <f t="shared" si="235"/>
        <v>2.9</v>
      </c>
      <c r="TL13" s="41">
        <f t="shared" si="236"/>
        <v>4.9400000000000004</v>
      </c>
      <c r="TM13" s="41">
        <f t="shared" si="237"/>
        <v>13.09</v>
      </c>
      <c r="TN13" s="41">
        <f t="shared" si="238"/>
        <v>34.86</v>
      </c>
    </row>
    <row r="14" spans="1:534" x14ac:dyDescent="0.2">
      <c r="A14" s="4" cm="1">
        <f t="array" ref="A14">IF(AND(H14&lt;&gt;"",H14&lt;&gt;"No DD"),SUMPRODUCT((H$4:H$16&lt;&gt;"")*(H$4:H$16&lt;&gt;"No DD")*(E$4:E$16&gt;E14))+1,IF(H14="No DD",SUMPRODUCT((H$4:H$16="No DD")*(E$4:E$16&gt;E14))+1+SUMPRODUCT((H$4:H$16&lt;&gt;"")*(H$4:H$16&lt;&gt;"No DD")),""))</f>
        <v>10</v>
      </c>
      <c r="B14" s="5" t="s">
        <v>207</v>
      </c>
      <c r="C14" s="4" t="s">
        <v>3</v>
      </c>
      <c r="D14" s="4" t="s">
        <v>199</v>
      </c>
      <c r="E14" s="9">
        <f t="shared" si="0"/>
        <v>44.25</v>
      </c>
      <c r="F14" s="3" t="str">
        <f t="shared" si="1"/>
        <v/>
      </c>
      <c r="G14" s="3" t="str">
        <f t="shared" si="2"/>
        <v>P</v>
      </c>
      <c r="H14" s="37" t="str">
        <f t="shared" si="3"/>
        <v>No DD</v>
      </c>
      <c r="I14" s="3" t="str">
        <f t="shared" si="4"/>
        <v/>
      </c>
      <c r="J14" s="8">
        <f>IF(COUNT(AI14,AL14,AP14,BJ14,BM14,BQ14,CK14,CN14,CR14)&gt;0,LARGE((AI14,AL14,AP14,BJ14,BM14,BQ14,CK14,CN14,CR14),1),0)</f>
        <v>0</v>
      </c>
      <c r="K14" s="8" t="str">
        <f t="shared" si="5"/>
        <v/>
      </c>
      <c r="L14" s="8">
        <f>IF(COUNT(AI14,AL14,AP14,BJ14,BM14,BQ14,CK14,CN14,CR14)&gt;1,LARGE((AI14,AL14,AP14,BJ14,BM14,BQ14,CK14,CN14,CR14),2),0)</f>
        <v>0</v>
      </c>
      <c r="M14" s="8" t="str">
        <f t="shared" si="6"/>
        <v/>
      </c>
      <c r="N14" s="8">
        <f t="shared" si="7"/>
        <v>44.25</v>
      </c>
      <c r="O14" s="11" t="str">
        <f t="shared" si="8"/>
        <v>(Final)</v>
      </c>
      <c r="P14" s="8" t="str">
        <f t="shared" si="9"/>
        <v>2023 Pan Am [Club] Championships (May 14)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8"/>
      <c r="AG14" s="39" t="str">
        <f t="shared" si="10"/>
        <v/>
      </c>
      <c r="AH14" s="39" t="str">
        <f t="shared" si="11"/>
        <v/>
      </c>
      <c r="AI14" s="41" t="str">
        <f t="shared" si="12"/>
        <v/>
      </c>
      <c r="AJ14" s="41" t="str">
        <f t="shared" si="13"/>
        <v/>
      </c>
      <c r="AK14" s="41" t="str">
        <f t="shared" si="14"/>
        <v/>
      </c>
      <c r="AL14" s="41" t="str">
        <f t="shared" si="15"/>
        <v/>
      </c>
      <c r="AM14" s="41" t="str">
        <f t="shared" si="16"/>
        <v/>
      </c>
      <c r="AN14" s="41" t="str">
        <f t="shared" si="17"/>
        <v/>
      </c>
      <c r="AO14" s="41" t="str">
        <f t="shared" si="18"/>
        <v/>
      </c>
      <c r="AP14" s="41" t="str">
        <f t="shared" si="19"/>
        <v/>
      </c>
      <c r="AQ14" s="41" t="str">
        <f t="shared" si="20"/>
        <v/>
      </c>
      <c r="AR14" s="27"/>
      <c r="AS14" s="27"/>
      <c r="AT14" s="27"/>
      <c r="AU14" s="27"/>
      <c r="AV14" s="27"/>
      <c r="AW14" s="27"/>
      <c r="AX14" s="27"/>
      <c r="AY14" s="27"/>
      <c r="AZ14" s="27"/>
      <c r="BA14" s="27"/>
      <c r="BB14" s="27"/>
      <c r="BC14" s="27"/>
      <c r="BD14" s="27"/>
      <c r="BE14" s="27"/>
      <c r="BF14" s="27"/>
      <c r="BG14" s="29"/>
      <c r="BH14" s="40" t="str">
        <f t="shared" si="21"/>
        <v/>
      </c>
      <c r="BI14" s="40" t="str">
        <f t="shared" si="22"/>
        <v/>
      </c>
      <c r="BJ14" s="11" t="str">
        <f t="shared" si="23"/>
        <v/>
      </c>
      <c r="BK14" s="11" t="str">
        <f t="shared" si="24"/>
        <v/>
      </c>
      <c r="BL14" s="11" t="str">
        <f t="shared" si="25"/>
        <v/>
      </c>
      <c r="BM14" s="11" t="str">
        <f t="shared" si="26"/>
        <v/>
      </c>
      <c r="BN14" s="11" t="str">
        <f t="shared" si="27"/>
        <v/>
      </c>
      <c r="BO14" s="11" t="str">
        <f t="shared" si="28"/>
        <v/>
      </c>
      <c r="BP14" s="11" t="str">
        <f t="shared" si="29"/>
        <v/>
      </c>
      <c r="BQ14" s="11" t="str">
        <f t="shared" si="30"/>
        <v/>
      </c>
      <c r="BR14" s="11" t="str">
        <f t="shared" si="31"/>
        <v/>
      </c>
      <c r="BS14" s="23"/>
      <c r="BT14" s="23"/>
      <c r="BU14" s="23"/>
      <c r="BV14" s="23"/>
      <c r="BW14" s="23"/>
      <c r="BX14" s="23"/>
      <c r="BY14" s="23"/>
      <c r="BZ14" s="23"/>
      <c r="CA14" s="23"/>
      <c r="CB14" s="23"/>
      <c r="CC14" s="23"/>
      <c r="CD14" s="23"/>
      <c r="CE14" s="23"/>
      <c r="CF14" s="23"/>
      <c r="CG14" s="23"/>
      <c r="CH14" s="28"/>
      <c r="CI14" s="39" t="str">
        <f t="shared" si="32"/>
        <v/>
      </c>
      <c r="CJ14" s="39" t="str">
        <f t="shared" si="33"/>
        <v/>
      </c>
      <c r="CK14" s="41" t="str">
        <f t="shared" si="34"/>
        <v/>
      </c>
      <c r="CL14" s="41" t="str">
        <f t="shared" si="35"/>
        <v/>
      </c>
      <c r="CM14" s="41" t="str">
        <f t="shared" si="36"/>
        <v/>
      </c>
      <c r="CN14" s="41" t="str">
        <f t="shared" si="37"/>
        <v/>
      </c>
      <c r="CO14" s="41" t="str">
        <f t="shared" si="38"/>
        <v/>
      </c>
      <c r="CP14" s="41" t="str">
        <f t="shared" si="39"/>
        <v/>
      </c>
      <c r="CQ14" s="41" t="str">
        <f t="shared" si="40"/>
        <v/>
      </c>
      <c r="CR14" s="41" t="str">
        <f t="shared" si="41"/>
        <v/>
      </c>
      <c r="CS14" s="41" t="str">
        <f t="shared" si="42"/>
        <v/>
      </c>
      <c r="CT14" s="52" t="str">
        <f t="shared" si="43"/>
        <v/>
      </c>
      <c r="CU14" s="52">
        <f t="shared" si="44"/>
        <v>44.25</v>
      </c>
      <c r="CV14" s="17"/>
      <c r="CW14" s="17"/>
      <c r="CX14" s="17"/>
      <c r="CY14" s="17"/>
      <c r="CZ14" s="17"/>
      <c r="DA14" s="17"/>
      <c r="DB14" s="17"/>
      <c r="DC14" s="17"/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41" t="str">
        <f t="shared" si="45"/>
        <v/>
      </c>
      <c r="DQ14" s="41" t="str">
        <f t="shared" si="46"/>
        <v/>
      </c>
      <c r="DR14" s="41" t="str">
        <f t="shared" si="47"/>
        <v/>
      </c>
      <c r="DS14" s="41" t="str">
        <f t="shared" si="48"/>
        <v/>
      </c>
      <c r="DT14" s="41" t="str">
        <f t="shared" si="49"/>
        <v/>
      </c>
      <c r="DU14" s="41" t="str">
        <f t="shared" si="50"/>
        <v/>
      </c>
      <c r="DV14" s="41" t="str">
        <f t="shared" si="51"/>
        <v/>
      </c>
      <c r="DW14" s="41" t="str">
        <f t="shared" si="52"/>
        <v/>
      </c>
      <c r="DX14" s="41" t="str">
        <f t="shared" si="53"/>
        <v/>
      </c>
      <c r="DY14" s="41" t="str">
        <f t="shared" si="54"/>
        <v/>
      </c>
      <c r="DZ14" s="41" t="str">
        <f t="shared" si="55"/>
        <v/>
      </c>
      <c r="EA14" s="41" t="str">
        <f t="shared" si="56"/>
        <v/>
      </c>
      <c r="EB14" s="41" t="str">
        <f t="shared" si="57"/>
        <v/>
      </c>
      <c r="EC14" s="41" t="str">
        <f t="shared" si="58"/>
        <v/>
      </c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1" t="str">
        <f t="shared" si="59"/>
        <v/>
      </c>
      <c r="EY14" s="11" t="str">
        <f t="shared" si="60"/>
        <v/>
      </c>
      <c r="EZ14" s="11" t="str">
        <f t="shared" si="61"/>
        <v/>
      </c>
      <c r="FA14" s="11" t="str">
        <f t="shared" si="62"/>
        <v/>
      </c>
      <c r="FB14" s="11" t="str">
        <f t="shared" si="63"/>
        <v/>
      </c>
      <c r="FC14" s="11" t="str">
        <f t="shared" si="64"/>
        <v/>
      </c>
      <c r="FD14" s="11" t="str">
        <f t="shared" si="65"/>
        <v/>
      </c>
      <c r="FE14" s="11" t="str">
        <f t="shared" si="66"/>
        <v/>
      </c>
      <c r="FF14" s="11" t="str">
        <f t="shared" si="67"/>
        <v/>
      </c>
      <c r="FG14" s="11" t="str">
        <f t="shared" si="68"/>
        <v/>
      </c>
      <c r="FH14" s="11" t="str">
        <f t="shared" si="69"/>
        <v/>
      </c>
      <c r="FI14" s="11" t="str">
        <f t="shared" si="70"/>
        <v/>
      </c>
      <c r="FJ14" s="11" t="str">
        <f t="shared" si="71"/>
        <v/>
      </c>
      <c r="FK14" s="11" t="str">
        <f t="shared" si="72"/>
        <v/>
      </c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>
        <v>7.35</v>
      </c>
      <c r="GB14" s="17">
        <v>9</v>
      </c>
      <c r="GC14" s="17">
        <v>9.6</v>
      </c>
      <c r="GD14" s="17">
        <v>18.3</v>
      </c>
      <c r="GE14" s="17">
        <v>0</v>
      </c>
      <c r="GF14" s="41" t="str">
        <f t="shared" si="73"/>
        <v/>
      </c>
      <c r="GG14" s="41" t="str">
        <f t="shared" si="74"/>
        <v/>
      </c>
      <c r="GH14" s="41" t="str">
        <f t="shared" si="75"/>
        <v/>
      </c>
      <c r="GI14" s="41" t="str">
        <f t="shared" si="76"/>
        <v/>
      </c>
      <c r="GJ14" s="41" t="str">
        <f t="shared" si="77"/>
        <v/>
      </c>
      <c r="GK14" s="41" t="str">
        <f t="shared" si="78"/>
        <v/>
      </c>
      <c r="GL14" s="41" t="str">
        <f t="shared" si="79"/>
        <v/>
      </c>
      <c r="GM14" s="41" t="str">
        <f t="shared" si="80"/>
        <v/>
      </c>
      <c r="GN14" s="41" t="str">
        <f t="shared" si="81"/>
        <v/>
      </c>
      <c r="GO14" s="41" t="str">
        <f t="shared" si="82"/>
        <v/>
      </c>
      <c r="GP14" s="41">
        <f t="shared" si="83"/>
        <v>9.6</v>
      </c>
      <c r="GQ14" s="41">
        <f t="shared" si="84"/>
        <v>18.3</v>
      </c>
      <c r="GR14" s="41">
        <f t="shared" si="85"/>
        <v>44.25</v>
      </c>
      <c r="GS14" s="41">
        <f t="shared" si="86"/>
        <v>44.25</v>
      </c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1" t="str">
        <f t="shared" si="87"/>
        <v/>
      </c>
      <c r="HO14" s="11" t="str">
        <f t="shared" si="88"/>
        <v/>
      </c>
      <c r="HP14" s="11" t="str">
        <f t="shared" si="89"/>
        <v/>
      </c>
      <c r="HQ14" s="11" t="str">
        <f t="shared" si="90"/>
        <v/>
      </c>
      <c r="HR14" s="11" t="str">
        <f t="shared" si="91"/>
        <v/>
      </c>
      <c r="HS14" s="11" t="str">
        <f t="shared" si="92"/>
        <v/>
      </c>
      <c r="HT14" s="11" t="str">
        <f t="shared" si="93"/>
        <v/>
      </c>
      <c r="HU14" s="11" t="str">
        <f t="shared" si="94"/>
        <v/>
      </c>
      <c r="HV14" s="11" t="str">
        <f t="shared" si="95"/>
        <v/>
      </c>
      <c r="HW14" s="11" t="str">
        <f t="shared" si="96"/>
        <v/>
      </c>
      <c r="HX14" s="11" t="str">
        <f t="shared" si="97"/>
        <v/>
      </c>
      <c r="HY14" s="11" t="str">
        <f t="shared" si="98"/>
        <v/>
      </c>
      <c r="HZ14" s="11" t="str">
        <f t="shared" si="99"/>
        <v/>
      </c>
      <c r="IA14" s="11" t="str">
        <f t="shared" si="100"/>
        <v/>
      </c>
      <c r="IB14" s="17"/>
      <c r="IC14" s="17"/>
      <c r="ID14" s="17"/>
      <c r="IE14" s="17"/>
      <c r="IF14" s="17"/>
      <c r="IG14" s="17"/>
      <c r="IH14" s="17"/>
      <c r="II14" s="17"/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41" t="str">
        <f t="shared" si="101"/>
        <v/>
      </c>
      <c r="IW14" s="41" t="str">
        <f t="shared" si="102"/>
        <v/>
      </c>
      <c r="IX14" s="41" t="str">
        <f t="shared" si="103"/>
        <v/>
      </c>
      <c r="IY14" s="41" t="str">
        <f t="shared" si="104"/>
        <v/>
      </c>
      <c r="IZ14" s="41" t="str">
        <f t="shared" si="105"/>
        <v/>
      </c>
      <c r="JA14" s="41" t="str">
        <f t="shared" si="106"/>
        <v/>
      </c>
      <c r="JB14" s="41" t="str">
        <f t="shared" si="107"/>
        <v/>
      </c>
      <c r="JC14" s="41" t="str">
        <f t="shared" si="108"/>
        <v/>
      </c>
      <c r="JD14" s="41" t="str">
        <f t="shared" si="109"/>
        <v/>
      </c>
      <c r="JE14" s="41" t="str">
        <f t="shared" si="110"/>
        <v/>
      </c>
      <c r="JF14" s="41" t="str">
        <f t="shared" si="111"/>
        <v/>
      </c>
      <c r="JG14" s="41" t="str">
        <f t="shared" si="112"/>
        <v/>
      </c>
      <c r="JH14" s="41" t="str">
        <f t="shared" si="113"/>
        <v/>
      </c>
      <c r="JI14" s="41" t="str">
        <f t="shared" si="114"/>
        <v/>
      </c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1" t="str">
        <f t="shared" si="115"/>
        <v/>
      </c>
      <c r="KE14" s="11" t="str">
        <f t="shared" si="116"/>
        <v/>
      </c>
      <c r="KF14" s="11" t="str">
        <f t="shared" si="117"/>
        <v/>
      </c>
      <c r="KG14" s="11" t="str">
        <f t="shared" si="118"/>
        <v/>
      </c>
      <c r="KH14" s="11" t="str">
        <f t="shared" si="119"/>
        <v/>
      </c>
      <c r="KI14" s="11" t="str">
        <f t="shared" si="120"/>
        <v/>
      </c>
      <c r="KJ14" s="11" t="str">
        <f t="shared" si="121"/>
        <v/>
      </c>
      <c r="KK14" s="11" t="str">
        <f t="shared" si="122"/>
        <v/>
      </c>
      <c r="KL14" s="11" t="str">
        <f t="shared" si="123"/>
        <v/>
      </c>
      <c r="KM14" s="11" t="str">
        <f t="shared" si="124"/>
        <v/>
      </c>
      <c r="KN14" s="11" t="str">
        <f t="shared" si="125"/>
        <v/>
      </c>
      <c r="KO14" s="11" t="str">
        <f t="shared" si="126"/>
        <v/>
      </c>
      <c r="KP14" s="11" t="str">
        <f t="shared" si="127"/>
        <v/>
      </c>
      <c r="KQ14" s="11" t="str">
        <f t="shared" si="128"/>
        <v/>
      </c>
      <c r="KR14" s="17"/>
      <c r="KS14" s="17"/>
      <c r="KT14" s="17"/>
      <c r="KU14" s="17"/>
      <c r="KV14" s="17"/>
      <c r="KW14" s="17"/>
      <c r="KX14" s="17"/>
      <c r="KY14" s="17"/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41" t="str">
        <f t="shared" si="129"/>
        <v/>
      </c>
      <c r="LM14" s="41" t="str">
        <f t="shared" si="130"/>
        <v/>
      </c>
      <c r="LN14" s="41" t="str">
        <f t="shared" si="131"/>
        <v/>
      </c>
      <c r="LO14" s="41" t="str">
        <f t="shared" si="132"/>
        <v/>
      </c>
      <c r="LP14" s="41" t="str">
        <f t="shared" si="133"/>
        <v/>
      </c>
      <c r="LQ14" s="41" t="str">
        <f t="shared" si="134"/>
        <v/>
      </c>
      <c r="LR14" s="41" t="str">
        <f t="shared" si="135"/>
        <v/>
      </c>
      <c r="LS14" s="41" t="str">
        <f t="shared" si="136"/>
        <v/>
      </c>
      <c r="LT14" s="41" t="str">
        <f t="shared" si="137"/>
        <v/>
      </c>
      <c r="LU14" s="41" t="str">
        <f t="shared" si="138"/>
        <v/>
      </c>
      <c r="LV14" s="41" t="str">
        <f t="shared" si="139"/>
        <v/>
      </c>
      <c r="LW14" s="41" t="str">
        <f t="shared" si="140"/>
        <v/>
      </c>
      <c r="LX14" s="41" t="str">
        <f t="shared" si="141"/>
        <v/>
      </c>
      <c r="LY14" s="41" t="str">
        <f t="shared" si="142"/>
        <v/>
      </c>
      <c r="LZ14" s="18"/>
      <c r="MA14" s="18"/>
      <c r="MB14" s="18"/>
      <c r="MC14" s="18"/>
      <c r="MD14" s="18"/>
      <c r="ME14" s="18"/>
      <c r="MF14" s="18"/>
      <c r="MG14" s="18"/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1" t="str">
        <f t="shared" si="143"/>
        <v/>
      </c>
      <c r="MU14" s="11" t="str">
        <f t="shared" si="144"/>
        <v/>
      </c>
      <c r="MV14" s="11" t="str">
        <f t="shared" si="145"/>
        <v/>
      </c>
      <c r="MW14" s="11" t="str">
        <f t="shared" si="146"/>
        <v/>
      </c>
      <c r="MX14" s="11" t="str">
        <f t="shared" si="147"/>
        <v/>
      </c>
      <c r="MY14" s="11" t="str">
        <f t="shared" si="148"/>
        <v/>
      </c>
      <c r="MZ14" s="11" t="str">
        <f t="shared" si="149"/>
        <v/>
      </c>
      <c r="NA14" s="11" t="str">
        <f t="shared" si="150"/>
        <v/>
      </c>
      <c r="NB14" s="11" t="str">
        <f t="shared" si="151"/>
        <v/>
      </c>
      <c r="NC14" s="11" t="str">
        <f t="shared" si="152"/>
        <v/>
      </c>
      <c r="ND14" s="11" t="str">
        <f t="shared" si="153"/>
        <v/>
      </c>
      <c r="NE14" s="11" t="str">
        <f t="shared" si="154"/>
        <v/>
      </c>
      <c r="NF14" s="11" t="str">
        <f t="shared" si="155"/>
        <v/>
      </c>
      <c r="NG14" s="11" t="str">
        <f t="shared" si="156"/>
        <v/>
      </c>
      <c r="NH14" s="17"/>
      <c r="NI14" s="17"/>
      <c r="NJ14" s="17"/>
      <c r="NK14" s="17"/>
      <c r="NL14" s="17"/>
      <c r="NM14" s="17"/>
      <c r="NN14" s="17"/>
      <c r="NO14" s="17"/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41" t="str">
        <f t="shared" si="157"/>
        <v/>
      </c>
      <c r="OC14" s="41" t="str">
        <f t="shared" si="158"/>
        <v/>
      </c>
      <c r="OD14" s="41" t="str">
        <f t="shared" si="159"/>
        <v/>
      </c>
      <c r="OE14" s="41" t="str">
        <f t="shared" si="160"/>
        <v/>
      </c>
      <c r="OF14" s="41" t="str">
        <f t="shared" si="161"/>
        <v/>
      </c>
      <c r="OG14" s="41" t="str">
        <f t="shared" si="162"/>
        <v/>
      </c>
      <c r="OH14" s="41" t="str">
        <f t="shared" si="163"/>
        <v/>
      </c>
      <c r="OI14" s="41" t="str">
        <f t="shared" si="164"/>
        <v/>
      </c>
      <c r="OJ14" s="41" t="str">
        <f t="shared" si="165"/>
        <v/>
      </c>
      <c r="OK14" s="41" t="str">
        <f t="shared" si="166"/>
        <v/>
      </c>
      <c r="OL14" s="41" t="str">
        <f t="shared" si="167"/>
        <v/>
      </c>
      <c r="OM14" s="41" t="str">
        <f t="shared" si="168"/>
        <v/>
      </c>
      <c r="ON14" s="41" t="str">
        <f t="shared" si="169"/>
        <v/>
      </c>
      <c r="OO14" s="41" t="str">
        <f t="shared" si="170"/>
        <v/>
      </c>
      <c r="OP14" s="18"/>
      <c r="OQ14" s="18"/>
      <c r="OR14" s="18"/>
      <c r="OS14" s="18"/>
      <c r="OT14" s="18"/>
      <c r="OU14" s="18"/>
      <c r="OV14" s="18"/>
      <c r="OW14" s="18"/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1" t="str">
        <f t="shared" si="171"/>
        <v/>
      </c>
      <c r="PK14" s="11" t="str">
        <f t="shared" si="172"/>
        <v/>
      </c>
      <c r="PL14" s="11" t="str">
        <f t="shared" si="173"/>
        <v/>
      </c>
      <c r="PM14" s="11" t="str">
        <f t="shared" si="174"/>
        <v/>
      </c>
      <c r="PN14" s="11" t="str">
        <f t="shared" si="175"/>
        <v/>
      </c>
      <c r="PO14" s="11" t="str">
        <f t="shared" si="176"/>
        <v/>
      </c>
      <c r="PP14" s="11" t="str">
        <f t="shared" si="177"/>
        <v/>
      </c>
      <c r="PQ14" s="11" t="str">
        <f t="shared" si="178"/>
        <v/>
      </c>
      <c r="PR14" s="11" t="str">
        <f t="shared" si="179"/>
        <v/>
      </c>
      <c r="PS14" s="11" t="str">
        <f t="shared" si="180"/>
        <v/>
      </c>
      <c r="PT14" s="11" t="str">
        <f t="shared" si="181"/>
        <v/>
      </c>
      <c r="PU14" s="11" t="str">
        <f t="shared" si="182"/>
        <v/>
      </c>
      <c r="PV14" s="11" t="str">
        <f t="shared" si="183"/>
        <v/>
      </c>
      <c r="PW14" s="11" t="str">
        <f t="shared" si="184"/>
        <v/>
      </c>
      <c r="PX14" s="17"/>
      <c r="PY14" s="17"/>
      <c r="PZ14" s="17"/>
      <c r="QA14" s="17"/>
      <c r="QB14" s="17"/>
      <c r="QC14" s="17"/>
      <c r="QD14" s="17"/>
      <c r="QE14" s="17"/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41" t="str">
        <f t="shared" si="185"/>
        <v/>
      </c>
      <c r="QS14" s="41" t="str">
        <f t="shared" si="186"/>
        <v/>
      </c>
      <c r="QT14" s="41" t="str">
        <f t="shared" si="187"/>
        <v/>
      </c>
      <c r="QU14" s="41" t="str">
        <f t="shared" si="188"/>
        <v/>
      </c>
      <c r="QV14" s="41" t="str">
        <f t="shared" si="189"/>
        <v/>
      </c>
      <c r="QW14" s="41" t="str">
        <f t="shared" si="190"/>
        <v/>
      </c>
      <c r="QX14" s="41" t="str">
        <f t="shared" si="191"/>
        <v/>
      </c>
      <c r="QY14" s="41" t="str">
        <f t="shared" si="192"/>
        <v/>
      </c>
      <c r="QZ14" s="41" t="str">
        <f t="shared" si="193"/>
        <v/>
      </c>
      <c r="RA14" s="41" t="str">
        <f t="shared" si="194"/>
        <v/>
      </c>
      <c r="RB14" s="41" t="str">
        <f t="shared" si="195"/>
        <v/>
      </c>
      <c r="RC14" s="41" t="str">
        <f t="shared" si="196"/>
        <v/>
      </c>
      <c r="RD14" s="41" t="str">
        <f t="shared" si="197"/>
        <v/>
      </c>
      <c r="RE14" s="41" t="str">
        <f t="shared" si="198"/>
        <v/>
      </c>
      <c r="RF14" s="18"/>
      <c r="RG14" s="18"/>
      <c r="RH14" s="18"/>
      <c r="RI14" s="18"/>
      <c r="RJ14" s="18"/>
      <c r="RK14" s="18"/>
      <c r="RL14" s="18"/>
      <c r="RM14" s="18"/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1" t="str">
        <f t="shared" si="199"/>
        <v/>
      </c>
      <c r="SA14" s="11" t="str">
        <f t="shared" si="200"/>
        <v/>
      </c>
      <c r="SB14" s="11" t="str">
        <f t="shared" si="201"/>
        <v/>
      </c>
      <c r="SC14" s="11" t="str">
        <f t="shared" si="202"/>
        <v/>
      </c>
      <c r="SD14" s="11" t="str">
        <f t="shared" si="203"/>
        <v/>
      </c>
      <c r="SE14" s="11" t="str">
        <f t="shared" si="204"/>
        <v/>
      </c>
      <c r="SF14" s="11" t="str">
        <f t="shared" si="205"/>
        <v/>
      </c>
      <c r="SG14" s="11" t="str">
        <f t="shared" si="206"/>
        <v/>
      </c>
      <c r="SH14" s="11" t="str">
        <f t="shared" si="207"/>
        <v/>
      </c>
      <c r="SI14" s="11" t="str">
        <f t="shared" si="208"/>
        <v/>
      </c>
      <c r="SJ14" s="11" t="str">
        <f t="shared" si="209"/>
        <v/>
      </c>
      <c r="SK14" s="11" t="str">
        <f t="shared" si="210"/>
        <v/>
      </c>
      <c r="SL14" s="11" t="str">
        <f t="shared" si="211"/>
        <v/>
      </c>
      <c r="SM14" s="11" t="str">
        <f t="shared" si="212"/>
        <v/>
      </c>
      <c r="SN14" s="23">
        <f t="shared" si="213"/>
        <v>0</v>
      </c>
      <c r="SO14" s="23">
        <f t="shared" si="214"/>
        <v>0</v>
      </c>
      <c r="SP14" s="23">
        <f t="shared" si="215"/>
        <v>0</v>
      </c>
      <c r="SQ14" s="23">
        <f t="shared" si="216"/>
        <v>0</v>
      </c>
      <c r="SR14" s="23">
        <f t="shared" si="217"/>
        <v>0</v>
      </c>
      <c r="SS14" s="23">
        <f t="shared" si="218"/>
        <v>0</v>
      </c>
      <c r="ST14" s="23">
        <f t="shared" si="219"/>
        <v>0</v>
      </c>
      <c r="SU14" s="23">
        <f t="shared" si="220"/>
        <v>0</v>
      </c>
      <c r="SV14" s="23">
        <f t="shared" si="221"/>
        <v>0</v>
      </c>
      <c r="SW14" s="23">
        <f t="shared" si="222"/>
        <v>0</v>
      </c>
      <c r="SX14" s="23">
        <f t="shared" si="223"/>
        <v>0</v>
      </c>
      <c r="SY14" s="23">
        <f t="shared" si="224"/>
        <v>0</v>
      </c>
      <c r="SZ14" s="23">
        <f t="shared" si="225"/>
        <v>0</v>
      </c>
      <c r="TA14" s="23">
        <f t="shared" si="226"/>
        <v>0</v>
      </c>
      <c r="TB14" s="23">
        <f t="shared" si="227"/>
        <v>0</v>
      </c>
      <c r="TC14" s="28" t="s">
        <v>57</v>
      </c>
      <c r="TD14" s="41" t="str">
        <f t="shared" si="228"/>
        <v/>
      </c>
      <c r="TE14" s="41" t="str">
        <f t="shared" si="229"/>
        <v/>
      </c>
      <c r="TF14" s="41" t="str">
        <f t="shared" si="230"/>
        <v/>
      </c>
      <c r="TG14" s="41" t="str">
        <f t="shared" si="231"/>
        <v/>
      </c>
      <c r="TH14" s="41" t="str">
        <f t="shared" si="232"/>
        <v/>
      </c>
      <c r="TI14" s="41" t="str">
        <f t="shared" si="233"/>
        <v/>
      </c>
      <c r="TJ14" s="41" t="str">
        <f t="shared" si="234"/>
        <v/>
      </c>
      <c r="TK14" s="41" t="str">
        <f t="shared" si="235"/>
        <v/>
      </c>
      <c r="TL14" s="41" t="str">
        <f t="shared" si="236"/>
        <v/>
      </c>
      <c r="TM14" s="41" t="str">
        <f t="shared" si="237"/>
        <v/>
      </c>
      <c r="TN14" s="41" t="str">
        <f t="shared" si="238"/>
        <v/>
      </c>
    </row>
    <row r="15" spans="1:534" x14ac:dyDescent="0.2">
      <c r="A15" s="4" t="str" cm="1">
        <f t="array" ref="A15">IF(AND(H15&lt;&gt;"",H15&lt;&gt;"No DD"),SUMPRODUCT((H$4:H$16&lt;&gt;"")*(H$4:H$16&lt;&gt;"No DD")*(E$4:E$16&gt;E15))+1,IF(H15="No DD",SUMPRODUCT((H$4:H$16="No DD")*(E$4:E$16&gt;E15))+1+SUMPRODUCT((H$4:H$16&lt;&gt;"")*(H$4:H$16&lt;&gt;"No DD")),""))</f>
        <v/>
      </c>
      <c r="B15" s="5" t="s">
        <v>212</v>
      </c>
      <c r="C15" s="4" t="s">
        <v>211</v>
      </c>
      <c r="D15" s="4" t="s">
        <v>210</v>
      </c>
      <c r="E15" s="9">
        <f t="shared" si="0"/>
        <v>4.6800000000000006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IF(COUNT(AI15,AL15,AP15,BJ15,BM15,BQ15,CK15,CN15,CR15)&gt;0,LARGE((AI15,AL15,AP15,BJ15,BM15,BQ15,CK15,CN15,CR15),1),0)</f>
        <v>0</v>
      </c>
      <c r="K15" s="8" t="str">
        <f t="shared" si="5"/>
        <v/>
      </c>
      <c r="L15" s="8">
        <f>IF(COUNT(AI15,AL15,AP15,BJ15,BM15,BQ15,CK15,CN15,CR15)&gt;1,LARGE((AI15,AL15,AP15,BJ15,BM15,BQ15,CK15,CN15,CR15),2),0)</f>
        <v>0</v>
      </c>
      <c r="M15" s="8" t="str">
        <f t="shared" si="6"/>
        <v/>
      </c>
      <c r="N15" s="8">
        <f t="shared" si="7"/>
        <v>4.6800000000000006</v>
      </c>
      <c r="O15" s="11" t="str">
        <f t="shared" si="8"/>
        <v>(Final)</v>
      </c>
      <c r="P15" s="8" t="str">
        <f t="shared" si="9"/>
        <v>2023 Pan Am [Club] Championships (May 14)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8"/>
      <c r="AG15" s="39" t="str">
        <f t="shared" si="10"/>
        <v/>
      </c>
      <c r="AH15" s="39" t="str">
        <f t="shared" si="11"/>
        <v/>
      </c>
      <c r="AI15" s="41" t="str">
        <f t="shared" si="12"/>
        <v/>
      </c>
      <c r="AJ15" s="41" t="str">
        <f t="shared" si="13"/>
        <v/>
      </c>
      <c r="AK15" s="41" t="str">
        <f t="shared" si="14"/>
        <v/>
      </c>
      <c r="AL15" s="41" t="str">
        <f t="shared" si="15"/>
        <v/>
      </c>
      <c r="AM15" s="41" t="str">
        <f t="shared" si="16"/>
        <v/>
      </c>
      <c r="AN15" s="41" t="str">
        <f t="shared" si="17"/>
        <v/>
      </c>
      <c r="AO15" s="41" t="str">
        <f t="shared" si="18"/>
        <v/>
      </c>
      <c r="AP15" s="41" t="str">
        <f t="shared" si="19"/>
        <v/>
      </c>
      <c r="AQ15" s="41" t="str">
        <f t="shared" si="20"/>
        <v/>
      </c>
      <c r="AR15" s="27"/>
      <c r="AS15" s="27"/>
      <c r="AT15" s="27"/>
      <c r="AU15" s="27"/>
      <c r="AV15" s="27"/>
      <c r="AW15" s="27"/>
      <c r="AX15" s="27"/>
      <c r="AY15" s="27"/>
      <c r="AZ15" s="27"/>
      <c r="BA15" s="27"/>
      <c r="BB15" s="27"/>
      <c r="BC15" s="27"/>
      <c r="BD15" s="27"/>
      <c r="BE15" s="27"/>
      <c r="BF15" s="27"/>
      <c r="BG15" s="29"/>
      <c r="BH15" s="40" t="str">
        <f t="shared" si="21"/>
        <v/>
      </c>
      <c r="BI15" s="40" t="str">
        <f t="shared" si="22"/>
        <v/>
      </c>
      <c r="BJ15" s="11" t="str">
        <f t="shared" si="23"/>
        <v/>
      </c>
      <c r="BK15" s="11" t="str">
        <f t="shared" si="24"/>
        <v/>
      </c>
      <c r="BL15" s="11" t="str">
        <f t="shared" si="25"/>
        <v/>
      </c>
      <c r="BM15" s="11" t="str">
        <f t="shared" si="26"/>
        <v/>
      </c>
      <c r="BN15" s="11" t="str">
        <f t="shared" si="27"/>
        <v/>
      </c>
      <c r="BO15" s="11" t="str">
        <f t="shared" si="28"/>
        <v/>
      </c>
      <c r="BP15" s="11" t="str">
        <f t="shared" si="29"/>
        <v/>
      </c>
      <c r="BQ15" s="11" t="str">
        <f t="shared" si="30"/>
        <v/>
      </c>
      <c r="BR15" s="11" t="str">
        <f t="shared" si="31"/>
        <v/>
      </c>
      <c r="BS15" s="23"/>
      <c r="BT15" s="23"/>
      <c r="BU15" s="23"/>
      <c r="BV15" s="23"/>
      <c r="BW15" s="23"/>
      <c r="BX15" s="23"/>
      <c r="BY15" s="23"/>
      <c r="BZ15" s="23"/>
      <c r="CA15" s="23"/>
      <c r="CB15" s="23"/>
      <c r="CC15" s="23"/>
      <c r="CD15" s="23"/>
      <c r="CE15" s="23"/>
      <c r="CF15" s="23"/>
      <c r="CG15" s="23"/>
      <c r="CH15" s="28"/>
      <c r="CI15" s="39" t="str">
        <f t="shared" si="32"/>
        <v/>
      </c>
      <c r="CJ15" s="39" t="str">
        <f t="shared" si="33"/>
        <v/>
      </c>
      <c r="CK15" s="41" t="str">
        <f t="shared" si="34"/>
        <v/>
      </c>
      <c r="CL15" s="41" t="str">
        <f t="shared" si="35"/>
        <v/>
      </c>
      <c r="CM15" s="41" t="str">
        <f t="shared" si="36"/>
        <v/>
      </c>
      <c r="CN15" s="41" t="str">
        <f t="shared" si="37"/>
        <v/>
      </c>
      <c r="CO15" s="41" t="str">
        <f t="shared" si="38"/>
        <v/>
      </c>
      <c r="CP15" s="41" t="str">
        <f t="shared" si="39"/>
        <v/>
      </c>
      <c r="CQ15" s="41" t="str">
        <f t="shared" si="40"/>
        <v/>
      </c>
      <c r="CR15" s="41" t="str">
        <f t="shared" si="41"/>
        <v/>
      </c>
      <c r="CS15" s="41" t="str">
        <f t="shared" si="42"/>
        <v/>
      </c>
      <c r="CT15" s="52" t="str">
        <f t="shared" si="43"/>
        <v/>
      </c>
      <c r="CU15" s="52">
        <f t="shared" si="44"/>
        <v>4.6800000000000006</v>
      </c>
      <c r="CV15" s="17"/>
      <c r="CW15" s="17"/>
      <c r="CX15" s="17"/>
      <c r="CY15" s="17"/>
      <c r="CZ15" s="17"/>
      <c r="DA15" s="17"/>
      <c r="DB15" s="17"/>
      <c r="DC15" s="17"/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41" t="str">
        <f t="shared" si="45"/>
        <v/>
      </c>
      <c r="DQ15" s="41" t="str">
        <f t="shared" si="46"/>
        <v/>
      </c>
      <c r="DR15" s="41" t="str">
        <f t="shared" si="47"/>
        <v/>
      </c>
      <c r="DS15" s="41" t="str">
        <f t="shared" si="48"/>
        <v/>
      </c>
      <c r="DT15" s="41" t="str">
        <f t="shared" si="49"/>
        <v/>
      </c>
      <c r="DU15" s="41" t="str">
        <f t="shared" si="50"/>
        <v/>
      </c>
      <c r="DV15" s="41" t="str">
        <f t="shared" si="51"/>
        <v/>
      </c>
      <c r="DW15" s="41" t="str">
        <f t="shared" si="52"/>
        <v/>
      </c>
      <c r="DX15" s="41" t="str">
        <f t="shared" si="53"/>
        <v/>
      </c>
      <c r="DY15" s="41" t="str">
        <f t="shared" si="54"/>
        <v/>
      </c>
      <c r="DZ15" s="41" t="str">
        <f t="shared" si="55"/>
        <v/>
      </c>
      <c r="EA15" s="41" t="str">
        <f t="shared" si="56"/>
        <v/>
      </c>
      <c r="EB15" s="41" t="str">
        <f t="shared" si="57"/>
        <v/>
      </c>
      <c r="EC15" s="41" t="str">
        <f t="shared" si="58"/>
        <v/>
      </c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1" t="str">
        <f t="shared" si="59"/>
        <v/>
      </c>
      <c r="EY15" s="11" t="str">
        <f t="shared" si="60"/>
        <v/>
      </c>
      <c r="EZ15" s="11" t="str">
        <f t="shared" si="61"/>
        <v/>
      </c>
      <c r="FA15" s="11" t="str">
        <f t="shared" si="62"/>
        <v/>
      </c>
      <c r="FB15" s="11" t="str">
        <f t="shared" si="63"/>
        <v/>
      </c>
      <c r="FC15" s="11" t="str">
        <f t="shared" si="64"/>
        <v/>
      </c>
      <c r="FD15" s="11" t="str">
        <f t="shared" si="65"/>
        <v/>
      </c>
      <c r="FE15" s="11" t="str">
        <f t="shared" si="66"/>
        <v/>
      </c>
      <c r="FF15" s="11" t="str">
        <f t="shared" si="67"/>
        <v/>
      </c>
      <c r="FG15" s="11" t="str">
        <f t="shared" si="68"/>
        <v/>
      </c>
      <c r="FH15" s="11" t="str">
        <f t="shared" si="69"/>
        <v/>
      </c>
      <c r="FI15" s="11" t="str">
        <f t="shared" si="70"/>
        <v/>
      </c>
      <c r="FJ15" s="11" t="str">
        <f t="shared" si="71"/>
        <v/>
      </c>
      <c r="FK15" s="11" t="str">
        <f t="shared" si="72"/>
        <v/>
      </c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>
        <v>0.75</v>
      </c>
      <c r="GB15" s="17">
        <v>0.85</v>
      </c>
      <c r="GC15" s="17">
        <v>1.3</v>
      </c>
      <c r="GD15" s="17">
        <v>1.78</v>
      </c>
      <c r="GE15" s="17">
        <v>0</v>
      </c>
      <c r="GF15" s="41" t="str">
        <f t="shared" si="73"/>
        <v/>
      </c>
      <c r="GG15" s="41" t="str">
        <f t="shared" si="74"/>
        <v/>
      </c>
      <c r="GH15" s="41" t="str">
        <f t="shared" si="75"/>
        <v/>
      </c>
      <c r="GI15" s="41" t="str">
        <f t="shared" si="76"/>
        <v/>
      </c>
      <c r="GJ15" s="41" t="str">
        <f t="shared" si="77"/>
        <v/>
      </c>
      <c r="GK15" s="41" t="str">
        <f t="shared" si="78"/>
        <v/>
      </c>
      <c r="GL15" s="41" t="str">
        <f t="shared" si="79"/>
        <v/>
      </c>
      <c r="GM15" s="41" t="str">
        <f t="shared" si="80"/>
        <v/>
      </c>
      <c r="GN15" s="41" t="str">
        <f t="shared" si="81"/>
        <v/>
      </c>
      <c r="GO15" s="41" t="str">
        <f t="shared" si="82"/>
        <v/>
      </c>
      <c r="GP15" s="41">
        <f t="shared" si="83"/>
        <v>1.3</v>
      </c>
      <c r="GQ15" s="41">
        <f t="shared" si="84"/>
        <v>1.78</v>
      </c>
      <c r="GR15" s="41">
        <f t="shared" si="85"/>
        <v>4.6800000000000006</v>
      </c>
      <c r="GS15" s="41">
        <f t="shared" si="86"/>
        <v>4.6800000000000006</v>
      </c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1" t="str">
        <f t="shared" si="87"/>
        <v/>
      </c>
      <c r="HO15" s="11" t="str">
        <f t="shared" si="88"/>
        <v/>
      </c>
      <c r="HP15" s="11" t="str">
        <f t="shared" si="89"/>
        <v/>
      </c>
      <c r="HQ15" s="11" t="str">
        <f t="shared" si="90"/>
        <v/>
      </c>
      <c r="HR15" s="11" t="str">
        <f t="shared" si="91"/>
        <v/>
      </c>
      <c r="HS15" s="11" t="str">
        <f t="shared" si="92"/>
        <v/>
      </c>
      <c r="HT15" s="11" t="str">
        <f t="shared" si="93"/>
        <v/>
      </c>
      <c r="HU15" s="11" t="str">
        <f t="shared" si="94"/>
        <v/>
      </c>
      <c r="HV15" s="11" t="str">
        <f t="shared" si="95"/>
        <v/>
      </c>
      <c r="HW15" s="11" t="str">
        <f t="shared" si="96"/>
        <v/>
      </c>
      <c r="HX15" s="11" t="str">
        <f t="shared" si="97"/>
        <v/>
      </c>
      <c r="HY15" s="11" t="str">
        <f t="shared" si="98"/>
        <v/>
      </c>
      <c r="HZ15" s="11" t="str">
        <f t="shared" si="99"/>
        <v/>
      </c>
      <c r="IA15" s="11" t="str">
        <f t="shared" si="100"/>
        <v/>
      </c>
      <c r="IB15" s="17"/>
      <c r="IC15" s="17"/>
      <c r="ID15" s="17"/>
      <c r="IE15" s="17"/>
      <c r="IF15" s="17"/>
      <c r="IG15" s="17"/>
      <c r="IH15" s="17"/>
      <c r="II15" s="17"/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41" t="str">
        <f t="shared" si="101"/>
        <v/>
      </c>
      <c r="IW15" s="41" t="str">
        <f t="shared" si="102"/>
        <v/>
      </c>
      <c r="IX15" s="41" t="str">
        <f t="shared" si="103"/>
        <v/>
      </c>
      <c r="IY15" s="41" t="str">
        <f t="shared" si="104"/>
        <v/>
      </c>
      <c r="IZ15" s="41" t="str">
        <f t="shared" si="105"/>
        <v/>
      </c>
      <c r="JA15" s="41" t="str">
        <f t="shared" si="106"/>
        <v/>
      </c>
      <c r="JB15" s="41" t="str">
        <f t="shared" si="107"/>
        <v/>
      </c>
      <c r="JC15" s="41" t="str">
        <f t="shared" si="108"/>
        <v/>
      </c>
      <c r="JD15" s="41" t="str">
        <f t="shared" si="109"/>
        <v/>
      </c>
      <c r="JE15" s="41" t="str">
        <f t="shared" si="110"/>
        <v/>
      </c>
      <c r="JF15" s="41" t="str">
        <f t="shared" si="111"/>
        <v/>
      </c>
      <c r="JG15" s="41" t="str">
        <f t="shared" si="112"/>
        <v/>
      </c>
      <c r="JH15" s="41" t="str">
        <f t="shared" si="113"/>
        <v/>
      </c>
      <c r="JI15" s="41" t="str">
        <f t="shared" si="114"/>
        <v/>
      </c>
      <c r="JJ15" s="18"/>
      <c r="JK15" s="18"/>
      <c r="JL15" s="18"/>
      <c r="JM15" s="18"/>
      <c r="JN15" s="18"/>
      <c r="JO15" s="18"/>
      <c r="JP15" s="18"/>
      <c r="JQ15" s="18"/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1" t="str">
        <f t="shared" si="115"/>
        <v/>
      </c>
      <c r="KE15" s="11" t="str">
        <f t="shared" si="116"/>
        <v/>
      </c>
      <c r="KF15" s="11" t="str">
        <f t="shared" si="117"/>
        <v/>
      </c>
      <c r="KG15" s="11" t="str">
        <f t="shared" si="118"/>
        <v/>
      </c>
      <c r="KH15" s="11" t="str">
        <f t="shared" si="119"/>
        <v/>
      </c>
      <c r="KI15" s="11" t="str">
        <f t="shared" si="120"/>
        <v/>
      </c>
      <c r="KJ15" s="11" t="str">
        <f t="shared" si="121"/>
        <v/>
      </c>
      <c r="KK15" s="11" t="str">
        <f t="shared" si="122"/>
        <v/>
      </c>
      <c r="KL15" s="11" t="str">
        <f t="shared" si="123"/>
        <v/>
      </c>
      <c r="KM15" s="11" t="str">
        <f t="shared" si="124"/>
        <v/>
      </c>
      <c r="KN15" s="11" t="str">
        <f t="shared" si="125"/>
        <v/>
      </c>
      <c r="KO15" s="11" t="str">
        <f t="shared" si="126"/>
        <v/>
      </c>
      <c r="KP15" s="11" t="str">
        <f t="shared" si="127"/>
        <v/>
      </c>
      <c r="KQ15" s="11" t="str">
        <f t="shared" si="128"/>
        <v/>
      </c>
      <c r="KR15" s="17"/>
      <c r="KS15" s="17"/>
      <c r="KT15" s="17"/>
      <c r="KU15" s="17"/>
      <c r="KV15" s="17"/>
      <c r="KW15" s="17"/>
      <c r="KX15" s="17"/>
      <c r="KY15" s="17"/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41" t="str">
        <f t="shared" si="129"/>
        <v/>
      </c>
      <c r="LM15" s="41" t="str">
        <f t="shared" si="130"/>
        <v/>
      </c>
      <c r="LN15" s="41" t="str">
        <f t="shared" si="131"/>
        <v/>
      </c>
      <c r="LO15" s="41" t="str">
        <f t="shared" si="132"/>
        <v/>
      </c>
      <c r="LP15" s="41" t="str">
        <f t="shared" si="133"/>
        <v/>
      </c>
      <c r="LQ15" s="41" t="str">
        <f t="shared" si="134"/>
        <v/>
      </c>
      <c r="LR15" s="41" t="str">
        <f t="shared" si="135"/>
        <v/>
      </c>
      <c r="LS15" s="41" t="str">
        <f t="shared" si="136"/>
        <v/>
      </c>
      <c r="LT15" s="41" t="str">
        <f t="shared" si="137"/>
        <v/>
      </c>
      <c r="LU15" s="41" t="str">
        <f t="shared" si="138"/>
        <v/>
      </c>
      <c r="LV15" s="41" t="str">
        <f t="shared" si="139"/>
        <v/>
      </c>
      <c r="LW15" s="41" t="str">
        <f t="shared" si="140"/>
        <v/>
      </c>
      <c r="LX15" s="41" t="str">
        <f t="shared" si="141"/>
        <v/>
      </c>
      <c r="LY15" s="41" t="str">
        <f t="shared" si="142"/>
        <v/>
      </c>
      <c r="LZ15" s="18"/>
      <c r="MA15" s="18"/>
      <c r="MB15" s="18"/>
      <c r="MC15" s="18"/>
      <c r="MD15" s="18"/>
      <c r="ME15" s="18"/>
      <c r="MF15" s="18"/>
      <c r="MG15" s="18"/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1" t="str">
        <f t="shared" si="143"/>
        <v/>
      </c>
      <c r="MU15" s="11" t="str">
        <f t="shared" si="144"/>
        <v/>
      </c>
      <c r="MV15" s="11" t="str">
        <f t="shared" si="145"/>
        <v/>
      </c>
      <c r="MW15" s="11" t="str">
        <f t="shared" si="146"/>
        <v/>
      </c>
      <c r="MX15" s="11" t="str">
        <f t="shared" si="147"/>
        <v/>
      </c>
      <c r="MY15" s="11" t="str">
        <f t="shared" si="148"/>
        <v/>
      </c>
      <c r="MZ15" s="11" t="str">
        <f t="shared" si="149"/>
        <v/>
      </c>
      <c r="NA15" s="11" t="str">
        <f t="shared" si="150"/>
        <v/>
      </c>
      <c r="NB15" s="11" t="str">
        <f t="shared" si="151"/>
        <v/>
      </c>
      <c r="NC15" s="11" t="str">
        <f t="shared" si="152"/>
        <v/>
      </c>
      <c r="ND15" s="11" t="str">
        <f t="shared" si="153"/>
        <v/>
      </c>
      <c r="NE15" s="11" t="str">
        <f t="shared" si="154"/>
        <v/>
      </c>
      <c r="NF15" s="11" t="str">
        <f t="shared" si="155"/>
        <v/>
      </c>
      <c r="NG15" s="11" t="str">
        <f t="shared" si="156"/>
        <v/>
      </c>
      <c r="NH15" s="17"/>
      <c r="NI15" s="17"/>
      <c r="NJ15" s="17"/>
      <c r="NK15" s="17"/>
      <c r="NL15" s="17"/>
      <c r="NM15" s="17"/>
      <c r="NN15" s="17"/>
      <c r="NO15" s="17"/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41" t="str">
        <f t="shared" si="157"/>
        <v/>
      </c>
      <c r="OC15" s="41" t="str">
        <f t="shared" si="158"/>
        <v/>
      </c>
      <c r="OD15" s="41" t="str">
        <f t="shared" si="159"/>
        <v/>
      </c>
      <c r="OE15" s="41" t="str">
        <f t="shared" si="160"/>
        <v/>
      </c>
      <c r="OF15" s="41" t="str">
        <f t="shared" si="161"/>
        <v/>
      </c>
      <c r="OG15" s="41" t="str">
        <f t="shared" si="162"/>
        <v/>
      </c>
      <c r="OH15" s="41" t="str">
        <f t="shared" si="163"/>
        <v/>
      </c>
      <c r="OI15" s="41" t="str">
        <f t="shared" si="164"/>
        <v/>
      </c>
      <c r="OJ15" s="41" t="str">
        <f t="shared" si="165"/>
        <v/>
      </c>
      <c r="OK15" s="41" t="str">
        <f t="shared" si="166"/>
        <v/>
      </c>
      <c r="OL15" s="41" t="str">
        <f t="shared" si="167"/>
        <v/>
      </c>
      <c r="OM15" s="41" t="str">
        <f t="shared" si="168"/>
        <v/>
      </c>
      <c r="ON15" s="41" t="str">
        <f t="shared" si="169"/>
        <v/>
      </c>
      <c r="OO15" s="41" t="str">
        <f t="shared" si="170"/>
        <v/>
      </c>
      <c r="OP15" s="18"/>
      <c r="OQ15" s="18"/>
      <c r="OR15" s="18"/>
      <c r="OS15" s="18"/>
      <c r="OT15" s="18"/>
      <c r="OU15" s="18"/>
      <c r="OV15" s="18"/>
      <c r="OW15" s="18"/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1" t="str">
        <f t="shared" si="171"/>
        <v/>
      </c>
      <c r="PK15" s="11" t="str">
        <f t="shared" si="172"/>
        <v/>
      </c>
      <c r="PL15" s="11" t="str">
        <f t="shared" si="173"/>
        <v/>
      </c>
      <c r="PM15" s="11" t="str">
        <f t="shared" si="174"/>
        <v/>
      </c>
      <c r="PN15" s="11" t="str">
        <f t="shared" si="175"/>
        <v/>
      </c>
      <c r="PO15" s="11" t="str">
        <f t="shared" si="176"/>
        <v/>
      </c>
      <c r="PP15" s="11" t="str">
        <f t="shared" si="177"/>
        <v/>
      </c>
      <c r="PQ15" s="11" t="str">
        <f t="shared" si="178"/>
        <v/>
      </c>
      <c r="PR15" s="11" t="str">
        <f t="shared" si="179"/>
        <v/>
      </c>
      <c r="PS15" s="11" t="str">
        <f t="shared" si="180"/>
        <v/>
      </c>
      <c r="PT15" s="11" t="str">
        <f t="shared" si="181"/>
        <v/>
      </c>
      <c r="PU15" s="11" t="str">
        <f t="shared" si="182"/>
        <v/>
      </c>
      <c r="PV15" s="11" t="str">
        <f t="shared" si="183"/>
        <v/>
      </c>
      <c r="PW15" s="11" t="str">
        <f t="shared" si="184"/>
        <v/>
      </c>
      <c r="PX15" s="17"/>
      <c r="PY15" s="17"/>
      <c r="PZ15" s="17"/>
      <c r="QA15" s="17"/>
      <c r="QB15" s="17"/>
      <c r="QC15" s="17"/>
      <c r="QD15" s="17"/>
      <c r="QE15" s="17"/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41" t="str">
        <f t="shared" si="185"/>
        <v/>
      </c>
      <c r="QS15" s="41" t="str">
        <f t="shared" si="186"/>
        <v/>
      </c>
      <c r="QT15" s="41" t="str">
        <f t="shared" si="187"/>
        <v/>
      </c>
      <c r="QU15" s="41" t="str">
        <f t="shared" si="188"/>
        <v/>
      </c>
      <c r="QV15" s="41" t="str">
        <f t="shared" si="189"/>
        <v/>
      </c>
      <c r="QW15" s="41" t="str">
        <f t="shared" si="190"/>
        <v/>
      </c>
      <c r="QX15" s="41" t="str">
        <f t="shared" si="191"/>
        <v/>
      </c>
      <c r="QY15" s="41" t="str">
        <f t="shared" si="192"/>
        <v/>
      </c>
      <c r="QZ15" s="41" t="str">
        <f t="shared" si="193"/>
        <v/>
      </c>
      <c r="RA15" s="41" t="str">
        <f t="shared" si="194"/>
        <v/>
      </c>
      <c r="RB15" s="41" t="str">
        <f t="shared" si="195"/>
        <v/>
      </c>
      <c r="RC15" s="41" t="str">
        <f t="shared" si="196"/>
        <v/>
      </c>
      <c r="RD15" s="41" t="str">
        <f t="shared" si="197"/>
        <v/>
      </c>
      <c r="RE15" s="41" t="str">
        <f t="shared" si="198"/>
        <v/>
      </c>
      <c r="RF15" s="18"/>
      <c r="RG15" s="18"/>
      <c r="RH15" s="18"/>
      <c r="RI15" s="18"/>
      <c r="RJ15" s="18"/>
      <c r="RK15" s="18"/>
      <c r="RL15" s="18"/>
      <c r="RM15" s="18"/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1" t="str">
        <f t="shared" si="199"/>
        <v/>
      </c>
      <c r="SA15" s="11" t="str">
        <f t="shared" si="200"/>
        <v/>
      </c>
      <c r="SB15" s="11" t="str">
        <f t="shared" si="201"/>
        <v/>
      </c>
      <c r="SC15" s="11" t="str">
        <f t="shared" si="202"/>
        <v/>
      </c>
      <c r="SD15" s="11" t="str">
        <f t="shared" si="203"/>
        <v/>
      </c>
      <c r="SE15" s="11" t="str">
        <f t="shared" si="204"/>
        <v/>
      </c>
      <c r="SF15" s="11" t="str">
        <f t="shared" si="205"/>
        <v/>
      </c>
      <c r="SG15" s="11" t="str">
        <f t="shared" si="206"/>
        <v/>
      </c>
      <c r="SH15" s="11" t="str">
        <f t="shared" si="207"/>
        <v/>
      </c>
      <c r="SI15" s="11" t="str">
        <f t="shared" si="208"/>
        <v/>
      </c>
      <c r="SJ15" s="11" t="str">
        <f t="shared" si="209"/>
        <v/>
      </c>
      <c r="SK15" s="11" t="str">
        <f t="shared" si="210"/>
        <v/>
      </c>
      <c r="SL15" s="11" t="str">
        <f t="shared" si="211"/>
        <v/>
      </c>
      <c r="SM15" s="11" t="str">
        <f t="shared" si="212"/>
        <v/>
      </c>
      <c r="SN15" s="23">
        <f t="shared" si="213"/>
        <v>0</v>
      </c>
      <c r="SO15" s="23">
        <f t="shared" si="214"/>
        <v>0</v>
      </c>
      <c r="SP15" s="23">
        <f t="shared" si="215"/>
        <v>0</v>
      </c>
      <c r="SQ15" s="23">
        <f t="shared" si="216"/>
        <v>0</v>
      </c>
      <c r="SR15" s="23">
        <f t="shared" si="217"/>
        <v>0</v>
      </c>
      <c r="SS15" s="23">
        <f t="shared" si="218"/>
        <v>0</v>
      </c>
      <c r="ST15" s="23">
        <f t="shared" si="219"/>
        <v>0</v>
      </c>
      <c r="SU15" s="23">
        <f t="shared" si="220"/>
        <v>0</v>
      </c>
      <c r="SV15" s="23">
        <f t="shared" si="221"/>
        <v>0</v>
      </c>
      <c r="SW15" s="23">
        <f t="shared" si="222"/>
        <v>0</v>
      </c>
      <c r="SX15" s="23">
        <f t="shared" si="223"/>
        <v>0</v>
      </c>
      <c r="SY15" s="23">
        <f t="shared" si="224"/>
        <v>0</v>
      </c>
      <c r="SZ15" s="23">
        <f t="shared" si="225"/>
        <v>0</v>
      </c>
      <c r="TA15" s="23">
        <f t="shared" si="226"/>
        <v>0</v>
      </c>
      <c r="TB15" s="23">
        <f t="shared" si="227"/>
        <v>0</v>
      </c>
      <c r="TC15" s="28" t="s">
        <v>57</v>
      </c>
      <c r="TD15" s="41" t="str">
        <f t="shared" si="228"/>
        <v/>
      </c>
      <c r="TE15" s="41" t="str">
        <f t="shared" si="229"/>
        <v/>
      </c>
      <c r="TF15" s="41" t="str">
        <f t="shared" si="230"/>
        <v/>
      </c>
      <c r="TG15" s="41" t="str">
        <f t="shared" si="231"/>
        <v/>
      </c>
      <c r="TH15" s="41" t="str">
        <f t="shared" si="232"/>
        <v/>
      </c>
      <c r="TI15" s="41" t="str">
        <f t="shared" si="233"/>
        <v/>
      </c>
      <c r="TJ15" s="41" t="str">
        <f t="shared" si="234"/>
        <v/>
      </c>
      <c r="TK15" s="41" t="str">
        <f t="shared" si="235"/>
        <v/>
      </c>
      <c r="TL15" s="41" t="str">
        <f t="shared" si="236"/>
        <v/>
      </c>
      <c r="TM15" s="41" t="str">
        <f t="shared" si="237"/>
        <v/>
      </c>
      <c r="TN15" s="41" t="str">
        <f t="shared" si="238"/>
        <v/>
      </c>
    </row>
    <row r="16" spans="1:534" x14ac:dyDescent="0.2">
      <c r="B16" s="5"/>
      <c r="D16" s="1"/>
    </row>
    <row r="17" spans="1:536" x14ac:dyDescent="0.2">
      <c r="G17" s="37"/>
      <c r="I17" s="37"/>
    </row>
    <row r="18" spans="1:536" x14ac:dyDescent="0.2">
      <c r="B18" s="24" t="s">
        <v>54</v>
      </c>
      <c r="C18" s="5"/>
      <c r="G18" s="3"/>
      <c r="AJ18" s="42"/>
      <c r="AK18" s="42"/>
      <c r="AL18" s="42"/>
      <c r="AN18" s="33"/>
      <c r="AO18" s="33"/>
      <c r="AQ18" s="43">
        <v>10.4</v>
      </c>
      <c r="BK18" s="42"/>
      <c r="BL18" s="42"/>
      <c r="BM18" s="42"/>
      <c r="BO18" s="33"/>
      <c r="BP18" s="33"/>
      <c r="BR18" s="43">
        <v>10.4</v>
      </c>
      <c r="CL18" s="42"/>
      <c r="CM18" s="42"/>
      <c r="CN18" s="42"/>
      <c r="CP18" s="33"/>
      <c r="CQ18" s="33"/>
      <c r="CS18" s="43">
        <v>10.4</v>
      </c>
      <c r="DP18" s="5"/>
      <c r="DQ18" s="5"/>
      <c r="DZ18" s="2"/>
      <c r="EA18" s="2"/>
      <c r="EC18" s="43">
        <v>10.4</v>
      </c>
      <c r="EX18" s="5"/>
      <c r="EY18" s="5"/>
      <c r="FH18" s="2"/>
      <c r="FI18" s="2"/>
      <c r="FK18" s="43">
        <v>10.4</v>
      </c>
      <c r="GF18" s="5"/>
      <c r="GG18" s="5"/>
      <c r="GP18" s="2"/>
      <c r="GQ18" s="2"/>
      <c r="GS18" s="43">
        <v>10.4</v>
      </c>
      <c r="HN18" s="5"/>
      <c r="HO18" s="5"/>
      <c r="HX18" s="2"/>
      <c r="HY18" s="2"/>
      <c r="IA18" s="43">
        <v>10.4</v>
      </c>
      <c r="IV18" s="5"/>
      <c r="IW18" s="5"/>
      <c r="JF18" s="2"/>
      <c r="JG18" s="2"/>
      <c r="JI18" s="43">
        <v>10.4</v>
      </c>
      <c r="KD18" s="5"/>
      <c r="KE18" s="5"/>
      <c r="KN18" s="2"/>
      <c r="KO18" s="2"/>
      <c r="KQ18" s="43">
        <v>10.4</v>
      </c>
      <c r="LL18" s="5"/>
      <c r="LM18" s="5"/>
      <c r="LV18" s="2"/>
      <c r="LW18" s="2"/>
      <c r="LY18" s="43">
        <v>10.4</v>
      </c>
      <c r="MT18" s="5"/>
      <c r="MU18" s="5"/>
      <c r="ND18" s="2"/>
      <c r="NE18" s="2"/>
      <c r="NG18" s="43">
        <v>10.4</v>
      </c>
      <c r="OB18" s="5"/>
      <c r="OC18" s="5"/>
      <c r="OL18" s="2"/>
      <c r="OM18" s="2"/>
      <c r="OO18" s="43">
        <v>10.4</v>
      </c>
      <c r="PJ18" s="5"/>
      <c r="PK18" s="5"/>
      <c r="PT18" s="2"/>
      <c r="PU18" s="2"/>
      <c r="PW18" s="43">
        <v>10.4</v>
      </c>
      <c r="QR18" s="5"/>
      <c r="QS18" s="5"/>
      <c r="RB18" s="2"/>
      <c r="RC18" s="2"/>
      <c r="RE18" s="43">
        <v>10.4</v>
      </c>
      <c r="RZ18" s="5"/>
      <c r="SA18" s="5"/>
      <c r="SJ18" s="2"/>
      <c r="SK18" s="2"/>
      <c r="SM18" s="43">
        <v>10.4</v>
      </c>
    </row>
    <row r="19" spans="1:536" x14ac:dyDescent="0.2">
      <c r="B19" s="31" t="s">
        <v>53</v>
      </c>
      <c r="C19" s="5"/>
      <c r="P19" s="2"/>
      <c r="AJ19" s="42"/>
      <c r="AK19" s="42"/>
      <c r="AL19" s="42"/>
      <c r="AN19" s="33"/>
      <c r="AO19" s="33"/>
      <c r="AQ19" s="44">
        <v>11.2</v>
      </c>
      <c r="BK19" s="42"/>
      <c r="BL19" s="42"/>
      <c r="BM19" s="42"/>
      <c r="BO19" s="33"/>
      <c r="BP19" s="33"/>
      <c r="BR19" s="44">
        <v>11.2</v>
      </c>
      <c r="CL19" s="42"/>
      <c r="CM19" s="42"/>
      <c r="CN19" s="42"/>
      <c r="CP19" s="33"/>
      <c r="CQ19" s="33"/>
      <c r="CS19" s="44">
        <v>11.2</v>
      </c>
      <c r="DP19" s="5"/>
      <c r="DQ19" s="5"/>
      <c r="DZ19" s="2"/>
      <c r="EA19" s="2"/>
      <c r="EC19" s="44">
        <v>11.2</v>
      </c>
      <c r="EX19" s="5"/>
      <c r="EY19" s="5"/>
      <c r="FH19" s="2"/>
      <c r="FI19" s="2"/>
      <c r="FK19" s="44">
        <v>11.2</v>
      </c>
      <c r="GF19" s="5"/>
      <c r="GG19" s="5"/>
      <c r="GP19" s="2"/>
      <c r="GQ19" s="2"/>
      <c r="GS19" s="44">
        <v>11.2</v>
      </c>
      <c r="HN19" s="5"/>
      <c r="HO19" s="5"/>
      <c r="HX19" s="2"/>
      <c r="HY19" s="2"/>
      <c r="IA19" s="44">
        <v>11.2</v>
      </c>
      <c r="IV19" s="5"/>
      <c r="IW19" s="5"/>
      <c r="JF19" s="2"/>
      <c r="JG19" s="2"/>
      <c r="JI19" s="44">
        <v>11.2</v>
      </c>
      <c r="KD19" s="5"/>
      <c r="KE19" s="5"/>
      <c r="KN19" s="2"/>
      <c r="KO19" s="2"/>
      <c r="KQ19" s="44">
        <v>11.2</v>
      </c>
      <c r="LL19" s="5"/>
      <c r="LM19" s="5"/>
      <c r="LV19" s="2"/>
      <c r="LW19" s="2"/>
      <c r="LY19" s="44">
        <v>11.2</v>
      </c>
      <c r="MT19" s="5"/>
      <c r="MU19" s="5"/>
      <c r="ND19" s="2"/>
      <c r="NE19" s="2"/>
      <c r="NG19" s="44">
        <v>11.2</v>
      </c>
      <c r="OB19" s="5"/>
      <c r="OC19" s="5"/>
      <c r="OL19" s="2"/>
      <c r="OM19" s="2"/>
      <c r="OO19" s="44">
        <v>11.2</v>
      </c>
      <c r="PJ19" s="5"/>
      <c r="PK19" s="5"/>
      <c r="PT19" s="2"/>
      <c r="PU19" s="2"/>
      <c r="PW19" s="44">
        <v>11.2</v>
      </c>
      <c r="QR19" s="5"/>
      <c r="QS19" s="5"/>
      <c r="RB19" s="2"/>
      <c r="RC19" s="2"/>
      <c r="RE19" s="44">
        <v>11.2</v>
      </c>
      <c r="RZ19" s="5"/>
      <c r="SA19" s="5"/>
      <c r="SJ19" s="2"/>
      <c r="SK19" s="2"/>
      <c r="SM19" s="44">
        <v>11.2</v>
      </c>
    </row>
    <row r="20" spans="1:536" x14ac:dyDescent="0.2">
      <c r="A20" s="5"/>
      <c r="B20" s="32" t="s">
        <v>67</v>
      </c>
      <c r="C20" s="5"/>
      <c r="E20" s="2"/>
      <c r="AJ20" s="42"/>
      <c r="AK20" s="42"/>
      <c r="AL20" s="42"/>
      <c r="AM20" s="33"/>
      <c r="AN20" s="33"/>
      <c r="AO20" s="33"/>
      <c r="AP20" s="33"/>
      <c r="AQ20" s="45">
        <v>12</v>
      </c>
      <c r="BK20" s="42"/>
      <c r="BL20" s="42"/>
      <c r="BM20" s="42"/>
      <c r="BO20" s="33"/>
      <c r="BP20" s="33"/>
      <c r="BR20" s="45">
        <v>12</v>
      </c>
      <c r="CL20" s="42"/>
      <c r="CM20" s="42"/>
      <c r="CN20" s="42"/>
      <c r="CO20" s="33"/>
      <c r="CP20" s="33"/>
      <c r="CQ20" s="33"/>
      <c r="CR20" s="33"/>
      <c r="CS20" s="45">
        <v>12</v>
      </c>
      <c r="DP20" s="5"/>
      <c r="DQ20" s="5"/>
      <c r="DZ20" s="2"/>
      <c r="EA20" s="2"/>
      <c r="EC20" s="45">
        <v>12</v>
      </c>
      <c r="EX20" s="5"/>
      <c r="EY20" s="5"/>
      <c r="FH20" s="2"/>
      <c r="FI20" s="2"/>
      <c r="FK20" s="45">
        <v>12</v>
      </c>
      <c r="GF20" s="5"/>
      <c r="GG20" s="5"/>
      <c r="GP20" s="2"/>
      <c r="GQ20" s="2"/>
      <c r="GS20" s="45">
        <v>12</v>
      </c>
      <c r="HN20" s="5"/>
      <c r="HO20" s="5"/>
      <c r="HX20" s="2"/>
      <c r="HY20" s="2"/>
      <c r="IA20" s="45">
        <v>12</v>
      </c>
      <c r="IV20" s="5"/>
      <c r="IW20" s="5"/>
      <c r="JF20" s="2"/>
      <c r="JG20" s="2"/>
      <c r="JI20" s="45">
        <v>12</v>
      </c>
      <c r="KD20" s="5"/>
      <c r="KE20" s="5"/>
      <c r="KN20" s="2"/>
      <c r="KO20" s="2"/>
      <c r="KQ20" s="45">
        <v>12</v>
      </c>
      <c r="LL20" s="5"/>
      <c r="LM20" s="5"/>
      <c r="LV20" s="2"/>
      <c r="LW20" s="2"/>
      <c r="LY20" s="45">
        <v>12</v>
      </c>
      <c r="MT20" s="5"/>
      <c r="MU20" s="5"/>
      <c r="ND20" s="2"/>
      <c r="NE20" s="2"/>
      <c r="NG20" s="45">
        <v>12</v>
      </c>
      <c r="OB20" s="5"/>
      <c r="OC20" s="5"/>
      <c r="OL20" s="2"/>
      <c r="OM20" s="2"/>
      <c r="OO20" s="45">
        <v>12</v>
      </c>
      <c r="PJ20" s="5"/>
      <c r="PK20" s="5"/>
      <c r="PT20" s="2"/>
      <c r="PU20" s="2"/>
      <c r="PW20" s="45">
        <v>12</v>
      </c>
      <c r="QR20" s="5"/>
      <c r="QS20" s="5"/>
      <c r="RB20" s="2"/>
      <c r="RC20" s="2"/>
      <c r="RE20" s="45">
        <v>12</v>
      </c>
      <c r="RZ20" s="5"/>
      <c r="SA20" s="5"/>
      <c r="SJ20" s="2"/>
      <c r="SK20" s="2"/>
      <c r="SM20" s="45">
        <v>12</v>
      </c>
    </row>
    <row r="21" spans="1:536" x14ac:dyDescent="0.2">
      <c r="A21" s="5"/>
      <c r="B21" s="36" t="s">
        <v>80</v>
      </c>
      <c r="C21" s="5"/>
      <c r="E21" s="2"/>
      <c r="AJ21" s="42"/>
      <c r="AK21" s="42"/>
      <c r="AL21" s="42"/>
      <c r="AM21" s="33"/>
      <c r="AN21" s="33"/>
      <c r="AO21" s="33"/>
      <c r="AP21" s="33"/>
      <c r="AQ21" s="46">
        <v>12.4</v>
      </c>
      <c r="BK21" s="42"/>
      <c r="BL21" s="42"/>
      <c r="BM21" s="42"/>
      <c r="BO21" s="33"/>
      <c r="BP21" s="33"/>
      <c r="BR21" s="46">
        <v>12.4</v>
      </c>
      <c r="CL21" s="42"/>
      <c r="CM21" s="42"/>
      <c r="CN21" s="42"/>
      <c r="CO21" s="33"/>
      <c r="CP21" s="33"/>
      <c r="CQ21" s="33"/>
      <c r="CR21" s="33"/>
      <c r="CS21" s="46">
        <v>12.4</v>
      </c>
      <c r="DP21" s="5"/>
      <c r="DQ21" s="5"/>
      <c r="DZ21" s="2"/>
      <c r="EA21" s="2"/>
      <c r="EC21" s="46">
        <v>12.4</v>
      </c>
      <c r="EX21" s="5"/>
      <c r="EY21" s="5"/>
      <c r="FH21" s="2"/>
      <c r="FI21" s="2"/>
      <c r="FK21" s="46">
        <v>12.4</v>
      </c>
      <c r="GF21" s="5"/>
      <c r="GG21" s="5"/>
      <c r="GP21" s="2"/>
      <c r="GQ21" s="2"/>
      <c r="GS21" s="46">
        <v>12.4</v>
      </c>
      <c r="HN21" s="5"/>
      <c r="HO21" s="5"/>
      <c r="HX21" s="2"/>
      <c r="HY21" s="2"/>
      <c r="IA21" s="46">
        <v>12.4</v>
      </c>
      <c r="IV21" s="5"/>
      <c r="IW21" s="5"/>
      <c r="JF21" s="2"/>
      <c r="JG21" s="2"/>
      <c r="JI21" s="46">
        <v>12.4</v>
      </c>
      <c r="KD21" s="5"/>
      <c r="KE21" s="5"/>
      <c r="KN21" s="2"/>
      <c r="KO21" s="2"/>
      <c r="KQ21" s="46">
        <v>12.4</v>
      </c>
      <c r="LL21" s="5"/>
      <c r="LM21" s="5"/>
      <c r="LV21" s="2"/>
      <c r="LW21" s="2"/>
      <c r="LY21" s="46">
        <v>12.4</v>
      </c>
      <c r="MT21" s="5"/>
      <c r="MU21" s="5"/>
      <c r="ND21" s="2"/>
      <c r="NE21" s="2"/>
      <c r="NG21" s="46">
        <v>12.4</v>
      </c>
      <c r="OB21" s="5"/>
      <c r="OC21" s="5"/>
      <c r="OL21" s="2"/>
      <c r="OM21" s="2"/>
      <c r="OO21" s="46">
        <v>12.4</v>
      </c>
      <c r="PJ21" s="5"/>
      <c r="PK21" s="5"/>
      <c r="PT21" s="2"/>
      <c r="PU21" s="2"/>
      <c r="PW21" s="46">
        <v>12.4</v>
      </c>
      <c r="QR21" s="5"/>
      <c r="QS21" s="5"/>
      <c r="RB21" s="2"/>
      <c r="RC21" s="2"/>
      <c r="RE21" s="46">
        <v>12.4</v>
      </c>
      <c r="RZ21" s="5"/>
      <c r="SA21" s="5"/>
      <c r="SJ21" s="2"/>
      <c r="SK21" s="2"/>
      <c r="SM21" s="46">
        <v>12.4</v>
      </c>
    </row>
    <row r="22" spans="1:536" x14ac:dyDescent="0.2">
      <c r="A22" s="5"/>
      <c r="B22" s="35" t="s">
        <v>51</v>
      </c>
      <c r="C22" s="5"/>
      <c r="AJ22" s="42"/>
      <c r="AK22" s="42"/>
      <c r="AL22" s="42"/>
      <c r="AM22" s="33"/>
      <c r="AN22" s="33"/>
      <c r="AO22" s="33"/>
      <c r="AP22" s="33"/>
      <c r="AQ22" s="47">
        <v>44</v>
      </c>
      <c r="BK22" s="42"/>
      <c r="BL22" s="42"/>
      <c r="BM22" s="42"/>
      <c r="BO22" s="33"/>
      <c r="BP22" s="33"/>
      <c r="BR22" s="47">
        <v>44</v>
      </c>
      <c r="CL22" s="42"/>
      <c r="CM22" s="42"/>
      <c r="CN22" s="42"/>
      <c r="CO22" s="33"/>
      <c r="CP22" s="33"/>
      <c r="CQ22" s="33"/>
      <c r="CR22" s="33"/>
      <c r="CS22" s="47">
        <v>44</v>
      </c>
      <c r="DP22" s="5"/>
      <c r="DQ22" s="5"/>
      <c r="DZ22" s="2"/>
      <c r="EA22" s="2"/>
      <c r="EC22" s="47">
        <v>44</v>
      </c>
      <c r="EX22" s="5"/>
      <c r="EY22" s="5"/>
      <c r="FH22" s="2"/>
      <c r="FI22" s="2"/>
      <c r="FK22" s="47">
        <v>44</v>
      </c>
      <c r="GF22" s="5"/>
      <c r="GG22" s="5"/>
      <c r="GP22" s="2"/>
      <c r="GQ22" s="2"/>
      <c r="GS22" s="47">
        <v>44</v>
      </c>
      <c r="HN22" s="5"/>
      <c r="HO22" s="5"/>
      <c r="HX22" s="2"/>
      <c r="HY22" s="2"/>
      <c r="IA22" s="47">
        <v>44</v>
      </c>
      <c r="IV22" s="5"/>
      <c r="IW22" s="5"/>
      <c r="JF22" s="2"/>
      <c r="JG22" s="2"/>
      <c r="JI22" s="47">
        <v>44</v>
      </c>
      <c r="KD22" s="5"/>
      <c r="KE22" s="5"/>
      <c r="KN22" s="2"/>
      <c r="KO22" s="2"/>
      <c r="KQ22" s="47">
        <v>44</v>
      </c>
      <c r="LL22" s="5"/>
      <c r="LM22" s="5"/>
      <c r="LV22" s="2"/>
      <c r="LW22" s="2"/>
      <c r="LY22" s="47">
        <v>44</v>
      </c>
      <c r="MT22" s="5"/>
      <c r="MU22" s="5"/>
      <c r="ND22" s="2"/>
      <c r="NE22" s="2"/>
      <c r="NG22" s="47">
        <v>44</v>
      </c>
      <c r="OB22" s="5"/>
      <c r="OC22" s="5"/>
      <c r="OL22" s="2"/>
      <c r="OM22" s="2"/>
      <c r="OO22" s="47">
        <v>44</v>
      </c>
      <c r="PJ22" s="5"/>
      <c r="PK22" s="5"/>
      <c r="PT22" s="2"/>
      <c r="PU22" s="2"/>
      <c r="PW22" s="47">
        <v>44</v>
      </c>
      <c r="QR22" s="5"/>
      <c r="QS22" s="5"/>
      <c r="RB22" s="2"/>
      <c r="RC22" s="2"/>
      <c r="RE22" s="47">
        <v>44</v>
      </c>
      <c r="RZ22" s="5"/>
      <c r="SA22" s="5"/>
      <c r="SJ22" s="2"/>
      <c r="SK22" s="2"/>
      <c r="SM22" s="47">
        <v>44</v>
      </c>
    </row>
    <row r="23" spans="1:536" x14ac:dyDescent="0.2">
      <c r="A23" s="5"/>
      <c r="B23" s="25" t="s">
        <v>52</v>
      </c>
      <c r="C23" s="5"/>
      <c r="AJ23" s="42"/>
      <c r="AK23" s="42"/>
      <c r="AL23" s="42"/>
      <c r="AM23" s="33"/>
      <c r="AN23" s="33"/>
      <c r="AO23" s="33"/>
      <c r="AP23" s="33"/>
      <c r="AQ23" s="48">
        <v>45.3</v>
      </c>
      <c r="BK23" s="42"/>
      <c r="BL23" s="42"/>
      <c r="BM23" s="42"/>
      <c r="BO23" s="33"/>
      <c r="BP23" s="33"/>
      <c r="BR23" s="48">
        <v>45.3</v>
      </c>
      <c r="CL23" s="42"/>
      <c r="CM23" s="42"/>
      <c r="CN23" s="42"/>
      <c r="CO23" s="33"/>
      <c r="CP23" s="33"/>
      <c r="CQ23" s="33"/>
      <c r="CR23" s="33"/>
      <c r="CS23" s="48">
        <v>45.3</v>
      </c>
      <c r="DP23" s="5"/>
      <c r="DQ23" s="5"/>
      <c r="DZ23" s="2"/>
      <c r="EA23" s="2"/>
      <c r="EC23" s="48">
        <v>45.3</v>
      </c>
      <c r="EX23" s="5"/>
      <c r="EY23" s="5"/>
      <c r="FH23" s="2"/>
      <c r="FI23" s="2"/>
      <c r="FK23" s="48">
        <v>45.3</v>
      </c>
      <c r="GF23" s="5"/>
      <c r="GG23" s="5"/>
      <c r="GP23" s="2"/>
      <c r="GQ23" s="2"/>
      <c r="GS23" s="48">
        <v>45.3</v>
      </c>
      <c r="HN23" s="5"/>
      <c r="HO23" s="5"/>
      <c r="HX23" s="2"/>
      <c r="HY23" s="2"/>
      <c r="IA23" s="48">
        <v>45.3</v>
      </c>
      <c r="IV23" s="5"/>
      <c r="IW23" s="5"/>
      <c r="JF23" s="2"/>
      <c r="JG23" s="2"/>
      <c r="JI23" s="48">
        <v>45.3</v>
      </c>
      <c r="KD23" s="5"/>
      <c r="KE23" s="5"/>
      <c r="KN23" s="2"/>
      <c r="KO23" s="2"/>
      <c r="KQ23" s="48">
        <v>45.3</v>
      </c>
      <c r="LL23" s="5"/>
      <c r="LM23" s="5"/>
      <c r="LV23" s="2"/>
      <c r="LW23" s="2"/>
      <c r="LY23" s="48">
        <v>45.3</v>
      </c>
      <c r="MT23" s="5"/>
      <c r="MU23" s="5"/>
      <c r="ND23" s="2"/>
      <c r="NE23" s="2"/>
      <c r="NG23" s="48">
        <v>45.3</v>
      </c>
      <c r="OB23" s="5"/>
      <c r="OC23" s="5"/>
      <c r="OL23" s="2"/>
      <c r="OM23" s="2"/>
      <c r="OO23" s="48">
        <v>45.3</v>
      </c>
      <c r="PJ23" s="5"/>
      <c r="PK23" s="5"/>
      <c r="PT23" s="2"/>
      <c r="PU23" s="2"/>
      <c r="PW23" s="48">
        <v>45.3</v>
      </c>
      <c r="QR23" s="5"/>
      <c r="QS23" s="5"/>
      <c r="RB23" s="2"/>
      <c r="RC23" s="2"/>
      <c r="RE23" s="48">
        <v>45.3</v>
      </c>
      <c r="RZ23" s="5"/>
      <c r="SA23" s="5"/>
      <c r="SJ23" s="2"/>
      <c r="SK23" s="2"/>
      <c r="SM23" s="48">
        <v>45.3</v>
      </c>
    </row>
    <row r="24" spans="1:536" x14ac:dyDescent="0.2">
      <c r="A24" s="5"/>
      <c r="B24" s="34" t="s">
        <v>66</v>
      </c>
      <c r="C24" s="5"/>
      <c r="AJ24" s="42"/>
      <c r="AK24" s="42"/>
      <c r="AL24" s="42"/>
      <c r="AM24" s="33"/>
      <c r="AN24" s="33"/>
      <c r="AO24" s="33"/>
      <c r="AP24" s="33"/>
      <c r="AQ24" s="49">
        <v>46</v>
      </c>
      <c r="BK24" s="42"/>
      <c r="BL24" s="42"/>
      <c r="BM24" s="42"/>
      <c r="BO24" s="33"/>
      <c r="BP24" s="33"/>
      <c r="BR24" s="49">
        <v>46</v>
      </c>
      <c r="CL24" s="42"/>
      <c r="CM24" s="42"/>
      <c r="CN24" s="42"/>
      <c r="CO24" s="33"/>
      <c r="CP24" s="33"/>
      <c r="CQ24" s="33"/>
      <c r="CR24" s="33"/>
      <c r="CS24" s="49">
        <v>46</v>
      </c>
      <c r="DP24" s="5"/>
      <c r="DQ24" s="5"/>
      <c r="DZ24" s="2"/>
      <c r="EA24" s="2"/>
      <c r="EB24" s="38"/>
      <c r="EC24" s="49">
        <v>46</v>
      </c>
      <c r="EX24" s="5"/>
      <c r="EY24" s="5"/>
      <c r="FH24" s="2"/>
      <c r="FI24" s="2"/>
      <c r="FJ24" s="38"/>
      <c r="FK24" s="49">
        <v>46</v>
      </c>
      <c r="GF24" s="5"/>
      <c r="GG24" s="5"/>
      <c r="GP24" s="2"/>
      <c r="GQ24" s="2"/>
      <c r="GR24" s="38"/>
      <c r="GS24" s="49">
        <v>46</v>
      </c>
      <c r="HN24" s="5"/>
      <c r="HO24" s="5"/>
      <c r="HX24" s="2"/>
      <c r="HY24" s="2"/>
      <c r="HZ24" s="38"/>
      <c r="IA24" s="49">
        <v>46</v>
      </c>
      <c r="IV24" s="5"/>
      <c r="IW24" s="5"/>
      <c r="JF24" s="2"/>
      <c r="JG24" s="2"/>
      <c r="JH24" s="38"/>
      <c r="JI24" s="49">
        <v>46</v>
      </c>
      <c r="KD24" s="5"/>
      <c r="KE24" s="5"/>
      <c r="KN24" s="2"/>
      <c r="KO24" s="2"/>
      <c r="KP24" s="38"/>
      <c r="KQ24" s="49">
        <v>46</v>
      </c>
      <c r="LL24" s="5"/>
      <c r="LM24" s="5"/>
      <c r="LV24" s="2"/>
      <c r="LW24" s="2"/>
      <c r="LX24" s="38"/>
      <c r="LY24" s="49">
        <v>46</v>
      </c>
      <c r="MT24" s="5"/>
      <c r="MU24" s="5"/>
      <c r="ND24" s="2"/>
      <c r="NE24" s="2"/>
      <c r="NF24" s="38"/>
      <c r="NG24" s="49">
        <v>46</v>
      </c>
      <c r="OB24" s="5"/>
      <c r="OC24" s="5"/>
      <c r="OL24" s="2"/>
      <c r="OM24" s="2"/>
      <c r="ON24" s="38"/>
      <c r="OO24" s="49">
        <v>46</v>
      </c>
      <c r="PJ24" s="5"/>
      <c r="PK24" s="5"/>
      <c r="PT24" s="2"/>
      <c r="PU24" s="2"/>
      <c r="PV24" s="38"/>
      <c r="PW24" s="49">
        <v>46</v>
      </c>
      <c r="QR24" s="5"/>
      <c r="QS24" s="5"/>
      <c r="RB24" s="2"/>
      <c r="RC24" s="2"/>
      <c r="RD24" s="38"/>
      <c r="RE24" s="49">
        <v>46</v>
      </c>
      <c r="RZ24" s="5"/>
      <c r="SA24" s="5"/>
      <c r="SJ24" s="2"/>
      <c r="SK24" s="2"/>
      <c r="SL24" s="38"/>
      <c r="SM24" s="49">
        <v>46</v>
      </c>
    </row>
    <row r="25" spans="1:536" x14ac:dyDescent="0.2">
      <c r="A25" s="5"/>
      <c r="B25" s="26" t="s">
        <v>35</v>
      </c>
      <c r="C25" s="5"/>
      <c r="AJ25" s="42"/>
      <c r="AK25" s="42"/>
      <c r="AL25" s="42"/>
      <c r="AM25" s="33"/>
      <c r="AN25" s="42"/>
      <c r="AO25" s="42"/>
      <c r="AP25" s="33"/>
      <c r="AQ25" s="50">
        <v>46.6</v>
      </c>
      <c r="BK25" s="42"/>
      <c r="BL25" s="42"/>
      <c r="BM25" s="42"/>
      <c r="BO25" s="42"/>
      <c r="BP25" s="33"/>
      <c r="BR25" s="50">
        <v>46.6</v>
      </c>
      <c r="CL25" s="42"/>
      <c r="CM25" s="42"/>
      <c r="CN25" s="42"/>
      <c r="CO25" s="33"/>
      <c r="CP25" s="42"/>
      <c r="CQ25" s="33"/>
      <c r="CR25" s="33"/>
      <c r="CS25" s="50">
        <v>46.6</v>
      </c>
      <c r="DP25" s="5"/>
      <c r="DQ25" s="5"/>
      <c r="DZ25" s="42"/>
      <c r="EA25" s="2"/>
      <c r="EC25" s="50">
        <v>46.6</v>
      </c>
      <c r="EX25" s="5"/>
      <c r="EY25" s="5"/>
      <c r="FH25" s="42"/>
      <c r="FI25" s="2"/>
      <c r="FK25" s="50">
        <v>46.6</v>
      </c>
      <c r="GF25" s="5"/>
      <c r="GG25" s="5"/>
      <c r="GP25" s="42"/>
      <c r="GQ25" s="2"/>
      <c r="GS25" s="50">
        <v>46.6</v>
      </c>
      <c r="HN25" s="5"/>
      <c r="HO25" s="5"/>
      <c r="HX25" s="42"/>
      <c r="HY25" s="2"/>
      <c r="IA25" s="50">
        <v>46.6</v>
      </c>
      <c r="IV25" s="5"/>
      <c r="IW25" s="5"/>
      <c r="JF25" s="2"/>
      <c r="JG25" s="2"/>
      <c r="JI25" s="50">
        <v>46.6</v>
      </c>
      <c r="KD25" s="5"/>
      <c r="KE25" s="5"/>
      <c r="KN25" s="2"/>
      <c r="KO25" s="2"/>
      <c r="KQ25" s="50">
        <v>46.6</v>
      </c>
      <c r="LL25" s="5"/>
      <c r="LM25" s="5"/>
      <c r="LV25" s="2"/>
      <c r="LW25" s="2"/>
      <c r="LY25" s="50">
        <v>46.6</v>
      </c>
      <c r="MT25" s="5"/>
      <c r="MU25" s="5"/>
      <c r="ND25" s="2"/>
      <c r="NE25" s="2"/>
      <c r="NG25" s="50">
        <v>46.6</v>
      </c>
      <c r="OB25" s="5"/>
      <c r="OC25" s="5"/>
      <c r="OL25" s="2"/>
      <c r="OM25" s="2"/>
      <c r="OO25" s="50">
        <v>46.6</v>
      </c>
      <c r="PJ25" s="5"/>
      <c r="PK25" s="5"/>
      <c r="PT25" s="2"/>
      <c r="PU25" s="2"/>
      <c r="PW25" s="50">
        <v>46.6</v>
      </c>
      <c r="QR25" s="5"/>
      <c r="QS25" s="5"/>
      <c r="RB25" s="2"/>
      <c r="RC25" s="2"/>
      <c r="RE25" s="50">
        <v>46.6</v>
      </c>
      <c r="RZ25" s="5"/>
      <c r="SA25" s="5"/>
      <c r="SJ25" s="2"/>
      <c r="SK25" s="2"/>
      <c r="SM25" s="50">
        <v>46.6</v>
      </c>
    </row>
    <row r="26" spans="1:536" s="37" customFormat="1" x14ac:dyDescent="0.2">
      <c r="A26"/>
      <c r="B26" s="30" t="s">
        <v>58</v>
      </c>
      <c r="C26" s="2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M26" s="33"/>
      <c r="AP26" s="33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O26" s="33"/>
      <c r="CR26" s="33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T26"/>
      <c r="GU26"/>
      <c r="GV26"/>
      <c r="GW26"/>
      <c r="GX26"/>
      <c r="GY26"/>
      <c r="GZ26"/>
      <c r="HA26"/>
      <c r="HB26"/>
      <c r="HC26"/>
      <c r="HD26"/>
      <c r="HE26"/>
      <c r="HF26"/>
      <c r="HG26"/>
      <c r="HH26"/>
      <c r="HI26"/>
      <c r="HJ26"/>
      <c r="HK26"/>
      <c r="HL26"/>
      <c r="HM26"/>
      <c r="HN26"/>
      <c r="HO26"/>
      <c r="HP26"/>
      <c r="HQ26"/>
      <c r="HR26"/>
      <c r="HS26"/>
      <c r="HT26"/>
      <c r="HU26"/>
      <c r="HV26"/>
      <c r="HW26"/>
      <c r="HX26"/>
      <c r="HY26"/>
      <c r="HZ26"/>
      <c r="IB26"/>
      <c r="IC26"/>
      <c r="ID26"/>
      <c r="IE26"/>
      <c r="IF26"/>
      <c r="IG26"/>
      <c r="IH26"/>
      <c r="II26"/>
      <c r="IJ26"/>
      <c r="IK26"/>
      <c r="IL26"/>
      <c r="IM26"/>
      <c r="IN26"/>
      <c r="IO26"/>
      <c r="IP26"/>
      <c r="IQ26"/>
      <c r="IR26"/>
      <c r="IS26"/>
      <c r="IT26"/>
      <c r="IU26"/>
      <c r="IV26"/>
      <c r="IW26"/>
      <c r="IX26"/>
      <c r="IY26"/>
      <c r="IZ26"/>
      <c r="JA26"/>
      <c r="JB26"/>
      <c r="JC26"/>
      <c r="JD26"/>
      <c r="JE26"/>
      <c r="JF26"/>
      <c r="JG26"/>
      <c r="JH26"/>
      <c r="JJ26"/>
      <c r="JK26"/>
      <c r="JL26"/>
      <c r="JM26"/>
      <c r="JN26"/>
      <c r="JO26"/>
      <c r="JP26"/>
      <c r="JQ26"/>
      <c r="JR26"/>
      <c r="JS26"/>
      <c r="JT26"/>
      <c r="JU26"/>
      <c r="JV26"/>
      <c r="JW26"/>
      <c r="JX26"/>
      <c r="JY26"/>
      <c r="JZ26"/>
      <c r="KA26"/>
      <c r="KB26"/>
      <c r="KC26"/>
      <c r="KD26"/>
      <c r="KE26"/>
      <c r="KF26"/>
      <c r="KG26"/>
      <c r="KH26"/>
      <c r="KI26"/>
      <c r="KJ26"/>
      <c r="KK26"/>
      <c r="KL26"/>
      <c r="KM26"/>
      <c r="KN26"/>
      <c r="KO26"/>
      <c r="KP26"/>
      <c r="KQ26"/>
      <c r="KR26"/>
      <c r="KS26"/>
      <c r="KT26"/>
      <c r="KU26"/>
      <c r="KV26"/>
      <c r="KW26"/>
      <c r="KX26"/>
      <c r="KY26"/>
      <c r="KZ26"/>
      <c r="LA26"/>
      <c r="LB26"/>
      <c r="LC26"/>
      <c r="LD26"/>
      <c r="LE26"/>
      <c r="LF26"/>
      <c r="LG26"/>
      <c r="LH26"/>
      <c r="LI26"/>
      <c r="LJ26"/>
      <c r="LK26"/>
      <c r="LL26"/>
      <c r="LM26"/>
      <c r="LN26"/>
      <c r="LO26"/>
      <c r="LP26"/>
      <c r="LQ26"/>
      <c r="LR26"/>
      <c r="LS26"/>
      <c r="LT26"/>
      <c r="LU26"/>
      <c r="LV26"/>
      <c r="LW26"/>
      <c r="LX26"/>
      <c r="LY26"/>
      <c r="LZ26"/>
      <c r="MA26"/>
      <c r="MB26"/>
      <c r="MC26"/>
      <c r="MD26"/>
      <c r="ME26"/>
      <c r="MF26"/>
      <c r="MG26"/>
      <c r="MH26"/>
      <c r="MI26"/>
      <c r="MJ26"/>
      <c r="MK26"/>
      <c r="ML26"/>
      <c r="MM26"/>
      <c r="MN26"/>
      <c r="MO26"/>
      <c r="MP26"/>
      <c r="MQ26"/>
      <c r="MR26"/>
      <c r="MS26"/>
      <c r="MT26"/>
      <c r="MU26"/>
      <c r="MV26"/>
      <c r="MW26"/>
      <c r="MX26"/>
      <c r="MY26"/>
      <c r="MZ26"/>
      <c r="NA26"/>
      <c r="NB26"/>
      <c r="NC26"/>
      <c r="ND26"/>
      <c r="NE26"/>
      <c r="NF26"/>
      <c r="NG26"/>
      <c r="NH26"/>
      <c r="NI26"/>
      <c r="NJ26"/>
      <c r="NK26"/>
      <c r="NL26"/>
      <c r="NM26"/>
      <c r="NN26"/>
      <c r="NO26"/>
      <c r="NP26"/>
      <c r="NQ26"/>
      <c r="NR26"/>
      <c r="NS26"/>
      <c r="NT26"/>
      <c r="NU26"/>
      <c r="NV26"/>
      <c r="NW26"/>
      <c r="NX26"/>
      <c r="NY26"/>
      <c r="NZ26"/>
      <c r="OA26"/>
      <c r="OB26"/>
      <c r="OC26"/>
      <c r="OD26"/>
      <c r="OE26"/>
      <c r="OF26"/>
      <c r="OG26"/>
      <c r="OH26"/>
      <c r="OI26"/>
      <c r="OJ26"/>
      <c r="OK26"/>
      <c r="OL26"/>
      <c r="OM26"/>
      <c r="ON26"/>
      <c r="OO26"/>
      <c r="OP26"/>
      <c r="OQ26"/>
      <c r="OR26"/>
      <c r="OS26"/>
      <c r="OT26"/>
      <c r="OU26"/>
      <c r="OV26"/>
      <c r="OW26"/>
      <c r="OX26"/>
      <c r="OY26"/>
      <c r="OZ26"/>
      <c r="PA26"/>
      <c r="PB26"/>
      <c r="PC26"/>
      <c r="PD26"/>
      <c r="PE26"/>
      <c r="PF26"/>
      <c r="PG26"/>
      <c r="PH26"/>
      <c r="PI26"/>
      <c r="PJ26"/>
      <c r="PK26"/>
      <c r="PL26"/>
      <c r="PM26"/>
      <c r="PN26"/>
      <c r="PO26"/>
      <c r="PP26"/>
      <c r="PQ26"/>
      <c r="PR26"/>
      <c r="PS26"/>
      <c r="PT26"/>
      <c r="PU26"/>
      <c r="PV26"/>
      <c r="PW26"/>
      <c r="PX26"/>
      <c r="PY26"/>
      <c r="PZ26"/>
      <c r="QA26"/>
      <c r="QB26"/>
      <c r="QC26"/>
      <c r="QD26"/>
      <c r="QE26"/>
      <c r="QF26"/>
      <c r="QG26"/>
      <c r="QH26"/>
      <c r="QI26"/>
      <c r="QJ26"/>
      <c r="QK26"/>
      <c r="QL26"/>
      <c r="QM26"/>
      <c r="QN26"/>
      <c r="QO26"/>
      <c r="QP26"/>
      <c r="QQ26"/>
      <c r="QR26"/>
      <c r="QS26"/>
      <c r="QT26"/>
      <c r="QU26"/>
      <c r="QV26"/>
      <c r="QW26"/>
      <c r="QX26"/>
      <c r="QY26"/>
      <c r="QZ26"/>
      <c r="RA26"/>
      <c r="RB26"/>
      <c r="RC26"/>
      <c r="RD26"/>
      <c r="RE26"/>
      <c r="RF26"/>
      <c r="RG26"/>
      <c r="RH26"/>
      <c r="RI26"/>
      <c r="RJ26"/>
      <c r="RK26"/>
      <c r="RL26"/>
      <c r="RM26"/>
      <c r="RN26"/>
      <c r="RO26"/>
      <c r="RP26"/>
      <c r="RQ26"/>
      <c r="RR26"/>
      <c r="RS26"/>
      <c r="RT26"/>
      <c r="RU26"/>
      <c r="RV26"/>
      <c r="RW26"/>
      <c r="RX26"/>
      <c r="RY26"/>
      <c r="RZ26"/>
      <c r="SA26"/>
      <c r="SB26"/>
      <c r="SC26"/>
      <c r="SD26"/>
      <c r="SE26"/>
      <c r="SF26"/>
      <c r="SG26"/>
      <c r="SH26"/>
      <c r="SI26"/>
      <c r="SJ26"/>
      <c r="SK26"/>
      <c r="SL26"/>
      <c r="SM26"/>
      <c r="SN26"/>
      <c r="SO26"/>
      <c r="SP26"/>
      <c r="SQ26"/>
      <c r="SR26"/>
      <c r="SS26"/>
      <c r="ST26"/>
      <c r="SU26"/>
      <c r="SV26"/>
      <c r="SW26"/>
      <c r="SX26"/>
      <c r="SY26"/>
      <c r="SZ26"/>
      <c r="TA26"/>
      <c r="TB26"/>
      <c r="TC26"/>
      <c r="TD26"/>
      <c r="TE26"/>
      <c r="TF26"/>
      <c r="TG26"/>
      <c r="TH26"/>
      <c r="TI26"/>
      <c r="TJ26"/>
      <c r="TK26"/>
      <c r="TL26"/>
      <c r="TM26"/>
      <c r="TN26"/>
      <c r="TO26"/>
      <c r="TP26"/>
    </row>
    <row r="27" spans="1:536" s="37" customFormat="1" x14ac:dyDescent="0.2">
      <c r="A27" s="5"/>
      <c r="B27" s="5"/>
      <c r="C27" s="20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I27" s="33"/>
      <c r="AJ27" s="33"/>
      <c r="AK27" s="33"/>
      <c r="AL27" s="33"/>
      <c r="AM27" s="33"/>
      <c r="AP27" s="33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K27" s="33"/>
      <c r="CL27" s="33"/>
      <c r="CM27" s="33"/>
      <c r="CN27" s="33"/>
      <c r="CO27" s="33"/>
      <c r="CR27" s="33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T27"/>
      <c r="GU27"/>
      <c r="GV27"/>
      <c r="GW27"/>
      <c r="GX27"/>
      <c r="GY27"/>
      <c r="GZ27"/>
      <c r="HA27"/>
      <c r="HB27"/>
      <c r="HC27"/>
      <c r="HD27"/>
      <c r="HE27"/>
      <c r="HF27"/>
      <c r="HG27"/>
      <c r="HH27"/>
      <c r="HI27"/>
      <c r="HJ27"/>
      <c r="HK27"/>
      <c r="HL27"/>
      <c r="HM27"/>
      <c r="HN27"/>
      <c r="HO27"/>
      <c r="HP27"/>
      <c r="HQ27"/>
      <c r="HR27"/>
      <c r="HS27"/>
      <c r="HT27"/>
      <c r="HU27"/>
      <c r="HV27"/>
      <c r="HW27"/>
      <c r="HX27"/>
      <c r="HY27"/>
      <c r="HZ27"/>
      <c r="IB27"/>
      <c r="IC27"/>
      <c r="ID27"/>
      <c r="IE27"/>
      <c r="IF27"/>
      <c r="IG27"/>
      <c r="IH27"/>
      <c r="II27"/>
      <c r="IJ27"/>
      <c r="IK27"/>
      <c r="IL27"/>
      <c r="IM27"/>
      <c r="IN27"/>
      <c r="IO27"/>
      <c r="IP27"/>
      <c r="IQ27"/>
      <c r="IR27"/>
      <c r="IS27"/>
      <c r="IT27"/>
      <c r="IU27"/>
      <c r="IV27"/>
      <c r="IW27"/>
      <c r="IX27"/>
      <c r="IY27"/>
      <c r="IZ27"/>
      <c r="JA27"/>
      <c r="JB27"/>
      <c r="JC27"/>
      <c r="JD27"/>
      <c r="JE27"/>
      <c r="JF27"/>
      <c r="JG27"/>
      <c r="JH27"/>
      <c r="JJ27"/>
      <c r="JK27"/>
      <c r="JL27"/>
      <c r="JM27"/>
      <c r="JN27"/>
      <c r="JO27"/>
      <c r="JP27"/>
      <c r="JQ27"/>
      <c r="JR27"/>
      <c r="JS27"/>
      <c r="JT27"/>
      <c r="JU27"/>
      <c r="JV27"/>
      <c r="JW27"/>
      <c r="JX27"/>
      <c r="JY27"/>
      <c r="JZ27"/>
      <c r="KA27"/>
      <c r="KB27"/>
      <c r="KC27"/>
      <c r="KD27"/>
      <c r="KE27"/>
      <c r="KF27"/>
      <c r="KG27"/>
      <c r="KH27"/>
      <c r="KI27"/>
      <c r="KJ27"/>
      <c r="KK27"/>
      <c r="KL27"/>
      <c r="KM27"/>
      <c r="KN27"/>
      <c r="KO27"/>
      <c r="KP27"/>
      <c r="KQ27"/>
      <c r="KR27"/>
      <c r="KS27"/>
      <c r="KT27"/>
      <c r="KU27"/>
      <c r="KV27"/>
      <c r="KW27"/>
      <c r="KX27"/>
      <c r="KY27"/>
      <c r="KZ27"/>
      <c r="LA27"/>
      <c r="LB27"/>
      <c r="LC27"/>
      <c r="LD27"/>
      <c r="LE27"/>
      <c r="LF27"/>
      <c r="LG27"/>
      <c r="LH27"/>
      <c r="LI27"/>
      <c r="LJ27"/>
      <c r="LK27"/>
      <c r="LL27"/>
      <c r="LM27"/>
      <c r="LN27"/>
      <c r="LO27"/>
      <c r="LP27"/>
      <c r="LQ27"/>
      <c r="LR27"/>
      <c r="LS27"/>
      <c r="LT27"/>
      <c r="LU27"/>
      <c r="LV27"/>
      <c r="LW27"/>
      <c r="LX27"/>
      <c r="LY27"/>
      <c r="LZ27"/>
      <c r="MA27"/>
      <c r="MB27"/>
      <c r="MC27"/>
      <c r="MD27"/>
      <c r="ME27"/>
      <c r="MF27"/>
      <c r="MG27"/>
      <c r="MH27"/>
      <c r="MI27"/>
      <c r="MJ27"/>
      <c r="MK27"/>
      <c r="ML27"/>
      <c r="MM27"/>
      <c r="MN27"/>
      <c r="MO27"/>
      <c r="MP27"/>
      <c r="MQ27"/>
      <c r="MR27"/>
      <c r="MS27"/>
      <c r="MT27"/>
      <c r="MU27"/>
      <c r="MV27"/>
      <c r="MW27"/>
      <c r="MX27"/>
      <c r="MY27"/>
      <c r="MZ27"/>
      <c r="NA27"/>
      <c r="NB27"/>
      <c r="NC27"/>
      <c r="ND27"/>
      <c r="NE27"/>
      <c r="NF27"/>
      <c r="NG27"/>
      <c r="NH27"/>
      <c r="NI27"/>
      <c r="NJ27"/>
      <c r="NK27"/>
      <c r="NL27"/>
      <c r="NM27"/>
      <c r="NN27"/>
      <c r="NO27"/>
      <c r="NP27"/>
      <c r="NQ27"/>
      <c r="NR27"/>
      <c r="NS27"/>
      <c r="NT27"/>
      <c r="NU27"/>
      <c r="NV27"/>
      <c r="NW27"/>
      <c r="NX27"/>
      <c r="NY27"/>
      <c r="NZ27"/>
      <c r="OA27"/>
      <c r="OB27"/>
      <c r="OC27"/>
      <c r="OD27"/>
      <c r="OE27"/>
      <c r="OF27"/>
      <c r="OG27"/>
      <c r="OH27"/>
      <c r="OI27"/>
      <c r="OJ27"/>
      <c r="OK27"/>
      <c r="OL27"/>
      <c r="OM27"/>
      <c r="ON27"/>
      <c r="OO27"/>
      <c r="OP27"/>
      <c r="OQ27"/>
      <c r="OR27"/>
      <c r="OS27"/>
      <c r="OT27"/>
      <c r="OU27"/>
      <c r="OV27"/>
      <c r="OW27"/>
      <c r="OX27"/>
      <c r="OY27"/>
      <c r="OZ27"/>
      <c r="PA27"/>
      <c r="PB27"/>
      <c r="PC27"/>
      <c r="PD27"/>
      <c r="PE27"/>
      <c r="PF27"/>
      <c r="PG27"/>
      <c r="PH27"/>
      <c r="PI27"/>
      <c r="PJ27"/>
      <c r="PK27"/>
      <c r="PL27"/>
      <c r="PM27"/>
      <c r="PN27"/>
      <c r="PO27"/>
      <c r="PP27"/>
      <c r="PQ27"/>
      <c r="PR27"/>
      <c r="PS27"/>
      <c r="PT27"/>
      <c r="PU27"/>
      <c r="PV27"/>
      <c r="PW27"/>
      <c r="PX27"/>
      <c r="PY27"/>
      <c r="PZ27"/>
      <c r="QA27"/>
      <c r="QB27"/>
      <c r="QC27"/>
      <c r="QD27"/>
      <c r="QE27"/>
      <c r="QF27"/>
      <c r="QG27"/>
      <c r="QH27"/>
      <c r="QI27"/>
      <c r="QJ27"/>
      <c r="QK27"/>
      <c r="QL27"/>
      <c r="QM27"/>
      <c r="QN27"/>
      <c r="QO27"/>
      <c r="QP27"/>
      <c r="QQ27"/>
      <c r="QR27"/>
      <c r="QS27"/>
      <c r="QT27"/>
      <c r="QU27"/>
      <c r="QV27"/>
      <c r="QW27"/>
      <c r="QX27"/>
      <c r="QY27"/>
      <c r="QZ27"/>
      <c r="RA27"/>
      <c r="RB27"/>
      <c r="RC27"/>
      <c r="RD27"/>
      <c r="RE27"/>
      <c r="RF27"/>
      <c r="RG27"/>
      <c r="RH27"/>
      <c r="RI27"/>
      <c r="RJ27"/>
      <c r="RK27"/>
      <c r="RL27"/>
      <c r="RM27"/>
      <c r="RN27"/>
      <c r="RO27"/>
      <c r="RP27"/>
      <c r="RQ27"/>
      <c r="RR27"/>
      <c r="RS27"/>
      <c r="RT27"/>
      <c r="RU27"/>
      <c r="RV27"/>
      <c r="RW27"/>
      <c r="RX27"/>
      <c r="RY27"/>
      <c r="RZ27"/>
      <c r="SA27"/>
      <c r="SB27"/>
      <c r="SC27"/>
      <c r="SD27"/>
      <c r="SE27"/>
      <c r="SF27"/>
      <c r="SG27"/>
      <c r="SH27"/>
      <c r="SI27"/>
      <c r="SJ27"/>
      <c r="SK27"/>
      <c r="SL27"/>
      <c r="SM27"/>
      <c r="SN27"/>
      <c r="SO27"/>
      <c r="SP27"/>
      <c r="SQ27"/>
      <c r="SR27"/>
      <c r="SS27"/>
      <c r="ST27"/>
      <c r="SU27"/>
      <c r="SV27"/>
      <c r="SW27"/>
      <c r="SX27"/>
      <c r="SY27"/>
      <c r="SZ27"/>
      <c r="TA27"/>
      <c r="TB27"/>
      <c r="TC27"/>
      <c r="TD27"/>
      <c r="TE27"/>
      <c r="TF27"/>
      <c r="TG27"/>
      <c r="TH27"/>
      <c r="TI27"/>
      <c r="TJ27"/>
      <c r="TK27"/>
      <c r="TL27"/>
      <c r="TM27"/>
      <c r="TN27"/>
      <c r="TO27"/>
      <c r="TP27"/>
    </row>
    <row r="28" spans="1:536" s="37" customFormat="1" ht="17" x14ac:dyDescent="0.2">
      <c r="A28" s="5"/>
      <c r="B28" s="5"/>
      <c r="C28" s="20"/>
      <c r="D28"/>
      <c r="E28"/>
      <c r="F28"/>
      <c r="G28"/>
      <c r="H28"/>
      <c r="I28"/>
      <c r="J28"/>
      <c r="K28"/>
      <c r="L28"/>
      <c r="M28"/>
      <c r="N28" s="10"/>
      <c r="O28" s="10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I28" s="33"/>
      <c r="AJ28" s="33"/>
      <c r="AK28" s="33"/>
      <c r="AL28" s="33"/>
      <c r="AM28" s="33"/>
      <c r="AP28" s="33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K28" s="33"/>
      <c r="CL28" s="33"/>
      <c r="CM28" s="33"/>
      <c r="CN28" s="33"/>
      <c r="CO28" s="33"/>
      <c r="CR28" s="33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T28"/>
      <c r="GU28"/>
      <c r="GV28"/>
      <c r="GW28"/>
      <c r="GX28"/>
      <c r="GY28"/>
      <c r="GZ28"/>
      <c r="HA28"/>
      <c r="HB28"/>
      <c r="HC28"/>
      <c r="HD28"/>
      <c r="HE28"/>
      <c r="HF28"/>
      <c r="HG28"/>
      <c r="HH28"/>
      <c r="HI28"/>
      <c r="HJ28"/>
      <c r="HK28"/>
      <c r="HL28"/>
      <c r="HM28"/>
      <c r="HN28"/>
      <c r="HO28"/>
      <c r="HP28"/>
      <c r="HQ28"/>
      <c r="HR28"/>
      <c r="HS28"/>
      <c r="HT28"/>
      <c r="HU28"/>
      <c r="HV28"/>
      <c r="HW28"/>
      <c r="HX28"/>
      <c r="HY28"/>
      <c r="HZ28"/>
      <c r="IB28"/>
      <c r="IC28"/>
      <c r="ID28"/>
      <c r="IE28"/>
      <c r="IF28"/>
      <c r="IG28"/>
      <c r="IH28"/>
      <c r="II28"/>
      <c r="IJ28"/>
      <c r="IK28"/>
      <c r="IL28"/>
      <c r="IM28"/>
      <c r="IN28"/>
      <c r="IO28"/>
      <c r="IP28"/>
      <c r="IQ28"/>
      <c r="IR28"/>
      <c r="IS28"/>
      <c r="IT28"/>
      <c r="IU28"/>
      <c r="IV28"/>
      <c r="IW28"/>
      <c r="IX28"/>
      <c r="IY28"/>
      <c r="IZ28"/>
      <c r="JA28"/>
      <c r="JB28"/>
      <c r="JC28"/>
      <c r="JD28"/>
      <c r="JE28"/>
      <c r="JF28"/>
      <c r="JG28"/>
      <c r="JH28"/>
      <c r="JJ28"/>
      <c r="JK28"/>
      <c r="JL28"/>
      <c r="JM28"/>
      <c r="JN28"/>
      <c r="JO28"/>
      <c r="JP28"/>
      <c r="JQ28"/>
      <c r="JR28"/>
      <c r="JS28"/>
      <c r="JT28"/>
      <c r="JU28"/>
      <c r="JV28"/>
      <c r="JW28"/>
      <c r="JX28"/>
      <c r="JY28"/>
      <c r="JZ28"/>
      <c r="KA28"/>
      <c r="KB28"/>
      <c r="KC28"/>
      <c r="KD28"/>
      <c r="KE28"/>
      <c r="KF28"/>
      <c r="KG28"/>
      <c r="KH28"/>
      <c r="KI28"/>
      <c r="KJ28"/>
      <c r="KK28"/>
      <c r="KL28"/>
      <c r="KM28"/>
      <c r="KN28"/>
      <c r="KO28"/>
      <c r="KP28"/>
      <c r="KQ28"/>
      <c r="KR28"/>
      <c r="KS28"/>
      <c r="KT28"/>
      <c r="KU28"/>
      <c r="KV28"/>
      <c r="KW28"/>
      <c r="KX28"/>
      <c r="KY28"/>
      <c r="KZ28"/>
      <c r="LA28"/>
      <c r="LB28"/>
      <c r="LC28"/>
      <c r="LD28"/>
      <c r="LE28"/>
      <c r="LF28"/>
      <c r="LG28"/>
      <c r="LH28"/>
      <c r="LI28"/>
      <c r="LJ28"/>
      <c r="LK28"/>
      <c r="LL28"/>
      <c r="LM28"/>
      <c r="LN28"/>
      <c r="LO28"/>
      <c r="LP28"/>
      <c r="LQ28"/>
      <c r="LR28"/>
      <c r="LS28"/>
      <c r="LT28"/>
      <c r="LU28"/>
      <c r="LV28"/>
      <c r="LW28"/>
      <c r="LX28"/>
      <c r="LY28"/>
      <c r="LZ28"/>
      <c r="MA28"/>
      <c r="MB28"/>
      <c r="MC28"/>
      <c r="MD28"/>
      <c r="ME28"/>
      <c r="MF28"/>
      <c r="MG28"/>
      <c r="MH28"/>
      <c r="MI28"/>
      <c r="MJ28"/>
      <c r="MK28"/>
      <c r="ML28"/>
      <c r="MM28"/>
      <c r="MN28"/>
      <c r="MO28"/>
      <c r="MP28"/>
      <c r="MQ28"/>
      <c r="MR28"/>
      <c r="MS28"/>
      <c r="MT28"/>
      <c r="MU28"/>
      <c r="MV28"/>
      <c r="MW28"/>
      <c r="MX28"/>
      <c r="MY28"/>
      <c r="MZ28"/>
      <c r="NA28"/>
      <c r="NB28"/>
      <c r="NC28"/>
      <c r="ND28"/>
      <c r="NE28"/>
      <c r="NF28"/>
      <c r="NG28"/>
      <c r="NH28"/>
      <c r="NI28"/>
      <c r="NJ28"/>
      <c r="NK28"/>
      <c r="NL28"/>
      <c r="NM28"/>
      <c r="NN28"/>
      <c r="NO28"/>
      <c r="NP28"/>
      <c r="NQ28"/>
      <c r="NR28"/>
      <c r="NS28"/>
      <c r="NT28"/>
      <c r="NU28"/>
      <c r="NV28"/>
      <c r="NW28"/>
      <c r="NX28"/>
      <c r="NY28"/>
      <c r="NZ28"/>
      <c r="OA28"/>
      <c r="OB28"/>
      <c r="OC28"/>
      <c r="OD28"/>
      <c r="OE28"/>
      <c r="OF28"/>
      <c r="OG28"/>
      <c r="OH28"/>
      <c r="OI28"/>
      <c r="OJ28"/>
      <c r="OK28"/>
      <c r="OL28"/>
      <c r="OM28"/>
      <c r="ON28"/>
      <c r="OO28"/>
      <c r="OP28"/>
      <c r="OQ28"/>
      <c r="OR28"/>
      <c r="OS28"/>
      <c r="OT28"/>
      <c r="OU28"/>
      <c r="OV28"/>
      <c r="OW28"/>
      <c r="OX28"/>
      <c r="OY28"/>
      <c r="OZ28"/>
      <c r="PA28"/>
      <c r="PB28"/>
      <c r="PC28"/>
      <c r="PD28"/>
      <c r="PE28"/>
      <c r="PF28"/>
      <c r="PG28"/>
      <c r="PH28"/>
      <c r="PI28"/>
      <c r="PJ28"/>
      <c r="PK28"/>
      <c r="PL28"/>
      <c r="PM28"/>
      <c r="PN28"/>
      <c r="PO28"/>
      <c r="PP28"/>
      <c r="PQ28"/>
      <c r="PR28"/>
      <c r="PS28"/>
      <c r="PT28"/>
      <c r="PU28"/>
      <c r="PV28"/>
      <c r="PW28"/>
      <c r="PX28"/>
      <c r="PY28"/>
      <c r="PZ28"/>
      <c r="QA28"/>
      <c r="QB28"/>
      <c r="QC28"/>
      <c r="QD28"/>
      <c r="QE28"/>
      <c r="QF28"/>
      <c r="QG28"/>
      <c r="QH28"/>
      <c r="QI28"/>
      <c r="QJ28"/>
      <c r="QK28"/>
      <c r="QL28"/>
      <c r="QM28"/>
      <c r="QN28"/>
      <c r="QO28"/>
      <c r="QP28"/>
      <c r="QQ28"/>
      <c r="QR28"/>
      <c r="QS28"/>
      <c r="QT28"/>
      <c r="QU28"/>
      <c r="QV28"/>
      <c r="QW28"/>
      <c r="QX28"/>
      <c r="QY28"/>
      <c r="QZ28"/>
      <c r="RA28"/>
      <c r="RB28"/>
      <c r="RC28"/>
      <c r="RD28"/>
      <c r="RE28"/>
      <c r="RF28"/>
      <c r="RG28"/>
      <c r="RH28"/>
      <c r="RI28"/>
      <c r="RJ28"/>
      <c r="RK28"/>
      <c r="RL28"/>
      <c r="RM28"/>
      <c r="RN28"/>
      <c r="RO28"/>
      <c r="RP28"/>
      <c r="RQ28"/>
      <c r="RR28"/>
      <c r="RS28"/>
      <c r="RT28"/>
      <c r="RU28"/>
      <c r="RV28"/>
      <c r="RW28"/>
      <c r="RX28"/>
      <c r="RY28"/>
      <c r="RZ28"/>
      <c r="SA28"/>
      <c r="SB28"/>
      <c r="SC28"/>
      <c r="SD28"/>
      <c r="SE28"/>
      <c r="SF28"/>
      <c r="SG28"/>
      <c r="SH28"/>
      <c r="SI28"/>
      <c r="SJ28"/>
      <c r="SK28"/>
      <c r="SL28"/>
      <c r="SM28"/>
      <c r="SN28"/>
      <c r="SO28"/>
      <c r="SP28"/>
      <c r="SQ28"/>
      <c r="SR28"/>
      <c r="SS28"/>
      <c r="ST28"/>
      <c r="SU28"/>
      <c r="SV28"/>
      <c r="SW28"/>
      <c r="SX28"/>
      <c r="SY28"/>
      <c r="SZ28"/>
      <c r="TA28"/>
      <c r="TB28"/>
      <c r="TC28"/>
      <c r="TD28"/>
      <c r="TE28"/>
      <c r="TF28"/>
      <c r="TG28"/>
      <c r="TH28"/>
      <c r="TI28"/>
      <c r="TJ28"/>
      <c r="TK28"/>
      <c r="TL28"/>
      <c r="TM28"/>
      <c r="TN28"/>
      <c r="TO28"/>
      <c r="TP28"/>
    </row>
    <row r="29" spans="1:536" s="37" customFormat="1" ht="17" x14ac:dyDescent="0.2">
      <c r="A29" s="5"/>
      <c r="B29" s="5"/>
      <c r="C29" s="20"/>
      <c r="D29"/>
      <c r="E29"/>
      <c r="F29"/>
      <c r="G29"/>
      <c r="H29"/>
      <c r="I29"/>
      <c r="J29"/>
      <c r="K29"/>
      <c r="L29"/>
      <c r="M29"/>
      <c r="N29" s="10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I29" s="33"/>
      <c r="AJ29" s="33"/>
      <c r="AK29" s="33"/>
      <c r="AL29" s="33"/>
      <c r="AM29" s="33"/>
      <c r="AP29" s="33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K29" s="33"/>
      <c r="CL29" s="33"/>
      <c r="CM29" s="33"/>
      <c r="CN29" s="33"/>
      <c r="CO29" s="33"/>
      <c r="CR29" s="33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T29"/>
      <c r="GU29"/>
      <c r="GV29"/>
      <c r="GW29"/>
      <c r="GX29"/>
      <c r="GY29"/>
      <c r="GZ29"/>
      <c r="HA29"/>
      <c r="HB29"/>
      <c r="HC29"/>
      <c r="HD29"/>
      <c r="HE29"/>
      <c r="HF29"/>
      <c r="HG29"/>
      <c r="HH29"/>
      <c r="HI29"/>
      <c r="HJ29"/>
      <c r="HK29"/>
      <c r="HL29"/>
      <c r="HM29"/>
      <c r="HN29"/>
      <c r="HO29"/>
      <c r="HP29"/>
      <c r="HQ29"/>
      <c r="HR29"/>
      <c r="HS29"/>
      <c r="HT29"/>
      <c r="HU29"/>
      <c r="HV29"/>
      <c r="HW29"/>
      <c r="HX29"/>
      <c r="HY29"/>
      <c r="HZ29"/>
      <c r="IB29"/>
      <c r="IC29"/>
      <c r="ID29"/>
      <c r="IE29"/>
      <c r="IF29"/>
      <c r="IG29"/>
      <c r="IH29"/>
      <c r="II29"/>
      <c r="IJ29"/>
      <c r="IK29"/>
      <c r="IL29"/>
      <c r="IM29"/>
      <c r="IN29"/>
      <c r="IO29"/>
      <c r="IP29"/>
      <c r="IQ29"/>
      <c r="IR29"/>
      <c r="IS29"/>
      <c r="IT29"/>
      <c r="IU29"/>
      <c r="IV29"/>
      <c r="IW29"/>
      <c r="IX29"/>
      <c r="IY29"/>
      <c r="IZ29"/>
      <c r="JA29"/>
      <c r="JB29"/>
      <c r="JC29"/>
      <c r="JD29"/>
      <c r="JE29"/>
      <c r="JF29"/>
      <c r="JG29"/>
      <c r="JH29"/>
      <c r="JJ29"/>
      <c r="JK29"/>
      <c r="JL29"/>
      <c r="JM29"/>
      <c r="JN29"/>
      <c r="JO29"/>
      <c r="JP29"/>
      <c r="JQ29"/>
      <c r="JR29"/>
      <c r="JS29"/>
      <c r="JT29"/>
      <c r="JU29"/>
      <c r="JV29"/>
      <c r="JW29"/>
      <c r="JX29"/>
      <c r="JY29"/>
      <c r="JZ29"/>
      <c r="KA29"/>
      <c r="KB29"/>
      <c r="KC29"/>
      <c r="KD29"/>
      <c r="KE29"/>
      <c r="KF29"/>
      <c r="KG29"/>
      <c r="KH29"/>
      <c r="KI29"/>
      <c r="KJ29"/>
      <c r="KK29"/>
      <c r="KL29"/>
      <c r="KM29"/>
      <c r="KN29"/>
      <c r="KO29"/>
      <c r="KP29"/>
      <c r="KQ29"/>
      <c r="KR29"/>
      <c r="KS29"/>
      <c r="KT29"/>
      <c r="KU29"/>
      <c r="KV29"/>
      <c r="KW29"/>
      <c r="KX29"/>
      <c r="KY29"/>
      <c r="KZ29"/>
      <c r="LA29"/>
      <c r="LB29"/>
      <c r="LC29"/>
      <c r="LD29"/>
      <c r="LE29"/>
      <c r="LF29"/>
      <c r="LG29"/>
      <c r="LH29"/>
      <c r="LI29"/>
      <c r="LJ29"/>
      <c r="LK29"/>
      <c r="LL29"/>
      <c r="LM29"/>
      <c r="LN29"/>
      <c r="LO29"/>
      <c r="LP29"/>
      <c r="LQ29"/>
      <c r="LR29"/>
      <c r="LS29"/>
      <c r="LT29"/>
      <c r="LU29"/>
      <c r="LV29"/>
      <c r="LW29"/>
      <c r="LX29"/>
      <c r="LY29"/>
      <c r="LZ29"/>
      <c r="MA29"/>
      <c r="MB29"/>
      <c r="MC29"/>
      <c r="MD29"/>
      <c r="ME29"/>
      <c r="MF29"/>
      <c r="MG29"/>
      <c r="MH29"/>
      <c r="MI29"/>
      <c r="MJ29"/>
      <c r="MK29"/>
      <c r="ML29"/>
      <c r="MM29"/>
      <c r="MN29"/>
      <c r="MO29"/>
      <c r="MP29"/>
      <c r="MQ29"/>
      <c r="MR29"/>
      <c r="MS29"/>
      <c r="MT29"/>
      <c r="MU29"/>
      <c r="MV29"/>
      <c r="MW29"/>
      <c r="MX29"/>
      <c r="MY29"/>
      <c r="MZ29"/>
      <c r="NA29"/>
      <c r="NB29"/>
      <c r="NC29"/>
      <c r="ND29"/>
      <c r="NE29"/>
      <c r="NF29"/>
      <c r="NG29"/>
      <c r="NH29"/>
      <c r="NI29"/>
      <c r="NJ29"/>
      <c r="NK29"/>
      <c r="NL29"/>
      <c r="NM29"/>
      <c r="NN29"/>
      <c r="NO29"/>
      <c r="NP29"/>
      <c r="NQ29"/>
      <c r="NR29"/>
      <c r="NS29"/>
      <c r="NT29"/>
      <c r="NU29"/>
      <c r="NV29"/>
      <c r="NW29"/>
      <c r="NX29"/>
      <c r="NY29"/>
      <c r="NZ29"/>
      <c r="OA29"/>
      <c r="OB29"/>
      <c r="OC29"/>
      <c r="OD29"/>
      <c r="OE29"/>
      <c r="OF29"/>
      <c r="OG29"/>
      <c r="OH29"/>
      <c r="OI29"/>
      <c r="OJ29"/>
      <c r="OK29"/>
      <c r="OL29"/>
      <c r="OM29"/>
      <c r="ON29"/>
      <c r="OO29"/>
      <c r="OP29"/>
      <c r="OQ29"/>
      <c r="OR29"/>
      <c r="OS29"/>
      <c r="OT29"/>
      <c r="OU29"/>
      <c r="OV29"/>
      <c r="OW29"/>
      <c r="OX29"/>
      <c r="OY29"/>
      <c r="OZ29"/>
      <c r="PA29"/>
      <c r="PB29"/>
      <c r="PC29"/>
      <c r="PD29"/>
      <c r="PE29"/>
      <c r="PF29"/>
      <c r="PG29"/>
      <c r="PH29"/>
      <c r="PI29"/>
      <c r="PJ29"/>
      <c r="PK29"/>
      <c r="PL29"/>
      <c r="PM29"/>
      <c r="PN29"/>
      <c r="PO29"/>
      <c r="PP29"/>
      <c r="PQ29"/>
      <c r="PR29"/>
      <c r="PS29"/>
      <c r="PT29"/>
      <c r="PU29"/>
      <c r="PV29"/>
      <c r="PW29"/>
      <c r="PX29"/>
      <c r="PY29"/>
      <c r="PZ29"/>
      <c r="QA29"/>
      <c r="QB29"/>
      <c r="QC29"/>
      <c r="QD29"/>
      <c r="QE29"/>
      <c r="QF29"/>
      <c r="QG29"/>
      <c r="QH29"/>
      <c r="QI29"/>
      <c r="QJ29"/>
      <c r="QK29"/>
      <c r="QL29"/>
      <c r="QM29"/>
      <c r="QN29"/>
      <c r="QO29"/>
      <c r="QP29"/>
      <c r="QQ29"/>
      <c r="QR29"/>
      <c r="QS29"/>
      <c r="QT29"/>
      <c r="QU29"/>
      <c r="QV29"/>
      <c r="QW29"/>
      <c r="QX29"/>
      <c r="QY29"/>
      <c r="QZ29"/>
      <c r="RA29"/>
      <c r="RB29"/>
      <c r="RC29"/>
      <c r="RD29"/>
      <c r="RE29"/>
      <c r="RF29"/>
      <c r="RG29"/>
      <c r="RH29"/>
      <c r="RI29"/>
      <c r="RJ29"/>
      <c r="RK29"/>
      <c r="RL29"/>
      <c r="RM29"/>
      <c r="RN29"/>
      <c r="RO29"/>
      <c r="RP29"/>
      <c r="RQ29"/>
      <c r="RR29"/>
      <c r="RS29"/>
      <c r="RT29"/>
      <c r="RU29"/>
      <c r="RV29"/>
      <c r="RW29"/>
      <c r="RX29"/>
      <c r="RY29"/>
      <c r="RZ29"/>
      <c r="SA29"/>
      <c r="SB29"/>
      <c r="SC29"/>
      <c r="SD29"/>
      <c r="SE29"/>
      <c r="SF29"/>
      <c r="SG29"/>
      <c r="SH29"/>
      <c r="SI29"/>
      <c r="SJ29"/>
      <c r="SK29"/>
      <c r="SL29"/>
      <c r="SM29"/>
      <c r="SN29"/>
      <c r="SO29"/>
      <c r="SP29"/>
      <c r="SQ29"/>
      <c r="SR29"/>
      <c r="SS29"/>
      <c r="ST29"/>
      <c r="SU29"/>
      <c r="SV29"/>
      <c r="SW29"/>
      <c r="SX29"/>
      <c r="SY29"/>
      <c r="SZ29"/>
      <c r="TA29"/>
      <c r="TB29"/>
      <c r="TC29"/>
      <c r="TD29"/>
      <c r="TE29"/>
      <c r="TF29"/>
      <c r="TG29"/>
      <c r="TH29"/>
      <c r="TI29"/>
      <c r="TJ29"/>
      <c r="TK29"/>
      <c r="TL29"/>
      <c r="TM29"/>
      <c r="TN29"/>
      <c r="TO29"/>
      <c r="TP29"/>
    </row>
    <row r="30" spans="1:536" s="37" customFormat="1" ht="17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 s="10"/>
      <c r="O30" s="1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I30" s="33"/>
      <c r="AJ30" s="33"/>
      <c r="AK30" s="33"/>
      <c r="AL30" s="33"/>
      <c r="AM30" s="33"/>
      <c r="AP30" s="33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K30" s="33"/>
      <c r="CL30" s="33"/>
      <c r="CM30" s="33"/>
      <c r="CN30" s="33"/>
      <c r="CO30" s="33"/>
      <c r="CR30" s="33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T30"/>
      <c r="GU30"/>
      <c r="GV30"/>
      <c r="GW30"/>
      <c r="GX30"/>
      <c r="GY30"/>
      <c r="GZ30"/>
      <c r="HA30"/>
      <c r="HB30"/>
      <c r="HC30"/>
      <c r="HD30"/>
      <c r="HE30"/>
      <c r="HF30"/>
      <c r="HG30"/>
      <c r="HH30"/>
      <c r="HI30"/>
      <c r="HJ30"/>
      <c r="HK30"/>
      <c r="HL30"/>
      <c r="HM30"/>
      <c r="HN30"/>
      <c r="HO30"/>
      <c r="HP30"/>
      <c r="HQ30"/>
      <c r="HR30"/>
      <c r="HS30"/>
      <c r="HT30"/>
      <c r="HU30"/>
      <c r="HV30"/>
      <c r="HW30"/>
      <c r="HX30"/>
      <c r="HY30"/>
      <c r="HZ30"/>
      <c r="IB30"/>
      <c r="IC30"/>
      <c r="ID30"/>
      <c r="IE30"/>
      <c r="IF30"/>
      <c r="IG30"/>
      <c r="IH30"/>
      <c r="II30"/>
      <c r="IJ30"/>
      <c r="IK30"/>
      <c r="IL30"/>
      <c r="IM30"/>
      <c r="IN30"/>
      <c r="IO30"/>
      <c r="IP30"/>
      <c r="IQ30"/>
      <c r="IR30"/>
      <c r="IS30"/>
      <c r="IT30"/>
      <c r="IU30"/>
      <c r="IV30"/>
      <c r="IW30"/>
      <c r="IX30"/>
      <c r="IY30"/>
      <c r="IZ30"/>
      <c r="JA30"/>
      <c r="JB30"/>
      <c r="JC30"/>
      <c r="JD30"/>
      <c r="JE30"/>
      <c r="JF30"/>
      <c r="JG30"/>
      <c r="JH30"/>
      <c r="JJ30"/>
      <c r="JK30"/>
      <c r="JL30"/>
      <c r="JM30"/>
      <c r="JN30"/>
      <c r="JO30"/>
      <c r="JP30"/>
      <c r="JQ30"/>
      <c r="JR30"/>
      <c r="JS30"/>
      <c r="JT30"/>
      <c r="JU30"/>
      <c r="JV30"/>
      <c r="JW30"/>
      <c r="JX30"/>
      <c r="JY30"/>
      <c r="JZ30"/>
      <c r="KA30"/>
      <c r="KB30"/>
      <c r="KC30"/>
      <c r="KD30"/>
      <c r="KE30"/>
      <c r="KF30"/>
      <c r="KG30"/>
      <c r="KH30"/>
      <c r="KI30"/>
      <c r="KJ30"/>
      <c r="KK30"/>
      <c r="KL30"/>
      <c r="KM30"/>
      <c r="KN30"/>
      <c r="KO30"/>
      <c r="KP30"/>
      <c r="KQ30"/>
      <c r="KR30"/>
      <c r="KS30"/>
      <c r="KT30"/>
      <c r="KU30"/>
      <c r="KV30"/>
      <c r="KW30"/>
      <c r="KX30"/>
      <c r="KY30"/>
      <c r="KZ30"/>
      <c r="LA30"/>
      <c r="LB30"/>
      <c r="LC30"/>
      <c r="LD30"/>
      <c r="LE30"/>
      <c r="LF30"/>
      <c r="LG30"/>
      <c r="LH30"/>
      <c r="LI30"/>
      <c r="LJ30"/>
      <c r="LK30"/>
      <c r="LL30"/>
      <c r="LM30"/>
      <c r="LN30"/>
      <c r="LO30"/>
      <c r="LP30"/>
      <c r="LQ30"/>
      <c r="LR30"/>
      <c r="LS30"/>
      <c r="LT30"/>
      <c r="LU30"/>
      <c r="LV30"/>
      <c r="LW30"/>
      <c r="LX30"/>
      <c r="LY30"/>
      <c r="LZ30"/>
      <c r="MA30"/>
      <c r="MB30"/>
      <c r="MC30"/>
      <c r="MD30"/>
      <c r="ME30"/>
      <c r="MF30"/>
      <c r="MG30"/>
      <c r="MH30"/>
      <c r="MI30"/>
      <c r="MJ30"/>
      <c r="MK30"/>
      <c r="ML30"/>
      <c r="MM30"/>
      <c r="MN30"/>
      <c r="MO30"/>
      <c r="MP30"/>
      <c r="MQ30"/>
      <c r="MR30"/>
      <c r="MS30"/>
      <c r="MT30"/>
      <c r="MU30"/>
      <c r="MV30"/>
      <c r="MW30"/>
      <c r="MX30"/>
      <c r="MY30"/>
      <c r="MZ30"/>
      <c r="NA30"/>
      <c r="NB30"/>
      <c r="NC30"/>
      <c r="ND30"/>
      <c r="NE30"/>
      <c r="NF30"/>
      <c r="NG30"/>
      <c r="NH30"/>
      <c r="NI30"/>
      <c r="NJ30"/>
      <c r="NK30"/>
      <c r="NL30"/>
      <c r="NM30"/>
      <c r="NN30"/>
      <c r="NO30"/>
      <c r="NP30"/>
      <c r="NQ30"/>
      <c r="NR30"/>
      <c r="NS30"/>
      <c r="NT30"/>
      <c r="NU30"/>
      <c r="NV30"/>
      <c r="NW30"/>
      <c r="NX30"/>
      <c r="NY30"/>
      <c r="NZ30"/>
      <c r="OA30"/>
      <c r="OB30"/>
      <c r="OC30"/>
      <c r="OD30"/>
      <c r="OE30"/>
      <c r="OF30"/>
      <c r="OG30"/>
      <c r="OH30"/>
      <c r="OI30"/>
      <c r="OJ30"/>
      <c r="OK30"/>
      <c r="OL30"/>
      <c r="OM30"/>
      <c r="ON30"/>
      <c r="OO30"/>
      <c r="OP30"/>
      <c r="OQ30"/>
      <c r="OR30"/>
      <c r="OS30"/>
      <c r="OT30"/>
      <c r="OU30"/>
      <c r="OV30"/>
      <c r="OW30"/>
      <c r="OX30"/>
      <c r="OY30"/>
      <c r="OZ30"/>
      <c r="PA30"/>
      <c r="PB30"/>
      <c r="PC30"/>
      <c r="PD30"/>
      <c r="PE30"/>
      <c r="PF30"/>
      <c r="PG30"/>
      <c r="PH30"/>
      <c r="PI30"/>
      <c r="PJ30"/>
      <c r="PK30"/>
      <c r="PL30"/>
      <c r="PM30"/>
      <c r="PN30"/>
      <c r="PO30"/>
      <c r="PP30"/>
      <c r="PQ30"/>
      <c r="PR30"/>
      <c r="PS30"/>
      <c r="PT30"/>
      <c r="PU30"/>
      <c r="PV30"/>
      <c r="PW30"/>
      <c r="PX30"/>
      <c r="PY30"/>
      <c r="PZ30"/>
      <c r="QA30"/>
      <c r="QB30"/>
      <c r="QC30"/>
      <c r="QD30"/>
      <c r="QE30"/>
      <c r="QF30"/>
      <c r="QG30"/>
      <c r="QH30"/>
      <c r="QI30"/>
      <c r="QJ30"/>
      <c r="QK30"/>
      <c r="QL30"/>
      <c r="QM30"/>
      <c r="QN30"/>
      <c r="QO30"/>
      <c r="QP30"/>
      <c r="QQ30"/>
      <c r="QR30"/>
      <c r="QS30"/>
      <c r="QT30"/>
      <c r="QU30"/>
      <c r="QV30"/>
      <c r="QW30"/>
      <c r="QX30"/>
      <c r="QY30"/>
      <c r="QZ30"/>
      <c r="RA30"/>
      <c r="RB30"/>
      <c r="RC30"/>
      <c r="RD30"/>
      <c r="RE30"/>
      <c r="RF30"/>
      <c r="RG30"/>
      <c r="RH30"/>
      <c r="RI30"/>
      <c r="RJ30"/>
      <c r="RK30"/>
      <c r="RL30"/>
      <c r="RM30"/>
      <c r="RN30"/>
      <c r="RO30"/>
      <c r="RP30"/>
      <c r="RQ30"/>
      <c r="RR30"/>
      <c r="RS30"/>
      <c r="RT30"/>
      <c r="RU30"/>
      <c r="RV30"/>
      <c r="RW30"/>
      <c r="RX30"/>
      <c r="RY30"/>
      <c r="RZ30"/>
      <c r="SA30"/>
      <c r="SB30"/>
      <c r="SC30"/>
      <c r="SD30"/>
      <c r="SE30"/>
      <c r="SF30"/>
      <c r="SG30"/>
      <c r="SH30"/>
      <c r="SI30"/>
      <c r="SJ30"/>
      <c r="SK30"/>
      <c r="SL30"/>
      <c r="SM30"/>
      <c r="SN30"/>
      <c r="SO30"/>
      <c r="SP30"/>
      <c r="SQ30"/>
      <c r="SR30"/>
      <c r="SS30"/>
      <c r="ST30"/>
      <c r="SU30"/>
      <c r="SV30"/>
      <c r="SW30"/>
      <c r="SX30"/>
      <c r="SY30"/>
      <c r="SZ30"/>
      <c r="TA30"/>
      <c r="TB30"/>
      <c r="TC30"/>
      <c r="TD30"/>
      <c r="TE30"/>
      <c r="TF30"/>
      <c r="TG30"/>
      <c r="TH30"/>
      <c r="TI30"/>
      <c r="TJ30"/>
      <c r="TK30"/>
      <c r="TL30"/>
      <c r="TM30"/>
      <c r="TN30"/>
      <c r="TO30"/>
      <c r="TP30"/>
    </row>
    <row r="31" spans="1:536" s="37" customFormat="1" ht="17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 s="10"/>
      <c r="O31" s="10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I31" s="33"/>
      <c r="AJ31" s="33"/>
      <c r="AK31" s="33"/>
      <c r="AL31" s="33"/>
      <c r="AM31" s="33"/>
      <c r="AP31" s="33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K31" s="33"/>
      <c r="CL31" s="33"/>
      <c r="CM31" s="33"/>
      <c r="CN31" s="33"/>
      <c r="CO31" s="33"/>
      <c r="CR31" s="33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T31"/>
      <c r="GU31"/>
      <c r="GV31"/>
      <c r="GW31"/>
      <c r="GX31"/>
      <c r="GY31"/>
      <c r="GZ31"/>
      <c r="HA31"/>
      <c r="HB31"/>
      <c r="HC31"/>
      <c r="HD31"/>
      <c r="HE31"/>
      <c r="HF31"/>
      <c r="HG31"/>
      <c r="HH31"/>
      <c r="HI31"/>
      <c r="HJ31"/>
      <c r="HK31"/>
      <c r="HL31"/>
      <c r="HM31"/>
      <c r="HN31"/>
      <c r="HO31"/>
      <c r="HP31"/>
      <c r="HQ31"/>
      <c r="HR31"/>
      <c r="HS31"/>
      <c r="HT31"/>
      <c r="HU31"/>
      <c r="HV31"/>
      <c r="HW31"/>
      <c r="HX31"/>
      <c r="HY31"/>
      <c r="HZ31"/>
      <c r="IB31"/>
      <c r="IC31"/>
      <c r="ID31"/>
      <c r="IE31"/>
      <c r="IF31"/>
      <c r="IG31"/>
      <c r="IH31"/>
      <c r="II31"/>
      <c r="IJ31"/>
      <c r="IK31"/>
      <c r="IL31"/>
      <c r="IM31"/>
      <c r="IN31"/>
      <c r="IO31"/>
      <c r="IP31"/>
      <c r="IQ31"/>
      <c r="IR31"/>
      <c r="IS31"/>
      <c r="IT31"/>
      <c r="IU31"/>
      <c r="IV31"/>
      <c r="IW31"/>
      <c r="IX31"/>
      <c r="IY31"/>
      <c r="IZ31"/>
      <c r="JA31"/>
      <c r="JB31"/>
      <c r="JC31"/>
      <c r="JD31"/>
      <c r="JE31"/>
      <c r="JF31"/>
      <c r="JG31"/>
      <c r="JH31"/>
      <c r="JJ31"/>
      <c r="JK31"/>
      <c r="JL31"/>
      <c r="JM31"/>
      <c r="JN31"/>
      <c r="JO31"/>
      <c r="JP31"/>
      <c r="JQ31"/>
      <c r="JR31"/>
      <c r="JS31"/>
      <c r="JT31"/>
      <c r="JU31"/>
      <c r="JV31"/>
      <c r="JW31"/>
      <c r="JX31"/>
      <c r="JY31"/>
      <c r="JZ31"/>
      <c r="KA31"/>
      <c r="KB31"/>
      <c r="KC31"/>
      <c r="KD31"/>
      <c r="KE31"/>
      <c r="KF31"/>
      <c r="KG31"/>
      <c r="KH31"/>
      <c r="KI31"/>
      <c r="KJ31"/>
      <c r="KK31"/>
      <c r="KL31"/>
      <c r="KM31"/>
      <c r="KN31"/>
      <c r="KO31"/>
      <c r="KP31"/>
      <c r="KQ31"/>
      <c r="KR31"/>
      <c r="KS31"/>
      <c r="KT31"/>
      <c r="KU31"/>
      <c r="KV31"/>
      <c r="KW31"/>
      <c r="KX31"/>
      <c r="KY31"/>
      <c r="KZ31"/>
      <c r="LA31"/>
      <c r="LB31"/>
      <c r="LC31"/>
      <c r="LD31"/>
      <c r="LE31"/>
      <c r="LF31"/>
      <c r="LG31"/>
      <c r="LH31"/>
      <c r="LI31"/>
      <c r="LJ31"/>
      <c r="LK31"/>
      <c r="LL31"/>
      <c r="LM31"/>
      <c r="LN31"/>
      <c r="LO31"/>
      <c r="LP31"/>
      <c r="LQ31"/>
      <c r="LR31"/>
      <c r="LS31"/>
      <c r="LT31"/>
      <c r="LU31"/>
      <c r="LV31"/>
      <c r="LW31"/>
      <c r="LX31"/>
      <c r="LY31"/>
      <c r="LZ31"/>
      <c r="MA31"/>
      <c r="MB31"/>
      <c r="MC31"/>
      <c r="MD31"/>
      <c r="ME31"/>
      <c r="MF31"/>
      <c r="MG31"/>
      <c r="MH31"/>
      <c r="MI31"/>
      <c r="MJ31"/>
      <c r="MK31"/>
      <c r="ML31"/>
      <c r="MM31"/>
      <c r="MN31"/>
      <c r="MO31"/>
      <c r="MP31"/>
      <c r="MQ31"/>
      <c r="MR31"/>
      <c r="MS31"/>
      <c r="MT31"/>
      <c r="MU31"/>
      <c r="MV31"/>
      <c r="MW31"/>
      <c r="MX31"/>
      <c r="MY31"/>
      <c r="MZ31"/>
      <c r="NA31"/>
      <c r="NB31"/>
      <c r="NC31"/>
      <c r="ND31"/>
      <c r="NE31"/>
      <c r="NF31"/>
      <c r="NG31"/>
      <c r="NH31"/>
      <c r="NI31"/>
      <c r="NJ31"/>
      <c r="NK31"/>
      <c r="NL31"/>
      <c r="NM31"/>
      <c r="NN31"/>
      <c r="NO31"/>
      <c r="NP31"/>
      <c r="NQ31"/>
      <c r="NR31"/>
      <c r="NS31"/>
      <c r="NT31"/>
      <c r="NU31"/>
      <c r="NV31"/>
      <c r="NW31"/>
      <c r="NX31"/>
      <c r="NY31"/>
      <c r="NZ31"/>
      <c r="OA31"/>
      <c r="OB31"/>
      <c r="OC31"/>
      <c r="OD31"/>
      <c r="OE31"/>
      <c r="OF31"/>
      <c r="OG31"/>
      <c r="OH31"/>
      <c r="OI31"/>
      <c r="OJ31"/>
      <c r="OK31"/>
      <c r="OL31"/>
      <c r="OM31"/>
      <c r="ON31"/>
      <c r="OO31"/>
      <c r="OP31"/>
      <c r="OQ31"/>
      <c r="OR31"/>
      <c r="OS31"/>
      <c r="OT31"/>
      <c r="OU31"/>
      <c r="OV31"/>
      <c r="OW31"/>
      <c r="OX31"/>
      <c r="OY31"/>
      <c r="OZ31"/>
      <c r="PA31"/>
      <c r="PB31"/>
      <c r="PC31"/>
      <c r="PD31"/>
      <c r="PE31"/>
      <c r="PF31"/>
      <c r="PG31"/>
      <c r="PH31"/>
      <c r="PI31"/>
      <c r="PJ31"/>
      <c r="PK31"/>
      <c r="PL31"/>
      <c r="PM31"/>
      <c r="PN31"/>
      <c r="PO31"/>
      <c r="PP31"/>
      <c r="PQ31"/>
      <c r="PR31"/>
      <c r="PS31"/>
      <c r="PT31"/>
      <c r="PU31"/>
      <c r="PV31"/>
      <c r="PW31"/>
      <c r="PX31"/>
      <c r="PY31"/>
      <c r="PZ31"/>
      <c r="QA31"/>
      <c r="QB31"/>
      <c r="QC31"/>
      <c r="QD31"/>
      <c r="QE31"/>
      <c r="QF31"/>
      <c r="QG31"/>
      <c r="QH31"/>
      <c r="QI31"/>
      <c r="QJ31"/>
      <c r="QK31"/>
      <c r="QL31"/>
      <c r="QM31"/>
      <c r="QN31"/>
      <c r="QO31"/>
      <c r="QP31"/>
      <c r="QQ31"/>
      <c r="QR31"/>
      <c r="QS31"/>
      <c r="QT31"/>
      <c r="QU31"/>
      <c r="QV31"/>
      <c r="QW31"/>
      <c r="QX31"/>
      <c r="QY31"/>
      <c r="QZ31"/>
      <c r="RA31"/>
      <c r="RB31"/>
      <c r="RC31"/>
      <c r="RD31"/>
      <c r="RE31"/>
      <c r="RF31"/>
      <c r="RG31"/>
      <c r="RH31"/>
      <c r="RI31"/>
      <c r="RJ31"/>
      <c r="RK31"/>
      <c r="RL31"/>
      <c r="RM31"/>
      <c r="RN31"/>
      <c r="RO31"/>
      <c r="RP31"/>
      <c r="RQ31"/>
      <c r="RR31"/>
      <c r="RS31"/>
      <c r="RT31"/>
      <c r="RU31"/>
      <c r="RV31"/>
      <c r="RW31"/>
      <c r="RX31"/>
      <c r="RY31"/>
      <c r="RZ31"/>
      <c r="SA31"/>
      <c r="SB31"/>
      <c r="SC31"/>
      <c r="SD31"/>
      <c r="SE31"/>
      <c r="SF31"/>
      <c r="SG31"/>
      <c r="SH31"/>
      <c r="SI31"/>
      <c r="SJ31"/>
      <c r="SK31"/>
      <c r="SL31"/>
      <c r="SM31"/>
      <c r="SN31"/>
      <c r="SO31"/>
      <c r="SP31"/>
      <c r="SQ31"/>
      <c r="SR31"/>
      <c r="SS31"/>
      <c r="ST31"/>
      <c r="SU31"/>
      <c r="SV31"/>
      <c r="SW31"/>
      <c r="SX31"/>
      <c r="SY31"/>
      <c r="SZ31"/>
      <c r="TA31"/>
      <c r="TB31"/>
      <c r="TC31"/>
      <c r="TD31"/>
      <c r="TE31"/>
      <c r="TF31"/>
      <c r="TG31"/>
      <c r="TH31"/>
      <c r="TI31"/>
      <c r="TJ31"/>
      <c r="TK31"/>
      <c r="TL31"/>
      <c r="TM31"/>
      <c r="TN31"/>
      <c r="TO31"/>
      <c r="TP31"/>
    </row>
    <row r="32" spans="1:536" s="37" customFormat="1" ht="17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 s="10"/>
      <c r="O32" s="10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I32" s="33"/>
      <c r="AJ32" s="33"/>
      <c r="AK32" s="33"/>
      <c r="AL32" s="33"/>
      <c r="AM32" s="33"/>
      <c r="AP32" s="33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K32" s="33"/>
      <c r="CL32" s="33"/>
      <c r="CM32" s="33"/>
      <c r="CN32" s="33"/>
      <c r="CO32" s="33"/>
      <c r="CR32" s="33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T32"/>
      <c r="GU32"/>
      <c r="GV32"/>
      <c r="GW32"/>
      <c r="GX32"/>
      <c r="GY32"/>
      <c r="GZ32"/>
      <c r="HA32"/>
      <c r="HB32"/>
      <c r="HC32"/>
      <c r="HD32"/>
      <c r="HE32"/>
      <c r="HF32"/>
      <c r="HG32"/>
      <c r="HH32"/>
      <c r="HI32"/>
      <c r="HJ32"/>
      <c r="HK32"/>
      <c r="HL32"/>
      <c r="HM32"/>
      <c r="HN32"/>
      <c r="HO32"/>
      <c r="HP32"/>
      <c r="HQ32"/>
      <c r="HR32"/>
      <c r="HS32"/>
      <c r="HT32"/>
      <c r="HU32"/>
      <c r="HV32"/>
      <c r="HW32"/>
      <c r="HX32"/>
      <c r="HY32"/>
      <c r="HZ32"/>
      <c r="IB32"/>
      <c r="IC32"/>
      <c r="ID32"/>
      <c r="IE32"/>
      <c r="IF32"/>
      <c r="IG32"/>
      <c r="IH32"/>
      <c r="II32"/>
      <c r="IJ32"/>
      <c r="IK32"/>
      <c r="IL32"/>
      <c r="IM32"/>
      <c r="IN32"/>
      <c r="IO32"/>
      <c r="IP32"/>
      <c r="IQ32"/>
      <c r="IR32"/>
      <c r="IS32"/>
      <c r="IT32"/>
      <c r="IU32"/>
      <c r="IV32"/>
      <c r="IW32"/>
      <c r="IX32"/>
      <c r="IY32"/>
      <c r="IZ32"/>
      <c r="JA32"/>
      <c r="JB32"/>
      <c r="JC32"/>
      <c r="JD32"/>
      <c r="JE32"/>
      <c r="JF32"/>
      <c r="JG32"/>
      <c r="JH32"/>
      <c r="JJ32"/>
      <c r="JK32"/>
      <c r="JL32"/>
      <c r="JM32"/>
      <c r="JN32"/>
      <c r="JO32"/>
      <c r="JP32"/>
      <c r="JQ32"/>
      <c r="JR32"/>
      <c r="JS32"/>
      <c r="JT32"/>
      <c r="JU32"/>
      <c r="JV32"/>
      <c r="JW32"/>
      <c r="JX32"/>
      <c r="JY32"/>
      <c r="JZ32"/>
      <c r="KA32"/>
      <c r="KB32"/>
      <c r="KC32"/>
      <c r="KD32"/>
      <c r="KE32"/>
      <c r="KF32"/>
      <c r="KG32"/>
      <c r="KH32"/>
      <c r="KI32"/>
      <c r="KJ32"/>
      <c r="KK32"/>
      <c r="KL32"/>
      <c r="KM32"/>
      <c r="KN32"/>
      <c r="KO32"/>
      <c r="KP32"/>
      <c r="KQ32"/>
      <c r="KR32"/>
      <c r="KS32"/>
      <c r="KT32"/>
      <c r="KU32"/>
      <c r="KV32"/>
      <c r="KW32"/>
      <c r="KX32"/>
      <c r="KY32"/>
      <c r="KZ32"/>
      <c r="LA32"/>
      <c r="LB32"/>
      <c r="LC32"/>
      <c r="LD32"/>
      <c r="LE32"/>
      <c r="LF32"/>
      <c r="LG32"/>
      <c r="LH32"/>
      <c r="LI32"/>
      <c r="LJ32"/>
      <c r="LK32"/>
      <c r="LL32"/>
      <c r="LM32"/>
      <c r="LN32"/>
      <c r="LO32"/>
      <c r="LP32"/>
      <c r="LQ32"/>
      <c r="LR32"/>
      <c r="LS32"/>
      <c r="LT32"/>
      <c r="LU32"/>
      <c r="LV32"/>
      <c r="LW32"/>
      <c r="LX32"/>
      <c r="LY32"/>
      <c r="LZ32"/>
      <c r="MA32"/>
      <c r="MB32"/>
      <c r="MC32"/>
      <c r="MD32"/>
      <c r="ME32"/>
      <c r="MF32"/>
      <c r="MG32"/>
      <c r="MH32"/>
      <c r="MI32"/>
      <c r="MJ32"/>
      <c r="MK32"/>
      <c r="ML32"/>
      <c r="MM32"/>
      <c r="MN32"/>
      <c r="MO32"/>
      <c r="MP32"/>
      <c r="MQ32"/>
      <c r="MR32"/>
      <c r="MS32"/>
      <c r="MT32"/>
      <c r="MU32"/>
      <c r="MV32"/>
      <c r="MW32"/>
      <c r="MX32"/>
      <c r="MY32"/>
      <c r="MZ32"/>
      <c r="NA32"/>
      <c r="NB32"/>
      <c r="NC32"/>
      <c r="ND32"/>
      <c r="NE32"/>
      <c r="NF32"/>
      <c r="NG32"/>
      <c r="NH32"/>
      <c r="NI32"/>
      <c r="NJ32"/>
      <c r="NK32"/>
      <c r="NL32"/>
      <c r="NM32"/>
      <c r="NN32"/>
      <c r="NO32"/>
      <c r="NP32"/>
      <c r="NQ32"/>
      <c r="NR32"/>
      <c r="NS32"/>
      <c r="NT32"/>
      <c r="NU32"/>
      <c r="NV32"/>
      <c r="NW32"/>
      <c r="NX32"/>
      <c r="NY32"/>
      <c r="NZ32"/>
      <c r="OA32"/>
      <c r="OB32"/>
      <c r="OC32"/>
      <c r="OD32"/>
      <c r="OE32"/>
      <c r="OF32"/>
      <c r="OG32"/>
      <c r="OH32"/>
      <c r="OI32"/>
      <c r="OJ32"/>
      <c r="OK32"/>
      <c r="OL32"/>
      <c r="OM32"/>
      <c r="ON32"/>
      <c r="OO32"/>
      <c r="OP32"/>
      <c r="OQ32"/>
      <c r="OR32"/>
      <c r="OS32"/>
      <c r="OT32"/>
      <c r="OU32"/>
      <c r="OV32"/>
      <c r="OW32"/>
      <c r="OX32"/>
      <c r="OY32"/>
      <c r="OZ32"/>
      <c r="PA32"/>
      <c r="PB32"/>
      <c r="PC32"/>
      <c r="PD32"/>
      <c r="PE32"/>
      <c r="PF32"/>
      <c r="PG32"/>
      <c r="PH32"/>
      <c r="PI32"/>
      <c r="PJ32"/>
      <c r="PK32"/>
      <c r="PL32"/>
      <c r="PM32"/>
      <c r="PN32"/>
      <c r="PO32"/>
      <c r="PP32"/>
      <c r="PQ32"/>
      <c r="PR32"/>
      <c r="PS32"/>
      <c r="PT32"/>
      <c r="PU32"/>
      <c r="PV32"/>
      <c r="PW32"/>
      <c r="PX32"/>
      <c r="PY32"/>
      <c r="PZ32"/>
      <c r="QA32"/>
      <c r="QB32"/>
      <c r="QC32"/>
      <c r="QD32"/>
      <c r="QE32"/>
      <c r="QF32"/>
      <c r="QG32"/>
      <c r="QH32"/>
      <c r="QI32"/>
      <c r="QJ32"/>
      <c r="QK32"/>
      <c r="QL32"/>
      <c r="QM32"/>
      <c r="QN32"/>
      <c r="QO32"/>
      <c r="QP32"/>
      <c r="QQ32"/>
      <c r="QR32"/>
      <c r="QS32"/>
      <c r="QT32"/>
      <c r="QU32"/>
      <c r="QV32"/>
      <c r="QW32"/>
      <c r="QX32"/>
      <c r="QY32"/>
      <c r="QZ32"/>
      <c r="RA32"/>
      <c r="RB32"/>
      <c r="RC32"/>
      <c r="RD32"/>
      <c r="RE32"/>
      <c r="RF32"/>
      <c r="RG32"/>
      <c r="RH32"/>
      <c r="RI32"/>
      <c r="RJ32"/>
      <c r="RK32"/>
      <c r="RL32"/>
      <c r="RM32"/>
      <c r="RN32"/>
      <c r="RO32"/>
      <c r="RP32"/>
      <c r="RQ32"/>
      <c r="RR32"/>
      <c r="RS32"/>
      <c r="RT32"/>
      <c r="RU32"/>
      <c r="RV32"/>
      <c r="RW32"/>
      <c r="RX32"/>
      <c r="RY32"/>
      <c r="RZ32"/>
      <c r="SA32"/>
      <c r="SB32"/>
      <c r="SC32"/>
      <c r="SD32"/>
      <c r="SE32"/>
      <c r="SF32"/>
      <c r="SG32"/>
      <c r="SH32"/>
      <c r="SI32"/>
      <c r="SJ32"/>
      <c r="SK32"/>
      <c r="SL32"/>
      <c r="SM32"/>
      <c r="SN32"/>
      <c r="SO32"/>
      <c r="SP32"/>
      <c r="SQ32"/>
      <c r="SR32"/>
      <c r="SS32"/>
      <c r="ST32"/>
      <c r="SU32"/>
      <c r="SV32"/>
      <c r="SW32"/>
      <c r="SX32"/>
      <c r="SY32"/>
      <c r="SZ32"/>
      <c r="TA32"/>
      <c r="TB32"/>
      <c r="TC32"/>
      <c r="TD32"/>
      <c r="TE32"/>
      <c r="TF32"/>
      <c r="TG32"/>
      <c r="TH32"/>
      <c r="TI32"/>
      <c r="TJ32"/>
      <c r="TK32"/>
      <c r="TL32"/>
      <c r="TM32"/>
      <c r="TN32"/>
      <c r="TO32"/>
      <c r="TP32"/>
    </row>
    <row r="33" spans="1:536" s="37" customFormat="1" ht="17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 s="10"/>
      <c r="O33" s="10"/>
      <c r="P33" s="10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T33"/>
      <c r="GU33"/>
      <c r="GV33"/>
      <c r="GW33"/>
      <c r="GX33"/>
      <c r="GY33"/>
      <c r="GZ33"/>
      <c r="HA33"/>
      <c r="HB33"/>
      <c r="HC33"/>
      <c r="HD33"/>
      <c r="HE33"/>
      <c r="HF33"/>
      <c r="HG33"/>
      <c r="HH33"/>
      <c r="HI33"/>
      <c r="HJ33"/>
      <c r="HK33"/>
      <c r="HL33"/>
      <c r="HM33"/>
      <c r="HN33"/>
      <c r="HO33"/>
      <c r="HP33"/>
      <c r="HQ33"/>
      <c r="HR33"/>
      <c r="HS33"/>
      <c r="HT33"/>
      <c r="HU33"/>
      <c r="HV33"/>
      <c r="HW33"/>
      <c r="HX33"/>
      <c r="HY33"/>
      <c r="HZ33"/>
      <c r="IB33"/>
      <c r="IC33"/>
      <c r="ID33"/>
      <c r="IE33"/>
      <c r="IF33"/>
      <c r="IG33"/>
      <c r="IH33"/>
      <c r="II33"/>
      <c r="IJ33"/>
      <c r="IK33"/>
      <c r="IL33"/>
      <c r="IM33"/>
      <c r="IN33"/>
      <c r="IO33"/>
      <c r="IP33"/>
      <c r="IQ33"/>
      <c r="IR33"/>
      <c r="IS33"/>
      <c r="IT33"/>
      <c r="IU33"/>
      <c r="IV33"/>
      <c r="IW33"/>
      <c r="IX33"/>
      <c r="IY33"/>
      <c r="IZ33"/>
      <c r="JA33"/>
      <c r="JB33"/>
      <c r="JC33"/>
      <c r="JD33"/>
      <c r="JE33"/>
      <c r="JF33"/>
      <c r="JG33"/>
      <c r="JH33"/>
      <c r="JJ33"/>
      <c r="JK33"/>
      <c r="JL33"/>
      <c r="JM33"/>
      <c r="JN33"/>
      <c r="JO33"/>
      <c r="JP33"/>
      <c r="JQ33"/>
      <c r="JR33"/>
      <c r="JS33"/>
      <c r="JT33"/>
      <c r="JU33"/>
      <c r="JV33"/>
      <c r="JW33"/>
      <c r="JX33"/>
      <c r="JY33"/>
      <c r="JZ33"/>
      <c r="KA33"/>
      <c r="KB33"/>
      <c r="KC33"/>
      <c r="KD33"/>
      <c r="KE33"/>
      <c r="KF33"/>
      <c r="KG33"/>
      <c r="KH33"/>
      <c r="KI33"/>
      <c r="KJ33"/>
      <c r="KK33"/>
      <c r="KL33"/>
      <c r="KM33"/>
      <c r="KN33"/>
      <c r="KO33"/>
      <c r="KP33"/>
      <c r="KQ33"/>
      <c r="KR33"/>
      <c r="KS33"/>
      <c r="KT33"/>
      <c r="KU33"/>
      <c r="KV33"/>
      <c r="KW33"/>
      <c r="KX33"/>
      <c r="KY33"/>
      <c r="KZ33"/>
      <c r="LA33"/>
      <c r="LB33"/>
      <c r="LC33"/>
      <c r="LD33"/>
      <c r="LE33"/>
      <c r="LF33"/>
      <c r="LG33"/>
      <c r="LH33"/>
      <c r="LI33"/>
      <c r="LJ33"/>
      <c r="LK33"/>
      <c r="LL33"/>
      <c r="LM33"/>
      <c r="LN33"/>
      <c r="LO33"/>
      <c r="LP33"/>
      <c r="LQ33"/>
      <c r="LR33"/>
      <c r="LS33"/>
      <c r="LT33"/>
      <c r="LU33"/>
      <c r="LV33"/>
      <c r="LW33"/>
      <c r="LX33"/>
      <c r="LY33"/>
      <c r="LZ33"/>
      <c r="MA33"/>
      <c r="MB33"/>
      <c r="MC33"/>
      <c r="MD33"/>
      <c r="ME33"/>
      <c r="MF33"/>
      <c r="MG33"/>
      <c r="MH33"/>
      <c r="MI33"/>
      <c r="MJ33"/>
      <c r="MK33"/>
      <c r="ML33"/>
      <c r="MM33"/>
      <c r="MN33"/>
      <c r="MO33"/>
      <c r="MP33"/>
      <c r="MQ33"/>
      <c r="MR33"/>
      <c r="MS33"/>
      <c r="MT33"/>
      <c r="MU33"/>
      <c r="MV33"/>
      <c r="MW33"/>
      <c r="MX33"/>
      <c r="MY33"/>
      <c r="MZ33"/>
      <c r="NA33"/>
      <c r="NB33"/>
      <c r="NC33"/>
      <c r="ND33"/>
      <c r="NE33"/>
      <c r="NF33"/>
      <c r="NG33"/>
      <c r="NH33"/>
      <c r="NI33"/>
      <c r="NJ33"/>
      <c r="NK33"/>
      <c r="NL33"/>
      <c r="NM33"/>
      <c r="NN33"/>
      <c r="NO33"/>
      <c r="NP33"/>
      <c r="NQ33"/>
      <c r="NR33"/>
      <c r="NS33"/>
      <c r="NT33"/>
      <c r="NU33"/>
      <c r="NV33"/>
      <c r="NW33"/>
      <c r="NX33"/>
      <c r="NY33"/>
      <c r="NZ33"/>
      <c r="OA33"/>
      <c r="OB33"/>
      <c r="OC33"/>
      <c r="OD33"/>
      <c r="OE33"/>
      <c r="OF33"/>
      <c r="OG33"/>
      <c r="OH33"/>
      <c r="OI33"/>
      <c r="OJ33"/>
      <c r="OK33"/>
      <c r="OL33"/>
      <c r="OM33"/>
      <c r="ON33"/>
      <c r="OO33"/>
      <c r="OP33"/>
      <c r="OQ33"/>
      <c r="OR33"/>
      <c r="OS33"/>
      <c r="OT33"/>
      <c r="OU33"/>
      <c r="OV33"/>
      <c r="OW33"/>
      <c r="OX33"/>
      <c r="OY33"/>
      <c r="OZ33"/>
      <c r="PA33"/>
      <c r="PB33"/>
      <c r="PC33"/>
      <c r="PD33"/>
      <c r="PE33"/>
      <c r="PF33"/>
      <c r="PG33"/>
      <c r="PH33"/>
      <c r="PI33"/>
      <c r="PJ33"/>
      <c r="PK33"/>
      <c r="PL33"/>
      <c r="PM33"/>
      <c r="PN33"/>
      <c r="PO33"/>
      <c r="PP33"/>
      <c r="PQ33"/>
      <c r="PR33"/>
      <c r="PS33"/>
      <c r="PT33"/>
      <c r="PU33"/>
      <c r="PV33"/>
      <c r="PW33"/>
      <c r="PX33"/>
      <c r="PY33"/>
      <c r="PZ33"/>
      <c r="QA33"/>
      <c r="QB33"/>
      <c r="QC33"/>
      <c r="QD33"/>
      <c r="QE33"/>
      <c r="QF33"/>
      <c r="QG33"/>
      <c r="QH33"/>
      <c r="QI33"/>
      <c r="QJ33"/>
      <c r="QK33"/>
      <c r="QL33"/>
      <c r="QM33"/>
      <c r="QN33"/>
      <c r="QO33"/>
      <c r="QP33"/>
      <c r="QQ33"/>
      <c r="QR33"/>
      <c r="QS33"/>
      <c r="QT33"/>
      <c r="QU33"/>
      <c r="QV33"/>
      <c r="QW33"/>
      <c r="QX33"/>
      <c r="QY33"/>
      <c r="QZ33"/>
      <c r="RA33"/>
      <c r="RB33"/>
      <c r="RC33"/>
      <c r="RD33"/>
      <c r="RE33"/>
      <c r="RF33"/>
      <c r="RG33"/>
      <c r="RH33"/>
      <c r="RI33"/>
      <c r="RJ33"/>
      <c r="RK33"/>
      <c r="RL33"/>
      <c r="RM33"/>
      <c r="RN33"/>
      <c r="RO33"/>
      <c r="RP33"/>
      <c r="RQ33"/>
      <c r="RR33"/>
      <c r="RS33"/>
      <c r="RT33"/>
      <c r="RU33"/>
      <c r="RV33"/>
      <c r="RW33"/>
      <c r="RX33"/>
      <c r="RY33"/>
      <c r="RZ33"/>
      <c r="SA33"/>
      <c r="SB33"/>
      <c r="SC33"/>
      <c r="SD33"/>
      <c r="SE33"/>
      <c r="SF33"/>
      <c r="SG33"/>
      <c r="SH33"/>
      <c r="SI33"/>
      <c r="SJ33"/>
      <c r="SK33"/>
      <c r="SL33"/>
      <c r="SM33"/>
      <c r="SN33"/>
      <c r="SO33"/>
      <c r="SP33"/>
      <c r="SQ33"/>
      <c r="SR33"/>
      <c r="SS33"/>
      <c r="ST33"/>
      <c r="SU33"/>
      <c r="SV33"/>
      <c r="SW33"/>
      <c r="SX33"/>
      <c r="SY33"/>
      <c r="SZ33"/>
      <c r="TA33"/>
      <c r="TB33"/>
      <c r="TC33"/>
      <c r="TD33"/>
      <c r="TE33"/>
      <c r="TF33"/>
      <c r="TG33"/>
      <c r="TH33"/>
      <c r="TI33"/>
      <c r="TJ33"/>
      <c r="TK33"/>
      <c r="TL33"/>
      <c r="TM33"/>
      <c r="TN33"/>
      <c r="TO33"/>
      <c r="TP33"/>
    </row>
    <row r="34" spans="1:536" s="37" customFormat="1" ht="17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 s="10"/>
      <c r="O34" s="10"/>
      <c r="P34" s="10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T34"/>
      <c r="GU34"/>
      <c r="GV34"/>
      <c r="GW34"/>
      <c r="GX34"/>
      <c r="GY34"/>
      <c r="GZ34"/>
      <c r="HA34"/>
      <c r="HB34"/>
      <c r="HC34"/>
      <c r="HD34"/>
      <c r="HE34"/>
      <c r="HF34"/>
      <c r="HG34"/>
      <c r="HH34"/>
      <c r="HI34"/>
      <c r="HJ34"/>
      <c r="HK34"/>
      <c r="HL34"/>
      <c r="HM34"/>
      <c r="HN34"/>
      <c r="HO34"/>
      <c r="HP34"/>
      <c r="HQ34"/>
      <c r="HR34"/>
      <c r="HS34"/>
      <c r="HT34"/>
      <c r="HU34"/>
      <c r="HV34"/>
      <c r="HW34"/>
      <c r="HX34"/>
      <c r="HY34"/>
      <c r="HZ34"/>
      <c r="IB34"/>
      <c r="IC34"/>
      <c r="ID34"/>
      <c r="IE34"/>
      <c r="IF34"/>
      <c r="IG34"/>
      <c r="IH34"/>
      <c r="II34"/>
      <c r="IJ34"/>
      <c r="IK34"/>
      <c r="IL34"/>
      <c r="IM34"/>
      <c r="IN34"/>
      <c r="IO34"/>
      <c r="IP34"/>
      <c r="IQ34"/>
      <c r="IR34"/>
      <c r="IS34"/>
      <c r="IT34"/>
      <c r="IU34"/>
      <c r="IV34"/>
      <c r="IW34"/>
      <c r="IX34"/>
      <c r="IY34"/>
      <c r="IZ34"/>
      <c r="JA34"/>
      <c r="JB34"/>
      <c r="JC34"/>
      <c r="JD34"/>
      <c r="JE34"/>
      <c r="JF34"/>
      <c r="JG34"/>
      <c r="JH34"/>
      <c r="JJ34"/>
      <c r="JK34"/>
      <c r="JL34"/>
      <c r="JM34"/>
      <c r="JN34"/>
      <c r="JO34"/>
      <c r="JP34"/>
      <c r="JQ34"/>
      <c r="JR34"/>
      <c r="JS34"/>
      <c r="JT34"/>
      <c r="JU34"/>
      <c r="JV34"/>
      <c r="JW34"/>
      <c r="JX34"/>
      <c r="JY34"/>
      <c r="JZ34"/>
      <c r="KA34"/>
      <c r="KB34"/>
      <c r="KC34"/>
      <c r="KD34"/>
      <c r="KE34"/>
      <c r="KF34"/>
      <c r="KG34"/>
      <c r="KH34"/>
      <c r="KI34"/>
      <c r="KJ34"/>
      <c r="KK34"/>
      <c r="KL34"/>
      <c r="KM34"/>
      <c r="KN34"/>
      <c r="KO34"/>
      <c r="KP34"/>
      <c r="KQ34"/>
      <c r="KR34"/>
      <c r="KS34"/>
      <c r="KT34"/>
      <c r="KU34"/>
      <c r="KV34"/>
      <c r="KW34"/>
      <c r="KX34"/>
      <c r="KY34"/>
      <c r="KZ34"/>
      <c r="LA34"/>
      <c r="LB34"/>
      <c r="LC34"/>
      <c r="LD34"/>
      <c r="LE34"/>
      <c r="LF34"/>
      <c r="LG34"/>
      <c r="LH34"/>
      <c r="LI34"/>
      <c r="LJ34"/>
      <c r="LK34"/>
      <c r="LL34"/>
      <c r="LM34"/>
      <c r="LN34"/>
      <c r="LO34"/>
      <c r="LP34"/>
      <c r="LQ34"/>
      <c r="LR34"/>
      <c r="LS34"/>
      <c r="LT34"/>
      <c r="LU34"/>
      <c r="LV34"/>
      <c r="LW34"/>
      <c r="LX34"/>
      <c r="LY34"/>
      <c r="LZ34"/>
      <c r="MA34"/>
      <c r="MB34"/>
      <c r="MC34"/>
      <c r="MD34"/>
      <c r="ME34"/>
      <c r="MF34"/>
      <c r="MG34"/>
      <c r="MH34"/>
      <c r="MI34"/>
      <c r="MJ34"/>
      <c r="MK34"/>
      <c r="ML34"/>
      <c r="MM34"/>
      <c r="MN34"/>
      <c r="MO34"/>
      <c r="MP34"/>
      <c r="MQ34"/>
      <c r="MR34"/>
      <c r="MS34"/>
      <c r="MT34"/>
      <c r="MU34"/>
      <c r="MV34"/>
      <c r="MW34"/>
      <c r="MX34"/>
      <c r="MY34"/>
      <c r="MZ34"/>
      <c r="NA34"/>
      <c r="NB34"/>
      <c r="NC34"/>
      <c r="ND34"/>
      <c r="NE34"/>
      <c r="NF34"/>
      <c r="NG34"/>
      <c r="NH34"/>
      <c r="NI34"/>
      <c r="NJ34"/>
      <c r="NK34"/>
      <c r="NL34"/>
      <c r="NM34"/>
      <c r="NN34"/>
      <c r="NO34"/>
      <c r="NP34"/>
      <c r="NQ34"/>
      <c r="NR34"/>
      <c r="NS34"/>
      <c r="NT34"/>
      <c r="NU34"/>
      <c r="NV34"/>
      <c r="NW34"/>
      <c r="NX34"/>
      <c r="NY34"/>
      <c r="NZ34"/>
      <c r="OA34"/>
      <c r="OB34"/>
      <c r="OC34"/>
      <c r="OD34"/>
      <c r="OE34"/>
      <c r="OF34"/>
      <c r="OG34"/>
      <c r="OH34"/>
      <c r="OI34"/>
      <c r="OJ34"/>
      <c r="OK34"/>
      <c r="OL34"/>
      <c r="OM34"/>
      <c r="ON34"/>
      <c r="OO34"/>
      <c r="OP34"/>
      <c r="OQ34"/>
      <c r="OR34"/>
      <c r="OS34"/>
      <c r="OT34"/>
      <c r="OU34"/>
      <c r="OV34"/>
      <c r="OW34"/>
      <c r="OX34"/>
      <c r="OY34"/>
      <c r="OZ34"/>
      <c r="PA34"/>
      <c r="PB34"/>
      <c r="PC34"/>
      <c r="PD34"/>
      <c r="PE34"/>
      <c r="PF34"/>
      <c r="PG34"/>
      <c r="PH34"/>
      <c r="PI34"/>
      <c r="PJ34"/>
      <c r="PK34"/>
      <c r="PL34"/>
      <c r="PM34"/>
      <c r="PN34"/>
      <c r="PO34"/>
      <c r="PP34"/>
      <c r="PQ34"/>
      <c r="PR34"/>
      <c r="PS34"/>
      <c r="PT34"/>
      <c r="PU34"/>
      <c r="PV34"/>
      <c r="PW34"/>
      <c r="PX34"/>
      <c r="PY34"/>
      <c r="PZ34"/>
      <c r="QA34"/>
      <c r="QB34"/>
      <c r="QC34"/>
      <c r="QD34"/>
      <c r="QE34"/>
      <c r="QF34"/>
      <c r="QG34"/>
      <c r="QH34"/>
      <c r="QI34"/>
      <c r="QJ34"/>
      <c r="QK34"/>
      <c r="QL34"/>
      <c r="QM34"/>
      <c r="QN34"/>
      <c r="QO34"/>
      <c r="QP34"/>
      <c r="QQ34"/>
      <c r="QR34"/>
      <c r="QS34"/>
      <c r="QT34"/>
      <c r="QU34"/>
      <c r="QV34"/>
      <c r="QW34"/>
      <c r="QX34"/>
      <c r="QY34"/>
      <c r="QZ34"/>
      <c r="RA34"/>
      <c r="RB34"/>
      <c r="RC34"/>
      <c r="RD34"/>
      <c r="RE34"/>
      <c r="RF34"/>
      <c r="RG34"/>
      <c r="RH34"/>
      <c r="RI34"/>
      <c r="RJ34"/>
      <c r="RK34"/>
      <c r="RL34"/>
      <c r="RM34"/>
      <c r="RN34"/>
      <c r="RO34"/>
      <c r="RP34"/>
      <c r="RQ34"/>
      <c r="RR34"/>
      <c r="RS34"/>
      <c r="RT34"/>
      <c r="RU34"/>
      <c r="RV34"/>
      <c r="RW34"/>
      <c r="RX34"/>
      <c r="RY34"/>
      <c r="RZ34"/>
      <c r="SA34"/>
      <c r="SB34"/>
      <c r="SC34"/>
      <c r="SD34"/>
      <c r="SE34"/>
      <c r="SF34"/>
      <c r="SG34"/>
      <c r="SH34"/>
      <c r="SI34"/>
      <c r="SJ34"/>
      <c r="SK34"/>
      <c r="SL34"/>
      <c r="SM34"/>
      <c r="SN34"/>
      <c r="SO34"/>
      <c r="SP34"/>
      <c r="SQ34"/>
      <c r="SR34"/>
      <c r="SS34"/>
      <c r="ST34"/>
      <c r="SU34"/>
      <c r="SV34"/>
      <c r="SW34"/>
      <c r="SX34"/>
      <c r="SY34"/>
      <c r="SZ34"/>
      <c r="TA34"/>
      <c r="TB34"/>
      <c r="TC34"/>
      <c r="TD34"/>
      <c r="TE34"/>
      <c r="TF34"/>
      <c r="TG34"/>
      <c r="TH34"/>
      <c r="TI34"/>
      <c r="TJ34"/>
      <c r="TK34"/>
      <c r="TL34"/>
      <c r="TM34"/>
      <c r="TN34"/>
      <c r="TO34"/>
      <c r="TP34"/>
    </row>
    <row r="35" spans="1:536" s="37" customFormat="1" ht="17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 s="10"/>
      <c r="O35" s="10"/>
      <c r="P35" s="10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T35"/>
      <c r="GU35"/>
      <c r="GV35"/>
      <c r="GW35"/>
      <c r="GX35"/>
      <c r="GY35"/>
      <c r="GZ35"/>
      <c r="HA35"/>
      <c r="HB35"/>
      <c r="HC35"/>
      <c r="HD35"/>
      <c r="HE35"/>
      <c r="HF35"/>
      <c r="HG35"/>
      <c r="HH35"/>
      <c r="HI35"/>
      <c r="HJ35"/>
      <c r="HK35"/>
      <c r="HL35"/>
      <c r="HM35"/>
      <c r="HN35"/>
      <c r="HO35"/>
      <c r="HP35"/>
      <c r="HQ35"/>
      <c r="HR35"/>
      <c r="HS35"/>
      <c r="HT35"/>
      <c r="HU35"/>
      <c r="HV35"/>
      <c r="HW35"/>
      <c r="HX35"/>
      <c r="HY35"/>
      <c r="HZ35"/>
      <c r="IB35"/>
      <c r="IC35"/>
      <c r="ID35"/>
      <c r="IE35"/>
      <c r="IF35"/>
      <c r="IG35"/>
      <c r="IH35"/>
      <c r="II35"/>
      <c r="IJ35"/>
      <c r="IK35"/>
      <c r="IL35"/>
      <c r="IM35"/>
      <c r="IN35"/>
      <c r="IO35"/>
      <c r="IP35"/>
      <c r="IQ35"/>
      <c r="IR35"/>
      <c r="IS35"/>
      <c r="IT35"/>
      <c r="IU35"/>
      <c r="IV35"/>
      <c r="IW35"/>
      <c r="IX35"/>
      <c r="IY35"/>
      <c r="IZ35"/>
      <c r="JA35"/>
      <c r="JB35"/>
      <c r="JC35"/>
      <c r="JD35"/>
      <c r="JE35"/>
      <c r="JF35"/>
      <c r="JG35"/>
      <c r="JH35"/>
      <c r="JJ35"/>
      <c r="JK35"/>
      <c r="JL35"/>
      <c r="JM35"/>
      <c r="JN35"/>
      <c r="JO35"/>
      <c r="JP35"/>
      <c r="JQ35"/>
      <c r="JR35"/>
      <c r="JS35"/>
      <c r="JT35"/>
      <c r="JU35"/>
      <c r="JV35"/>
      <c r="JW35"/>
      <c r="JX35"/>
      <c r="JY35"/>
      <c r="JZ35"/>
      <c r="KA35"/>
      <c r="KB35"/>
      <c r="KC35"/>
      <c r="KD35"/>
      <c r="KE35"/>
      <c r="KF35"/>
      <c r="KG35"/>
      <c r="KH35"/>
      <c r="KI35"/>
      <c r="KJ35"/>
      <c r="KK35"/>
      <c r="KL35"/>
      <c r="KM35"/>
      <c r="KN35"/>
      <c r="KO35"/>
      <c r="KP35"/>
      <c r="KQ35"/>
      <c r="KR35"/>
      <c r="KS35"/>
      <c r="KT35"/>
      <c r="KU35"/>
      <c r="KV35"/>
      <c r="KW35"/>
      <c r="KX35"/>
      <c r="KY35"/>
      <c r="KZ35"/>
      <c r="LA35"/>
      <c r="LB35"/>
      <c r="LC35"/>
      <c r="LD35"/>
      <c r="LE35"/>
      <c r="LF35"/>
      <c r="LG35"/>
      <c r="LH35"/>
      <c r="LI35"/>
      <c r="LJ35"/>
      <c r="LK35"/>
      <c r="LL35"/>
      <c r="LM35"/>
      <c r="LN35"/>
      <c r="LO35"/>
      <c r="LP35"/>
      <c r="LQ35"/>
      <c r="LR35"/>
      <c r="LS35"/>
      <c r="LT35"/>
      <c r="LU35"/>
      <c r="LV35"/>
      <c r="LW35"/>
      <c r="LX35"/>
      <c r="LY35"/>
      <c r="LZ35"/>
      <c r="MA35"/>
      <c r="MB35"/>
      <c r="MC35"/>
      <c r="MD35"/>
      <c r="ME35"/>
      <c r="MF35"/>
      <c r="MG35"/>
      <c r="MH35"/>
      <c r="MI35"/>
      <c r="MJ35"/>
      <c r="MK35"/>
      <c r="ML35"/>
      <c r="MM35"/>
      <c r="MN35"/>
      <c r="MO35"/>
      <c r="MP35"/>
      <c r="MQ35"/>
      <c r="MR35"/>
      <c r="MS35"/>
      <c r="MT35"/>
      <c r="MU35"/>
      <c r="MV35"/>
      <c r="MW35"/>
      <c r="MX35"/>
      <c r="MY35"/>
      <c r="MZ35"/>
      <c r="NA35"/>
      <c r="NB35"/>
      <c r="NC35"/>
      <c r="ND35"/>
      <c r="NE35"/>
      <c r="NF35"/>
      <c r="NG35"/>
      <c r="NH35"/>
      <c r="NI35"/>
      <c r="NJ35"/>
      <c r="NK35"/>
      <c r="NL35"/>
      <c r="NM35"/>
      <c r="NN35"/>
      <c r="NO35"/>
      <c r="NP35"/>
      <c r="NQ35"/>
      <c r="NR35"/>
      <c r="NS35"/>
      <c r="NT35"/>
      <c r="NU35"/>
      <c r="NV35"/>
      <c r="NW35"/>
      <c r="NX35"/>
      <c r="NY35"/>
      <c r="NZ35"/>
      <c r="OA35"/>
      <c r="OB35"/>
      <c r="OC35"/>
      <c r="OD35"/>
      <c r="OE35"/>
      <c r="OF35"/>
      <c r="OG35"/>
      <c r="OH35"/>
      <c r="OI35"/>
      <c r="OJ35"/>
      <c r="OK35"/>
      <c r="OL35"/>
      <c r="OM35"/>
      <c r="ON35"/>
      <c r="OO35"/>
      <c r="OP35"/>
      <c r="OQ35"/>
      <c r="OR35"/>
      <c r="OS35"/>
      <c r="OT35"/>
      <c r="OU35"/>
      <c r="OV35"/>
      <c r="OW35"/>
      <c r="OX35"/>
      <c r="OY35"/>
      <c r="OZ35"/>
      <c r="PA35"/>
      <c r="PB35"/>
      <c r="PC35"/>
      <c r="PD35"/>
      <c r="PE35"/>
      <c r="PF35"/>
      <c r="PG35"/>
      <c r="PH35"/>
      <c r="PI35"/>
      <c r="PJ35"/>
      <c r="PK35"/>
      <c r="PL35"/>
      <c r="PM35"/>
      <c r="PN35"/>
      <c r="PO35"/>
      <c r="PP35"/>
      <c r="PQ35"/>
      <c r="PR35"/>
      <c r="PS35"/>
      <c r="PT35"/>
      <c r="PU35"/>
      <c r="PV35"/>
      <c r="PW35"/>
      <c r="PX35"/>
      <c r="PY35"/>
      <c r="PZ35"/>
      <c r="QA35"/>
      <c r="QB35"/>
      <c r="QC35"/>
      <c r="QD35"/>
      <c r="QE35"/>
      <c r="QF35"/>
      <c r="QG35"/>
      <c r="QH35"/>
      <c r="QI35"/>
      <c r="QJ35"/>
      <c r="QK35"/>
      <c r="QL35"/>
      <c r="QM35"/>
      <c r="QN35"/>
      <c r="QO35"/>
      <c r="QP35"/>
      <c r="QQ35"/>
      <c r="QR35"/>
      <c r="QS35"/>
      <c r="QT35"/>
      <c r="QU35"/>
      <c r="QV35"/>
      <c r="QW35"/>
      <c r="QX35"/>
      <c r="QY35"/>
      <c r="QZ35"/>
      <c r="RA35"/>
      <c r="RB35"/>
      <c r="RC35"/>
      <c r="RD35"/>
      <c r="RE35"/>
      <c r="RF35"/>
      <c r="RG35"/>
      <c r="RH35"/>
      <c r="RI35"/>
      <c r="RJ35"/>
      <c r="RK35"/>
      <c r="RL35"/>
      <c r="RM35"/>
      <c r="RN35"/>
      <c r="RO35"/>
      <c r="RP35"/>
      <c r="RQ35"/>
      <c r="RR35"/>
      <c r="RS35"/>
      <c r="RT35"/>
      <c r="RU35"/>
      <c r="RV35"/>
      <c r="RW35"/>
      <c r="RX35"/>
      <c r="RY35"/>
      <c r="RZ35"/>
      <c r="SA35"/>
      <c r="SB35"/>
      <c r="SC35"/>
      <c r="SD35"/>
      <c r="SE35"/>
      <c r="SF35"/>
      <c r="SG35"/>
      <c r="SH35"/>
      <c r="SI35"/>
      <c r="SJ35"/>
      <c r="SK35"/>
      <c r="SL35"/>
      <c r="SM35"/>
      <c r="SN35"/>
      <c r="SO35"/>
      <c r="SP35"/>
      <c r="SQ35"/>
      <c r="SR35"/>
      <c r="SS35"/>
      <c r="ST35"/>
      <c r="SU35"/>
      <c r="SV35"/>
      <c r="SW35"/>
      <c r="SX35"/>
      <c r="SY35"/>
      <c r="SZ35"/>
      <c r="TA35"/>
      <c r="TB35"/>
      <c r="TC35"/>
      <c r="TD35"/>
      <c r="TE35"/>
      <c r="TF35"/>
      <c r="TG35"/>
      <c r="TH35"/>
      <c r="TI35"/>
      <c r="TJ35"/>
      <c r="TK35"/>
      <c r="TL35"/>
      <c r="TM35"/>
      <c r="TN35"/>
      <c r="TO35"/>
      <c r="TP35"/>
    </row>
    <row r="36" spans="1:536" s="37" customFormat="1" ht="17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 s="10"/>
      <c r="O36" s="10"/>
      <c r="P36" s="10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T36"/>
      <c r="GU36"/>
      <c r="GV36"/>
      <c r="GW36"/>
      <c r="GX36"/>
      <c r="GY36"/>
      <c r="GZ36"/>
      <c r="HA36"/>
      <c r="HB36"/>
      <c r="HC36"/>
      <c r="HD36"/>
      <c r="HE36"/>
      <c r="HF36"/>
      <c r="HG36"/>
      <c r="HH36"/>
      <c r="HI36"/>
      <c r="HJ36"/>
      <c r="HK36"/>
      <c r="HL36"/>
      <c r="HM36"/>
      <c r="HN36"/>
      <c r="HO36"/>
      <c r="HP36"/>
      <c r="HQ36"/>
      <c r="HR36"/>
      <c r="HS36"/>
      <c r="HT36"/>
      <c r="HU36"/>
      <c r="HV36"/>
      <c r="HW36"/>
      <c r="HX36"/>
      <c r="HY36"/>
      <c r="HZ36"/>
      <c r="IB36"/>
      <c r="IC36"/>
      <c r="ID36"/>
      <c r="IE36"/>
      <c r="IF36"/>
      <c r="IG36"/>
      <c r="IH36"/>
      <c r="II36"/>
      <c r="IJ36"/>
      <c r="IK36"/>
      <c r="IL36"/>
      <c r="IM36"/>
      <c r="IN36"/>
      <c r="IO36"/>
      <c r="IP36"/>
      <c r="IQ36"/>
      <c r="IR36"/>
      <c r="IS36"/>
      <c r="IT36"/>
      <c r="IU36"/>
      <c r="IV36"/>
      <c r="IW36"/>
      <c r="IX36"/>
      <c r="IY36"/>
      <c r="IZ36"/>
      <c r="JA36"/>
      <c r="JB36"/>
      <c r="JC36"/>
      <c r="JD36"/>
      <c r="JE36"/>
      <c r="JF36"/>
      <c r="JG36"/>
      <c r="JH36"/>
      <c r="JJ36"/>
      <c r="JK36"/>
      <c r="JL36"/>
      <c r="JM36"/>
      <c r="JN36"/>
      <c r="JO36"/>
      <c r="JP36"/>
      <c r="JQ36"/>
      <c r="JR36"/>
      <c r="JS36"/>
      <c r="JT36"/>
      <c r="JU36"/>
      <c r="JV36"/>
      <c r="JW36"/>
      <c r="JX36"/>
      <c r="JY36"/>
      <c r="JZ36"/>
      <c r="KA36"/>
      <c r="KB36"/>
      <c r="KC36"/>
      <c r="KD36"/>
      <c r="KE36"/>
      <c r="KF36"/>
      <c r="KG36"/>
      <c r="KH36"/>
      <c r="KI36"/>
      <c r="KJ36"/>
      <c r="KK36"/>
      <c r="KL36"/>
      <c r="KM36"/>
      <c r="KN36"/>
      <c r="KO36"/>
      <c r="KP36"/>
      <c r="KQ36"/>
      <c r="KR36"/>
      <c r="KS36"/>
      <c r="KT36"/>
      <c r="KU36"/>
      <c r="KV36"/>
      <c r="KW36"/>
      <c r="KX36"/>
      <c r="KY36"/>
      <c r="KZ36"/>
      <c r="LA36"/>
      <c r="LB36"/>
      <c r="LC36"/>
      <c r="LD36"/>
      <c r="LE36"/>
      <c r="LF36"/>
      <c r="LG36"/>
      <c r="LH36"/>
      <c r="LI36"/>
      <c r="LJ36"/>
      <c r="LK36"/>
      <c r="LL36"/>
      <c r="LM36"/>
      <c r="LN36"/>
      <c r="LO36"/>
      <c r="LP36"/>
      <c r="LQ36"/>
      <c r="LR36"/>
      <c r="LS36"/>
      <c r="LT36"/>
      <c r="LU36"/>
      <c r="LV36"/>
      <c r="LW36"/>
      <c r="LX36"/>
      <c r="LY36"/>
      <c r="LZ36"/>
      <c r="MA36"/>
      <c r="MB36"/>
      <c r="MC36"/>
      <c r="MD36"/>
      <c r="ME36"/>
      <c r="MF36"/>
      <c r="MG36"/>
      <c r="MH36"/>
      <c r="MI36"/>
      <c r="MJ36"/>
      <c r="MK36"/>
      <c r="ML36"/>
      <c r="MM36"/>
      <c r="MN36"/>
      <c r="MO36"/>
      <c r="MP36"/>
      <c r="MQ36"/>
      <c r="MR36"/>
      <c r="MS36"/>
      <c r="MT36"/>
      <c r="MU36"/>
      <c r="MV36"/>
      <c r="MW36"/>
      <c r="MX36"/>
      <c r="MY36"/>
      <c r="MZ36"/>
      <c r="NA36"/>
      <c r="NB36"/>
      <c r="NC36"/>
      <c r="ND36"/>
      <c r="NE36"/>
      <c r="NF36"/>
      <c r="NG36"/>
      <c r="NH36"/>
      <c r="NI36"/>
      <c r="NJ36"/>
      <c r="NK36"/>
      <c r="NL36"/>
      <c r="NM36"/>
      <c r="NN36"/>
      <c r="NO36"/>
      <c r="NP36"/>
      <c r="NQ36"/>
      <c r="NR36"/>
      <c r="NS36"/>
      <c r="NT36"/>
      <c r="NU36"/>
      <c r="NV36"/>
      <c r="NW36"/>
      <c r="NX36"/>
      <c r="NY36"/>
      <c r="NZ36"/>
      <c r="OA36"/>
      <c r="OB36"/>
      <c r="OC36"/>
      <c r="OD36"/>
      <c r="OE36"/>
      <c r="OF36"/>
      <c r="OG36"/>
      <c r="OH36"/>
      <c r="OI36"/>
      <c r="OJ36"/>
      <c r="OK36"/>
      <c r="OL36"/>
      <c r="OM36"/>
      <c r="ON36"/>
      <c r="OO36"/>
      <c r="OP36"/>
      <c r="OQ36"/>
      <c r="OR36"/>
      <c r="OS36"/>
      <c r="OT36"/>
      <c r="OU36"/>
      <c r="OV36"/>
      <c r="OW36"/>
      <c r="OX36"/>
      <c r="OY36"/>
      <c r="OZ36"/>
      <c r="PA36"/>
      <c r="PB36"/>
      <c r="PC36"/>
      <c r="PD36"/>
      <c r="PE36"/>
      <c r="PF36"/>
      <c r="PG36"/>
      <c r="PH36"/>
      <c r="PI36"/>
      <c r="PJ36"/>
      <c r="PK36"/>
      <c r="PL36"/>
      <c r="PM36"/>
      <c r="PN36"/>
      <c r="PO36"/>
      <c r="PP36"/>
      <c r="PQ36"/>
      <c r="PR36"/>
      <c r="PS36"/>
      <c r="PT36"/>
      <c r="PU36"/>
      <c r="PV36"/>
      <c r="PW36"/>
      <c r="PX36"/>
      <c r="PY36"/>
      <c r="PZ36"/>
      <c r="QA36"/>
      <c r="QB36"/>
      <c r="QC36"/>
      <c r="QD36"/>
      <c r="QE36"/>
      <c r="QF36"/>
      <c r="QG36"/>
      <c r="QH36"/>
      <c r="QI36"/>
      <c r="QJ36"/>
      <c r="QK36"/>
      <c r="QL36"/>
      <c r="QM36"/>
      <c r="QN36"/>
      <c r="QO36"/>
      <c r="QP36"/>
      <c r="QQ36"/>
      <c r="QR36"/>
      <c r="QS36"/>
      <c r="QT36"/>
      <c r="QU36"/>
      <c r="QV36"/>
      <c r="QW36"/>
      <c r="QX36"/>
      <c r="QY36"/>
      <c r="QZ36"/>
      <c r="RA36"/>
      <c r="RB36"/>
      <c r="RC36"/>
      <c r="RD36"/>
      <c r="RE36"/>
      <c r="RF36"/>
      <c r="RG36"/>
      <c r="RH36"/>
      <c r="RI36"/>
      <c r="RJ36"/>
      <c r="RK36"/>
      <c r="RL36"/>
      <c r="RM36"/>
      <c r="RN36"/>
      <c r="RO36"/>
      <c r="RP36"/>
      <c r="RQ36"/>
      <c r="RR36"/>
      <c r="RS36"/>
      <c r="RT36"/>
      <c r="RU36"/>
      <c r="RV36"/>
      <c r="RW36"/>
      <c r="RX36"/>
      <c r="RY36"/>
      <c r="RZ36"/>
      <c r="SA36"/>
      <c r="SB36"/>
      <c r="SC36"/>
      <c r="SD36"/>
      <c r="SE36"/>
      <c r="SF36"/>
      <c r="SG36"/>
      <c r="SH36"/>
      <c r="SI36"/>
      <c r="SJ36"/>
      <c r="SK36"/>
      <c r="SL36"/>
      <c r="SM36"/>
      <c r="SN36"/>
      <c r="SO36"/>
      <c r="SP36"/>
      <c r="SQ36"/>
      <c r="SR36"/>
      <c r="SS36"/>
      <c r="ST36"/>
      <c r="SU36"/>
      <c r="SV36"/>
      <c r="SW36"/>
      <c r="SX36"/>
      <c r="SY36"/>
      <c r="SZ36"/>
      <c r="TA36"/>
      <c r="TB36"/>
      <c r="TC36"/>
      <c r="TD36"/>
      <c r="TE36"/>
      <c r="TF36"/>
      <c r="TG36"/>
      <c r="TH36"/>
      <c r="TI36"/>
      <c r="TJ36"/>
      <c r="TK36"/>
      <c r="TL36"/>
      <c r="TM36"/>
      <c r="TN36"/>
      <c r="TO36"/>
      <c r="TP36"/>
    </row>
    <row r="37" spans="1:536" s="37" customFormat="1" ht="17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 s="10"/>
      <c r="O37" s="10"/>
      <c r="P37" s="10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T37"/>
      <c r="GU37"/>
      <c r="GV37"/>
      <c r="GW37"/>
      <c r="GX37"/>
      <c r="GY37"/>
      <c r="GZ37"/>
      <c r="HA37"/>
      <c r="HB37"/>
      <c r="HC37"/>
      <c r="HD37"/>
      <c r="HE37"/>
      <c r="HF37"/>
      <c r="HG37"/>
      <c r="HH37"/>
      <c r="HI37"/>
      <c r="HJ37"/>
      <c r="HK37"/>
      <c r="HL37"/>
      <c r="HM37"/>
      <c r="HN37"/>
      <c r="HO37"/>
      <c r="HP37"/>
      <c r="HQ37"/>
      <c r="HR37"/>
      <c r="HS37"/>
      <c r="HT37"/>
      <c r="HU37"/>
      <c r="HV37"/>
      <c r="HW37"/>
      <c r="HX37"/>
      <c r="HY37"/>
      <c r="HZ37"/>
      <c r="IB37"/>
      <c r="IC37"/>
      <c r="ID37"/>
      <c r="IE37"/>
      <c r="IF37"/>
      <c r="IG37"/>
      <c r="IH37"/>
      <c r="II37"/>
      <c r="IJ37"/>
      <c r="IK37"/>
      <c r="IL37"/>
      <c r="IM37"/>
      <c r="IN37"/>
      <c r="IO37"/>
      <c r="IP37"/>
      <c r="IQ37"/>
      <c r="IR37"/>
      <c r="IS37"/>
      <c r="IT37"/>
      <c r="IU37"/>
      <c r="IV37"/>
      <c r="IW37"/>
      <c r="IX37"/>
      <c r="IY37"/>
      <c r="IZ37"/>
      <c r="JA37"/>
      <c r="JB37"/>
      <c r="JC37"/>
      <c r="JD37"/>
      <c r="JE37"/>
      <c r="JF37"/>
      <c r="JG37"/>
      <c r="JH37"/>
      <c r="JJ37"/>
      <c r="JK37"/>
      <c r="JL37"/>
      <c r="JM37"/>
      <c r="JN37"/>
      <c r="JO37"/>
      <c r="JP37"/>
      <c r="JQ37"/>
      <c r="JR37"/>
      <c r="JS37"/>
      <c r="JT37"/>
      <c r="JU37"/>
      <c r="JV37"/>
      <c r="JW37"/>
      <c r="JX37"/>
      <c r="JY37"/>
      <c r="JZ37"/>
      <c r="KA37"/>
      <c r="KB37"/>
      <c r="KC37"/>
      <c r="KD37"/>
      <c r="KE37"/>
      <c r="KF37"/>
      <c r="KG37"/>
      <c r="KH37"/>
      <c r="KI37"/>
      <c r="KJ37"/>
      <c r="KK37"/>
      <c r="KL37"/>
      <c r="KM37"/>
      <c r="KN37"/>
      <c r="KO37"/>
      <c r="KP37"/>
      <c r="KQ37"/>
      <c r="KR37"/>
      <c r="KS37"/>
      <c r="KT37"/>
      <c r="KU37"/>
      <c r="KV37"/>
      <c r="KW37"/>
      <c r="KX37"/>
      <c r="KY37"/>
      <c r="KZ37"/>
      <c r="LA37"/>
      <c r="LB37"/>
      <c r="LC37"/>
      <c r="LD37"/>
      <c r="LE37"/>
      <c r="LF37"/>
      <c r="LG37"/>
      <c r="LH37"/>
      <c r="LI37"/>
      <c r="LJ37"/>
      <c r="LK37"/>
      <c r="LL37"/>
      <c r="LM37"/>
      <c r="LN37"/>
      <c r="LO37"/>
      <c r="LP37"/>
      <c r="LQ37"/>
      <c r="LR37"/>
      <c r="LS37"/>
      <c r="LT37"/>
      <c r="LU37"/>
      <c r="LV37"/>
      <c r="LW37"/>
      <c r="LX37"/>
      <c r="LY37"/>
      <c r="LZ37"/>
      <c r="MA37"/>
      <c r="MB37"/>
      <c r="MC37"/>
      <c r="MD37"/>
      <c r="ME37"/>
      <c r="MF37"/>
      <c r="MG37"/>
      <c r="MH37"/>
      <c r="MI37"/>
      <c r="MJ37"/>
      <c r="MK37"/>
      <c r="ML37"/>
      <c r="MM37"/>
      <c r="MN37"/>
      <c r="MO37"/>
      <c r="MP37"/>
      <c r="MQ37"/>
      <c r="MR37"/>
      <c r="MS37"/>
      <c r="MT37"/>
      <c r="MU37"/>
      <c r="MV37"/>
      <c r="MW37"/>
      <c r="MX37"/>
      <c r="MY37"/>
      <c r="MZ37"/>
      <c r="NA37"/>
      <c r="NB37"/>
      <c r="NC37"/>
      <c r="ND37"/>
      <c r="NE37"/>
      <c r="NF37"/>
      <c r="NG37"/>
      <c r="NH37"/>
      <c r="NI37"/>
      <c r="NJ37"/>
      <c r="NK37"/>
      <c r="NL37"/>
      <c r="NM37"/>
      <c r="NN37"/>
      <c r="NO37"/>
      <c r="NP37"/>
      <c r="NQ37"/>
      <c r="NR37"/>
      <c r="NS37"/>
      <c r="NT37"/>
      <c r="NU37"/>
      <c r="NV37"/>
      <c r="NW37"/>
      <c r="NX37"/>
      <c r="NY37"/>
      <c r="NZ37"/>
      <c r="OA37"/>
      <c r="OB37"/>
      <c r="OC37"/>
      <c r="OD37"/>
      <c r="OE37"/>
      <c r="OF37"/>
      <c r="OG37"/>
      <c r="OH37"/>
      <c r="OI37"/>
      <c r="OJ37"/>
      <c r="OK37"/>
      <c r="OL37"/>
      <c r="OM37"/>
      <c r="ON37"/>
      <c r="OO37"/>
      <c r="OP37"/>
      <c r="OQ37"/>
      <c r="OR37"/>
      <c r="OS37"/>
      <c r="OT37"/>
      <c r="OU37"/>
      <c r="OV37"/>
      <c r="OW37"/>
      <c r="OX37"/>
      <c r="OY37"/>
      <c r="OZ37"/>
      <c r="PA37"/>
      <c r="PB37"/>
      <c r="PC37"/>
      <c r="PD37"/>
      <c r="PE37"/>
      <c r="PF37"/>
      <c r="PG37"/>
      <c r="PH37"/>
      <c r="PI37"/>
      <c r="PJ37"/>
      <c r="PK37"/>
      <c r="PL37"/>
      <c r="PM37"/>
      <c r="PN37"/>
      <c r="PO37"/>
      <c r="PP37"/>
      <c r="PQ37"/>
      <c r="PR37"/>
      <c r="PS37"/>
      <c r="PT37"/>
      <c r="PU37"/>
      <c r="PV37"/>
      <c r="PW37"/>
      <c r="PX37"/>
      <c r="PY37"/>
      <c r="PZ37"/>
      <c r="QA37"/>
      <c r="QB37"/>
      <c r="QC37"/>
      <c r="QD37"/>
      <c r="QE37"/>
      <c r="QF37"/>
      <c r="QG37"/>
      <c r="QH37"/>
      <c r="QI37"/>
      <c r="QJ37"/>
      <c r="QK37"/>
      <c r="QL37"/>
      <c r="QM37"/>
      <c r="QN37"/>
      <c r="QO37"/>
      <c r="QP37"/>
      <c r="QQ37"/>
      <c r="QR37"/>
      <c r="QS37"/>
      <c r="QT37"/>
      <c r="QU37"/>
      <c r="QV37"/>
      <c r="QW37"/>
      <c r="QX37"/>
      <c r="QY37"/>
      <c r="QZ37"/>
      <c r="RA37"/>
      <c r="RB37"/>
      <c r="RC37"/>
      <c r="RD37"/>
      <c r="RE37"/>
      <c r="RF37"/>
      <c r="RG37"/>
      <c r="RH37"/>
      <c r="RI37"/>
      <c r="RJ37"/>
      <c r="RK37"/>
      <c r="RL37"/>
      <c r="RM37"/>
      <c r="RN37"/>
      <c r="RO37"/>
      <c r="RP37"/>
      <c r="RQ37"/>
      <c r="RR37"/>
      <c r="RS37"/>
      <c r="RT37"/>
      <c r="RU37"/>
      <c r="RV37"/>
      <c r="RW37"/>
      <c r="RX37"/>
      <c r="RY37"/>
      <c r="RZ37"/>
      <c r="SA37"/>
      <c r="SB37"/>
      <c r="SC37"/>
      <c r="SD37"/>
      <c r="SE37"/>
      <c r="SF37"/>
      <c r="SG37"/>
      <c r="SH37"/>
      <c r="SI37"/>
      <c r="SJ37"/>
      <c r="SK37"/>
      <c r="SL37"/>
      <c r="SM37"/>
      <c r="SN37"/>
      <c r="SO37"/>
      <c r="SP37"/>
      <c r="SQ37"/>
      <c r="SR37"/>
      <c r="SS37"/>
      <c r="ST37"/>
      <c r="SU37"/>
      <c r="SV37"/>
      <c r="SW37"/>
      <c r="SX37"/>
      <c r="SY37"/>
      <c r="SZ37"/>
      <c r="TA37"/>
      <c r="TB37"/>
      <c r="TC37"/>
      <c r="TD37"/>
      <c r="TE37"/>
      <c r="TF37"/>
      <c r="TG37"/>
      <c r="TH37"/>
      <c r="TI37"/>
      <c r="TJ37"/>
      <c r="TK37"/>
      <c r="TL37"/>
      <c r="TM37"/>
      <c r="TN37"/>
      <c r="TO37"/>
      <c r="TP37"/>
    </row>
    <row r="38" spans="1:536" s="37" customFormat="1" ht="17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 s="10"/>
      <c r="O38" s="10"/>
      <c r="P38" s="10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T38"/>
      <c r="GU38"/>
      <c r="GV38"/>
      <c r="GW38"/>
      <c r="GX38"/>
      <c r="GY38"/>
      <c r="GZ38"/>
      <c r="HA38"/>
      <c r="HB38"/>
      <c r="HC38"/>
      <c r="HD38"/>
      <c r="HE38"/>
      <c r="HF38"/>
      <c r="HG38"/>
      <c r="HH38"/>
      <c r="HI38"/>
      <c r="HJ38"/>
      <c r="HK38"/>
      <c r="HL38"/>
      <c r="HM38"/>
      <c r="HN38"/>
      <c r="HO38"/>
      <c r="HP38"/>
      <c r="HQ38"/>
      <c r="HR38"/>
      <c r="HS38"/>
      <c r="HT38"/>
      <c r="HU38"/>
      <c r="HV38"/>
      <c r="HW38"/>
      <c r="HX38"/>
      <c r="HY38"/>
      <c r="HZ38"/>
      <c r="IB38"/>
      <c r="IC38"/>
      <c r="ID38"/>
      <c r="IE38"/>
      <c r="IF38"/>
      <c r="IG38"/>
      <c r="IH38"/>
      <c r="II38"/>
      <c r="IJ38"/>
      <c r="IK38"/>
      <c r="IL38"/>
      <c r="IM38"/>
      <c r="IN38"/>
      <c r="IO38"/>
      <c r="IP38"/>
      <c r="IQ38"/>
      <c r="IR38"/>
      <c r="IS38"/>
      <c r="IT38"/>
      <c r="IU38"/>
      <c r="IV38"/>
      <c r="IW38"/>
      <c r="IX38"/>
      <c r="IY38"/>
      <c r="IZ38"/>
      <c r="JA38"/>
      <c r="JB38"/>
      <c r="JC38"/>
      <c r="JD38"/>
      <c r="JE38"/>
      <c r="JF38"/>
      <c r="JG38"/>
      <c r="JH38"/>
      <c r="JJ38"/>
      <c r="JK38"/>
      <c r="JL38"/>
      <c r="JM38"/>
      <c r="JN38"/>
      <c r="JO38"/>
      <c r="JP38"/>
      <c r="JQ38"/>
      <c r="JR38"/>
      <c r="JS38"/>
      <c r="JT38"/>
      <c r="JU38"/>
      <c r="JV38"/>
      <c r="JW38"/>
      <c r="JX38"/>
      <c r="JY38"/>
      <c r="JZ38"/>
      <c r="KA38"/>
      <c r="KB38"/>
      <c r="KC38"/>
      <c r="KD38"/>
      <c r="KE38"/>
      <c r="KF38"/>
      <c r="KG38"/>
      <c r="KH38"/>
      <c r="KI38"/>
      <c r="KJ38"/>
      <c r="KK38"/>
      <c r="KL38"/>
      <c r="KM38"/>
      <c r="KN38"/>
      <c r="KO38"/>
      <c r="KP38"/>
      <c r="KQ38"/>
      <c r="KR38"/>
      <c r="KS38"/>
      <c r="KT38"/>
      <c r="KU38"/>
      <c r="KV38"/>
      <c r="KW38"/>
      <c r="KX38"/>
      <c r="KY38"/>
      <c r="KZ38"/>
      <c r="LA38"/>
      <c r="LB38"/>
      <c r="LC38"/>
      <c r="LD38"/>
      <c r="LE38"/>
      <c r="LF38"/>
      <c r="LG38"/>
      <c r="LH38"/>
      <c r="LI38"/>
      <c r="LJ38"/>
      <c r="LK38"/>
      <c r="LL38"/>
      <c r="LM38"/>
      <c r="LN38"/>
      <c r="LO38"/>
      <c r="LP38"/>
      <c r="LQ38"/>
      <c r="LR38"/>
      <c r="LS38"/>
      <c r="LT38"/>
      <c r="LU38"/>
      <c r="LV38"/>
      <c r="LW38"/>
      <c r="LX38"/>
      <c r="LY38"/>
      <c r="LZ38"/>
      <c r="MA38"/>
      <c r="MB38"/>
      <c r="MC38"/>
      <c r="MD38"/>
      <c r="ME38"/>
      <c r="MF38"/>
      <c r="MG38"/>
      <c r="MH38"/>
      <c r="MI38"/>
      <c r="MJ38"/>
      <c r="MK38"/>
      <c r="ML38"/>
      <c r="MM38"/>
      <c r="MN38"/>
      <c r="MO38"/>
      <c r="MP38"/>
      <c r="MQ38"/>
      <c r="MR38"/>
      <c r="MS38"/>
      <c r="MT38"/>
      <c r="MU38"/>
      <c r="MV38"/>
      <c r="MW38"/>
      <c r="MX38"/>
      <c r="MY38"/>
      <c r="MZ38"/>
      <c r="NA38"/>
      <c r="NB38"/>
      <c r="NC38"/>
      <c r="ND38"/>
      <c r="NE38"/>
      <c r="NF38"/>
      <c r="NG38"/>
      <c r="NH38"/>
      <c r="NI38"/>
      <c r="NJ38"/>
      <c r="NK38"/>
      <c r="NL38"/>
      <c r="NM38"/>
      <c r="NN38"/>
      <c r="NO38"/>
      <c r="NP38"/>
      <c r="NQ38"/>
      <c r="NR38"/>
      <c r="NS38"/>
      <c r="NT38"/>
      <c r="NU38"/>
      <c r="NV38"/>
      <c r="NW38"/>
      <c r="NX38"/>
      <c r="NY38"/>
      <c r="NZ38"/>
      <c r="OA38"/>
      <c r="OB38"/>
      <c r="OC38"/>
      <c r="OD38"/>
      <c r="OE38"/>
      <c r="OF38"/>
      <c r="OG38"/>
      <c r="OH38"/>
      <c r="OI38"/>
      <c r="OJ38"/>
      <c r="OK38"/>
      <c r="OL38"/>
      <c r="OM38"/>
      <c r="ON38"/>
      <c r="OO38"/>
      <c r="OP38"/>
      <c r="OQ38"/>
      <c r="OR38"/>
      <c r="OS38"/>
      <c r="OT38"/>
      <c r="OU38"/>
      <c r="OV38"/>
      <c r="OW38"/>
      <c r="OX38"/>
      <c r="OY38"/>
      <c r="OZ38"/>
      <c r="PA38"/>
      <c r="PB38"/>
      <c r="PC38"/>
      <c r="PD38"/>
      <c r="PE38"/>
      <c r="PF38"/>
      <c r="PG38"/>
      <c r="PH38"/>
      <c r="PI38"/>
      <c r="PJ38"/>
      <c r="PK38"/>
      <c r="PL38"/>
      <c r="PM38"/>
      <c r="PN38"/>
      <c r="PO38"/>
      <c r="PP38"/>
      <c r="PQ38"/>
      <c r="PR38"/>
      <c r="PS38"/>
      <c r="PT38"/>
      <c r="PU38"/>
      <c r="PV38"/>
      <c r="PW38"/>
      <c r="PX38"/>
      <c r="PY38"/>
      <c r="PZ38"/>
      <c r="QA38"/>
      <c r="QB38"/>
      <c r="QC38"/>
      <c r="QD38"/>
      <c r="QE38"/>
      <c r="QF38"/>
      <c r="QG38"/>
      <c r="QH38"/>
      <c r="QI38"/>
      <c r="QJ38"/>
      <c r="QK38"/>
      <c r="QL38"/>
      <c r="QM38"/>
      <c r="QN38"/>
      <c r="QO38"/>
      <c r="QP38"/>
      <c r="QQ38"/>
      <c r="QR38"/>
      <c r="QS38"/>
      <c r="QT38"/>
      <c r="QU38"/>
      <c r="QV38"/>
      <c r="QW38"/>
      <c r="QX38"/>
      <c r="QY38"/>
      <c r="QZ38"/>
      <c r="RA38"/>
      <c r="RB38"/>
      <c r="RC38"/>
      <c r="RD38"/>
      <c r="RE38"/>
      <c r="RF38"/>
      <c r="RG38"/>
      <c r="RH38"/>
      <c r="RI38"/>
      <c r="RJ38"/>
      <c r="RK38"/>
      <c r="RL38"/>
      <c r="RM38"/>
      <c r="RN38"/>
      <c r="RO38"/>
      <c r="RP38"/>
      <c r="RQ38"/>
      <c r="RR38"/>
      <c r="RS38"/>
      <c r="RT38"/>
      <c r="RU38"/>
      <c r="RV38"/>
      <c r="RW38"/>
      <c r="RX38"/>
      <c r="RY38"/>
      <c r="RZ38"/>
      <c r="SA38"/>
      <c r="SB38"/>
      <c r="SC38"/>
      <c r="SD38"/>
      <c r="SE38"/>
      <c r="SF38"/>
      <c r="SG38"/>
      <c r="SH38"/>
      <c r="SI38"/>
      <c r="SJ38"/>
      <c r="SK38"/>
      <c r="SL38"/>
      <c r="SM38"/>
      <c r="SN38"/>
      <c r="SO38"/>
      <c r="SP38"/>
      <c r="SQ38"/>
      <c r="SR38"/>
      <c r="SS38"/>
      <c r="ST38"/>
      <c r="SU38"/>
      <c r="SV38"/>
      <c r="SW38"/>
      <c r="SX38"/>
      <c r="SY38"/>
      <c r="SZ38"/>
      <c r="TA38"/>
      <c r="TB38"/>
      <c r="TC38"/>
      <c r="TD38"/>
      <c r="TE38"/>
      <c r="TF38"/>
      <c r="TG38"/>
      <c r="TH38"/>
      <c r="TI38"/>
      <c r="TJ38"/>
      <c r="TK38"/>
      <c r="TL38"/>
      <c r="TM38"/>
      <c r="TN38"/>
      <c r="TO38"/>
      <c r="TP38"/>
    </row>
    <row r="39" spans="1:536" s="37" customFormat="1" ht="17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 s="10"/>
      <c r="O39" s="10"/>
      <c r="P39" s="10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T39"/>
      <c r="GU39"/>
      <c r="GV39"/>
      <c r="GW39"/>
      <c r="GX39"/>
      <c r="GY39"/>
      <c r="GZ39"/>
      <c r="HA39"/>
      <c r="HB39"/>
      <c r="HC39"/>
      <c r="HD39"/>
      <c r="HE39"/>
      <c r="HF39"/>
      <c r="HG39"/>
      <c r="HH39"/>
      <c r="HI39"/>
      <c r="HJ39"/>
      <c r="HK39"/>
      <c r="HL39"/>
      <c r="HM39"/>
      <c r="HN39"/>
      <c r="HO39"/>
      <c r="HP39"/>
      <c r="HQ39"/>
      <c r="HR39"/>
      <c r="HS39"/>
      <c r="HT39"/>
      <c r="HU39"/>
      <c r="HV39"/>
      <c r="HW39"/>
      <c r="HX39"/>
      <c r="HY39"/>
      <c r="HZ39"/>
      <c r="IB39"/>
      <c r="IC39"/>
      <c r="ID39"/>
      <c r="IE39"/>
      <c r="IF39"/>
      <c r="IG39"/>
      <c r="IH39"/>
      <c r="II39"/>
      <c r="IJ39"/>
      <c r="IK39"/>
      <c r="IL39"/>
      <c r="IM39"/>
      <c r="IN39"/>
      <c r="IO39"/>
      <c r="IP39"/>
      <c r="IQ39"/>
      <c r="IR39"/>
      <c r="IS39"/>
      <c r="IT39"/>
      <c r="IU39"/>
      <c r="IV39"/>
      <c r="IW39"/>
      <c r="IX39"/>
      <c r="IY39"/>
      <c r="IZ39"/>
      <c r="JA39"/>
      <c r="JB39"/>
      <c r="JC39"/>
      <c r="JD39"/>
      <c r="JE39"/>
      <c r="JF39"/>
      <c r="JG39"/>
      <c r="JH39"/>
      <c r="JJ39"/>
      <c r="JK39"/>
      <c r="JL39"/>
      <c r="JM39"/>
      <c r="JN39"/>
      <c r="JO39"/>
      <c r="JP39"/>
      <c r="JQ39"/>
      <c r="JR39"/>
      <c r="JS39"/>
      <c r="JT39"/>
      <c r="JU39"/>
      <c r="JV39"/>
      <c r="JW39"/>
      <c r="JX39"/>
      <c r="JY39"/>
      <c r="JZ39"/>
      <c r="KA39"/>
      <c r="KB39"/>
      <c r="KC39"/>
      <c r="KD39"/>
      <c r="KE39"/>
      <c r="KF39"/>
      <c r="KG39"/>
      <c r="KH39"/>
      <c r="KI39"/>
      <c r="KJ39"/>
      <c r="KK39"/>
      <c r="KL39"/>
      <c r="KM39"/>
      <c r="KN39"/>
      <c r="KO39"/>
      <c r="KP39"/>
      <c r="KQ39"/>
      <c r="KR39"/>
      <c r="KS39"/>
      <c r="KT39"/>
      <c r="KU39"/>
      <c r="KV39"/>
      <c r="KW39"/>
      <c r="KX39"/>
      <c r="KY39"/>
      <c r="KZ39"/>
      <c r="LA39"/>
      <c r="LB39"/>
      <c r="LC39"/>
      <c r="LD39"/>
      <c r="LE39"/>
      <c r="LF39"/>
      <c r="LG39"/>
      <c r="LH39"/>
      <c r="LI39"/>
      <c r="LJ39"/>
      <c r="LK39"/>
      <c r="LL39"/>
      <c r="LM39"/>
      <c r="LN39"/>
      <c r="LO39"/>
      <c r="LP39"/>
      <c r="LQ39"/>
      <c r="LR39"/>
      <c r="LS39"/>
      <c r="LT39"/>
      <c r="LU39"/>
      <c r="LV39"/>
      <c r="LW39"/>
      <c r="LX39"/>
      <c r="LY39"/>
      <c r="LZ39"/>
      <c r="MA39"/>
      <c r="MB39"/>
      <c r="MC39"/>
      <c r="MD39"/>
      <c r="ME39"/>
      <c r="MF39"/>
      <c r="MG39"/>
      <c r="MH39"/>
      <c r="MI39"/>
      <c r="MJ39"/>
      <c r="MK39"/>
      <c r="ML39"/>
      <c r="MM39"/>
      <c r="MN39"/>
      <c r="MO39"/>
      <c r="MP39"/>
      <c r="MQ39"/>
      <c r="MR39"/>
      <c r="MS39"/>
      <c r="MT39"/>
      <c r="MU39"/>
      <c r="MV39"/>
      <c r="MW39"/>
      <c r="MX39"/>
      <c r="MY39"/>
      <c r="MZ39"/>
      <c r="NA39"/>
      <c r="NB39"/>
      <c r="NC39"/>
      <c r="ND39"/>
      <c r="NE39"/>
      <c r="NF39"/>
      <c r="NG39"/>
      <c r="NH39"/>
      <c r="NI39"/>
      <c r="NJ39"/>
      <c r="NK39"/>
      <c r="NL39"/>
      <c r="NM39"/>
      <c r="NN39"/>
      <c r="NO39"/>
      <c r="NP39"/>
      <c r="NQ39"/>
      <c r="NR39"/>
      <c r="NS39"/>
      <c r="NT39"/>
      <c r="NU39"/>
      <c r="NV39"/>
      <c r="NW39"/>
      <c r="NX39"/>
      <c r="NY39"/>
      <c r="NZ39"/>
      <c r="OA39"/>
      <c r="OB39"/>
      <c r="OC39"/>
      <c r="OD39"/>
      <c r="OE39"/>
      <c r="OF39"/>
      <c r="OG39"/>
      <c r="OH39"/>
      <c r="OI39"/>
      <c r="OJ39"/>
      <c r="OK39"/>
      <c r="OL39"/>
      <c r="OM39"/>
      <c r="ON39"/>
      <c r="OO39"/>
      <c r="OP39"/>
      <c r="OQ39"/>
      <c r="OR39"/>
      <c r="OS39"/>
      <c r="OT39"/>
      <c r="OU39"/>
      <c r="OV39"/>
      <c r="OW39"/>
      <c r="OX39"/>
      <c r="OY39"/>
      <c r="OZ39"/>
      <c r="PA39"/>
      <c r="PB39"/>
      <c r="PC39"/>
      <c r="PD39"/>
      <c r="PE39"/>
      <c r="PF39"/>
      <c r="PG39"/>
      <c r="PH39"/>
      <c r="PI39"/>
      <c r="PJ39"/>
      <c r="PK39"/>
      <c r="PL39"/>
      <c r="PM39"/>
      <c r="PN39"/>
      <c r="PO39"/>
      <c r="PP39"/>
      <c r="PQ39"/>
      <c r="PR39"/>
      <c r="PS39"/>
      <c r="PT39"/>
      <c r="PU39"/>
      <c r="PV39"/>
      <c r="PW39"/>
      <c r="PX39"/>
      <c r="PY39"/>
      <c r="PZ39"/>
      <c r="QA39"/>
      <c r="QB39"/>
      <c r="QC39"/>
      <c r="QD39"/>
      <c r="QE39"/>
      <c r="QF39"/>
      <c r="QG39"/>
      <c r="QH39"/>
      <c r="QI39"/>
      <c r="QJ39"/>
      <c r="QK39"/>
      <c r="QL39"/>
      <c r="QM39"/>
      <c r="QN39"/>
      <c r="QO39"/>
      <c r="QP39"/>
      <c r="QQ39"/>
      <c r="QR39"/>
      <c r="QS39"/>
      <c r="QT39"/>
      <c r="QU39"/>
      <c r="QV39"/>
      <c r="QW39"/>
      <c r="QX39"/>
      <c r="QY39"/>
      <c r="QZ39"/>
      <c r="RA39"/>
      <c r="RB39"/>
      <c r="RC39"/>
      <c r="RD39"/>
      <c r="RE39"/>
      <c r="RF39"/>
      <c r="RG39"/>
      <c r="RH39"/>
      <c r="RI39"/>
      <c r="RJ39"/>
      <c r="RK39"/>
      <c r="RL39"/>
      <c r="RM39"/>
      <c r="RN39"/>
      <c r="RO39"/>
      <c r="RP39"/>
      <c r="RQ39"/>
      <c r="RR39"/>
      <c r="RS39"/>
      <c r="RT39"/>
      <c r="RU39"/>
      <c r="RV39"/>
      <c r="RW39"/>
      <c r="RX39"/>
      <c r="RY39"/>
      <c r="RZ39"/>
      <c r="SA39"/>
      <c r="SB39"/>
      <c r="SC39"/>
      <c r="SD39"/>
      <c r="SE39"/>
      <c r="SF39"/>
      <c r="SG39"/>
      <c r="SH39"/>
      <c r="SI39"/>
      <c r="SJ39"/>
      <c r="SK39"/>
      <c r="SL39"/>
      <c r="SM39"/>
      <c r="SN39"/>
      <c r="SO39"/>
      <c r="SP39"/>
      <c r="SQ39"/>
      <c r="SR39"/>
      <c r="SS39"/>
      <c r="ST39"/>
      <c r="SU39"/>
      <c r="SV39"/>
      <c r="SW39"/>
      <c r="SX39"/>
      <c r="SY39"/>
      <c r="SZ39"/>
      <c r="TA39"/>
      <c r="TB39"/>
      <c r="TC39"/>
      <c r="TD39"/>
      <c r="TE39"/>
      <c r="TF39"/>
      <c r="TG39"/>
      <c r="TH39"/>
      <c r="TI39"/>
      <c r="TJ39"/>
      <c r="TK39"/>
      <c r="TL39"/>
      <c r="TM39"/>
      <c r="TN39"/>
      <c r="TO39"/>
      <c r="TP39"/>
    </row>
    <row r="40" spans="1:536" s="37" customFormat="1" ht="17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 s="10"/>
      <c r="O40" s="10"/>
      <c r="P40" s="1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T40"/>
      <c r="GU40"/>
      <c r="GV40"/>
      <c r="GW40"/>
      <c r="GX40"/>
      <c r="GY40"/>
      <c r="GZ40"/>
      <c r="HA40"/>
      <c r="HB40"/>
      <c r="HC40"/>
      <c r="HD40"/>
      <c r="HE40"/>
      <c r="HF40"/>
      <c r="HG40"/>
      <c r="HH40"/>
      <c r="HI40"/>
      <c r="HJ40"/>
      <c r="HK40"/>
      <c r="HL40"/>
      <c r="HM40"/>
      <c r="HN40"/>
      <c r="HO40"/>
      <c r="HP40"/>
      <c r="HQ40"/>
      <c r="HR40"/>
      <c r="HS40"/>
      <c r="HT40"/>
      <c r="HU40"/>
      <c r="HV40"/>
      <c r="HW40"/>
      <c r="HX40"/>
      <c r="HY40"/>
      <c r="HZ40"/>
      <c r="IB40"/>
      <c r="IC40"/>
      <c r="ID40"/>
      <c r="IE40"/>
      <c r="IF40"/>
      <c r="IG40"/>
      <c r="IH40"/>
      <c r="II40"/>
      <c r="IJ40"/>
      <c r="IK40"/>
      <c r="IL40"/>
      <c r="IM40"/>
      <c r="IN40"/>
      <c r="IO40"/>
      <c r="IP40"/>
      <c r="IQ40"/>
      <c r="IR40"/>
      <c r="IS40"/>
      <c r="IT40"/>
      <c r="IU40"/>
      <c r="IV40"/>
      <c r="IW40"/>
      <c r="IX40"/>
      <c r="IY40"/>
      <c r="IZ40"/>
      <c r="JA40"/>
      <c r="JB40"/>
      <c r="JC40"/>
      <c r="JD40"/>
      <c r="JE40"/>
      <c r="JF40"/>
      <c r="JG40"/>
      <c r="JH40"/>
      <c r="JJ40"/>
      <c r="JK40"/>
      <c r="JL40"/>
      <c r="JM40"/>
      <c r="JN40"/>
      <c r="JO40"/>
      <c r="JP40"/>
      <c r="JQ40"/>
      <c r="JR40"/>
      <c r="JS40"/>
      <c r="JT40"/>
      <c r="JU40"/>
      <c r="JV40"/>
      <c r="JW40"/>
      <c r="JX40"/>
      <c r="JY40"/>
      <c r="JZ40"/>
      <c r="KA40"/>
      <c r="KB40"/>
      <c r="KC40"/>
      <c r="KD40"/>
      <c r="KE40"/>
      <c r="KF40"/>
      <c r="KG40"/>
      <c r="KH40"/>
      <c r="KI40"/>
      <c r="KJ40"/>
      <c r="KK40"/>
      <c r="KL40"/>
      <c r="KM40"/>
      <c r="KN40"/>
      <c r="KO40"/>
      <c r="KP40"/>
      <c r="KQ40"/>
      <c r="KR40"/>
      <c r="KS40"/>
      <c r="KT40"/>
      <c r="KU40"/>
      <c r="KV40"/>
      <c r="KW40"/>
      <c r="KX40"/>
      <c r="KY40"/>
      <c r="KZ40"/>
      <c r="LA40"/>
      <c r="LB40"/>
      <c r="LC40"/>
      <c r="LD40"/>
      <c r="LE40"/>
      <c r="LF40"/>
      <c r="LG40"/>
      <c r="LH40"/>
      <c r="LI40"/>
      <c r="LJ40"/>
      <c r="LK40"/>
      <c r="LL40"/>
      <c r="LM40"/>
      <c r="LN40"/>
      <c r="LO40"/>
      <c r="LP40"/>
      <c r="LQ40"/>
      <c r="LR40"/>
      <c r="LS40"/>
      <c r="LT40"/>
      <c r="LU40"/>
      <c r="LV40"/>
      <c r="LW40"/>
      <c r="LX40"/>
      <c r="LY40"/>
      <c r="LZ40"/>
      <c r="MA40"/>
      <c r="MB40"/>
      <c r="MC40"/>
      <c r="MD40"/>
      <c r="ME40"/>
      <c r="MF40"/>
      <c r="MG40"/>
      <c r="MH40"/>
      <c r="MI40"/>
      <c r="MJ40"/>
      <c r="MK40"/>
      <c r="ML40"/>
      <c r="MM40"/>
      <c r="MN40"/>
      <c r="MO40"/>
      <c r="MP40"/>
      <c r="MQ40"/>
      <c r="MR40"/>
      <c r="MS40"/>
      <c r="MT40"/>
      <c r="MU40"/>
      <c r="MV40"/>
      <c r="MW40"/>
      <c r="MX40"/>
      <c r="MY40"/>
      <c r="MZ40"/>
      <c r="NA40"/>
      <c r="NB40"/>
      <c r="NC40"/>
      <c r="ND40"/>
      <c r="NE40"/>
      <c r="NF40"/>
      <c r="NG40"/>
      <c r="NH40"/>
      <c r="NI40"/>
      <c r="NJ40"/>
      <c r="NK40"/>
      <c r="NL40"/>
      <c r="NM40"/>
      <c r="NN40"/>
      <c r="NO40"/>
      <c r="NP40"/>
      <c r="NQ40"/>
      <c r="NR40"/>
      <c r="NS40"/>
      <c r="NT40"/>
      <c r="NU40"/>
      <c r="NV40"/>
      <c r="NW40"/>
      <c r="NX40"/>
      <c r="NY40"/>
      <c r="NZ40"/>
      <c r="OA40"/>
      <c r="OB40"/>
      <c r="OC40"/>
      <c r="OD40"/>
      <c r="OE40"/>
      <c r="OF40"/>
      <c r="OG40"/>
      <c r="OH40"/>
      <c r="OI40"/>
      <c r="OJ40"/>
      <c r="OK40"/>
      <c r="OL40"/>
      <c r="OM40"/>
      <c r="ON40"/>
      <c r="OO40"/>
      <c r="OP40"/>
      <c r="OQ40"/>
      <c r="OR40"/>
      <c r="OS40"/>
      <c r="OT40"/>
      <c r="OU40"/>
      <c r="OV40"/>
      <c r="OW40"/>
      <c r="OX40"/>
      <c r="OY40"/>
      <c r="OZ40"/>
      <c r="PA40"/>
      <c r="PB40"/>
      <c r="PC40"/>
      <c r="PD40"/>
      <c r="PE40"/>
      <c r="PF40"/>
      <c r="PG40"/>
      <c r="PH40"/>
      <c r="PI40"/>
      <c r="PJ40"/>
      <c r="PK40"/>
      <c r="PL40"/>
      <c r="PM40"/>
      <c r="PN40"/>
      <c r="PO40"/>
      <c r="PP40"/>
      <c r="PQ40"/>
      <c r="PR40"/>
      <c r="PS40"/>
      <c r="PT40"/>
      <c r="PU40"/>
      <c r="PV40"/>
      <c r="PW40"/>
      <c r="PX40"/>
      <c r="PY40"/>
      <c r="PZ40"/>
      <c r="QA40"/>
      <c r="QB40"/>
      <c r="QC40"/>
      <c r="QD40"/>
      <c r="QE40"/>
      <c r="QF40"/>
      <c r="QG40"/>
      <c r="QH40"/>
      <c r="QI40"/>
      <c r="QJ40"/>
      <c r="QK40"/>
      <c r="QL40"/>
      <c r="QM40"/>
      <c r="QN40"/>
      <c r="QO40"/>
      <c r="QP40"/>
      <c r="QQ40"/>
      <c r="QR40"/>
      <c r="QS40"/>
      <c r="QT40"/>
      <c r="QU40"/>
      <c r="QV40"/>
      <c r="QW40"/>
      <c r="QX40"/>
      <c r="QY40"/>
      <c r="QZ40"/>
      <c r="RA40"/>
      <c r="RB40"/>
      <c r="RC40"/>
      <c r="RD40"/>
      <c r="RE40"/>
      <c r="RF40"/>
      <c r="RG40"/>
      <c r="RH40"/>
      <c r="RI40"/>
      <c r="RJ40"/>
      <c r="RK40"/>
      <c r="RL40"/>
      <c r="RM40"/>
      <c r="RN40"/>
      <c r="RO40"/>
      <c r="RP40"/>
      <c r="RQ40"/>
      <c r="RR40"/>
      <c r="RS40"/>
      <c r="RT40"/>
      <c r="RU40"/>
      <c r="RV40"/>
      <c r="RW40"/>
      <c r="RX40"/>
      <c r="RY40"/>
      <c r="RZ40"/>
      <c r="SA40"/>
      <c r="SB40"/>
      <c r="SC40"/>
      <c r="SD40"/>
      <c r="SE40"/>
      <c r="SF40"/>
      <c r="SG40"/>
      <c r="SH40"/>
      <c r="SI40"/>
      <c r="SJ40"/>
      <c r="SK40"/>
      <c r="SL40"/>
      <c r="SM40"/>
      <c r="SN40"/>
      <c r="SO40"/>
      <c r="SP40"/>
      <c r="SQ40"/>
      <c r="SR40"/>
      <c r="SS40"/>
      <c r="ST40"/>
      <c r="SU40"/>
      <c r="SV40"/>
      <c r="SW40"/>
      <c r="SX40"/>
      <c r="SY40"/>
      <c r="SZ40"/>
      <c r="TA40"/>
      <c r="TB40"/>
      <c r="TC40"/>
      <c r="TD40"/>
      <c r="TE40"/>
      <c r="TF40"/>
      <c r="TG40"/>
      <c r="TH40"/>
      <c r="TI40"/>
      <c r="TJ40"/>
      <c r="TK40"/>
      <c r="TL40"/>
      <c r="TM40"/>
      <c r="TN40"/>
      <c r="TO40"/>
      <c r="TP40"/>
    </row>
    <row r="41" spans="1:536" s="37" customFormat="1" ht="17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 s="10"/>
      <c r="O41" s="10"/>
      <c r="P41" s="10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T41"/>
      <c r="GU41"/>
      <c r="GV41"/>
      <c r="GW41"/>
      <c r="GX41"/>
      <c r="GY41"/>
      <c r="GZ41"/>
      <c r="HA41"/>
      <c r="HB41"/>
      <c r="HC41"/>
      <c r="HD41"/>
      <c r="HE41"/>
      <c r="HF41"/>
      <c r="HG41"/>
      <c r="HH41"/>
      <c r="HI41"/>
      <c r="HJ41"/>
      <c r="HK41"/>
      <c r="HL41"/>
      <c r="HM41"/>
      <c r="HN41"/>
      <c r="HO41"/>
      <c r="HP41"/>
      <c r="HQ41"/>
      <c r="HR41"/>
      <c r="HS41"/>
      <c r="HT41"/>
      <c r="HU41"/>
      <c r="HV41"/>
      <c r="HW41"/>
      <c r="HX41"/>
      <c r="HY41"/>
      <c r="HZ41"/>
      <c r="IB41"/>
      <c r="IC41"/>
      <c r="ID41"/>
      <c r="IE41"/>
      <c r="IF41"/>
      <c r="IG41"/>
      <c r="IH41"/>
      <c r="II41"/>
      <c r="IJ41"/>
      <c r="IK41"/>
      <c r="IL41"/>
      <c r="IM41"/>
      <c r="IN41"/>
      <c r="IO41"/>
      <c r="IP41"/>
      <c r="IQ41"/>
      <c r="IR41"/>
      <c r="IS41"/>
      <c r="IT41"/>
      <c r="IU41"/>
      <c r="IV41"/>
      <c r="IW41"/>
      <c r="IX41"/>
      <c r="IY41"/>
      <c r="IZ41"/>
      <c r="JA41"/>
      <c r="JB41"/>
      <c r="JC41"/>
      <c r="JD41"/>
      <c r="JE41"/>
      <c r="JF41"/>
      <c r="JG41"/>
      <c r="JH41"/>
      <c r="JJ41"/>
      <c r="JK41"/>
      <c r="JL41"/>
      <c r="JM41"/>
      <c r="JN41"/>
      <c r="JO41"/>
      <c r="JP41"/>
      <c r="JQ41"/>
      <c r="JR41"/>
      <c r="JS41"/>
      <c r="JT41"/>
      <c r="JU41"/>
      <c r="JV41"/>
      <c r="JW41"/>
      <c r="JX41"/>
      <c r="JY41"/>
      <c r="JZ41"/>
      <c r="KA41"/>
      <c r="KB41"/>
      <c r="KC41"/>
      <c r="KD41"/>
      <c r="KE41"/>
      <c r="KF41"/>
      <c r="KG41"/>
      <c r="KH41"/>
      <c r="KI41"/>
      <c r="KJ41"/>
      <c r="KK41"/>
      <c r="KL41"/>
      <c r="KM41"/>
      <c r="KN41"/>
      <c r="KO41"/>
      <c r="KP41"/>
      <c r="KQ41"/>
      <c r="KR41"/>
      <c r="KS41"/>
      <c r="KT41"/>
      <c r="KU41"/>
      <c r="KV41"/>
      <c r="KW41"/>
      <c r="KX41"/>
      <c r="KY41"/>
      <c r="KZ41"/>
      <c r="LA41"/>
      <c r="LB41"/>
      <c r="LC41"/>
      <c r="LD41"/>
      <c r="LE41"/>
      <c r="LF41"/>
      <c r="LG41"/>
      <c r="LH41"/>
      <c r="LI41"/>
      <c r="LJ41"/>
      <c r="LK41"/>
      <c r="LL41"/>
      <c r="LM41"/>
      <c r="LN41"/>
      <c r="LO41"/>
      <c r="LP41"/>
      <c r="LQ41"/>
      <c r="LR41"/>
      <c r="LS41"/>
      <c r="LT41"/>
      <c r="LU41"/>
      <c r="LV41"/>
      <c r="LW41"/>
      <c r="LX41"/>
      <c r="LY41"/>
      <c r="LZ41"/>
      <c r="MA41"/>
      <c r="MB41"/>
      <c r="MC41"/>
      <c r="MD41"/>
      <c r="ME41"/>
      <c r="MF41"/>
      <c r="MG41"/>
      <c r="MH41"/>
      <c r="MI41"/>
      <c r="MJ41"/>
      <c r="MK41"/>
      <c r="ML41"/>
      <c r="MM41"/>
      <c r="MN41"/>
      <c r="MO41"/>
      <c r="MP41"/>
      <c r="MQ41"/>
      <c r="MR41"/>
      <c r="MS41"/>
      <c r="MT41"/>
      <c r="MU41"/>
      <c r="MV41"/>
      <c r="MW41"/>
      <c r="MX41"/>
      <c r="MY41"/>
      <c r="MZ41"/>
      <c r="NA41"/>
      <c r="NB41"/>
      <c r="NC41"/>
      <c r="ND41"/>
      <c r="NE41"/>
      <c r="NF41"/>
      <c r="NG41"/>
      <c r="NH41"/>
      <c r="NI41"/>
      <c r="NJ41"/>
      <c r="NK41"/>
      <c r="NL41"/>
      <c r="NM41"/>
      <c r="NN41"/>
      <c r="NO41"/>
      <c r="NP41"/>
      <c r="NQ41"/>
      <c r="NR41"/>
      <c r="NS41"/>
      <c r="NT41"/>
      <c r="NU41"/>
      <c r="NV41"/>
      <c r="NW41"/>
      <c r="NX41"/>
      <c r="NY41"/>
      <c r="NZ41"/>
      <c r="OA41"/>
      <c r="OB41"/>
      <c r="OC41"/>
      <c r="OD41"/>
      <c r="OE41"/>
      <c r="OF41"/>
      <c r="OG41"/>
      <c r="OH41"/>
      <c r="OI41"/>
      <c r="OJ41"/>
      <c r="OK41"/>
      <c r="OL41"/>
      <c r="OM41"/>
      <c r="ON41"/>
      <c r="OO41"/>
      <c r="OP41"/>
      <c r="OQ41"/>
      <c r="OR41"/>
      <c r="OS41"/>
      <c r="OT41"/>
      <c r="OU41"/>
      <c r="OV41"/>
      <c r="OW41"/>
      <c r="OX41"/>
      <c r="OY41"/>
      <c r="OZ41"/>
      <c r="PA41"/>
      <c r="PB41"/>
      <c r="PC41"/>
      <c r="PD41"/>
      <c r="PE41"/>
      <c r="PF41"/>
      <c r="PG41"/>
      <c r="PH41"/>
      <c r="PI41"/>
      <c r="PJ41"/>
      <c r="PK41"/>
      <c r="PL41"/>
      <c r="PM41"/>
      <c r="PN41"/>
      <c r="PO41"/>
      <c r="PP41"/>
      <c r="PQ41"/>
      <c r="PR41"/>
      <c r="PS41"/>
      <c r="PT41"/>
      <c r="PU41"/>
      <c r="PV41"/>
      <c r="PW41"/>
      <c r="PX41"/>
      <c r="PY41"/>
      <c r="PZ41"/>
      <c r="QA41"/>
      <c r="QB41"/>
      <c r="QC41"/>
      <c r="QD41"/>
      <c r="QE41"/>
      <c r="QF41"/>
      <c r="QG41"/>
      <c r="QH41"/>
      <c r="QI41"/>
      <c r="QJ41"/>
      <c r="QK41"/>
      <c r="QL41"/>
      <c r="QM41"/>
      <c r="QN41"/>
      <c r="QO41"/>
      <c r="QP41"/>
      <c r="QQ41"/>
      <c r="QR41"/>
      <c r="QS41"/>
      <c r="QT41"/>
      <c r="QU41"/>
      <c r="QV41"/>
      <c r="QW41"/>
      <c r="QX41"/>
      <c r="QY41"/>
      <c r="QZ41"/>
      <c r="RA41"/>
      <c r="RB41"/>
      <c r="RC41"/>
      <c r="RD41"/>
      <c r="RE41"/>
      <c r="RF41"/>
      <c r="RG41"/>
      <c r="RH41"/>
      <c r="RI41"/>
      <c r="RJ41"/>
      <c r="RK41"/>
      <c r="RL41"/>
      <c r="RM41"/>
      <c r="RN41"/>
      <c r="RO41"/>
      <c r="RP41"/>
      <c r="RQ41"/>
      <c r="RR41"/>
      <c r="RS41"/>
      <c r="RT41"/>
      <c r="RU41"/>
      <c r="RV41"/>
      <c r="RW41"/>
      <c r="RX41"/>
      <c r="RY41"/>
      <c r="RZ41"/>
      <c r="SA41"/>
      <c r="SB41"/>
      <c r="SC41"/>
      <c r="SD41"/>
      <c r="SE41"/>
      <c r="SF41"/>
      <c r="SG41"/>
      <c r="SH41"/>
      <c r="SI41"/>
      <c r="SJ41"/>
      <c r="SK41"/>
      <c r="SL41"/>
      <c r="SM41"/>
      <c r="SN41"/>
      <c r="SO41"/>
      <c r="SP41"/>
      <c r="SQ41"/>
      <c r="SR41"/>
      <c r="SS41"/>
      <c r="ST41"/>
      <c r="SU41"/>
      <c r="SV41"/>
      <c r="SW41"/>
      <c r="SX41"/>
      <c r="SY41"/>
      <c r="SZ41"/>
      <c r="TA41"/>
      <c r="TB41"/>
      <c r="TC41"/>
      <c r="TD41"/>
      <c r="TE41"/>
      <c r="TF41"/>
      <c r="TG41"/>
      <c r="TH41"/>
      <c r="TI41"/>
      <c r="TJ41"/>
      <c r="TK41"/>
      <c r="TL41"/>
      <c r="TM41"/>
      <c r="TN41"/>
      <c r="TO41"/>
      <c r="TP41"/>
    </row>
    <row r="42" spans="1:536" ht="17" x14ac:dyDescent="0.2">
      <c r="N42" s="10"/>
      <c r="O42" s="10"/>
      <c r="P42" s="10"/>
    </row>
    <row r="43" spans="1:536" ht="17" x14ac:dyDescent="0.2">
      <c r="N43" s="10"/>
      <c r="O43" s="10"/>
      <c r="P43" s="10"/>
    </row>
    <row r="44" spans="1:536" ht="17" x14ac:dyDescent="0.2">
      <c r="N44" s="10"/>
      <c r="O44" s="10"/>
      <c r="P44" s="10"/>
    </row>
    <row r="45" spans="1:536" ht="17" x14ac:dyDescent="0.2">
      <c r="N45" s="10"/>
      <c r="O45" s="10"/>
      <c r="P45" s="10"/>
    </row>
    <row r="46" spans="1:536" ht="17" x14ac:dyDescent="0.2">
      <c r="N46" s="10"/>
      <c r="O46" s="10"/>
      <c r="P46" s="10"/>
    </row>
    <row r="47" spans="1:536" ht="17" x14ac:dyDescent="0.2">
      <c r="N47" s="10"/>
      <c r="O47" s="10"/>
      <c r="P47" s="10"/>
    </row>
  </sheetData>
  <sheetProtection sheet="1" formatCells="0" formatColumns="0" formatRows="0"/>
  <autoFilter ref="A1:TN3" xr:uid="{00000000-0001-0000-0100-000000000000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0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4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sortState xmlns:xlrd2="http://schemas.microsoft.com/office/spreadsheetml/2017/richdata2" ref="A6:TN15">
      <sortCondition descending="1" ref="F1:F16"/>
    </sortState>
  </autoFilter>
  <mergeCells count="93">
    <mergeCell ref="F1:F3"/>
    <mergeCell ref="A1:A3"/>
    <mergeCell ref="B1:B3"/>
    <mergeCell ref="C1:C3"/>
    <mergeCell ref="D1:D3"/>
    <mergeCell ref="E1:E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M1:M3"/>
    <mergeCell ref="LZ1:NG1"/>
    <mergeCell ref="Q1:AQ1"/>
    <mergeCell ref="AR1:BR1"/>
    <mergeCell ref="BS1:CS1"/>
    <mergeCell ref="CT1:CU1"/>
    <mergeCell ref="CV1:EC1"/>
    <mergeCell ref="ED1:FK1"/>
    <mergeCell ref="FL1:GS1"/>
    <mergeCell ref="GT1:IA1"/>
    <mergeCell ref="IB1:JI1"/>
    <mergeCell ref="JJ1:KQ1"/>
    <mergeCell ref="KR1:LY1"/>
    <mergeCell ref="Q2:U2"/>
    <mergeCell ref="V2:Z2"/>
    <mergeCell ref="AA2:AE2"/>
    <mergeCell ref="AR2:AV2"/>
    <mergeCell ref="AW2:BA2"/>
    <mergeCell ref="NH1:OO1"/>
    <mergeCell ref="OP1:PW1"/>
    <mergeCell ref="PX1:RE1"/>
    <mergeCell ref="RF1:SM1"/>
    <mergeCell ref="SN1:TN1"/>
    <mergeCell ref="ES2:EW2"/>
    <mergeCell ref="BB2:BF2"/>
    <mergeCell ref="BS2:BW2"/>
    <mergeCell ref="BX2:CB2"/>
    <mergeCell ref="CC2:CG2"/>
    <mergeCell ref="CV2:CZ2"/>
    <mergeCell ref="DA2:DE2"/>
    <mergeCell ref="DF2:DJ2"/>
    <mergeCell ref="DK2:DO2"/>
    <mergeCell ref="ED2:EH2"/>
    <mergeCell ref="EI2:EM2"/>
    <mergeCell ref="EN2:ER2"/>
    <mergeCell ref="IQ2:IU2"/>
    <mergeCell ref="FL2:FP2"/>
    <mergeCell ref="FQ2:FU2"/>
    <mergeCell ref="FV2:FZ2"/>
    <mergeCell ref="GA2:GE2"/>
    <mergeCell ref="GT2:GX2"/>
    <mergeCell ref="GY2:HC2"/>
    <mergeCell ref="HD2:HH2"/>
    <mergeCell ref="HI2:HM2"/>
    <mergeCell ref="IB2:IF2"/>
    <mergeCell ref="IG2:IK2"/>
    <mergeCell ref="IL2:IP2"/>
    <mergeCell ref="MO2:MS2"/>
    <mergeCell ref="JJ2:JN2"/>
    <mergeCell ref="JO2:JS2"/>
    <mergeCell ref="JT2:JX2"/>
    <mergeCell ref="JY2:KC2"/>
    <mergeCell ref="KR2:KV2"/>
    <mergeCell ref="KW2:LA2"/>
    <mergeCell ref="LB2:LF2"/>
    <mergeCell ref="LG2:LK2"/>
    <mergeCell ref="LZ2:MD2"/>
    <mergeCell ref="ME2:MI2"/>
    <mergeCell ref="MJ2:MN2"/>
    <mergeCell ref="QM2:QQ2"/>
    <mergeCell ref="NH2:NL2"/>
    <mergeCell ref="NM2:NQ2"/>
    <mergeCell ref="NR2:NV2"/>
    <mergeCell ref="NW2:OA2"/>
    <mergeCell ref="OP2:OT2"/>
    <mergeCell ref="OU2:OY2"/>
    <mergeCell ref="OZ2:PD2"/>
    <mergeCell ref="PE2:PI2"/>
    <mergeCell ref="PX2:QB2"/>
    <mergeCell ref="QC2:QG2"/>
    <mergeCell ref="QH2:QL2"/>
    <mergeCell ref="SX2:TB2"/>
    <mergeCell ref="RF2:RJ2"/>
    <mergeCell ref="RK2:RO2"/>
    <mergeCell ref="RP2:RT2"/>
    <mergeCell ref="RU2:RY2"/>
    <mergeCell ref="SN2:SR2"/>
    <mergeCell ref="SS2:SW2"/>
  </mergeCells>
  <phoneticPr fontId="22" type="noConversion"/>
  <conditionalFormatting sqref="H1:H1048576">
    <cfRule type="containsText" dxfId="160" priority="40" operator="containsText" text="No DD">
      <formula>NOT(ISERROR(SEARCH("No DD",H1)))</formula>
    </cfRule>
    <cfRule type="containsText" dxfId="159" priority="41" operator="containsText" text="Merit">
      <formula>NOT(ISERROR(SEARCH("Merit",H1)))</formula>
    </cfRule>
    <cfRule type="containsText" dxfId="158" priority="42" operator="containsText" text="Excellence">
      <formula>NOT(ISERROR(SEARCH("Excellence",H1)))</formula>
    </cfRule>
    <cfRule type="containsText" dxfId="157" priority="43" operator="containsText" text="Worlds Team">
      <formula>NOT(ISERROR(SEARCH("Worlds Team",H1)))</formula>
    </cfRule>
    <cfRule type="containsText" dxfId="156" priority="44" operator="containsText" text="National Team">
      <formula>NOT(ISERROR(SEARCH("National Team",H1)))</formula>
    </cfRule>
  </conditionalFormatting>
  <conditionalFormatting sqref="A4:A1048576">
    <cfRule type="expression" dxfId="0" priority="45">
      <formula>IF(A4&gt;4,1,0)</formula>
    </cfRule>
    <cfRule type="expression" dxfId="1" priority="1">
      <formula>AND(G4&lt;&gt;"",F4="")</formula>
    </cfRule>
  </conditionalFormatting>
  <conditionalFormatting sqref="Q4:AQ15">
    <cfRule type="expression" dxfId="155" priority="46" stopIfTrue="1">
      <formula>IF($AF4&lt;&gt;"",1,0)</formula>
    </cfRule>
  </conditionalFormatting>
  <conditionalFormatting sqref="AR4:BR15">
    <cfRule type="expression" dxfId="154" priority="39" stopIfTrue="1">
      <formula>IF($BG4&lt;&gt;"",1,0)</formula>
    </cfRule>
  </conditionalFormatting>
  <conditionalFormatting sqref="BS4:CS15">
    <cfRule type="expression" dxfId="153" priority="38" stopIfTrue="1">
      <formula>IF($CH4&lt;&gt;"",1,0)</formula>
    </cfRule>
  </conditionalFormatting>
  <conditionalFormatting sqref="BO26:BO1048576 BH1:BH1048576 BK1:BK1048576 BO1:BO24">
    <cfRule type="cellIs" dxfId="152" priority="51" operator="between">
      <formula>$BR$21</formula>
      <formula>1000</formula>
    </cfRule>
    <cfRule type="cellIs" dxfId="151" priority="52" operator="between">
      <formula>$BR$20</formula>
      <formula>$BR$21</formula>
    </cfRule>
    <cfRule type="cellIs" dxfId="150" priority="53" operator="between">
      <formula>$BR$19</formula>
      <formula>$BR$20</formula>
    </cfRule>
    <cfRule type="cellIs" dxfId="149" priority="54" operator="between">
      <formula>$BR$18</formula>
      <formula>$BR$19</formula>
    </cfRule>
  </conditionalFormatting>
  <conditionalFormatting sqref="CP26:CP1048576 CI1:CI1048576 CL1:CL1048576 CP1:CP24">
    <cfRule type="cellIs" dxfId="148" priority="47" operator="between">
      <formula>$CS$21</formula>
      <formula>1000</formula>
    </cfRule>
    <cfRule type="cellIs" dxfId="147" priority="48" operator="between">
      <formula>$CS$20</formula>
      <formula>$CS$21</formula>
    </cfRule>
    <cfRule type="cellIs" dxfId="146" priority="49" operator="between">
      <formula>$CS$19</formula>
      <formula>$CS$20</formula>
    </cfRule>
    <cfRule type="cellIs" dxfId="145" priority="50" operator="between">
      <formula>$CS$18</formula>
      <formula>$CS$19</formula>
    </cfRule>
  </conditionalFormatting>
  <conditionalFormatting sqref="DZ26:DZ1048576 DP1:DP1048576 DS1:DS1048576 DW1:DW1048576 DZ1:DZ24">
    <cfRule type="cellIs" dxfId="144" priority="58" operator="between">
      <formula>$EC$21</formula>
      <formula>1000</formula>
    </cfRule>
    <cfRule type="cellIs" dxfId="143" priority="59" operator="between">
      <formula>$EC$20</formula>
      <formula>$EC$21</formula>
    </cfRule>
    <cfRule type="cellIs" dxfId="142" priority="60" operator="between">
      <formula>$EC$19</formula>
      <formula>$EC$20</formula>
    </cfRule>
    <cfRule type="cellIs" dxfId="141" priority="61" operator="between">
      <formula>$EC$18</formula>
      <formula>$EC$19</formula>
    </cfRule>
  </conditionalFormatting>
  <conditionalFormatting sqref="FH26:FH1048576 EX1:EX1048576 FA1:FA1048576 FE1:FE1048576 FH1:FH24">
    <cfRule type="cellIs" dxfId="140" priority="34" operator="between">
      <formula>$FK$21</formula>
      <formula>1000</formula>
    </cfRule>
    <cfRule type="cellIs" dxfId="139" priority="35" operator="between">
      <formula>$FK$20</formula>
      <formula>$FK$21</formula>
    </cfRule>
    <cfRule type="cellIs" dxfId="138" priority="36" operator="between">
      <formula>$FK$19</formula>
      <formula>$FK$20</formula>
    </cfRule>
    <cfRule type="cellIs" dxfId="137" priority="37" operator="between">
      <formula>$FK$18</formula>
      <formula>$FK$19</formula>
    </cfRule>
  </conditionalFormatting>
  <conditionalFormatting sqref="HX26:HX1048576 HN1:HN1048576 HQ1:HQ1048576 HU1:HU1048576 HX1:HX24">
    <cfRule type="cellIs" dxfId="136" priority="30" operator="between">
      <formula>$IA$21</formula>
      <formula>1000</formula>
    </cfRule>
    <cfRule type="cellIs" dxfId="135" priority="31" operator="between">
      <formula>$IA$20</formula>
      <formula>$IA$21</formula>
    </cfRule>
    <cfRule type="cellIs" dxfId="134" priority="32" operator="between">
      <formula>$IA$19</formula>
      <formula>$IA$20</formula>
    </cfRule>
    <cfRule type="cellIs" dxfId="133" priority="33" operator="between">
      <formula>$IA$18</formula>
      <formula>$IA$19</formula>
    </cfRule>
  </conditionalFormatting>
  <conditionalFormatting sqref="AO25 AG1:AG1048576 AJ1:AJ1048576 AN1:AN1048576">
    <cfRule type="cellIs" dxfId="132" priority="26" operator="between">
      <formula>$AQ$21</formula>
      <formula>1000</formula>
    </cfRule>
    <cfRule type="cellIs" dxfId="131" priority="27" operator="between">
      <formula>$AQ$20</formula>
      <formula>$AQ$21</formula>
    </cfRule>
    <cfRule type="cellIs" dxfId="130" priority="28" operator="between">
      <formula>$AQ$19</formula>
      <formula>$AQ$20</formula>
    </cfRule>
    <cfRule type="cellIs" dxfId="129" priority="29" operator="between">
      <formula>$AQ$18</formula>
      <formula>$AQ$19</formula>
    </cfRule>
  </conditionalFormatting>
  <conditionalFormatting sqref="BO25">
    <cfRule type="cellIs" dxfId="128" priority="22" operator="between">
      <formula>$AQ$21</formula>
      <formula>1000</formula>
    </cfRule>
    <cfRule type="cellIs" dxfId="127" priority="23" operator="between">
      <formula>$AQ$20</formula>
      <formula>$AQ$21</formula>
    </cfRule>
    <cfRule type="cellIs" dxfId="126" priority="24" operator="between">
      <formula>$AQ$19</formula>
      <formula>$AQ$20</formula>
    </cfRule>
    <cfRule type="cellIs" dxfId="125" priority="25" operator="between">
      <formula>$AQ$18</formula>
      <formula>$AQ$19</formula>
    </cfRule>
  </conditionalFormatting>
  <conditionalFormatting sqref="CP25">
    <cfRule type="cellIs" dxfId="124" priority="18" operator="between">
      <formula>$AQ$21</formula>
      <formula>1000</formula>
    </cfRule>
    <cfRule type="cellIs" dxfId="123" priority="19" operator="between">
      <formula>$AQ$20</formula>
      <formula>$AQ$21</formula>
    </cfRule>
    <cfRule type="cellIs" dxfId="122" priority="20" operator="between">
      <formula>$AQ$19</formula>
      <formula>$AQ$20</formula>
    </cfRule>
    <cfRule type="cellIs" dxfId="121" priority="21" operator="between">
      <formula>$AQ$18</formula>
      <formula>$AQ$19</formula>
    </cfRule>
  </conditionalFormatting>
  <conditionalFormatting sqref="DZ25">
    <cfRule type="cellIs" dxfId="120" priority="14" operator="between">
      <formula>$AQ$21</formula>
      <formula>1000</formula>
    </cfRule>
    <cfRule type="cellIs" dxfId="119" priority="15" operator="between">
      <formula>$AQ$20</formula>
      <formula>$AQ$21</formula>
    </cfRule>
    <cfRule type="cellIs" dxfId="118" priority="16" operator="between">
      <formula>$AQ$19</formula>
      <formula>$AQ$20</formula>
    </cfRule>
    <cfRule type="cellIs" dxfId="117" priority="17" operator="between">
      <formula>$AQ$18</formula>
      <formula>$AQ$19</formula>
    </cfRule>
  </conditionalFormatting>
  <conditionalFormatting sqref="FH25">
    <cfRule type="cellIs" dxfId="116" priority="10" operator="between">
      <formula>$AQ$21</formula>
      <formula>1000</formula>
    </cfRule>
    <cfRule type="cellIs" dxfId="115" priority="11" operator="between">
      <formula>$AQ$20</formula>
      <formula>$AQ$21</formula>
    </cfRule>
    <cfRule type="cellIs" dxfId="114" priority="12" operator="between">
      <formula>$AQ$19</formula>
      <formula>$AQ$20</formula>
    </cfRule>
    <cfRule type="cellIs" dxfId="113" priority="13" operator="between">
      <formula>$AQ$18</formula>
      <formula>$AQ$19</formula>
    </cfRule>
  </conditionalFormatting>
  <conditionalFormatting sqref="HX25">
    <cfRule type="cellIs" dxfId="112" priority="6" operator="between">
      <formula>$AQ$21</formula>
      <formula>1000</formula>
    </cfRule>
    <cfRule type="cellIs" dxfId="111" priority="7" operator="between">
      <formula>$AQ$20</formula>
      <formula>$AQ$21</formula>
    </cfRule>
    <cfRule type="cellIs" dxfId="110" priority="8" operator="between">
      <formula>$AQ$19</formula>
      <formula>$AQ$20</formula>
    </cfRule>
    <cfRule type="cellIs" dxfId="109" priority="9" operator="between">
      <formula>$AQ$18</formula>
      <formula>$AQ$19</formula>
    </cfRule>
  </conditionalFormatting>
  <conditionalFormatting sqref="GP26:GP1048576 GF1:GF1048576 GI1:GI1048576 GM1:GM1048576 GP1:GP24">
    <cfRule type="cellIs" dxfId="108" priority="89" operator="between">
      <formula>$GS$21</formula>
      <formula>1000</formula>
    </cfRule>
    <cfRule type="cellIs" dxfId="107" priority="90" operator="between">
      <formula>$GS$20</formula>
      <formula>$GS$21</formula>
    </cfRule>
    <cfRule type="cellIs" dxfId="106" priority="91" operator="between">
      <formula>$GS$19</formula>
      <formula>$GS$20</formula>
    </cfRule>
    <cfRule type="cellIs" dxfId="105" priority="92" operator="between">
      <formula>$GS$18</formula>
      <formula>$GS$19</formula>
    </cfRule>
  </conditionalFormatting>
  <conditionalFormatting sqref="GP25">
    <cfRule type="cellIs" dxfId="104" priority="2" operator="between">
      <formula>$AQ$21</formula>
      <formula>1000</formula>
    </cfRule>
    <cfRule type="cellIs" dxfId="103" priority="3" operator="between">
      <formula>$AQ$20</formula>
      <formula>$AQ$21</formula>
    </cfRule>
    <cfRule type="cellIs" dxfId="102" priority="4" operator="between">
      <formula>$AQ$19</formula>
      <formula>$AQ$20</formula>
    </cfRule>
    <cfRule type="cellIs" dxfId="101" priority="5" operator="between">
      <formula>$AQ$18</formula>
      <formula>$AQ$19</formula>
    </cfRule>
  </conditionalFormatting>
  <conditionalFormatting sqref="K1:K1048576 M1:M1048576">
    <cfRule type="expression" dxfId="100" priority="55" stopIfTrue="1">
      <formula>IF(K1=$BS$1,1,0)</formula>
    </cfRule>
    <cfRule type="expression" dxfId="99" priority="56">
      <formula>IF(K1=$AR$1,1,0)</formula>
    </cfRule>
    <cfRule type="expression" dxfId="98" priority="57">
      <formula>IF(K1=$Q$1,1,0)</formula>
    </cfRule>
  </conditionalFormatting>
  <conditionalFormatting sqref="CN1:CN1048576 AL1:AL1048576">
    <cfRule type="cellIs" dxfId="97" priority="84777" operator="between">
      <formula>AQ$25</formula>
      <formula>1000</formula>
    </cfRule>
    <cfRule type="cellIs" dxfId="96" priority="84778" operator="between">
      <formula>AQ$24</formula>
      <formula>AQ$25</formula>
    </cfRule>
  </conditionalFormatting>
  <conditionalFormatting sqref="DU1:DU1048576 FC1:FC1048576 GK1:GK1048576 HS1:HS1048576 JA1:JA1048576 KI1:KI1048576 LQ1:LQ1048576 MY1:MY1048576 OG1:OG1048576 PO1:PO1048576 QW1:QW1048576 SE1:SE1048576">
    <cfRule type="cellIs" dxfId="95" priority="84789" operator="between">
      <formula>EC$25</formula>
      <formula>1000</formula>
    </cfRule>
    <cfRule type="cellIs" dxfId="94" priority="84790" operator="between">
      <formula>EC$24</formula>
      <formula>EC$25</formula>
    </cfRule>
  </conditionalFormatting>
  <conditionalFormatting sqref="AI1:AI1048576 AL1:AL1048576 AP1:AP1048576">
    <cfRule type="cellIs" dxfId="93" priority="84861" operator="between">
      <formula>$AQ$25</formula>
      <formula>1000</formula>
    </cfRule>
    <cfRule type="cellIs" dxfId="92" priority="84862" operator="between">
      <formula>$AQ$24</formula>
      <formula>$AQ$25</formula>
    </cfRule>
    <cfRule type="cellIs" dxfId="91" priority="84863" operator="between">
      <formula>$AQ$23</formula>
      <formula>$AQ$24</formula>
    </cfRule>
    <cfRule type="cellIs" dxfId="90" priority="84864" operator="between">
      <formula>$AQ$22</formula>
      <formula>$AQ$23</formula>
    </cfRule>
  </conditionalFormatting>
  <conditionalFormatting sqref="BJ1:BJ1048576 BM1:BM1048576 BQ1:BQ1048576">
    <cfRule type="cellIs" dxfId="89" priority="84897" operator="between">
      <formula>$BR$25</formula>
      <formula>1000</formula>
    </cfRule>
    <cfRule type="cellIs" dxfId="88" priority="84898" operator="between">
      <formula>$BR$24</formula>
      <formula>$BR$25</formula>
    </cfRule>
    <cfRule type="cellIs" dxfId="87" priority="84899" operator="between">
      <formula>$BR$23</formula>
      <formula>$BR$24</formula>
    </cfRule>
    <cfRule type="cellIs" dxfId="86" priority="84900" operator="between">
      <formula>$BR$22</formula>
      <formula>$BR$23</formula>
    </cfRule>
  </conditionalFormatting>
  <conditionalFormatting sqref="CK1:CK1048576 CN1:CN1048576 CR1:CR1048576">
    <cfRule type="cellIs" dxfId="85" priority="84933" operator="between">
      <formula>$CS$25</formula>
      <formula>1000</formula>
    </cfRule>
    <cfRule type="cellIs" dxfId="84" priority="84934" operator="between">
      <formula>$CS$24</formula>
      <formula>$CS$25</formula>
    </cfRule>
    <cfRule type="cellIs" dxfId="83" priority="84935" operator="between">
      <formula>$CS$23</formula>
      <formula>$CS$24</formula>
    </cfRule>
    <cfRule type="cellIs" dxfId="82" priority="84936" operator="between">
      <formula>$CS$22</formula>
      <formula>$CS$23</formula>
    </cfRule>
  </conditionalFormatting>
  <conditionalFormatting sqref="MT1:MT1048576 MW1:MW1048576 NA1:NA1048576 ND1:ND1048576">
    <cfRule type="cellIs" dxfId="81" priority="84969" operator="between">
      <formula>$NG$18</formula>
      <formula>$NG$19</formula>
    </cfRule>
    <cfRule type="cellIs" dxfId="80" priority="84970" operator="between">
      <formula>$NG$19</formula>
      <formula>$NG$20</formula>
    </cfRule>
    <cfRule type="cellIs" dxfId="79" priority="84971" stopIfTrue="1" operator="between">
      <formula>$NG$20</formula>
      <formula>$NG$21</formula>
    </cfRule>
    <cfRule type="cellIs" dxfId="78" priority="84972" stopIfTrue="1" operator="between">
      <formula>$NG$21</formula>
      <formula>1000</formula>
    </cfRule>
  </conditionalFormatting>
  <conditionalFormatting sqref="DR1:DR1048576 DU1:DU1048576 DY1:DY1048576 EB1:EB1048576">
    <cfRule type="cellIs" dxfId="77" priority="85017" operator="between">
      <formula>$EC$25</formula>
      <formula>1000</formula>
    </cfRule>
    <cfRule type="cellIs" dxfId="76" priority="85018" operator="between">
      <formula>$EC$24</formula>
      <formula>$EC$25</formula>
    </cfRule>
    <cfRule type="cellIs" dxfId="75" priority="85019" operator="between">
      <formula>$EC$23</formula>
      <formula>$EC$24</formula>
    </cfRule>
    <cfRule type="cellIs" dxfId="74" priority="85020" operator="between">
      <formula>$EC$22</formula>
      <formula>$EC$23</formula>
    </cfRule>
  </conditionalFormatting>
  <conditionalFormatting sqref="EZ1:EZ1048576 FC1:FC1048576 FG1:FG1048576 FJ1:FJ1048576">
    <cfRule type="cellIs" dxfId="73" priority="85065" operator="between">
      <formula>$FK$25</formula>
      <formula>1000</formula>
    </cfRule>
    <cfRule type="cellIs" dxfId="72" priority="85066" operator="between">
      <formula>$FK$24</formula>
      <formula>$FK$25</formula>
    </cfRule>
    <cfRule type="cellIs" dxfId="71" priority="85067" operator="between">
      <formula>$FK$23</formula>
      <formula>$FK$24</formula>
    </cfRule>
    <cfRule type="cellIs" dxfId="70" priority="85068" operator="between">
      <formula>$FK$22</formula>
      <formula>$FK$23</formula>
    </cfRule>
  </conditionalFormatting>
  <conditionalFormatting sqref="GH1:GH1048576 GK1:GK1048576 GO1:GO1048576 GR1:GR1048576">
    <cfRule type="cellIs" dxfId="69" priority="85157" operator="between">
      <formula>$GS$25</formula>
      <formula>1000</formula>
    </cfRule>
    <cfRule type="cellIs" dxfId="68" priority="85158" operator="between">
      <formula>$GS$24</formula>
      <formula>$GS$25</formula>
    </cfRule>
    <cfRule type="cellIs" dxfId="67" priority="85159" operator="between">
      <formula>$GS$23</formula>
      <formula>$GS$24</formula>
    </cfRule>
    <cfRule type="cellIs" dxfId="66" priority="85160" operator="between">
      <formula>$GS$22</formula>
      <formula>$GS$23</formula>
    </cfRule>
  </conditionalFormatting>
  <conditionalFormatting sqref="HP1:HP1048576 HS1:HS1048576 HW1:HW1048576 HZ1:HZ1048576">
    <cfRule type="cellIs" dxfId="65" priority="85205" operator="between">
      <formula>$IA$25</formula>
      <formula>1000</formula>
    </cfRule>
    <cfRule type="cellIs" dxfId="64" priority="85206" operator="between">
      <formula>$IA$24</formula>
      <formula>$IA$25</formula>
    </cfRule>
    <cfRule type="cellIs" dxfId="63" priority="85207" operator="between">
      <formula>$IA$23</formula>
      <formula>$IA$24</formula>
    </cfRule>
    <cfRule type="cellIs" dxfId="62" priority="85208" operator="between">
      <formula>$IA$22</formula>
      <formula>$IA$23</formula>
    </cfRule>
  </conditionalFormatting>
  <conditionalFormatting sqref="IV1:IV1048576 IY1:IY1048576 JC1:JC1048576 JF1:JF1048576">
    <cfRule type="cellIs" dxfId="61" priority="85253" operator="between">
      <formula>$JI$21</formula>
      <formula>1000</formula>
    </cfRule>
    <cfRule type="cellIs" dxfId="60" priority="85254" operator="between">
      <formula>$JI$20</formula>
      <formula>$JI$21</formula>
    </cfRule>
    <cfRule type="cellIs" dxfId="59" priority="85255" operator="between">
      <formula>$JI$19</formula>
      <formula>$JI$20</formula>
    </cfRule>
    <cfRule type="cellIs" dxfId="58" priority="85256" operator="between">
      <formula>$JI$18</formula>
      <formula>$JI$19</formula>
    </cfRule>
  </conditionalFormatting>
  <conditionalFormatting sqref="IX1:IX1048576 JA1:JA1048576 JE1:JE1048576 JH1:JH1048576">
    <cfRule type="cellIs" dxfId="57" priority="85301" operator="between">
      <formula>$JI$25</formula>
      <formula>1000</formula>
    </cfRule>
    <cfRule type="cellIs" dxfId="56" priority="85302" operator="between">
      <formula>$JI$24</formula>
      <formula>$JI$25</formula>
    </cfRule>
    <cfRule type="cellIs" dxfId="55" priority="85303" operator="between">
      <formula>$JI$23</formula>
      <formula>$JI$24</formula>
    </cfRule>
    <cfRule type="cellIs" dxfId="54" priority="85304" operator="between">
      <formula>$JI$22</formula>
      <formula>$JI$23</formula>
    </cfRule>
  </conditionalFormatting>
  <conditionalFormatting sqref="KD1:KD1048576 KG1:KG1048576 KK1:KK1048576 KN1:KN1048576">
    <cfRule type="cellIs" dxfId="53" priority="85349" operator="between">
      <formula>$KQ$21</formula>
      <formula>1000</formula>
    </cfRule>
    <cfRule type="cellIs" dxfId="52" priority="85350" operator="between">
      <formula>$KQ$20</formula>
      <formula>$KQ$21</formula>
    </cfRule>
    <cfRule type="cellIs" dxfId="51" priority="85351" operator="between">
      <formula>$KQ$19</formula>
      <formula>$KQ$20</formula>
    </cfRule>
    <cfRule type="cellIs" dxfId="50" priority="85352" operator="between">
      <formula>$KQ$18</formula>
      <formula>$KQ$19</formula>
    </cfRule>
  </conditionalFormatting>
  <conditionalFormatting sqref="KF1:KF1048576 KI1:KI1048576 KM1:KM1048576 KP1:KP1048576">
    <cfRule type="cellIs" dxfId="49" priority="85397" operator="between">
      <formula>$KQ$25</formula>
      <formula>1000</formula>
    </cfRule>
    <cfRule type="cellIs" dxfId="48" priority="85398" operator="between">
      <formula>$KQ$24</formula>
      <formula>$KQ$25</formula>
    </cfRule>
    <cfRule type="cellIs" dxfId="47" priority="85399" operator="between">
      <formula>$KQ$23</formula>
      <formula>$KQ$24</formula>
    </cfRule>
    <cfRule type="cellIs" dxfId="46" priority="85400" operator="between">
      <formula>$KQ$22</formula>
      <formula>$KQ$23</formula>
    </cfRule>
  </conditionalFormatting>
  <conditionalFormatting sqref="LL1:LL1048576 LO1:LO1048576 LS1:LS1048576 LV1:LV1048576">
    <cfRule type="cellIs" dxfId="45" priority="85445" operator="between">
      <formula>$LY$21</formula>
      <formula>1000</formula>
    </cfRule>
    <cfRule type="cellIs" dxfId="44" priority="85446" operator="between">
      <formula>$LY$20</formula>
      <formula>$LY$21</formula>
    </cfRule>
    <cfRule type="cellIs" dxfId="43" priority="85447" operator="between">
      <formula>$LY$19</formula>
      <formula>$LY$20</formula>
    </cfRule>
    <cfRule type="cellIs" dxfId="42" priority="85448" operator="between">
      <formula>$LY$18</formula>
      <formula>$LY$19</formula>
    </cfRule>
  </conditionalFormatting>
  <conditionalFormatting sqref="LN1:LN1048576 LQ1:LQ1048576 LU1:LU1048576 LX1:LX1048576">
    <cfRule type="cellIs" dxfId="41" priority="85493" operator="between">
      <formula>$LY$25</formula>
      <formula>1000</formula>
    </cfRule>
    <cfRule type="cellIs" dxfId="40" priority="85494" operator="between">
      <formula>$LY$24</formula>
      <formula>$LY$25</formula>
    </cfRule>
    <cfRule type="cellIs" dxfId="39" priority="85495" operator="between">
      <formula>$LY$23</formula>
      <formula>$LY$24</formula>
    </cfRule>
    <cfRule type="cellIs" dxfId="38" priority="85496" operator="between">
      <formula>$LY$22</formula>
      <formula>$LY$23</formula>
    </cfRule>
  </conditionalFormatting>
  <conditionalFormatting sqref="MV1:MV1048576 MY1:MY1048576 NC1:NC1048576 NF1:NF1048576">
    <cfRule type="cellIs" dxfId="37" priority="85541" operator="between">
      <formula>$NG$25</formula>
      <formula>1000</formula>
    </cfRule>
    <cfRule type="cellIs" dxfId="36" priority="85542" operator="between">
      <formula>$NG$24</formula>
      <formula>$NG$25</formula>
    </cfRule>
    <cfRule type="cellIs" dxfId="35" priority="85543" operator="between">
      <formula>$NG$23</formula>
      <formula>$NG$24</formula>
    </cfRule>
    <cfRule type="cellIs" dxfId="34" priority="85544" operator="between">
      <formula>$NG$22</formula>
      <formula>$NG$23</formula>
    </cfRule>
  </conditionalFormatting>
  <conditionalFormatting sqref="OB1:OB1048576 OE1:OE1048576 OI1:OI1048576 OL1:OL1048576">
    <cfRule type="cellIs" dxfId="33" priority="85589" operator="between">
      <formula>$OO$21</formula>
      <formula>1000</formula>
    </cfRule>
    <cfRule type="cellIs" dxfId="32" priority="85590" operator="between">
      <formula>$OO$20</formula>
      <formula>$OO$21</formula>
    </cfRule>
    <cfRule type="cellIs" dxfId="31" priority="85591" operator="between">
      <formula>$OO$19</formula>
      <formula>$OO$20</formula>
    </cfRule>
    <cfRule type="cellIs" dxfId="30" priority="85592" operator="between">
      <formula>$OO$18</formula>
      <formula>$OO$19</formula>
    </cfRule>
  </conditionalFormatting>
  <conditionalFormatting sqref="OD1:OD1048576 OG1:OG1048576 OK1:OK1048576 ON1:ON1048576">
    <cfRule type="cellIs" dxfId="29" priority="85637" operator="between">
      <formula>$OO$25</formula>
      <formula>1000</formula>
    </cfRule>
    <cfRule type="cellIs" dxfId="28" priority="85638" operator="between">
      <formula>$OO$24</formula>
      <formula>$OO$25</formula>
    </cfRule>
    <cfRule type="cellIs" dxfId="27" priority="85639" operator="between">
      <formula>$OO$23</formula>
      <formula>$OO$24</formula>
    </cfRule>
    <cfRule type="cellIs" dxfId="26" priority="85640" operator="between">
      <formula>$OO$22</formula>
      <formula>$OO$23</formula>
    </cfRule>
  </conditionalFormatting>
  <conditionalFormatting sqref="PJ1:PJ1048576 PM1:PM1048576 PQ1:PQ1048576 PT1:PT1048576">
    <cfRule type="cellIs" dxfId="25" priority="85685" operator="between">
      <formula>$PW$21</formula>
      <formula>1000</formula>
    </cfRule>
    <cfRule type="cellIs" dxfId="24" priority="85686" operator="between">
      <formula>$PW$20</formula>
      <formula>$PW$21</formula>
    </cfRule>
    <cfRule type="cellIs" dxfId="23" priority="85687" operator="between">
      <formula>$PW$19</formula>
      <formula>$PW$20</formula>
    </cfRule>
    <cfRule type="cellIs" dxfId="22" priority="85688" operator="between">
      <formula>$PW$18</formula>
      <formula>$PW$19</formula>
    </cfRule>
  </conditionalFormatting>
  <conditionalFormatting sqref="PL1:PL1048576 PO1:PO1048576 PS1:PS1048576 PV1:PV1048576">
    <cfRule type="cellIs" dxfId="21" priority="85733" operator="between">
      <formula>$PW$25</formula>
      <formula>1000</formula>
    </cfRule>
    <cfRule type="cellIs" dxfId="20" priority="85734" operator="between">
      <formula>$PW$24</formula>
      <formula>$PW$25</formula>
    </cfRule>
    <cfRule type="cellIs" dxfId="19" priority="85735" operator="between">
      <formula>$PW$23</formula>
      <formula>$PW$24</formula>
    </cfRule>
    <cfRule type="cellIs" dxfId="18" priority="85736" operator="between">
      <formula>$PW$22</formula>
      <formula>$PW$23</formula>
    </cfRule>
  </conditionalFormatting>
  <conditionalFormatting sqref="QR1:QR1048576 QU1:QU1048576 QY1:QY1048576 RB1:RB1048576">
    <cfRule type="cellIs" dxfId="17" priority="85781" operator="between">
      <formula>$RE$21</formula>
      <formula>1000</formula>
    </cfRule>
    <cfRule type="cellIs" dxfId="16" priority="85782" operator="between">
      <formula>$RE$20</formula>
      <formula>$RE$21</formula>
    </cfRule>
    <cfRule type="cellIs" dxfId="15" priority="85783" operator="between">
      <formula>$RE$19</formula>
      <formula>$RE$20</formula>
    </cfRule>
    <cfRule type="cellIs" dxfId="14" priority="85784" operator="between">
      <formula>$RE$18</formula>
      <formula>$RE$19</formula>
    </cfRule>
  </conditionalFormatting>
  <conditionalFormatting sqref="QT1:QT1048576 QW1:QW1048576 RA1:RA1048576 RD1:RD1048576">
    <cfRule type="cellIs" dxfId="13" priority="85829" operator="between">
      <formula>$RE$25</formula>
      <formula>1000</formula>
    </cfRule>
    <cfRule type="cellIs" dxfId="12" priority="85830" operator="between">
      <formula>$RE$24</formula>
      <formula>$RE$25</formula>
    </cfRule>
    <cfRule type="cellIs" dxfId="11" priority="85831" operator="between">
      <formula>$RE$23</formula>
      <formula>$RE$24</formula>
    </cfRule>
    <cfRule type="cellIs" dxfId="10" priority="85832" operator="between">
      <formula>$RE$22</formula>
      <formula>$RE$23</formula>
    </cfRule>
  </conditionalFormatting>
  <conditionalFormatting sqref="RZ1:RZ1048576 SC1:SC1048576 SG1:SG1048576 SJ1:SJ1048576">
    <cfRule type="cellIs" dxfId="9" priority="85877" operator="between">
      <formula>$SM$21</formula>
      <formula>1000</formula>
    </cfRule>
    <cfRule type="cellIs" dxfId="8" priority="85878" operator="between">
      <formula>$SM$20</formula>
      <formula>$SM$21</formula>
    </cfRule>
    <cfRule type="cellIs" dxfId="7" priority="85879" operator="between">
      <formula>$SM$19</formula>
      <formula>$SM$20</formula>
    </cfRule>
    <cfRule type="cellIs" dxfId="6" priority="85880" operator="between">
      <formula>$SM$18</formula>
      <formula>$SM$19</formula>
    </cfRule>
  </conditionalFormatting>
  <conditionalFormatting sqref="SB1:SB1048576 SE1:SE1048576 SI1:SI1048576 SL1:SL1048576">
    <cfRule type="cellIs" dxfId="5" priority="85925" operator="between">
      <formula>$SM$25</formula>
      <formula>1000</formula>
    </cfRule>
    <cfRule type="cellIs" dxfId="4" priority="85926" operator="between">
      <formula>$SM$24</formula>
      <formula>$SM$25</formula>
    </cfRule>
    <cfRule type="cellIs" dxfId="3" priority="85927" operator="between">
      <formula>$SM$23</formula>
      <formula>$SM$24</formula>
    </cfRule>
    <cfRule type="cellIs" dxfId="2" priority="85928" operator="between">
      <formula>$SM$22</formula>
      <formula>$SM$23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G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7" t="s">
        <v>11</v>
      </c>
      <c r="H1" s="66" t="s">
        <v>12</v>
      </c>
      <c r="I1" s="67" t="s">
        <v>89</v>
      </c>
      <c r="J1" s="72" t="s">
        <v>122</v>
      </c>
      <c r="K1" s="68" t="s">
        <v>33</v>
      </c>
      <c r="L1" s="72" t="s">
        <v>123</v>
      </c>
      <c r="M1" s="68" t="s">
        <v>33</v>
      </c>
      <c r="N1" s="72" t="s">
        <v>124</v>
      </c>
      <c r="O1" s="68" t="s">
        <v>33</v>
      </c>
      <c r="P1" s="68" t="s">
        <v>13</v>
      </c>
      <c r="Q1" s="68" t="s">
        <v>33</v>
      </c>
      <c r="R1" s="71" t="s">
        <v>14</v>
      </c>
      <c r="S1" s="68" t="s">
        <v>34</v>
      </c>
      <c r="T1" s="68" t="s">
        <v>33</v>
      </c>
      <c r="U1" s="69" t="s">
        <v>183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4" t="s">
        <v>220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237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5" t="s">
        <v>64</v>
      </c>
      <c r="DE1" s="75"/>
      <c r="DF1" s="75"/>
      <c r="DG1" s="69" t="s">
        <v>177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4" t="s">
        <v>213</v>
      </c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69" t="s">
        <v>232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4" t="s">
        <v>250</v>
      </c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69" t="s">
        <v>259</v>
      </c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72"/>
      <c r="O2" s="68"/>
      <c r="P2" s="68"/>
      <c r="Q2" s="68"/>
      <c r="R2" s="71"/>
      <c r="S2" s="68"/>
      <c r="T2" s="68"/>
      <c r="U2" s="70" t="s">
        <v>114</v>
      </c>
      <c r="V2" s="70"/>
      <c r="W2" s="70"/>
      <c r="X2" s="70"/>
      <c r="Y2" s="70" t="s">
        <v>115</v>
      </c>
      <c r="Z2" s="70"/>
      <c r="AA2" s="70"/>
      <c r="AB2" s="70"/>
      <c r="AC2" s="70" t="s">
        <v>116</v>
      </c>
      <c r="AD2" s="70"/>
      <c r="AE2" s="70"/>
      <c r="AF2" s="70"/>
      <c r="AG2" s="70" t="s">
        <v>117</v>
      </c>
      <c r="AH2" s="70"/>
      <c r="AI2" s="70"/>
      <c r="AJ2" s="70"/>
      <c r="AK2" s="77" t="s">
        <v>118</v>
      </c>
      <c r="AL2" s="77"/>
      <c r="AM2" s="77"/>
      <c r="AN2" s="77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73" t="s">
        <v>114</v>
      </c>
      <c r="AY2" s="73"/>
      <c r="AZ2" s="73"/>
      <c r="BA2" s="73"/>
      <c r="BB2" s="73" t="s">
        <v>115</v>
      </c>
      <c r="BC2" s="73"/>
      <c r="BD2" s="73"/>
      <c r="BE2" s="73"/>
      <c r="BF2" s="73" t="s">
        <v>116</v>
      </c>
      <c r="BG2" s="73"/>
      <c r="BH2" s="73"/>
      <c r="BI2" s="73"/>
      <c r="BJ2" s="73" t="s">
        <v>117</v>
      </c>
      <c r="BK2" s="73"/>
      <c r="BL2" s="73"/>
      <c r="BM2" s="73"/>
      <c r="BN2" s="76" t="s">
        <v>118</v>
      </c>
      <c r="BO2" s="76"/>
      <c r="BP2" s="76"/>
      <c r="BQ2" s="76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70" t="s">
        <v>114</v>
      </c>
      <c r="CB2" s="70"/>
      <c r="CC2" s="70"/>
      <c r="CD2" s="70"/>
      <c r="CE2" s="70" t="s">
        <v>115</v>
      </c>
      <c r="CF2" s="70"/>
      <c r="CG2" s="70"/>
      <c r="CH2" s="70"/>
      <c r="CI2" s="70" t="s">
        <v>116</v>
      </c>
      <c r="CJ2" s="70"/>
      <c r="CK2" s="70"/>
      <c r="CL2" s="70"/>
      <c r="CM2" s="70" t="s">
        <v>117</v>
      </c>
      <c r="CN2" s="70"/>
      <c r="CO2" s="70"/>
      <c r="CP2" s="70"/>
      <c r="CQ2" s="77" t="s">
        <v>118</v>
      </c>
      <c r="CR2" s="77"/>
      <c r="CS2" s="77"/>
      <c r="CT2" s="77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70" t="s">
        <v>114</v>
      </c>
      <c r="DH2" s="70"/>
      <c r="DI2" s="70"/>
      <c r="DJ2" s="70"/>
      <c r="DK2" s="70" t="s">
        <v>115</v>
      </c>
      <c r="DL2" s="70"/>
      <c r="DM2" s="70"/>
      <c r="DN2" s="70"/>
      <c r="DO2" s="70" t="s">
        <v>116</v>
      </c>
      <c r="DP2" s="70"/>
      <c r="DQ2" s="70"/>
      <c r="DR2" s="70"/>
      <c r="DS2" s="70" t="s">
        <v>117</v>
      </c>
      <c r="DT2" s="70"/>
      <c r="DU2" s="70"/>
      <c r="DV2" s="70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73" t="s">
        <v>114</v>
      </c>
      <c r="EJ2" s="73"/>
      <c r="EK2" s="73"/>
      <c r="EL2" s="73"/>
      <c r="EM2" s="73" t="s">
        <v>115</v>
      </c>
      <c r="EN2" s="73"/>
      <c r="EO2" s="73"/>
      <c r="EP2" s="73"/>
      <c r="EQ2" s="73" t="s">
        <v>116</v>
      </c>
      <c r="ER2" s="73"/>
      <c r="ES2" s="73"/>
      <c r="ET2" s="73"/>
      <c r="EU2" s="73" t="s">
        <v>117</v>
      </c>
      <c r="EV2" s="73"/>
      <c r="EW2" s="73"/>
      <c r="EX2" s="73"/>
      <c r="EY2" s="76" t="s">
        <v>118</v>
      </c>
      <c r="EZ2" s="76"/>
      <c r="FA2" s="76"/>
      <c r="FB2" s="76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70" t="s">
        <v>114</v>
      </c>
      <c r="FL2" s="70"/>
      <c r="FM2" s="70"/>
      <c r="FN2" s="70"/>
      <c r="FO2" s="70" t="s">
        <v>115</v>
      </c>
      <c r="FP2" s="70"/>
      <c r="FQ2" s="70"/>
      <c r="FR2" s="70"/>
      <c r="FS2" s="70" t="s">
        <v>116</v>
      </c>
      <c r="FT2" s="70"/>
      <c r="FU2" s="70"/>
      <c r="FV2" s="70"/>
      <c r="FW2" s="70" t="s">
        <v>117</v>
      </c>
      <c r="FX2" s="70"/>
      <c r="FY2" s="70"/>
      <c r="FZ2" s="70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73" t="s">
        <v>114</v>
      </c>
      <c r="GN2" s="73"/>
      <c r="GO2" s="73"/>
      <c r="GP2" s="73"/>
      <c r="GQ2" s="73" t="s">
        <v>115</v>
      </c>
      <c r="GR2" s="73"/>
      <c r="GS2" s="73"/>
      <c r="GT2" s="73"/>
      <c r="GU2" s="73" t="s">
        <v>116</v>
      </c>
      <c r="GV2" s="73"/>
      <c r="GW2" s="73"/>
      <c r="GX2" s="73"/>
      <c r="GY2" s="73" t="s">
        <v>117</v>
      </c>
      <c r="GZ2" s="73"/>
      <c r="HA2" s="73"/>
      <c r="HB2" s="73"/>
      <c r="HC2" s="76" t="s">
        <v>118</v>
      </c>
      <c r="HD2" s="76"/>
      <c r="HE2" s="76"/>
      <c r="HF2" s="76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70" t="s">
        <v>114</v>
      </c>
      <c r="HP2" s="70"/>
      <c r="HQ2" s="70"/>
      <c r="HR2" s="70"/>
      <c r="HS2" s="70" t="s">
        <v>115</v>
      </c>
      <c r="HT2" s="70"/>
      <c r="HU2" s="70"/>
      <c r="HV2" s="70"/>
      <c r="HW2" s="70" t="s">
        <v>116</v>
      </c>
      <c r="HX2" s="70"/>
      <c r="HY2" s="70"/>
      <c r="HZ2" s="70"/>
      <c r="IA2" s="70" t="s">
        <v>117</v>
      </c>
      <c r="IB2" s="70"/>
      <c r="IC2" s="70"/>
      <c r="ID2" s="70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73" t="s">
        <v>114</v>
      </c>
      <c r="IR2" s="73"/>
      <c r="IS2" s="73"/>
      <c r="IT2" s="73"/>
      <c r="IU2" s="73" t="s">
        <v>115</v>
      </c>
      <c r="IV2" s="73"/>
      <c r="IW2" s="73"/>
      <c r="IX2" s="73"/>
      <c r="IY2" s="73" t="s">
        <v>116</v>
      </c>
      <c r="IZ2" s="73"/>
      <c r="JA2" s="73"/>
      <c r="JB2" s="73"/>
      <c r="JC2" s="73" t="s">
        <v>117</v>
      </c>
      <c r="JD2" s="73"/>
      <c r="JE2" s="73"/>
      <c r="JF2" s="73"/>
      <c r="JG2" s="76" t="s">
        <v>118</v>
      </c>
      <c r="JH2" s="76"/>
      <c r="JI2" s="76"/>
      <c r="JJ2" s="76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70" t="s">
        <v>114</v>
      </c>
      <c r="JT2" s="70"/>
      <c r="JU2" s="70"/>
      <c r="JV2" s="70"/>
      <c r="JW2" s="70" t="s">
        <v>115</v>
      </c>
      <c r="JX2" s="70"/>
      <c r="JY2" s="70"/>
      <c r="JZ2" s="70"/>
      <c r="KA2" s="70" t="s">
        <v>116</v>
      </c>
      <c r="KB2" s="70"/>
      <c r="KC2" s="70"/>
      <c r="KD2" s="70"/>
      <c r="KE2" s="70" t="s">
        <v>117</v>
      </c>
      <c r="KF2" s="70"/>
      <c r="KG2" s="70"/>
      <c r="KH2" s="70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73" t="s">
        <v>114</v>
      </c>
      <c r="KV2" s="73"/>
      <c r="KW2" s="73"/>
      <c r="KX2" s="73"/>
      <c r="KY2" s="73" t="s">
        <v>115</v>
      </c>
      <c r="KZ2" s="73"/>
      <c r="LA2" s="73"/>
      <c r="LB2" s="73"/>
      <c r="LC2" s="73" t="s">
        <v>116</v>
      </c>
      <c r="LD2" s="73"/>
      <c r="LE2" s="73"/>
      <c r="LF2" s="73"/>
      <c r="LG2" s="73" t="s">
        <v>117</v>
      </c>
      <c r="LH2" s="73"/>
      <c r="LI2" s="73"/>
      <c r="LJ2" s="73"/>
      <c r="LK2" s="76" t="s">
        <v>118</v>
      </c>
      <c r="LL2" s="76"/>
      <c r="LM2" s="76"/>
      <c r="LN2" s="76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70" t="s">
        <v>114</v>
      </c>
      <c r="LX2" s="70"/>
      <c r="LY2" s="70"/>
      <c r="LZ2" s="70"/>
      <c r="MA2" s="70" t="s">
        <v>115</v>
      </c>
      <c r="MB2" s="70"/>
      <c r="MC2" s="70"/>
      <c r="MD2" s="70"/>
      <c r="ME2" s="70" t="s">
        <v>116</v>
      </c>
      <c r="MF2" s="70"/>
      <c r="MG2" s="70"/>
      <c r="MH2" s="70"/>
      <c r="MI2" s="70" t="s">
        <v>117</v>
      </c>
      <c r="MJ2" s="70"/>
      <c r="MK2" s="70"/>
      <c r="ML2" s="70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73" t="s">
        <v>114</v>
      </c>
      <c r="MZ2" s="73"/>
      <c r="NA2" s="73"/>
      <c r="NB2" s="73"/>
      <c r="NC2" s="73" t="s">
        <v>115</v>
      </c>
      <c r="ND2" s="73"/>
      <c r="NE2" s="73"/>
      <c r="NF2" s="73"/>
      <c r="NG2" s="73" t="s">
        <v>116</v>
      </c>
      <c r="NH2" s="73"/>
      <c r="NI2" s="73"/>
      <c r="NJ2" s="73"/>
      <c r="NK2" s="73" t="s">
        <v>117</v>
      </c>
      <c r="NL2" s="73"/>
      <c r="NM2" s="73"/>
      <c r="NN2" s="73"/>
      <c r="NO2" s="76" t="s">
        <v>118</v>
      </c>
      <c r="NP2" s="76"/>
      <c r="NQ2" s="76"/>
      <c r="NR2" s="76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70" t="s">
        <v>114</v>
      </c>
      <c r="OB2" s="70"/>
      <c r="OC2" s="70"/>
      <c r="OD2" s="70"/>
      <c r="OE2" s="70" t="s">
        <v>115</v>
      </c>
      <c r="OF2" s="70"/>
      <c r="OG2" s="70"/>
      <c r="OH2" s="70"/>
      <c r="OI2" s="70" t="s">
        <v>116</v>
      </c>
      <c r="OJ2" s="70"/>
      <c r="OK2" s="70"/>
      <c r="OL2" s="70"/>
      <c r="OM2" s="70" t="s">
        <v>117</v>
      </c>
      <c r="ON2" s="70"/>
      <c r="OO2" s="70"/>
      <c r="OP2" s="70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73" t="s">
        <v>114</v>
      </c>
      <c r="PD2" s="73"/>
      <c r="PE2" s="73"/>
      <c r="PF2" s="73"/>
      <c r="PG2" s="73" t="s">
        <v>115</v>
      </c>
      <c r="PH2" s="73"/>
      <c r="PI2" s="73"/>
      <c r="PJ2" s="73"/>
      <c r="PK2" s="73" t="s">
        <v>116</v>
      </c>
      <c r="PL2" s="73"/>
      <c r="PM2" s="73"/>
      <c r="PN2" s="73"/>
      <c r="PO2" s="73" t="s">
        <v>117</v>
      </c>
      <c r="PP2" s="73"/>
      <c r="PQ2" s="73"/>
      <c r="PR2" s="73"/>
      <c r="PS2" s="76" t="s">
        <v>118</v>
      </c>
      <c r="PT2" s="76"/>
      <c r="PU2" s="76"/>
      <c r="PV2" s="76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70" t="s">
        <v>114</v>
      </c>
      <c r="QF2" s="70"/>
      <c r="QG2" s="70"/>
      <c r="QH2" s="70"/>
      <c r="QI2" s="70" t="s">
        <v>115</v>
      </c>
      <c r="QJ2" s="70"/>
      <c r="QK2" s="70"/>
      <c r="QL2" s="70"/>
      <c r="QM2" s="70" t="s">
        <v>116</v>
      </c>
      <c r="QN2" s="70"/>
      <c r="QO2" s="70"/>
      <c r="QP2" s="70"/>
      <c r="QQ2" s="70" t="s">
        <v>117</v>
      </c>
      <c r="QR2" s="70"/>
      <c r="QS2" s="70"/>
      <c r="QT2" s="70"/>
      <c r="QU2" s="77" t="s">
        <v>118</v>
      </c>
      <c r="QV2" s="77"/>
      <c r="QW2" s="77"/>
      <c r="QX2" s="77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72"/>
      <c r="O3" s="68"/>
      <c r="P3" s="68"/>
      <c r="Q3" s="68"/>
      <c r="R3" s="71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aca="1" ref="A4" ca="1">IF(AND(H4&lt;&gt;"",H4&lt;&gt;"No DD"),SUMPRODUCT((H$4:H$12&lt;&gt;"")*(H$4:H$12&lt;&gt;"No DD")*(E$4:E$12&gt;E4))+1,IF(H4="No DD",SUMPRODUCT((H$4:H$12="No DD")*(E$4:E$12&gt;E4))+1+SUMPRODUCT((H$4:H$12&lt;&gt;"")*(H$4:H$12&lt;&gt;"No DD")),""))</f>
        <v>1</v>
      </c>
      <c r="B4" s="5" t="s">
        <v>186</v>
      </c>
      <c r="C4" s="4" t="s">
        <v>3</v>
      </c>
      <c r="D4" s="4">
        <v>2006</v>
      </c>
      <c r="E4" s="9">
        <f t="shared" ref="E4:E11" si="0">SUM(J4:R4)+SUM(J4:N4)*0.0000001+SUM(J4)*0.0000000000001</f>
        <v>184.60001287000523</v>
      </c>
      <c r="F4" s="3" t="str">
        <f t="shared" ref="F4:F11" si="1">IF(OR(AND(AP4&gt;=AW$14,AQ4&gt;=AW$18,AP4&lt;&gt;"",AO4=""),AND(AU4&gt;=AW$14,AV4&gt;=AW$18,AU4&lt;&gt;"",AO4=""),AND(BS4&gt;=BZ$14,BT4&gt;=BZ$18,BS4&lt;&gt;"",BR4=""),AND(BX4&gt;=BZ$14,BY4&gt;=BZ$18,BX4&lt;&gt;"",BR4=""),AND(CV4&gt;=DC$14,CW4&gt;=DC$18,CV4&lt;&gt;"",CU4=""),AND(DA4&gt;=DC$14,DB4&gt;=DC$18,DA4&lt;&gt;""),AND(EA4&gt;=EH$14,EB4&gt;=EH$18,EA4&lt;&gt;""),AND(EF4&gt;=EH$14,EG4&gt;=EH$18,EF4&lt;&gt;""),AND(FC4&gt;=FJ$14,FD4&gt;=FJ$18,FC4&lt;&gt;""),AND(FH4&gt;=FJ$14,FI4&gt;=FJ$18,FH4&lt;&gt;""),AND(GE4&gt;=GL$14,GF4&gt;=GL$18,GE4&lt;&gt;""),AND(GJ4&gt;=GL$14,GK4&gt;=GL$18,GJ4&lt;&gt;""),AND(HG4&gt;=HN$14,HH4&gt;=HN$18,HG4&lt;&gt;""),AND(HL4&gt;=HN$14,HM4&gt;=HN$18,HL4&lt;&gt;""),AND(II4&gt;=IP$14,IJ4&gt;=IP$18,II4&lt;&gt;""),AND(IN4&gt;=IP$14,IO4&gt;=IP$18,IN4&lt;&gt;""),AND(JK4&gt;=JR$14,JL4&gt;=JR$18,JK4&lt;&gt;""),AND(JP4&gt;=JR$14,JQ4&gt;=JR$18,JP4&lt;&gt;""),AND(KM4&gt;=KT$14,KN4&gt;=KT$18,KM4&lt;&gt;""),AND(KR4&gt;=KT$14,KS4&gt;=KT$18,KR4&lt;&gt;""),AND(LO4&gt;=LV$14,LP4&gt;=LV$18,LO4&lt;&gt;""),AND(LT4&gt;=LV$14,LU4&gt;=LV$18,LT4&lt;&gt;""),AND(MQ4&gt;=MX$14,MR4&gt;=MX$18,MQ4&lt;&gt;""),AND(MV4&gt;=MX$14,MW4&gt;=MX$18,MV4&lt;&gt;""),AND(NS4&gt;=NZ$14,NT4&gt;=NZ$18,NS4&lt;&gt;""),AND(NX4&gt;=NZ$14,NY4&gt;=NZ$18,NX4&lt;&gt;""),AND(OU4&gt;=PB$14,OV4&gt;=PB$18,OU4&lt;&gt;""),AND(OZ4&gt;=PB$14,PA4&gt;=PB$18,OZ4&lt;&gt;""),AND(PW4&gt;=QD$14,PX4&gt;=QD$18,PW4&lt;&gt;""),AND(QB4&gt;=QD$14,QC4&gt;=QD$18,QB4&lt;&gt;"")),"P","")</f>
        <v>P</v>
      </c>
      <c r="G4" s="3" t="str">
        <f t="shared" ref="G4:G11" si="2">IF(OR(AND(AQ4&gt;=AW$18,AQ4&lt;&gt;"",AO4=""),AND(AV4&gt;=AW$18,AV4&lt;&gt;"",AO4=""),AND(BT4&gt;=BZ$18,BT4&lt;&gt;"",BR4=""),AND(BY4&gt;=BZ$18,BY4&lt;&gt;"",BR4=""),AND(CW4&gt;=DC$18,CW4&lt;&gt;"",CU4=""),AND(DB4&gt;=DC$18,DB4&lt;&gt;"",CU4=""),AND(EB4&gt;=EH$18,EB4&lt;&gt;""),AND(EG4&gt;=EH$18,EG4&lt;&gt;""),AND(FD4&gt;=FJ$18,FD4&lt;&gt;""),AND(FI4&gt;=FJ$18,FI4&lt;&gt;""),AND(GF4&gt;=GL$18,GF4&lt;&gt;""),AND(GK4&gt;=GL$18,GK4&lt;&gt;""),AND(HH4&gt;=HN$18,HH4&lt;&gt;""),AND(HM4&gt;=HN$18,HM4&lt;&gt;""),AND(IJ4&gt;=IP$18,IJ4&lt;&gt;""),AND(IO4&gt;=IP$18,IO4&lt;&gt;""),AND(JL4&gt;=JR$18,JL4&lt;&gt;""),AND(JQ4&gt;=JR$18,JQ4&lt;&gt;""),AND(KN4&gt;=KT$18,KN4&lt;&gt;""),AND(KS4&gt;=KT$18,KS4&lt;&gt;""),AND(LP4&gt;=LV$18,LP4&lt;&gt;""),AND(LU4&gt;=LV$18,LU4&lt;&gt;""),AND(MR4&gt;=MX$18,MR4&lt;&gt;""),AND(MW4&gt;=MX$18,MW4&lt;&gt;""),AND(NT4&gt;=NZ$18,NT4&lt;&gt;""),AND(NY4&gt;=NZ$18,NY4&lt;&gt;""),AND(OV4&gt;=PB$18,OV4&lt;&gt;""),AND(PA4&gt;=PB$18,PA4&lt;&gt;""),AND(PX4&gt;=QD$18,PX4&lt;&gt;""),AND(QC4&gt;=QD$18,QC4&lt;&gt;"")),"P","")</f>
        <v>P</v>
      </c>
      <c r="H4" s="37" t="str">
        <f t="shared" ref="H4:H11" si="3">IF(AND(G4="P",F4=""),"No DD",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Merit",IF(OR(AND(AS4&gt;=AW$16,AT4&gt;=AW$20,AS4&lt;&gt;"",AO4=""),AND(BV4&gt;=BZ$16,BW4&gt;=BZ$20,BV4&lt;&gt;"",BR4=""),AND(CY4&gt;=DC$16,CZ4&gt;=DC$20,CY4&lt;&gt;"",CU4=""),AND(ED4&gt;=EH$16,EE4&gt;=EH$20,ED4&lt;&gt;""),AND(FF4&gt;=FJ$16,FG4&gt;=FJ$20,FF4&lt;&gt;""),AND(GH4&gt;=GL$16,GI4&gt;=GL$20,GH4&lt;&gt;""),AND(HJ4&gt;=HN$16,HK4&gt;=HN$20,HJ4&lt;&gt;""),AND(IL4&gt;=IP$16,IM4&gt;=IP$20,IL4&lt;&gt;""),AND(JN4&gt;=JR$16,JO4&gt;=JR$20,JN4&lt;&gt;""),AND(KP4&gt;=KT$16,KQ4&gt;=KT$20,KP4&lt;&gt;""),AND(LR4&gt;=LV$16,LS4&gt;=LV$20,LR4&lt;&gt;""),AND(MT4&gt;=MX$16,MU4&gt;=MX$20,MT4&lt;&gt;""),AND(NV4&gt;=NZ$16,NW4&gt;=NZ$20,NV4&lt;&gt;""),AND(OX4&gt;=PB$16,OY4&gt;=PB$20,OX4&lt;&gt;""),AND(PZ4&gt;=QD$16,QA4&gt;=QD$20,PZ4&lt;&gt;"")),"Excellence",IF(I4="P","Worlds Team",IF(F4="P","National Team","")))))</f>
        <v>Merit</v>
      </c>
      <c r="I4" s="3" t="str">
        <f t="shared" ref="I4:I9" si="4">IF(OR(AND(AS4&gt;=AW$15,AT4&gt;=AW$19,AS4&lt;&gt;"",AO4=""),AND(BV4&gt;=BZ$15,BW4&gt;=BZ$19,BV4&lt;&gt;"",BR4=""),AND(CY4&gt;=DC$15,CZ4&gt;=DC$19,CY4&lt;&gt;"",CU4=""),AND(ED4&gt;=EH$15,EE4&gt;=EH$19,ED4&lt;&gt;""),AND(FF4&gt;=FJ$15,FG4&gt;=FJ$19,FF4&lt;&gt;""),AND(GH4&gt;=GL$15,GI4&gt;=GL$19,GH4&lt;&gt;""),AND(HJ4&gt;=HN$15,HK4&gt;=HN$19,HJ4&lt;&gt;""),AND(IL4&gt;=IP$15,IM4&gt;=IP$19,IL4&lt;&gt;""),AND(JN4&gt;=JR$15,JO4&gt;=JR$19,JN4&lt;&gt;""),AND(KP4&gt;=KT$15,KQ4&gt;=KT$19,KP4&lt;&gt;""),AND(LR4&gt;=LV$15,LS4&gt;=LV$19,LR4&lt;&gt;""),AND(MT4&gt;=MX$15,MU4&gt;=MX$19,MT4&lt;&gt;""),AND(NV4&gt;=NZ$15,NW4&gt;=NZ$19,NV4&lt;&gt;""),AND(OX4&gt;=PB$15,OY4&gt;=PB$19,OX4&lt;&gt;""),AND(PZ4&gt;=QD$15,QA4&gt;=QD$19,PZ4&lt;&gt;"")),"P","")</f>
        <v>P</v>
      </c>
      <c r="J4" s="8">
        <f>IF(COUNT(AQ4,BT4,CW4)&gt;0,LARGE((AQ4,BT4,CW4),1),0)</f>
        <v>51.900000000000006</v>
      </c>
      <c r="K4" s="8" t="str">
        <f t="shared" ref="K4:K11" si="5">IF(J4=0,"",IF(J4=CW4,$CA$1,IF(J4=BT4,$AX$1,IF(J4=AQ4,$U$1,""))))</f>
        <v>2023 Domestic 3rd Trial</v>
      </c>
      <c r="L4" s="8">
        <f>IF(COUNT(AQ4,BT4,CW4)&gt;1,LARGE((AQ4,BT4,CW4),2),0)</f>
        <v>51</v>
      </c>
      <c r="M4" s="8" t="str">
        <f t="shared" ref="M4:M11" si="6">IF(L4=0,"",IF(L4=CW4,$CA$1,IF(L4=BT4,$AX$1,IF(L4=AQ4,$U$1,""))))</f>
        <v>2023 Nationals</v>
      </c>
      <c r="N4" s="8">
        <f>IF(COUNT(AR4,BU4,CX4)&gt;0,LARGE((AR4,BU4,CX4),1),0)</f>
        <v>25.8</v>
      </c>
      <c r="O4" s="8" t="str">
        <f t="shared" ref="O4:O11" si="7">IF(N4=0,"",IF(N4=CX4,$CA$1,IF(N4=BU4,$AX$1,IF(N4=AR4,$U$1,""))))</f>
        <v>2023 Domestic 3rd Trial</v>
      </c>
      <c r="P4" s="8">
        <f t="shared" ref="P4:P11" si="8">IF(MAX(AV4,BY4,DB4)&gt;0,MAX(AV4,BY4,DB4),0)</f>
        <v>52.2</v>
      </c>
      <c r="Q4" s="8" t="str">
        <f t="shared" ref="Q4:Q11" si="9">IF(P4=0,"",IF(P4=DB4,$CA$1,IF(P4=BY4,$AX$1,IF(P4=AV4,$U$1,""))))</f>
        <v>2023 Domestic 3rd Trial</v>
      </c>
      <c r="R4" s="8">
        <f t="shared" ref="R4:R11" si="10">IF(MAX(DD4:DF4)&gt;0,MAX(DD4:DF4),"")</f>
        <v>3.7000000000000028</v>
      </c>
      <c r="S4" s="11" t="str">
        <f t="shared" ref="S4:S11" si="11">IF(R4="","",IF(R4=DD4,"("&amp;DD$2&amp;")",IF(R4=DE4,"("&amp;DE$2&amp;")",IF(R4=DF4,"("&amp;DF$2&amp;")"))))</f>
        <v>(Q1)</v>
      </c>
      <c r="T4" s="8" t="str">
        <f t="shared" ref="T4:T11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Championships (Nov 11)</v>
      </c>
      <c r="U4" s="19">
        <v>16.899999999999999</v>
      </c>
      <c r="V4" s="19">
        <v>3.3</v>
      </c>
      <c r="W4" s="19">
        <v>0</v>
      </c>
      <c r="X4" s="19">
        <v>0</v>
      </c>
      <c r="Y4" s="19">
        <v>18.5</v>
      </c>
      <c r="Z4" s="19">
        <v>6.9</v>
      </c>
      <c r="AA4" s="19">
        <v>0</v>
      </c>
      <c r="AB4" s="19">
        <v>0</v>
      </c>
      <c r="AC4" s="19">
        <v>18.600000000000001</v>
      </c>
      <c r="AD4" s="19">
        <v>6.5</v>
      </c>
      <c r="AE4" s="19">
        <v>0</v>
      </c>
      <c r="AF4" s="19">
        <v>0</v>
      </c>
      <c r="AG4" s="19">
        <v>18.899999999999999</v>
      </c>
      <c r="AH4" s="19">
        <v>6.9</v>
      </c>
      <c r="AI4" s="19">
        <v>0</v>
      </c>
      <c r="AJ4" s="19">
        <v>0</v>
      </c>
      <c r="AK4" s="19">
        <v>18</v>
      </c>
      <c r="AL4" s="19">
        <v>6.9</v>
      </c>
      <c r="AM4" s="19">
        <v>0</v>
      </c>
      <c r="AN4" s="19">
        <v>0</v>
      </c>
      <c r="AO4" s="28"/>
      <c r="AP4" s="41">
        <f t="shared" ref="AP4:AP11" si="13">IF(SUM(V4,Z4)&gt;0,SUM(V4,Z4),"")</f>
        <v>10.199999999999999</v>
      </c>
      <c r="AQ4" s="41">
        <f t="shared" ref="AQ4:AQ11" si="14">IF(SUM(U4:V4,X4:Z4,AB4)-W4-AA4&gt;0,SUM(U4:V4,X4:Z4,AB4)-W4-AA4,"")</f>
        <v>45.6</v>
      </c>
      <c r="AR4" s="41">
        <f t="shared" ref="AR4:AR11" si="15">IF(SUM(AC4:AD4,AF4)-AE4&gt;0,SUM(AC4:AD4,AF4)-AE4,"")</f>
        <v>25.1</v>
      </c>
      <c r="AS4" s="41">
        <f t="shared" ref="AS4:AS11" si="16">IF(SUM(V4,Z4,AD4)&gt;0,SUM(V4,Z4,AD4),"")</f>
        <v>16.7</v>
      </c>
      <c r="AT4" s="41">
        <f t="shared" ref="AT4:AT11" si="17">IF(SUM(AQ4,AR4)&gt;0,SUM(AQ4,AR4),"")</f>
        <v>70.7</v>
      </c>
      <c r="AU4" s="41">
        <f t="shared" ref="AU4:AU11" si="18">IF(SUM(AH4,AL4)&gt;0,SUM(AH4,AL4),"")</f>
        <v>13.8</v>
      </c>
      <c r="AV4" s="41">
        <f t="shared" ref="AV4:AV11" si="19">IF(SUM(AG4:AH4,AJ4:AL4,AN4)-SUM(AI4,AM4)&gt;0,SUM(AG4:AH4,AJ4:AL4,AN4)-SUM(AI4,AM4),"")</f>
        <v>50.699999999999996</v>
      </c>
      <c r="AW4" s="41">
        <f t="shared" ref="AW4:AW11" si="20">IF(SUM(AQ4,AR4,AV4)&gt;0,SUM(AQ4,AR4,AV4),"")</f>
        <v>121.4</v>
      </c>
      <c r="AX4" s="18">
        <v>17.8</v>
      </c>
      <c r="AY4" s="18">
        <v>7.3</v>
      </c>
      <c r="AZ4" s="18">
        <v>0</v>
      </c>
      <c r="BA4" s="18">
        <v>0</v>
      </c>
      <c r="BB4" s="18">
        <v>17.399999999999999</v>
      </c>
      <c r="BC4" s="18">
        <v>8.5</v>
      </c>
      <c r="BD4" s="18">
        <v>0</v>
      </c>
      <c r="BE4" s="18">
        <v>0</v>
      </c>
      <c r="BF4" s="18">
        <v>17.399999999999999</v>
      </c>
      <c r="BG4" s="18">
        <v>8.1999999999999993</v>
      </c>
      <c r="BH4" s="18">
        <v>0</v>
      </c>
      <c r="BI4" s="18">
        <v>0</v>
      </c>
      <c r="BJ4" s="18">
        <v>18.2</v>
      </c>
      <c r="BK4" s="18">
        <v>8.1999999999999993</v>
      </c>
      <c r="BL4" s="18">
        <v>0</v>
      </c>
      <c r="BM4" s="18">
        <v>0</v>
      </c>
      <c r="BN4" s="18">
        <v>16.8</v>
      </c>
      <c r="BO4" s="18">
        <v>6.5</v>
      </c>
      <c r="BP4" s="18">
        <v>0</v>
      </c>
      <c r="BQ4" s="18">
        <v>0</v>
      </c>
      <c r="BR4" s="29"/>
      <c r="BS4" s="11">
        <f t="shared" ref="BS4:BS11" si="21">IF(SUM(AY4,BC4)&gt;0,SUM(AY4,BC4),"")</f>
        <v>15.8</v>
      </c>
      <c r="BT4" s="11">
        <f t="shared" ref="BT4:BT11" si="22">IF(SUM(AX4:AY4,BA4:BC4,BE4)-AZ4-BD4&gt;0,SUM(AX4:AY4,BA4:BC4,BE4)-AZ4-BD4,"")</f>
        <v>51</v>
      </c>
      <c r="BU4" s="11">
        <f t="shared" ref="BU4:BU11" si="23">IF(SUM(BF4:BG4,BI4)-BH4&gt;0,SUM(BF4:BG4,BI4)-BH4,"")</f>
        <v>25.599999999999998</v>
      </c>
      <c r="BV4" s="11">
        <f t="shared" ref="BV4:BV11" si="24">IF(SUM(AY4,BC4,BG4)&gt;0,SUM(AY4,BC4,BG4),"")</f>
        <v>24</v>
      </c>
      <c r="BW4" s="11">
        <f t="shared" ref="BW4:BW11" si="25">IF(SUM(BT4,BU4)&gt;0,SUM(BT4,BU4),"")</f>
        <v>76.599999999999994</v>
      </c>
      <c r="BX4" s="11">
        <f t="shared" ref="BX4:BX11" si="26">IF(SUM(BK4,BO4)&gt;0,SUM(BK4,BO4),"")</f>
        <v>14.7</v>
      </c>
      <c r="BY4" s="11">
        <f t="shared" ref="BY4:BY11" si="27">IF(SUM(BJ4:BK4,BM4:BO4,BQ4)-SUM(BL4,BP4)&gt;0,SUM(BJ4:BK4,BM4:BO4,BQ4)-SUM(BL4,BP4),"")</f>
        <v>49.7</v>
      </c>
      <c r="BZ4" s="11">
        <f t="shared" ref="BZ4:BZ11" si="28">IF(SUM(BT4,BU4,BY4)&gt;0,SUM(BT4,BU4,BY4),"")</f>
        <v>126.3</v>
      </c>
      <c r="CA4" s="19">
        <v>17.8</v>
      </c>
      <c r="CB4" s="19">
        <v>8.1999999999999993</v>
      </c>
      <c r="CC4" s="19">
        <v>0</v>
      </c>
      <c r="CD4" s="19">
        <v>0</v>
      </c>
      <c r="CE4" s="19">
        <v>18.2</v>
      </c>
      <c r="CF4" s="19">
        <v>7.7</v>
      </c>
      <c r="CG4" s="19">
        <v>0</v>
      </c>
      <c r="CH4" s="19">
        <v>0</v>
      </c>
      <c r="CI4" s="19">
        <v>17.600000000000001</v>
      </c>
      <c r="CJ4" s="19">
        <v>8.1999999999999993</v>
      </c>
      <c r="CK4" s="19">
        <v>0</v>
      </c>
      <c r="CL4" s="19">
        <v>0</v>
      </c>
      <c r="CM4" s="19">
        <v>18.100000000000001</v>
      </c>
      <c r="CN4" s="19">
        <v>8.1999999999999993</v>
      </c>
      <c r="CO4" s="19">
        <v>0</v>
      </c>
      <c r="CP4" s="19">
        <v>0</v>
      </c>
      <c r="CQ4" s="19">
        <v>18.2</v>
      </c>
      <c r="CR4" s="19">
        <v>7.7</v>
      </c>
      <c r="CS4" s="19">
        <v>0</v>
      </c>
      <c r="CT4" s="19">
        <v>0</v>
      </c>
      <c r="CU4" s="28"/>
      <c r="CV4" s="41">
        <f t="shared" ref="CV4:CV11" si="29">IF(SUM(CB4,CF4)&gt;0,SUM(CB4,CF4),"")</f>
        <v>15.899999999999999</v>
      </c>
      <c r="CW4" s="41">
        <f t="shared" ref="CW4:CW11" si="30">IF(SUM(CA4:CB4,CD4:CF4,CH4)-CC4-CG4&gt;0,SUM(CA4:CB4,CD4:CF4,CH4)-CC4-CG4,"")</f>
        <v>51.900000000000006</v>
      </c>
      <c r="CX4" s="41">
        <f t="shared" ref="CX4:CX11" si="31">IF(SUM(CI4:CJ4,CL4)-CK4&gt;0,SUM(CI4:CJ4,CL4)-CK4,"")</f>
        <v>25.8</v>
      </c>
      <c r="CY4" s="41">
        <f t="shared" ref="CY4:CY11" si="32">IF(SUM(CB4,CF4,CJ4)&gt;0,SUM(CB4,CF4,CJ4),"")</f>
        <v>24.099999999999998</v>
      </c>
      <c r="CZ4" s="41">
        <f t="shared" ref="CZ4:CZ11" si="33">IF(SUM(CW4,CX4)&gt;0,SUM(CW4,CX4),"")</f>
        <v>77.7</v>
      </c>
      <c r="DA4" s="41">
        <f t="shared" ref="DA4:DA11" si="34">IF(SUM(CN4,CR4)&gt;0,SUM(CN4,CR4),"")</f>
        <v>15.899999999999999</v>
      </c>
      <c r="DB4" s="41">
        <f t="shared" ref="DB4:DB11" si="35">IF(SUM(CM4:CN4,CP4:CR4,CT4)-SUM(CO4,CS4)&gt;0,SUM(CM4:CN4,CP4:CR4,CT4)-SUM(CO4,CS4),"")</f>
        <v>52.2</v>
      </c>
      <c r="DC4" s="41">
        <f t="shared" ref="DC4:DC11" si="36">IF(SUM(CW4,CX4,DB4)&gt;0,SUM(CW4,CX4,DB4),"")</f>
        <v>129.9</v>
      </c>
      <c r="DD4" s="52">
        <f t="shared" ref="DD4:DD11" si="37">IF(MAX(EB4,FD4,GF4,HH4,IJ4,JL4,KN4,LP4,MR4,NT4,OV4,PX4)-IF(L4="",0,L4)&gt;0.001,MAX(EB4,FD4,GF4,HH4,IJ4,JL4,KN4,LP4,MR4,NT4,OV4,PX4)-IF(L4="",0,L4),"")</f>
        <v>3.7000000000000028</v>
      </c>
      <c r="DE4" s="52" t="str">
        <f t="shared" ref="DE4:DE11" si="38">IF(MAX(EC4,FE4,GG4,HI4,IK4,JM4,KO4,LQ4,MS4,NU4,OW4,PY4)-IF(N4="",0,N4)&gt;0.001,MAX(EC4,FE4,GG4,HI4,IK4,JM4,KO4,LQ4,MS4,NU4,OW4,PY4)-IF(N4="",0,N4),"")</f>
        <v/>
      </c>
      <c r="DF4" s="52">
        <f t="shared" ref="DF4:DF11" si="39">IF(MAX(EG4,FI4,GK4,HM4,IO4,JQ4,KS4,LU4,MW4,NY4,PA4,QC4)-IF(P4="",0,P4)&gt;0.001,MAX(EG4,FI4,GK4,HM4,IO4,JQ4,KS4,LU4,MW4,NY4,PA4,QC4)-IF(P4="",0,P4),"")</f>
        <v>1.3000000000000043</v>
      </c>
      <c r="DG4" s="17">
        <v>18.3</v>
      </c>
      <c r="DH4" s="17">
        <v>7.6</v>
      </c>
      <c r="DI4" s="17">
        <v>0</v>
      </c>
      <c r="DJ4" s="17">
        <v>0</v>
      </c>
      <c r="DK4" s="17">
        <v>17.399999999999999</v>
      </c>
      <c r="DL4" s="17">
        <v>7.3</v>
      </c>
      <c r="DM4" s="17">
        <v>0</v>
      </c>
      <c r="DN4" s="17">
        <v>0</v>
      </c>
      <c r="DO4" s="17"/>
      <c r="DP4" s="17"/>
      <c r="DQ4" s="17"/>
      <c r="DR4" s="17"/>
      <c r="DS4" s="17">
        <v>16.7</v>
      </c>
      <c r="DT4" s="17">
        <v>8.8000000000000007</v>
      </c>
      <c r="DU4" s="17">
        <v>0</v>
      </c>
      <c r="DV4" s="17">
        <v>0</v>
      </c>
      <c r="DW4" s="17">
        <v>16.5</v>
      </c>
      <c r="DX4" s="17">
        <v>3.3</v>
      </c>
      <c r="DY4" s="17">
        <v>0</v>
      </c>
      <c r="DZ4" s="17">
        <v>0</v>
      </c>
      <c r="EA4" s="41">
        <f t="shared" ref="EA4:EA11" si="40">IF(SUM(DH4,DL4)&gt;0,SUM(DH4,DL4),"")</f>
        <v>14.899999999999999</v>
      </c>
      <c r="EB4" s="41">
        <f t="shared" ref="EB4:EB11" si="41">IF(SUM(DG4:DH4,DJ4:DL4,DN4)-DI4-DM4&gt;0,SUM(DG4:DH4,DJ4:DL4,DN4)-DI4-DM4,"")</f>
        <v>50.599999999999994</v>
      </c>
      <c r="EC4" s="41" t="str">
        <f t="shared" ref="EC4:EC11" si="42">IF(SUM(DO4:DP4,DR4)-DQ4&gt;0,SUM(DO4:DP4,DR4)-DQ4,"")</f>
        <v/>
      </c>
      <c r="ED4" s="41">
        <f t="shared" ref="ED4:ED11" si="43">IF(SUM(DH4,DL4,DP4)&gt;0,SUM(DH4,DL4,DP4),"")</f>
        <v>14.899999999999999</v>
      </c>
      <c r="EE4" s="41">
        <f t="shared" ref="EE4:EE11" si="44">IF(SUM(EB4,EC4)&gt;0,SUM(EB4,EC4),"")</f>
        <v>50.599999999999994</v>
      </c>
      <c r="EF4" s="41">
        <f t="shared" ref="EF4:EF11" si="45">IF(SUM(DT4,DX4)&gt;0,SUM(DT4,DX4),"")</f>
        <v>12.100000000000001</v>
      </c>
      <c r="EG4" s="41">
        <f t="shared" ref="EG4:EG11" si="46">IF(SUM(DS4:DT4,DV4:DX4,DZ4)-SUM(DU4,DY4)&gt;0,SUM(DS4:DT4,DV4:DX4,DZ4)-SUM(DU4,DY4),"")</f>
        <v>45.3</v>
      </c>
      <c r="EH4" s="41">
        <f t="shared" ref="EH4:EH11" si="47">IF(SUM(EB4,EC4,EG4)&gt;0,SUM(EB4,EC4,EG4),"")</f>
        <v>95.899999999999991</v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11" si="48">IF(SUM(EJ4,EN4)&gt;0,SUM(EJ4,EN4),"")</f>
        <v/>
      </c>
      <c r="FD4" s="11" t="str">
        <f t="shared" ref="FD4:FD11" si="49">IF(SUM(EI4:EJ4,EL4:EN4,EP4)-EK4-EO4&gt;0,SUM(EI4:EJ4,EL4:EN4,EP4)-EK4-EO4,"")</f>
        <v/>
      </c>
      <c r="FE4" s="11" t="str">
        <f t="shared" ref="FE4:FE11" si="50">IF(SUM(EQ4:ER4,ET4)-ES4&gt;0,SUM(EQ4:ER4,ET4)-ES4,"")</f>
        <v/>
      </c>
      <c r="FF4" s="11" t="str">
        <f t="shared" ref="FF4:FF11" si="51">IF(SUM(EJ4,EN4,ER4)&gt;0,SUM(EJ4,EN4,ER4),"")</f>
        <v/>
      </c>
      <c r="FG4" s="11" t="str">
        <f t="shared" ref="FG4:FG11" si="52">IF(SUM(FD4,FE4)&gt;0,SUM(FD4,FE4),"")</f>
        <v/>
      </c>
      <c r="FH4" s="11" t="str">
        <f t="shared" ref="FH4:FH11" si="53">IF(SUM(EV4,EZ4)&gt;0,SUM(EV4,EZ4),"")</f>
        <v/>
      </c>
      <c r="FI4" s="11" t="str">
        <f t="shared" ref="FI4:FI11" si="54">IF(SUM(EU4:EV4,EX4:EZ4,FB4)-SUM(EW4,FA4)&gt;0,SUM(EU4:EV4,EX4:EZ4,FB4)-SUM(EW4,FA4),"")</f>
        <v/>
      </c>
      <c r="FJ4" s="11" t="str">
        <f t="shared" ref="FJ4:FJ11" si="55">IF(SUM(FD4,FE4,FI4)&gt;0,SUM(FD4,FE4,FI4),"")</f>
        <v/>
      </c>
      <c r="FK4" s="17">
        <v>17.899999999999999</v>
      </c>
      <c r="FL4" s="17">
        <v>8.1999999999999993</v>
      </c>
      <c r="FM4" s="17">
        <v>0</v>
      </c>
      <c r="FN4" s="17">
        <v>0</v>
      </c>
      <c r="FO4" s="17">
        <v>18.2</v>
      </c>
      <c r="FP4" s="17">
        <v>8.5</v>
      </c>
      <c r="FQ4" s="17">
        <v>0</v>
      </c>
      <c r="FR4" s="17">
        <v>0</v>
      </c>
      <c r="FS4" s="17"/>
      <c r="FT4" s="17"/>
      <c r="FU4" s="17"/>
      <c r="FV4" s="17"/>
      <c r="FW4" s="17">
        <v>18.3</v>
      </c>
      <c r="FX4" s="17">
        <v>9</v>
      </c>
      <c r="FY4" s="17">
        <v>0</v>
      </c>
      <c r="FZ4" s="17">
        <v>0</v>
      </c>
      <c r="GA4" s="17">
        <v>18.100000000000001</v>
      </c>
      <c r="GB4" s="17">
        <v>8.1</v>
      </c>
      <c r="GC4" s="17">
        <v>0</v>
      </c>
      <c r="GD4" s="17">
        <v>0</v>
      </c>
      <c r="GE4" s="41">
        <f t="shared" ref="GE4:GE11" si="56">IF(SUM(FL4,FP4)&gt;0,SUM(FL4,FP4),"")</f>
        <v>16.7</v>
      </c>
      <c r="GF4" s="41">
        <f t="shared" ref="GF4:GF11" si="57">IF(SUM(FK4:FL4,FN4:FP4,FR4)-FM4-FQ4&gt;0,SUM(FK4:FL4,FN4:FP4,FR4)-FM4-FQ4,"")</f>
        <v>52.8</v>
      </c>
      <c r="GG4" s="41" t="str">
        <f t="shared" ref="GG4:GG11" si="58">IF(SUM(FS4:FT4,FV4)-FU4&gt;0,SUM(FS4:FT4,FV4)-FU4,"")</f>
        <v/>
      </c>
      <c r="GH4" s="41">
        <f t="shared" ref="GH4:GH11" si="59">IF(SUM(FL4,FP4,FT4)&gt;0,SUM(FL4,FP4,FT4),"")</f>
        <v>16.7</v>
      </c>
      <c r="GI4" s="41">
        <f t="shared" ref="GI4:GI11" si="60">IF(SUM(GF4,GG4)&gt;0,SUM(GF4,GG4),"")</f>
        <v>52.8</v>
      </c>
      <c r="GJ4" s="41">
        <f t="shared" ref="GJ4:GJ11" si="61">IF(SUM(FX4,GB4)&gt;0,SUM(FX4,GB4),"")</f>
        <v>17.100000000000001</v>
      </c>
      <c r="GK4" s="41">
        <f t="shared" ref="GK4:GK11" si="62">IF(SUM(FW4:FX4,FZ4:GB4,GD4)-SUM(FY4,GC4)&gt;0,SUM(FW4:FX4,FZ4:GB4,GD4)-SUM(FY4,GC4),"")</f>
        <v>53.500000000000007</v>
      </c>
      <c r="GL4" s="41">
        <f t="shared" ref="GL4:GL11" si="63">IF(SUM(GF4,GG4,GK4)&gt;0,SUM(GF4,GG4,GK4),"")</f>
        <v>106.30000000000001</v>
      </c>
      <c r="GM4" s="18">
        <v>18.600000000000001</v>
      </c>
      <c r="GN4" s="18">
        <v>8.1999999999999993</v>
      </c>
      <c r="GO4" s="18">
        <v>0</v>
      </c>
      <c r="GP4" s="18">
        <v>0</v>
      </c>
      <c r="GQ4" s="18">
        <v>18.600000000000001</v>
      </c>
      <c r="GR4" s="18">
        <v>9.3000000000000007</v>
      </c>
      <c r="GS4" s="18">
        <v>0</v>
      </c>
      <c r="GT4" s="18">
        <v>0</v>
      </c>
      <c r="GU4" s="18">
        <v>17.399999999999999</v>
      </c>
      <c r="GV4" s="18">
        <v>7.7</v>
      </c>
      <c r="GW4" s="18">
        <v>0</v>
      </c>
      <c r="GX4" s="18">
        <v>0</v>
      </c>
      <c r="GY4" s="18"/>
      <c r="GZ4" s="18"/>
      <c r="HA4" s="18"/>
      <c r="HB4" s="18"/>
      <c r="HC4" s="18"/>
      <c r="HD4" s="18"/>
      <c r="HE4" s="18"/>
      <c r="HF4" s="18"/>
      <c r="HG4" s="11">
        <f t="shared" ref="HG4:HG11" si="64">IF(SUM(GN4,GR4)&gt;0,SUM(GN4,GR4),"")</f>
        <v>17.5</v>
      </c>
      <c r="HH4" s="11">
        <f t="shared" ref="HH4:HH11" si="65">IF(SUM(GM4:GN4,GP4:GR4,GT4)-GO4-GS4&gt;0,SUM(GM4:GN4,GP4:GR4,GT4)-GO4-GS4,"")</f>
        <v>54.7</v>
      </c>
      <c r="HI4" s="11">
        <f t="shared" ref="HI4:HI11" si="66">IF(SUM(GU4:GV4,GX4)-GW4&gt;0,SUM(GU4:GV4,GX4)-GW4,"")</f>
        <v>25.099999999999998</v>
      </c>
      <c r="HJ4" s="11">
        <f t="shared" ref="HJ4:HJ11" si="67">IF(SUM(GN4,GR4,GV4)&gt;0,SUM(GN4,GR4,GV4),"")</f>
        <v>25.2</v>
      </c>
      <c r="HK4" s="11">
        <f t="shared" ref="HK4:HK11" si="68">IF(SUM(HH4,HI4)&gt;0,SUM(HH4,HI4),"")</f>
        <v>79.8</v>
      </c>
      <c r="HL4" s="11" t="str">
        <f t="shared" ref="HL4:HL11" si="69">IF(SUM(GZ4,HD4)&gt;0,SUM(GZ4,HD4),"")</f>
        <v/>
      </c>
      <c r="HM4" s="11" t="str">
        <f t="shared" ref="HM4:HM11" si="70">IF(SUM(GY4:GZ4,HB4:HD4,HF4)-SUM(HA4,HE4)&gt;0,SUM(GY4:GZ4,HB4:HD4,HF4)-SUM(HA4,HE4),"")</f>
        <v/>
      </c>
      <c r="HN4" s="11">
        <f t="shared" ref="HN4:HN11" si="71">IF(SUM(HH4,HI4,HM4)&gt;0,SUM(HH4,HI4,HM4),"")</f>
        <v>79.8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11" si="72">IF(SUM(HP4,HT4)&gt;0,SUM(HP4,HT4),"")</f>
        <v/>
      </c>
      <c r="IJ4" s="41" t="str">
        <f t="shared" ref="IJ4:IJ11" si="73">IF(SUM(HO4:HP4,HR4:HT4,HV4)-HQ4-HU4&gt;0,SUM(HO4:HP4,HR4:HT4,HV4)-HQ4-HU4,"")</f>
        <v/>
      </c>
      <c r="IK4" s="41" t="str">
        <f t="shared" ref="IK4:IK11" si="74">IF(SUM(HW4:HX4,HZ4)-HY4&gt;0,SUM(HW4:HX4,HZ4)-HY4,"")</f>
        <v/>
      </c>
      <c r="IL4" s="41" t="str">
        <f t="shared" ref="IL4:IL11" si="75">IF(SUM(HP4,HT4,HX4)&gt;0,SUM(HP4,HT4,HX4),"")</f>
        <v/>
      </c>
      <c r="IM4" s="41" t="str">
        <f t="shared" ref="IM4:IM11" si="76">IF(SUM(IJ4,IK4)&gt;0,SUM(IJ4,IK4),"")</f>
        <v/>
      </c>
      <c r="IN4" s="41" t="str">
        <f t="shared" ref="IN4:IN11" si="77">IF(SUM(IB4,IF4)&gt;0,SUM(IB4,IF4),"")</f>
        <v/>
      </c>
      <c r="IO4" s="41" t="str">
        <f t="shared" ref="IO4:IO11" si="78">IF(SUM(IA4:IB4,ID4:IF4,IH4)-SUM(IC4,IG4)&gt;0,SUM(IA4:IB4,ID4:IF4,IH4)-SUM(IC4,IG4),"")</f>
        <v/>
      </c>
      <c r="IP4" s="41" t="str">
        <f t="shared" ref="IP4:IP11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1" si="80">IF(SUM(IR4,IV4)&gt;0,SUM(IR4,IV4),"")</f>
        <v/>
      </c>
      <c r="JL4" s="11" t="str">
        <f t="shared" ref="JL4:JL11" si="81">IF(SUM(IQ4:IR4,IT4:IV4,IX4)-IS4-IW4&gt;0,SUM(IQ4:IR4,IT4:IV4,IX4)-IS4-IW4,"")</f>
        <v/>
      </c>
      <c r="JM4" s="11" t="str">
        <f t="shared" ref="JM4:JM11" si="82">IF(SUM(IY4:IZ4,JB4)-JA4&gt;0,SUM(IY4:IZ4,JB4)-JA4,"")</f>
        <v/>
      </c>
      <c r="JN4" s="11" t="str">
        <f t="shared" ref="JN4:JN11" si="83">IF(SUM(IR4,IV4,IZ4)&gt;0,SUM(IR4,IV4,IZ4),"")</f>
        <v/>
      </c>
      <c r="JO4" s="11" t="str">
        <f t="shared" ref="JO4:JO11" si="84">IF(SUM(JL4,JM4)&gt;0,SUM(JL4,JM4),"")</f>
        <v/>
      </c>
      <c r="JP4" s="11" t="str">
        <f t="shared" ref="JP4:JP11" si="85">IF(SUM(JD4,JH4)&gt;0,SUM(JD4,JH4),"")</f>
        <v/>
      </c>
      <c r="JQ4" s="11" t="str">
        <f t="shared" ref="JQ4:JQ11" si="86">IF(SUM(JC4:JD4,JF4:JH4,JJ4)-SUM(JE4,JI4)&gt;0,SUM(JC4:JD4,JF4:JH4,JJ4)-SUM(JE4,JI4),"")</f>
        <v/>
      </c>
      <c r="JR4" s="11" t="str">
        <f t="shared" ref="JR4:JR11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1" si="88">IF(SUM(JT4,JX4)&gt;0,SUM(JT4,JX4),"")</f>
        <v/>
      </c>
      <c r="KN4" s="41" t="str">
        <f t="shared" ref="KN4:KN11" si="89">IF(SUM(JS4:JT4,JV4:JX4,JZ4)-JU4-JY4&gt;0,SUM(JS4:JT4,JV4:JX4,JZ4)-JU4-JY4,"")</f>
        <v/>
      </c>
      <c r="KO4" s="41" t="str">
        <f t="shared" ref="KO4:KO11" si="90">IF(SUM(KA4:KB4,KD4)-KC4&gt;0,SUM(KA4:KB4,KD4)-KC4,"")</f>
        <v/>
      </c>
      <c r="KP4" s="41" t="str">
        <f t="shared" ref="KP4:KP11" si="91">IF(SUM(JT4,JX4,KB4)&gt;0,SUM(JT4,JX4,KB4),"")</f>
        <v/>
      </c>
      <c r="KQ4" s="41" t="str">
        <f t="shared" ref="KQ4:KQ11" si="92">IF(SUM(KN4,KO4)&gt;0,SUM(KN4,KO4),"")</f>
        <v/>
      </c>
      <c r="KR4" s="41" t="str">
        <f t="shared" ref="KR4:KR11" si="93">IF(SUM(KF4,KJ4)&gt;0,SUM(KF4,KJ4),"")</f>
        <v/>
      </c>
      <c r="KS4" s="41" t="str">
        <f t="shared" ref="KS4:KS11" si="94">IF(SUM(KE4:KF4,KH4:KJ4,KL4)-SUM(KG4,KK4)&gt;0,SUM(KE4:KF4,KH4:KJ4,KL4)-SUM(KG4,KK4),"")</f>
        <v/>
      </c>
      <c r="KT4" s="41" t="str">
        <f t="shared" ref="KT4:KT11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1" si="96">IF(SUM(KV4,KZ4)&gt;0,SUM(KV4,KZ4),"")</f>
        <v/>
      </c>
      <c r="LP4" s="11" t="str">
        <f t="shared" ref="LP4:LP11" si="97">IF(SUM(KU4:KV4,KX4:KZ4,LB4)-KW4-LA4&gt;0,SUM(KU4:KV4,KX4:KZ4,LB4)-KW4-LA4,"")</f>
        <v/>
      </c>
      <c r="LQ4" s="11" t="str">
        <f t="shared" ref="LQ4:LQ11" si="98">IF(SUM(LC4:LD4,LF4)-LE4&gt;0,SUM(LC4:LD4,LF4)-LE4,"")</f>
        <v/>
      </c>
      <c r="LR4" s="11" t="str">
        <f t="shared" ref="LR4:LR11" si="99">IF(SUM(KV4,KZ4,LD4)&gt;0,SUM(KV4,KZ4,LD4),"")</f>
        <v/>
      </c>
      <c r="LS4" s="11" t="str">
        <f t="shared" ref="LS4:LS11" si="100">IF(SUM(LP4,LQ4)&gt;0,SUM(LP4,LQ4),"")</f>
        <v/>
      </c>
      <c r="LT4" s="11" t="str">
        <f t="shared" ref="LT4:LT11" si="101">IF(SUM(LH4,LL4)&gt;0,SUM(LH4,LL4),"")</f>
        <v/>
      </c>
      <c r="LU4" s="11" t="str">
        <f t="shared" ref="LU4:LU11" si="102">IF(SUM(LG4:LH4,LJ4:LL4,LN4)-SUM(LI4,LM4)&gt;0,SUM(LG4:LH4,LJ4:LL4,LN4)-SUM(LI4,LM4),"")</f>
        <v/>
      </c>
      <c r="LV4" s="11" t="str">
        <f t="shared" ref="LV4:LV11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1" si="104">IF(SUM(LX4,MB4)&gt;0,SUM(LX4,MB4),"")</f>
        <v/>
      </c>
      <c r="MR4" s="41" t="str">
        <f t="shared" ref="MR4:MR11" si="105">IF(SUM(LW4:LX4,LZ4:MB4,MD4)-LY4-MC4&gt;0,SUM(LW4:LX4,LZ4:MB4,MD4)-LY4-MC4,"")</f>
        <v/>
      </c>
      <c r="MS4" s="41" t="str">
        <f t="shared" ref="MS4:MS11" si="106">IF(SUM(ME4:MF4,MH4)-MG4&gt;0,SUM(ME4:MF4,MH4)-MG4,"")</f>
        <v/>
      </c>
      <c r="MT4" s="41" t="str">
        <f t="shared" ref="MT4:MT11" si="107">IF(SUM(LX4,MB4,MF4)&gt;0,SUM(LX4,MB4,MF4),"")</f>
        <v/>
      </c>
      <c r="MU4" s="41" t="str">
        <f t="shared" ref="MU4:MU11" si="108">IF(SUM(MR4,MS4)&gt;0,SUM(MR4,MS4),"")</f>
        <v/>
      </c>
      <c r="MV4" s="41" t="str">
        <f t="shared" ref="MV4:MV11" si="109">IF(SUM(MJ4,MN4)&gt;0,SUM(MJ4,MN4),"")</f>
        <v/>
      </c>
      <c r="MW4" s="41" t="str">
        <f t="shared" ref="MW4:MW11" si="110">IF(SUM(MI4:MJ4,ML4:MN4,MP4)-SUM(MK4,MO4)&gt;0,SUM(MI4:MJ4,ML4:MN4,MP4)-SUM(MK4,MO4),"")</f>
        <v/>
      </c>
      <c r="MX4" s="41" t="str">
        <f t="shared" ref="MX4:MX11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1" si="112">IF(SUM(MZ4,ND4)&gt;0,SUM(MZ4,ND4),"")</f>
        <v/>
      </c>
      <c r="NT4" s="11" t="str">
        <f t="shared" ref="NT4:NT11" si="113">IF(SUM(MY4:MZ4,NB4:ND4,NF4)-NA4-NE4&gt;0,SUM(MY4:MZ4,NB4:ND4,NF4)-NA4-NE4,"")</f>
        <v/>
      </c>
      <c r="NU4" s="11" t="str">
        <f t="shared" ref="NU4:NU11" si="114">IF(SUM(NG4:NH4,NJ4)-NI4&gt;0,SUM(NG4:NH4,NJ4)-NI4,"")</f>
        <v/>
      </c>
      <c r="NV4" s="11" t="str">
        <f t="shared" ref="NV4:NV11" si="115">IF(SUM(MZ4,ND4,NH4)&gt;0,SUM(MZ4,ND4,NH4),"")</f>
        <v/>
      </c>
      <c r="NW4" s="11" t="str">
        <f t="shared" ref="NW4:NW11" si="116">IF(SUM(NT4,NU4)&gt;0,SUM(NT4,NU4),"")</f>
        <v/>
      </c>
      <c r="NX4" s="11" t="str">
        <f t="shared" ref="NX4:NX11" si="117">IF(SUM(NL4,NP4)&gt;0,SUM(NL4,NP4),"")</f>
        <v/>
      </c>
      <c r="NY4" s="11" t="str">
        <f t="shared" ref="NY4:NY11" si="118">IF(SUM(NK4:NL4,NN4:NP4,NR4)-SUM(NM4,NQ4)&gt;0,SUM(NK4:NL4,NN4:NP4,NR4)-SUM(NM4,NQ4),"")</f>
        <v/>
      </c>
      <c r="NZ4" s="11" t="str">
        <f t="shared" ref="NZ4:NZ11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1" si="120">IF(SUM(OB4,OF4)&gt;0,SUM(OB4,OF4),"")</f>
        <v/>
      </c>
      <c r="OV4" s="41" t="str">
        <f t="shared" ref="OV4:OV11" si="121">IF(SUM(OA4:OB4,OD4:OF4,OH4)-OC4-OG4&gt;0,SUM(OA4:OB4,OD4:OF4,OH4)-OC4-OG4,"")</f>
        <v/>
      </c>
      <c r="OW4" s="41" t="str">
        <f t="shared" ref="OW4:OW11" si="122">IF(SUM(OI4:OJ4,OL4)-OK4&gt;0,SUM(OI4:OJ4,OL4)-OK4,"")</f>
        <v/>
      </c>
      <c r="OX4" s="41" t="str">
        <f t="shared" ref="OX4:OX11" si="123">IF(SUM(OB4,OF4,OJ4)&gt;0,SUM(OB4,OF4,OJ4),"")</f>
        <v/>
      </c>
      <c r="OY4" s="41" t="str">
        <f t="shared" ref="OY4:OY11" si="124">IF(SUM(OV4,OW4)&gt;0,SUM(OV4,OW4),"")</f>
        <v/>
      </c>
      <c r="OZ4" s="41" t="str">
        <f t="shared" ref="OZ4:OZ11" si="125">IF(SUM(ON4,OR4)&gt;0,SUM(ON4,OR4),"")</f>
        <v/>
      </c>
      <c r="PA4" s="41" t="str">
        <f t="shared" ref="PA4:PA11" si="126">IF(SUM(OM4:ON4,OP4:OR4,OT4)-SUM(OO4,OS4)&gt;0,SUM(OM4:ON4,OP4:OR4,OT4)-SUM(OO4,OS4),"")</f>
        <v/>
      </c>
      <c r="PB4" s="41" t="str">
        <f t="shared" ref="PB4:PB11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1" si="128">IF(SUM(PD4,PH4)&gt;0,SUM(PD4,PH4),"")</f>
        <v/>
      </c>
      <c r="PX4" s="11" t="str">
        <f t="shared" ref="PX4:PX11" si="129">IF(SUM(PC4:PD4,PF4:PH4,PJ4)-PE4-PI4&gt;0,SUM(PC4:PD4,PF4:PH4,PJ4)-PE4-PI4,"")</f>
        <v/>
      </c>
      <c r="PY4" s="11" t="str">
        <f t="shared" ref="PY4:PY11" si="130">IF(SUM(PK4:PL4,PN4)-PM4&gt;0,SUM(PK4:PL4,PN4)-PM4,"")</f>
        <v/>
      </c>
      <c r="PZ4" s="11" t="str">
        <f t="shared" ref="PZ4:PZ11" si="131">IF(SUM(PD4,PH4,PL4)&gt;0,SUM(PD4,PH4,PL4),"")</f>
        <v/>
      </c>
      <c r="QA4" s="11" t="str">
        <f t="shared" ref="QA4:QA11" si="132">IF(SUM(PX4,PY4)&gt;0,SUM(PX4,PY4),"")</f>
        <v/>
      </c>
      <c r="QB4" s="11" t="str">
        <f t="shared" ref="QB4:QB11" si="133">IF(SUM(PP4,PT4)&gt;0,SUM(PP4,PT4),"")</f>
        <v/>
      </c>
      <c r="QC4" s="11" t="str">
        <f t="shared" ref="QC4:QC11" si="134">IF(SUM(PO4:PP4,PR4:PT4,PV4)-SUM(PQ4,PU4)&gt;0,SUM(PO4:PP4,PR4:PT4,PV4)-SUM(PQ4,PU4),"")</f>
        <v/>
      </c>
      <c r="QD4" s="11" t="str">
        <f t="shared" ref="QD4:QD11" si="135">IF(SUM(PX4,PY4,QC4)&gt;0,SUM(PX4,PY4,QC4),"")</f>
        <v/>
      </c>
      <c r="QE4" s="23">
        <f t="shared" ref="QE4:QN11" si="136">IF($CU4="P",CA4,(CA4+AX4)/2)</f>
        <v>17.8</v>
      </c>
      <c r="QF4" s="23">
        <f t="shared" si="136"/>
        <v>7.75</v>
      </c>
      <c r="QG4" s="23">
        <f t="shared" si="136"/>
        <v>0</v>
      </c>
      <c r="QH4" s="23">
        <f t="shared" si="136"/>
        <v>0</v>
      </c>
      <c r="QI4" s="23">
        <f t="shared" si="136"/>
        <v>17.799999999999997</v>
      </c>
      <c r="QJ4" s="23">
        <f t="shared" si="136"/>
        <v>8.1</v>
      </c>
      <c r="QK4" s="23">
        <f t="shared" si="136"/>
        <v>0</v>
      </c>
      <c r="QL4" s="23">
        <f t="shared" si="136"/>
        <v>0</v>
      </c>
      <c r="QM4" s="23">
        <f t="shared" si="136"/>
        <v>17.5</v>
      </c>
      <c r="QN4" s="23">
        <f t="shared" si="136"/>
        <v>8.1999999999999993</v>
      </c>
      <c r="QO4" s="23">
        <f t="shared" ref="QO4:QX11" si="137">IF($CU4="P",CK4,(CK4+BH4)/2)</f>
        <v>0</v>
      </c>
      <c r="QP4" s="23">
        <f t="shared" si="137"/>
        <v>0</v>
      </c>
      <c r="QQ4" s="23">
        <f t="shared" si="137"/>
        <v>18.149999999999999</v>
      </c>
      <c r="QR4" s="23">
        <f t="shared" si="137"/>
        <v>8.1999999999999993</v>
      </c>
      <c r="QS4" s="23">
        <f t="shared" si="137"/>
        <v>0</v>
      </c>
      <c r="QT4" s="23">
        <f t="shared" si="137"/>
        <v>0</v>
      </c>
      <c r="QU4" s="23">
        <f t="shared" si="137"/>
        <v>17.5</v>
      </c>
      <c r="QV4" s="23">
        <f t="shared" si="137"/>
        <v>7.1</v>
      </c>
      <c r="QW4" s="23">
        <f t="shared" si="137"/>
        <v>0</v>
      </c>
      <c r="QX4" s="23">
        <f t="shared" si="137"/>
        <v>0</v>
      </c>
      <c r="QY4" s="28" t="s">
        <v>57</v>
      </c>
      <c r="QZ4" s="41">
        <f t="shared" ref="QZ4:QZ11" si="138">IF(SUM(QF4,QJ4)&gt;0,SUM(QF4,QJ4),"")</f>
        <v>15.85</v>
      </c>
      <c r="RA4" s="41">
        <f t="shared" ref="RA4:RA11" si="139">IF(SUM(QE4:QF4,QH4:QJ4,QL4)-QG4-QK4&gt;0,SUM(QE4:QF4,QH4:QJ4,QL4)-QG4-QK4,"")</f>
        <v>51.449999999999996</v>
      </c>
      <c r="RB4" s="41">
        <f t="shared" ref="RB4:RB11" si="140">IF(SUM(QM4:QN4,QP4)-QO4&gt;0,SUM(QM4:QN4,QP4)-QO4,"")</f>
        <v>25.7</v>
      </c>
      <c r="RC4" s="41">
        <f t="shared" ref="RC4:RC11" si="141">IF(SUM(QF4,QJ4,QN4)&gt;0,SUM(QF4,QJ4,QN4),"")</f>
        <v>24.049999999999997</v>
      </c>
      <c r="RD4" s="41">
        <f t="shared" ref="RD4:RD11" si="142">IF(SUM(RA4,RB4)&gt;0,SUM(RA4,RB4),"")</f>
        <v>77.149999999999991</v>
      </c>
      <c r="RE4" s="41">
        <f t="shared" ref="RE4:RE11" si="143">IF(SUM(QR4,QV4)&gt;0,SUM(QR4,QV4),"")</f>
        <v>15.299999999999999</v>
      </c>
      <c r="RF4" s="41">
        <f t="shared" ref="RF4:RF11" si="144">IF(SUM(QQ4:QR4,QT4:QV4,QX4)-SUM(QS4,QW4)&gt;0,SUM(QQ4:QR4,QT4:QV4,QX4)-SUM(QS4,QW4),"")</f>
        <v>50.949999999999996</v>
      </c>
      <c r="RG4" s="41">
        <f t="shared" ref="RG4:RG11" si="145">IF(SUM(RA4,RB4,RF4)&gt;0,SUM(RA4,RB4,RF4),"")</f>
        <v>128.1</v>
      </c>
    </row>
    <row r="5" spans="1:475" x14ac:dyDescent="0.2">
      <c r="A5" s="4" cm="1">
        <f t="array" aca="1" ref="A5" ca="1">IF(AND(H5&lt;&gt;"",H5&lt;&gt;"No DD"),SUMPRODUCT((H$4:H$12&lt;&gt;"")*(H$4:H$12&lt;&gt;"No DD")*(E$4:E$12&gt;E5))+1,IF(H5="No DD",SUMPRODUCT((H$4:H$12="No DD")*(E$4:E$12&gt;E5))+1+SUMPRODUCT((H$4:H$12&lt;&gt;"")*(H$4:H$12&lt;&gt;"No DD")),""))</f>
        <v>2</v>
      </c>
      <c r="B5" s="5" t="s">
        <v>129</v>
      </c>
      <c r="C5" s="4" t="s">
        <v>3</v>
      </c>
      <c r="D5" s="4">
        <v>2003</v>
      </c>
      <c r="E5" s="9">
        <f t="shared" si="0"/>
        <v>184.40001301000518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IF(COUNT(AQ5,BT5,CW5)&gt;0,LARGE((AQ5,BT5,CW5),1),0)</f>
        <v>51.599999999999994</v>
      </c>
      <c r="K5" s="8" t="str">
        <f t="shared" si="5"/>
        <v>2023 Elite Canada</v>
      </c>
      <c r="L5" s="8">
        <f>IF(COUNT(AQ5,BT5,CW5)&gt;1,LARGE((AQ5,BT5,CW5),2),0)</f>
        <v>51.5</v>
      </c>
      <c r="M5" s="8" t="str">
        <f t="shared" si="6"/>
        <v>2023 Domestic 3rd Trial</v>
      </c>
      <c r="N5" s="8">
        <f>IF(COUNT(AR5,BU5,CX5)&gt;0,LARGE((AR5,BU5,CX5),1),0)</f>
        <v>27</v>
      </c>
      <c r="O5" s="8" t="str">
        <f t="shared" si="7"/>
        <v>2023 Elite Canada</v>
      </c>
      <c r="P5" s="8">
        <f t="shared" si="8"/>
        <v>53.400000000000006</v>
      </c>
      <c r="Q5" s="8" t="str">
        <f t="shared" si="9"/>
        <v>2023 Elite Canada</v>
      </c>
      <c r="R5" s="8">
        <f t="shared" si="10"/>
        <v>0.89999999999999858</v>
      </c>
      <c r="S5" s="11" t="str">
        <f t="shared" si="11"/>
        <v>(Q1)</v>
      </c>
      <c r="T5" s="8" t="str">
        <f t="shared" si="12"/>
        <v>2023 World Championships (Nov 11)</v>
      </c>
      <c r="U5" s="19">
        <v>18.8</v>
      </c>
      <c r="V5" s="19">
        <v>8.1</v>
      </c>
      <c r="W5" s="19">
        <v>0</v>
      </c>
      <c r="X5" s="19">
        <v>0</v>
      </c>
      <c r="Y5" s="19">
        <v>18.2</v>
      </c>
      <c r="Z5" s="19">
        <v>6.5</v>
      </c>
      <c r="AA5" s="19">
        <v>0</v>
      </c>
      <c r="AB5" s="19">
        <v>0</v>
      </c>
      <c r="AC5" s="19">
        <v>18.899999999999999</v>
      </c>
      <c r="AD5" s="19">
        <v>8.1</v>
      </c>
      <c r="AE5" s="19">
        <v>0</v>
      </c>
      <c r="AF5" s="19">
        <v>0</v>
      </c>
      <c r="AG5" s="19">
        <v>19.100000000000001</v>
      </c>
      <c r="AH5" s="19">
        <v>8.1</v>
      </c>
      <c r="AI5" s="19">
        <v>0</v>
      </c>
      <c r="AJ5" s="19">
        <v>0</v>
      </c>
      <c r="AK5" s="19">
        <v>18.5</v>
      </c>
      <c r="AL5" s="19">
        <v>7.7</v>
      </c>
      <c r="AM5" s="19">
        <v>0</v>
      </c>
      <c r="AN5" s="19">
        <v>0</v>
      </c>
      <c r="AO5" s="28"/>
      <c r="AP5" s="41">
        <f t="shared" si="13"/>
        <v>14.6</v>
      </c>
      <c r="AQ5" s="41">
        <f t="shared" si="14"/>
        <v>51.599999999999994</v>
      </c>
      <c r="AR5" s="41">
        <f t="shared" si="15"/>
        <v>27</v>
      </c>
      <c r="AS5" s="41">
        <f t="shared" si="16"/>
        <v>22.7</v>
      </c>
      <c r="AT5" s="41">
        <f t="shared" si="17"/>
        <v>78.599999999999994</v>
      </c>
      <c r="AU5" s="41">
        <f t="shared" si="18"/>
        <v>15.8</v>
      </c>
      <c r="AV5" s="41">
        <f t="shared" si="19"/>
        <v>53.400000000000006</v>
      </c>
      <c r="AW5" s="41">
        <f t="shared" si="20"/>
        <v>132</v>
      </c>
      <c r="AX5" s="18">
        <v>17.399999999999999</v>
      </c>
      <c r="AY5" s="18">
        <v>9.3000000000000007</v>
      </c>
      <c r="AZ5" s="18">
        <v>0</v>
      </c>
      <c r="BA5" s="18">
        <v>0</v>
      </c>
      <c r="BB5" s="18">
        <v>17.8</v>
      </c>
      <c r="BC5" s="18">
        <v>6.9</v>
      </c>
      <c r="BD5" s="18">
        <v>0</v>
      </c>
      <c r="BE5" s="18">
        <v>0</v>
      </c>
      <c r="BF5" s="18">
        <v>17.899999999999999</v>
      </c>
      <c r="BG5" s="18">
        <v>8.5</v>
      </c>
      <c r="BH5" s="18">
        <v>0</v>
      </c>
      <c r="BI5" s="18">
        <v>0</v>
      </c>
      <c r="BJ5" s="18">
        <v>18.399999999999999</v>
      </c>
      <c r="BK5" s="18">
        <v>8.9</v>
      </c>
      <c r="BL5" s="18">
        <v>0</v>
      </c>
      <c r="BM5" s="18">
        <v>0</v>
      </c>
      <c r="BN5" s="18">
        <v>19.100000000000001</v>
      </c>
      <c r="BO5" s="18">
        <v>6.9</v>
      </c>
      <c r="BP5" s="18">
        <v>0</v>
      </c>
      <c r="BQ5" s="18">
        <v>0</v>
      </c>
      <c r="BR5" s="29"/>
      <c r="BS5" s="11">
        <f t="shared" si="21"/>
        <v>16.200000000000003</v>
      </c>
      <c r="BT5" s="11">
        <f t="shared" si="22"/>
        <v>51.4</v>
      </c>
      <c r="BU5" s="11">
        <f t="shared" si="23"/>
        <v>26.4</v>
      </c>
      <c r="BV5" s="11">
        <f t="shared" si="24"/>
        <v>24.700000000000003</v>
      </c>
      <c r="BW5" s="11">
        <f t="shared" si="25"/>
        <v>77.8</v>
      </c>
      <c r="BX5" s="11">
        <f t="shared" si="26"/>
        <v>15.8</v>
      </c>
      <c r="BY5" s="11">
        <f t="shared" si="27"/>
        <v>53.3</v>
      </c>
      <c r="BZ5" s="11">
        <f t="shared" si="28"/>
        <v>131.1</v>
      </c>
      <c r="CA5" s="19">
        <v>18.100000000000001</v>
      </c>
      <c r="CB5" s="19">
        <v>8.6999999999999993</v>
      </c>
      <c r="CC5" s="19">
        <v>0</v>
      </c>
      <c r="CD5" s="19">
        <v>0</v>
      </c>
      <c r="CE5" s="19">
        <v>18</v>
      </c>
      <c r="CF5" s="19">
        <v>6.7</v>
      </c>
      <c r="CG5" s="19">
        <v>0</v>
      </c>
      <c r="CH5" s="19">
        <v>0</v>
      </c>
      <c r="CI5" s="19">
        <v>18.399999999999999</v>
      </c>
      <c r="CJ5" s="19">
        <v>8.3000000000000007</v>
      </c>
      <c r="CK5" s="19">
        <v>0</v>
      </c>
      <c r="CL5" s="19">
        <v>0</v>
      </c>
      <c r="CM5" s="19">
        <v>18.75</v>
      </c>
      <c r="CN5" s="19">
        <v>8.5</v>
      </c>
      <c r="CO5" s="19">
        <v>0</v>
      </c>
      <c r="CP5" s="19">
        <v>0</v>
      </c>
      <c r="CQ5" s="19">
        <v>18.8</v>
      </c>
      <c r="CR5" s="19">
        <v>7.3000000000000007</v>
      </c>
      <c r="CS5" s="19">
        <v>0</v>
      </c>
      <c r="CT5" s="19">
        <v>0</v>
      </c>
      <c r="CU5" s="28" t="s">
        <v>57</v>
      </c>
      <c r="CV5" s="41">
        <f t="shared" si="29"/>
        <v>15.399999999999999</v>
      </c>
      <c r="CW5" s="41">
        <f t="shared" si="30"/>
        <v>51.5</v>
      </c>
      <c r="CX5" s="41">
        <f t="shared" si="31"/>
        <v>26.7</v>
      </c>
      <c r="CY5" s="41">
        <f t="shared" si="32"/>
        <v>23.7</v>
      </c>
      <c r="CZ5" s="41">
        <f t="shared" si="33"/>
        <v>78.2</v>
      </c>
      <c r="DA5" s="41">
        <f t="shared" si="34"/>
        <v>15.8</v>
      </c>
      <c r="DB5" s="41">
        <f t="shared" si="35"/>
        <v>53.349999999999994</v>
      </c>
      <c r="DC5" s="41">
        <f t="shared" si="36"/>
        <v>131.55000000000001</v>
      </c>
      <c r="DD5" s="52">
        <f t="shared" si="37"/>
        <v>0.89999999999999858</v>
      </c>
      <c r="DE5" s="52" t="str">
        <f t="shared" si="38"/>
        <v/>
      </c>
      <c r="DF5" s="52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40"/>
        <v/>
      </c>
      <c r="EB5" s="41" t="str">
        <f t="shared" si="41"/>
        <v/>
      </c>
      <c r="EC5" s="41" t="str">
        <f t="shared" si="42"/>
        <v/>
      </c>
      <c r="ED5" s="41" t="str">
        <f t="shared" si="43"/>
        <v/>
      </c>
      <c r="EE5" s="41" t="str">
        <f t="shared" si="44"/>
        <v/>
      </c>
      <c r="EF5" s="41" t="str">
        <f t="shared" si="45"/>
        <v/>
      </c>
      <c r="EG5" s="41" t="str">
        <f t="shared" si="46"/>
        <v/>
      </c>
      <c r="EH5" s="41" t="str">
        <f t="shared" si="47"/>
        <v/>
      </c>
      <c r="EI5" s="18">
        <v>18</v>
      </c>
      <c r="EJ5" s="18">
        <v>8.9</v>
      </c>
      <c r="EK5" s="18">
        <v>0</v>
      </c>
      <c r="EL5" s="18">
        <v>0</v>
      </c>
      <c r="EM5" s="18">
        <v>17.8</v>
      </c>
      <c r="EN5" s="18">
        <v>6.9</v>
      </c>
      <c r="EO5" s="18">
        <v>0</v>
      </c>
      <c r="EP5" s="18">
        <v>0</v>
      </c>
      <c r="EQ5" s="18"/>
      <c r="ER5" s="18"/>
      <c r="ES5" s="18"/>
      <c r="ET5" s="18"/>
      <c r="EU5" s="18">
        <v>18.100000000000001</v>
      </c>
      <c r="EV5" s="18">
        <v>9.3000000000000007</v>
      </c>
      <c r="EW5" s="18">
        <v>0</v>
      </c>
      <c r="EX5" s="18">
        <v>0</v>
      </c>
      <c r="EY5" s="18">
        <v>17.8</v>
      </c>
      <c r="EZ5" s="18">
        <v>8.1</v>
      </c>
      <c r="FA5" s="18">
        <v>0</v>
      </c>
      <c r="FB5" s="18">
        <v>0</v>
      </c>
      <c r="FC5" s="11">
        <f t="shared" si="48"/>
        <v>15.8</v>
      </c>
      <c r="FD5" s="11">
        <f t="shared" si="49"/>
        <v>51.6</v>
      </c>
      <c r="FE5" s="11" t="str">
        <f t="shared" si="50"/>
        <v/>
      </c>
      <c r="FF5" s="11">
        <f t="shared" si="51"/>
        <v>15.8</v>
      </c>
      <c r="FG5" s="11">
        <f t="shared" si="52"/>
        <v>51.6</v>
      </c>
      <c r="FH5" s="11">
        <f t="shared" si="53"/>
        <v>17.399999999999999</v>
      </c>
      <c r="FI5" s="11">
        <f t="shared" si="54"/>
        <v>53.300000000000004</v>
      </c>
      <c r="FJ5" s="11">
        <f t="shared" si="55"/>
        <v>104.9</v>
      </c>
      <c r="FK5" s="17">
        <v>18.100000000000001</v>
      </c>
      <c r="FL5" s="17">
        <v>8.9</v>
      </c>
      <c r="FM5" s="17">
        <v>0</v>
      </c>
      <c r="FN5" s="17">
        <v>0</v>
      </c>
      <c r="FO5" s="17">
        <v>18.2</v>
      </c>
      <c r="FP5" s="17">
        <v>6.9</v>
      </c>
      <c r="FQ5" s="17">
        <v>0</v>
      </c>
      <c r="FR5" s="17">
        <v>0</v>
      </c>
      <c r="FS5" s="17"/>
      <c r="FT5" s="17"/>
      <c r="FU5" s="17"/>
      <c r="FV5" s="17"/>
      <c r="FW5" s="17">
        <v>17.7</v>
      </c>
      <c r="FX5" s="17">
        <v>8.9</v>
      </c>
      <c r="FY5" s="17">
        <v>0</v>
      </c>
      <c r="FZ5" s="17">
        <v>0</v>
      </c>
      <c r="GA5" s="17"/>
      <c r="GB5" s="17"/>
      <c r="GC5" s="17"/>
      <c r="GD5" s="17"/>
      <c r="GE5" s="41">
        <f t="shared" si="56"/>
        <v>15.8</v>
      </c>
      <c r="GF5" s="41">
        <f t="shared" si="57"/>
        <v>52.1</v>
      </c>
      <c r="GG5" s="41" t="str">
        <f t="shared" si="58"/>
        <v/>
      </c>
      <c r="GH5" s="41">
        <f t="shared" si="59"/>
        <v>15.8</v>
      </c>
      <c r="GI5" s="41">
        <f t="shared" si="60"/>
        <v>52.1</v>
      </c>
      <c r="GJ5" s="41">
        <f t="shared" si="61"/>
        <v>8.9</v>
      </c>
      <c r="GK5" s="41">
        <f t="shared" si="62"/>
        <v>26.6</v>
      </c>
      <c r="GL5" s="41">
        <f t="shared" si="63"/>
        <v>78.7</v>
      </c>
      <c r="GM5" s="18">
        <v>18.8</v>
      </c>
      <c r="GN5" s="18">
        <v>8.1</v>
      </c>
      <c r="GO5" s="18">
        <v>0</v>
      </c>
      <c r="GP5" s="18">
        <v>0</v>
      </c>
      <c r="GQ5" s="18">
        <v>17.600000000000001</v>
      </c>
      <c r="GR5" s="18">
        <v>7.9</v>
      </c>
      <c r="GS5" s="18">
        <v>0</v>
      </c>
      <c r="GT5" s="18">
        <v>0</v>
      </c>
      <c r="GU5" s="18">
        <v>17.399999999999999</v>
      </c>
      <c r="GV5" s="18">
        <v>3.7</v>
      </c>
      <c r="GW5" s="18">
        <v>0</v>
      </c>
      <c r="GX5" s="18">
        <v>0</v>
      </c>
      <c r="GY5" s="18"/>
      <c r="GZ5" s="18"/>
      <c r="HA5" s="18"/>
      <c r="HB5" s="18"/>
      <c r="HC5" s="18"/>
      <c r="HD5" s="18"/>
      <c r="HE5" s="18"/>
      <c r="HF5" s="18"/>
      <c r="HG5" s="11">
        <f t="shared" si="64"/>
        <v>16</v>
      </c>
      <c r="HH5" s="11">
        <f t="shared" si="65"/>
        <v>52.4</v>
      </c>
      <c r="HI5" s="11">
        <f t="shared" si="66"/>
        <v>21.099999999999998</v>
      </c>
      <c r="HJ5" s="11">
        <f t="shared" si="67"/>
        <v>19.7</v>
      </c>
      <c r="HK5" s="11">
        <f t="shared" si="68"/>
        <v>73.5</v>
      </c>
      <c r="HL5" s="11" t="str">
        <f t="shared" si="69"/>
        <v/>
      </c>
      <c r="HM5" s="11" t="str">
        <f t="shared" si="70"/>
        <v/>
      </c>
      <c r="HN5" s="11">
        <f t="shared" si="71"/>
        <v>73.5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 t="str">
        <f t="shared" si="93"/>
        <v/>
      </c>
      <c r="KS5" s="41" t="str">
        <f t="shared" si="94"/>
        <v/>
      </c>
      <c r="KT5" s="41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18.100000000000001</v>
      </c>
      <c r="QF5" s="23">
        <f t="shared" si="136"/>
        <v>8.6999999999999993</v>
      </c>
      <c r="QG5" s="23">
        <f t="shared" si="136"/>
        <v>0</v>
      </c>
      <c r="QH5" s="23">
        <f t="shared" si="136"/>
        <v>0</v>
      </c>
      <c r="QI5" s="23">
        <f t="shared" si="136"/>
        <v>18</v>
      </c>
      <c r="QJ5" s="23">
        <f t="shared" si="136"/>
        <v>6.7</v>
      </c>
      <c r="QK5" s="23">
        <f t="shared" si="136"/>
        <v>0</v>
      </c>
      <c r="QL5" s="23">
        <f t="shared" si="136"/>
        <v>0</v>
      </c>
      <c r="QM5" s="23">
        <f t="shared" si="136"/>
        <v>18.399999999999999</v>
      </c>
      <c r="QN5" s="23">
        <f t="shared" si="136"/>
        <v>8.3000000000000007</v>
      </c>
      <c r="QO5" s="23">
        <f t="shared" si="137"/>
        <v>0</v>
      </c>
      <c r="QP5" s="23">
        <f t="shared" si="137"/>
        <v>0</v>
      </c>
      <c r="QQ5" s="23">
        <f t="shared" si="137"/>
        <v>18.75</v>
      </c>
      <c r="QR5" s="23">
        <f t="shared" si="137"/>
        <v>8.5</v>
      </c>
      <c r="QS5" s="23">
        <f t="shared" si="137"/>
        <v>0</v>
      </c>
      <c r="QT5" s="23">
        <f t="shared" si="137"/>
        <v>0</v>
      </c>
      <c r="QU5" s="23">
        <f t="shared" si="137"/>
        <v>18.8</v>
      </c>
      <c r="QV5" s="23">
        <f t="shared" si="137"/>
        <v>7.3000000000000007</v>
      </c>
      <c r="QW5" s="23">
        <f t="shared" si="137"/>
        <v>0</v>
      </c>
      <c r="QX5" s="23">
        <f t="shared" si="137"/>
        <v>0</v>
      </c>
      <c r="QY5" s="28" t="s">
        <v>57</v>
      </c>
      <c r="QZ5" s="41">
        <f t="shared" si="138"/>
        <v>15.399999999999999</v>
      </c>
      <c r="RA5" s="41">
        <f t="shared" si="139"/>
        <v>51.5</v>
      </c>
      <c r="RB5" s="41">
        <f t="shared" si="140"/>
        <v>26.7</v>
      </c>
      <c r="RC5" s="41">
        <f t="shared" si="141"/>
        <v>23.7</v>
      </c>
      <c r="RD5" s="41">
        <f t="shared" si="142"/>
        <v>78.2</v>
      </c>
      <c r="RE5" s="41">
        <f t="shared" si="143"/>
        <v>15.8</v>
      </c>
      <c r="RF5" s="41">
        <f t="shared" si="144"/>
        <v>53.349999999999994</v>
      </c>
      <c r="RG5" s="41">
        <f t="shared" si="145"/>
        <v>131.55000000000001</v>
      </c>
    </row>
    <row r="6" spans="1:475" x14ac:dyDescent="0.2">
      <c r="A6" s="4" cm="1">
        <f t="array" aca="1" ref="A6" ca="1">IF(AND(H6&lt;&gt;"",H6&lt;&gt;"No DD"),SUMPRODUCT((H$4:H$12&lt;&gt;"")*(H$4:H$12&lt;&gt;"No DD")*(E$4:E$12&gt;E6))+1,IF(H6="No DD",SUMPRODUCT((H$4:H$12="No DD")*(E$4:E$12&gt;E6))+1+SUMPRODUCT((H$4:H$12&lt;&gt;"")*(H$4:H$12&lt;&gt;"No DD")),""))</f>
        <v>3</v>
      </c>
      <c r="B6" s="5" t="s">
        <v>165</v>
      </c>
      <c r="C6" s="4" t="s">
        <v>5</v>
      </c>
      <c r="D6" s="4">
        <v>2003</v>
      </c>
      <c r="E6" s="9">
        <f t="shared" si="0"/>
        <v>166.30001172000468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46.8</v>
      </c>
      <c r="K6" s="8" t="str">
        <f t="shared" si="5"/>
        <v>2023 Domestic 3rd Trial</v>
      </c>
      <c r="L6" s="8">
        <f>IF(COUNT(AQ6,BT6,CW6)&gt;1,LARGE((AQ6,BT6,CW6),2),0)</f>
        <v>45.9</v>
      </c>
      <c r="M6" s="8" t="str">
        <f t="shared" si="6"/>
        <v>2023 Nationals</v>
      </c>
      <c r="N6" s="8">
        <f>IF(COUNT(AR6,BU6,CX6)&gt;0,LARGE((AR6,BU6,CX6),1),0)</f>
        <v>24.5</v>
      </c>
      <c r="O6" s="8" t="str">
        <f t="shared" si="7"/>
        <v>2023 Domestic 3rd Trial</v>
      </c>
      <c r="P6" s="8">
        <f t="shared" si="8"/>
        <v>47</v>
      </c>
      <c r="Q6" s="8" t="str">
        <f t="shared" si="9"/>
        <v>2023 Domestic 3rd Trial</v>
      </c>
      <c r="R6" s="8">
        <f t="shared" si="10"/>
        <v>2.1000000000000014</v>
      </c>
      <c r="S6" s="11" t="str">
        <f t="shared" si="11"/>
        <v>(Q1)</v>
      </c>
      <c r="T6" s="8" t="str">
        <f t="shared" si="12"/>
        <v>2023 World Championships (Nov 11)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 t="shared" si="13"/>
        <v/>
      </c>
      <c r="AQ6" s="41" t="str">
        <f t="shared" si="14"/>
        <v/>
      </c>
      <c r="AR6" s="41" t="str">
        <f t="shared" si="15"/>
        <v/>
      </c>
      <c r="AS6" s="41" t="str">
        <f t="shared" si="16"/>
        <v/>
      </c>
      <c r="AT6" s="41" t="str">
        <f t="shared" si="17"/>
        <v/>
      </c>
      <c r="AU6" s="41" t="str">
        <f t="shared" si="18"/>
        <v/>
      </c>
      <c r="AV6" s="41" t="str">
        <f t="shared" si="19"/>
        <v/>
      </c>
      <c r="AW6" s="41" t="str">
        <f t="shared" si="20"/>
        <v/>
      </c>
      <c r="AX6" s="18">
        <v>17.2</v>
      </c>
      <c r="AY6" s="18">
        <v>5.5</v>
      </c>
      <c r="AZ6" s="18">
        <v>0</v>
      </c>
      <c r="BA6" s="18">
        <v>0</v>
      </c>
      <c r="BB6" s="18">
        <v>17.7</v>
      </c>
      <c r="BC6" s="18">
        <v>5.5</v>
      </c>
      <c r="BD6" s="18">
        <v>0</v>
      </c>
      <c r="BE6" s="18">
        <v>0</v>
      </c>
      <c r="BF6" s="18">
        <v>16</v>
      </c>
      <c r="BG6" s="18">
        <v>3.3</v>
      </c>
      <c r="BH6" s="18">
        <v>0</v>
      </c>
      <c r="BI6" s="18">
        <v>0</v>
      </c>
      <c r="BJ6" s="18">
        <v>16.600000000000001</v>
      </c>
      <c r="BK6" s="18">
        <v>6.1</v>
      </c>
      <c r="BL6" s="18">
        <v>0</v>
      </c>
      <c r="BM6" s="18">
        <v>0</v>
      </c>
      <c r="BN6" s="18">
        <v>18.399999999999999</v>
      </c>
      <c r="BO6" s="18">
        <v>5.5</v>
      </c>
      <c r="BP6" s="18">
        <v>0</v>
      </c>
      <c r="BQ6" s="18">
        <v>0</v>
      </c>
      <c r="BR6" s="29"/>
      <c r="BS6" s="11">
        <f t="shared" si="21"/>
        <v>11</v>
      </c>
      <c r="BT6" s="11">
        <f t="shared" si="22"/>
        <v>45.9</v>
      </c>
      <c r="BU6" s="11">
        <f t="shared" si="23"/>
        <v>19.3</v>
      </c>
      <c r="BV6" s="11">
        <f t="shared" si="24"/>
        <v>14.3</v>
      </c>
      <c r="BW6" s="11">
        <f t="shared" si="25"/>
        <v>65.2</v>
      </c>
      <c r="BX6" s="11">
        <f t="shared" si="26"/>
        <v>11.6</v>
      </c>
      <c r="BY6" s="11">
        <f t="shared" si="27"/>
        <v>46.6</v>
      </c>
      <c r="BZ6" s="11">
        <f t="shared" si="28"/>
        <v>111.80000000000001</v>
      </c>
      <c r="CA6" s="19">
        <v>17.3</v>
      </c>
      <c r="CB6" s="19">
        <v>6.1</v>
      </c>
      <c r="CC6" s="19">
        <v>0</v>
      </c>
      <c r="CD6" s="19">
        <v>0</v>
      </c>
      <c r="CE6" s="19">
        <v>17.899999999999999</v>
      </c>
      <c r="CF6" s="19">
        <v>5.5</v>
      </c>
      <c r="CG6" s="19">
        <v>0</v>
      </c>
      <c r="CH6" s="19">
        <v>0</v>
      </c>
      <c r="CI6" s="19">
        <v>17.600000000000001</v>
      </c>
      <c r="CJ6" s="19">
        <v>6.9</v>
      </c>
      <c r="CK6" s="19">
        <v>0</v>
      </c>
      <c r="CL6" s="19">
        <v>0</v>
      </c>
      <c r="CM6" s="19">
        <v>17.5</v>
      </c>
      <c r="CN6" s="19">
        <v>6.1</v>
      </c>
      <c r="CO6" s="19">
        <v>0</v>
      </c>
      <c r="CP6" s="19">
        <v>0</v>
      </c>
      <c r="CQ6" s="19">
        <v>17.899999999999999</v>
      </c>
      <c r="CR6" s="19">
        <v>5.5</v>
      </c>
      <c r="CS6" s="19">
        <v>0</v>
      </c>
      <c r="CT6" s="19">
        <v>0</v>
      </c>
      <c r="CU6" s="28"/>
      <c r="CV6" s="41">
        <f t="shared" si="29"/>
        <v>11.6</v>
      </c>
      <c r="CW6" s="41">
        <f t="shared" si="30"/>
        <v>46.8</v>
      </c>
      <c r="CX6" s="41">
        <f t="shared" si="31"/>
        <v>24.5</v>
      </c>
      <c r="CY6" s="41">
        <f t="shared" si="32"/>
        <v>18.5</v>
      </c>
      <c r="CZ6" s="41">
        <f t="shared" si="33"/>
        <v>71.3</v>
      </c>
      <c r="DA6" s="41">
        <f t="shared" si="34"/>
        <v>11.6</v>
      </c>
      <c r="DB6" s="41">
        <f t="shared" si="35"/>
        <v>47</v>
      </c>
      <c r="DC6" s="41">
        <f t="shared" si="36"/>
        <v>118.3</v>
      </c>
      <c r="DD6" s="52">
        <f t="shared" si="37"/>
        <v>2.1000000000000014</v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 t="str">
        <f t="shared" si="45"/>
        <v/>
      </c>
      <c r="EG6" s="41" t="str">
        <f t="shared" si="46"/>
        <v/>
      </c>
      <c r="EH6" s="41" t="str">
        <f t="shared" si="47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6"/>
        <v/>
      </c>
      <c r="GF6" s="41" t="str">
        <f t="shared" si="57"/>
        <v/>
      </c>
      <c r="GG6" s="41" t="str">
        <f t="shared" si="58"/>
        <v/>
      </c>
      <c r="GH6" s="41" t="str">
        <f t="shared" si="59"/>
        <v/>
      </c>
      <c r="GI6" s="41" t="str">
        <f t="shared" si="60"/>
        <v/>
      </c>
      <c r="GJ6" s="41" t="str">
        <f t="shared" si="61"/>
        <v/>
      </c>
      <c r="GK6" s="41" t="str">
        <f t="shared" si="62"/>
        <v/>
      </c>
      <c r="GL6" s="41" t="str">
        <f t="shared" si="63"/>
        <v/>
      </c>
      <c r="GM6" s="18">
        <v>18.600000000000001</v>
      </c>
      <c r="GN6" s="18">
        <v>6.1</v>
      </c>
      <c r="GO6" s="18">
        <v>0</v>
      </c>
      <c r="GP6" s="18">
        <v>0</v>
      </c>
      <c r="GQ6" s="18">
        <v>17.8</v>
      </c>
      <c r="GR6" s="18">
        <v>5.5</v>
      </c>
      <c r="GS6" s="18">
        <v>0</v>
      </c>
      <c r="GT6" s="18">
        <v>0</v>
      </c>
      <c r="GU6" s="18">
        <v>17.8</v>
      </c>
      <c r="GV6" s="18">
        <v>4.2</v>
      </c>
      <c r="GW6" s="18">
        <v>0</v>
      </c>
      <c r="GX6" s="18">
        <v>0</v>
      </c>
      <c r="GY6" s="18"/>
      <c r="GZ6" s="18"/>
      <c r="HA6" s="18"/>
      <c r="HB6" s="18"/>
      <c r="HC6" s="18"/>
      <c r="HD6" s="18"/>
      <c r="HE6" s="18"/>
      <c r="HF6" s="18"/>
      <c r="HG6" s="11">
        <f t="shared" si="64"/>
        <v>11.6</v>
      </c>
      <c r="HH6" s="11">
        <f t="shared" si="65"/>
        <v>48</v>
      </c>
      <c r="HI6" s="11">
        <f t="shared" si="66"/>
        <v>22</v>
      </c>
      <c r="HJ6" s="11">
        <f t="shared" si="67"/>
        <v>15.8</v>
      </c>
      <c r="HK6" s="11">
        <f t="shared" si="68"/>
        <v>70</v>
      </c>
      <c r="HL6" s="11" t="str">
        <f t="shared" si="69"/>
        <v/>
      </c>
      <c r="HM6" s="11" t="str">
        <f t="shared" si="70"/>
        <v/>
      </c>
      <c r="HN6" s="11">
        <f t="shared" si="71"/>
        <v>70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2"/>
        <v/>
      </c>
      <c r="IJ6" s="41" t="str">
        <f t="shared" si="73"/>
        <v/>
      </c>
      <c r="IK6" s="41" t="str">
        <f t="shared" si="74"/>
        <v/>
      </c>
      <c r="IL6" s="41" t="str">
        <f t="shared" si="75"/>
        <v/>
      </c>
      <c r="IM6" s="41" t="str">
        <f t="shared" si="76"/>
        <v/>
      </c>
      <c r="IN6" s="41" t="str">
        <f t="shared" si="77"/>
        <v/>
      </c>
      <c r="IO6" s="41" t="str">
        <f t="shared" si="78"/>
        <v/>
      </c>
      <c r="IP6" s="41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17.25</v>
      </c>
      <c r="QF6" s="23">
        <f t="shared" si="136"/>
        <v>5.8</v>
      </c>
      <c r="QG6" s="23">
        <f t="shared" si="136"/>
        <v>0</v>
      </c>
      <c r="QH6" s="23">
        <f t="shared" si="136"/>
        <v>0</v>
      </c>
      <c r="QI6" s="23">
        <f t="shared" si="136"/>
        <v>17.799999999999997</v>
      </c>
      <c r="QJ6" s="23">
        <f t="shared" si="136"/>
        <v>5.5</v>
      </c>
      <c r="QK6" s="23">
        <f t="shared" si="136"/>
        <v>0</v>
      </c>
      <c r="QL6" s="23">
        <f t="shared" si="136"/>
        <v>0</v>
      </c>
      <c r="QM6" s="23">
        <f t="shared" si="136"/>
        <v>16.8</v>
      </c>
      <c r="QN6" s="23">
        <f t="shared" si="136"/>
        <v>5.0999999999999996</v>
      </c>
      <c r="QO6" s="23">
        <f t="shared" si="137"/>
        <v>0</v>
      </c>
      <c r="QP6" s="23">
        <f t="shared" si="137"/>
        <v>0</v>
      </c>
      <c r="QQ6" s="23">
        <f t="shared" si="137"/>
        <v>17.05</v>
      </c>
      <c r="QR6" s="23">
        <f t="shared" si="137"/>
        <v>6.1</v>
      </c>
      <c r="QS6" s="23">
        <f t="shared" si="137"/>
        <v>0</v>
      </c>
      <c r="QT6" s="23">
        <f t="shared" si="137"/>
        <v>0</v>
      </c>
      <c r="QU6" s="23">
        <f t="shared" si="137"/>
        <v>18.149999999999999</v>
      </c>
      <c r="QV6" s="23">
        <f t="shared" si="137"/>
        <v>5.5</v>
      </c>
      <c r="QW6" s="23">
        <f t="shared" si="137"/>
        <v>0</v>
      </c>
      <c r="QX6" s="23">
        <f t="shared" si="137"/>
        <v>0</v>
      </c>
      <c r="QY6" s="28" t="s">
        <v>57</v>
      </c>
      <c r="QZ6" s="41">
        <f t="shared" si="138"/>
        <v>11.3</v>
      </c>
      <c r="RA6" s="41">
        <f t="shared" si="139"/>
        <v>46.349999999999994</v>
      </c>
      <c r="RB6" s="41">
        <f t="shared" si="140"/>
        <v>21.9</v>
      </c>
      <c r="RC6" s="41">
        <f t="shared" si="141"/>
        <v>16.399999999999999</v>
      </c>
      <c r="RD6" s="41">
        <f t="shared" si="142"/>
        <v>68.25</v>
      </c>
      <c r="RE6" s="41">
        <f t="shared" si="143"/>
        <v>11.6</v>
      </c>
      <c r="RF6" s="41">
        <f t="shared" si="144"/>
        <v>46.8</v>
      </c>
      <c r="RG6" s="41">
        <f t="shared" si="145"/>
        <v>115.05</v>
      </c>
    </row>
    <row r="7" spans="1:475" x14ac:dyDescent="0.2">
      <c r="A7" s="4" cm="1">
        <f t="array" aca="1" ref="A7" ca="1">IF(AND(H7&lt;&gt;"",H7&lt;&gt;"No DD"),SUMPRODUCT((H$4:H$12&lt;&gt;"")*(H$4:H$12&lt;&gt;"No DD")*(E$4:E$12&gt;E7))+1,IF(H7="No DD",SUMPRODUCT((H$4:H$12="No DD")*(E$4:E$12&gt;E7))+1+SUMPRODUCT((H$4:H$12&lt;&gt;"")*(H$4:H$12&lt;&gt;"No DD")),""))</f>
        <v>4</v>
      </c>
      <c r="B7" s="5" t="s">
        <v>240</v>
      </c>
      <c r="C7" s="4" t="s">
        <v>8</v>
      </c>
      <c r="D7" s="4">
        <v>2006</v>
      </c>
      <c r="E7" s="9">
        <f t="shared" si="0"/>
        <v>165.70001141000452</v>
      </c>
      <c r="F7" s="3" t="str">
        <f t="shared" si="1"/>
        <v>P</v>
      </c>
      <c r="G7" s="3" t="str">
        <f t="shared" si="2"/>
        <v>P</v>
      </c>
      <c r="H7" s="37" t="str">
        <f t="shared" si="3"/>
        <v>National Team</v>
      </c>
      <c r="I7" s="3" t="str">
        <f t="shared" si="4"/>
        <v/>
      </c>
      <c r="J7" s="8">
        <f>IF(COUNT(AQ7,BT7,CW7)&gt;0,LARGE((AQ7,BT7,CW7),1),0)</f>
        <v>45.3</v>
      </c>
      <c r="K7" s="8" t="str">
        <f t="shared" si="5"/>
        <v>2023 Nationals</v>
      </c>
      <c r="L7" s="8">
        <f>IF(COUNT(AQ7,BT7,CW7)&gt;1,LARGE((AQ7,BT7,CW7),2),0)</f>
        <v>44.9</v>
      </c>
      <c r="M7" s="8" t="str">
        <f t="shared" si="6"/>
        <v>2023 Domestic 3rd Trial</v>
      </c>
      <c r="N7" s="8">
        <f>IF(COUNT(AR7,BU7,CX7)&gt;0,LARGE((AR7,BU7,CX7),1),0)</f>
        <v>23.9</v>
      </c>
      <c r="O7" s="8" t="str">
        <f t="shared" si="7"/>
        <v>2023 Domestic 3rd Trial</v>
      </c>
      <c r="P7" s="8">
        <f t="shared" si="8"/>
        <v>47</v>
      </c>
      <c r="Q7" s="8" t="str">
        <f t="shared" si="9"/>
        <v>2023 Nationals</v>
      </c>
      <c r="R7" s="8">
        <f t="shared" si="10"/>
        <v>4.6000000000000085</v>
      </c>
      <c r="S7" s="11" t="str">
        <f t="shared" si="11"/>
        <v>(Q1)</v>
      </c>
      <c r="T7" s="8" t="str">
        <f t="shared" si="12"/>
        <v>2023 WAGC (Nov 17)</v>
      </c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19"/>
      <c r="AG7" s="19"/>
      <c r="AH7" s="19"/>
      <c r="AI7" s="19"/>
      <c r="AJ7" s="19"/>
      <c r="AK7" s="19"/>
      <c r="AL7" s="19"/>
      <c r="AM7" s="19"/>
      <c r="AN7" s="19"/>
      <c r="AO7" s="28"/>
      <c r="AP7" s="41" t="str">
        <f t="shared" si="13"/>
        <v/>
      </c>
      <c r="AQ7" s="41" t="str">
        <f t="shared" si="14"/>
        <v/>
      </c>
      <c r="AR7" s="41" t="str">
        <f t="shared" si="15"/>
        <v/>
      </c>
      <c r="AS7" s="41" t="str">
        <f t="shared" si="16"/>
        <v/>
      </c>
      <c r="AT7" s="41" t="str">
        <f t="shared" si="17"/>
        <v/>
      </c>
      <c r="AU7" s="41" t="str">
        <f t="shared" si="18"/>
        <v/>
      </c>
      <c r="AV7" s="41" t="str">
        <f t="shared" si="19"/>
        <v/>
      </c>
      <c r="AW7" s="41" t="str">
        <f t="shared" si="20"/>
        <v/>
      </c>
      <c r="AX7" s="18">
        <v>17.5</v>
      </c>
      <c r="AY7" s="18">
        <v>5.5</v>
      </c>
      <c r="AZ7" s="18">
        <v>0.2</v>
      </c>
      <c r="BA7" s="18">
        <v>0.3</v>
      </c>
      <c r="BB7" s="18">
        <v>16.8</v>
      </c>
      <c r="BC7" s="18">
        <v>5.0999999999999996</v>
      </c>
      <c r="BD7" s="18">
        <v>0</v>
      </c>
      <c r="BE7" s="18">
        <v>0.3</v>
      </c>
      <c r="BF7" s="18">
        <v>17</v>
      </c>
      <c r="BG7" s="18">
        <v>5.5</v>
      </c>
      <c r="BH7" s="18">
        <v>0.2</v>
      </c>
      <c r="BI7" s="18">
        <v>0.3</v>
      </c>
      <c r="BJ7" s="18">
        <v>18</v>
      </c>
      <c r="BK7" s="18">
        <v>5.5</v>
      </c>
      <c r="BL7" s="18">
        <v>0</v>
      </c>
      <c r="BM7" s="18">
        <v>0.3</v>
      </c>
      <c r="BN7" s="18">
        <v>17.8</v>
      </c>
      <c r="BO7" s="18">
        <v>5.0999999999999996</v>
      </c>
      <c r="BP7" s="18">
        <v>0</v>
      </c>
      <c r="BQ7" s="18">
        <v>0.3</v>
      </c>
      <c r="BR7" s="29"/>
      <c r="BS7" s="11">
        <f t="shared" si="21"/>
        <v>10.6</v>
      </c>
      <c r="BT7" s="11">
        <f t="shared" si="22"/>
        <v>45.3</v>
      </c>
      <c r="BU7" s="11">
        <f t="shared" si="23"/>
        <v>22.6</v>
      </c>
      <c r="BV7" s="11">
        <f t="shared" si="24"/>
        <v>16.100000000000001</v>
      </c>
      <c r="BW7" s="11">
        <f t="shared" si="25"/>
        <v>67.900000000000006</v>
      </c>
      <c r="BX7" s="11">
        <f t="shared" si="26"/>
        <v>10.6</v>
      </c>
      <c r="BY7" s="11">
        <f t="shared" si="27"/>
        <v>47</v>
      </c>
      <c r="BZ7" s="11">
        <f t="shared" si="28"/>
        <v>114.9</v>
      </c>
      <c r="CA7" s="19">
        <v>16.899999999999999</v>
      </c>
      <c r="CB7" s="19">
        <v>5.0999999999999996</v>
      </c>
      <c r="CC7" s="19">
        <v>0.4</v>
      </c>
      <c r="CD7" s="19">
        <v>0</v>
      </c>
      <c r="CE7" s="19">
        <v>17.8</v>
      </c>
      <c r="CF7" s="19">
        <v>5.5</v>
      </c>
      <c r="CG7" s="19">
        <v>0</v>
      </c>
      <c r="CH7" s="19">
        <v>0</v>
      </c>
      <c r="CI7" s="19">
        <v>18.399999999999999</v>
      </c>
      <c r="CJ7" s="19">
        <v>5.5</v>
      </c>
      <c r="CK7" s="19">
        <v>0</v>
      </c>
      <c r="CL7" s="19">
        <v>0</v>
      </c>
      <c r="CM7" s="19">
        <v>17</v>
      </c>
      <c r="CN7" s="19">
        <v>6.5</v>
      </c>
      <c r="CO7" s="19">
        <v>0</v>
      </c>
      <c r="CP7" s="19">
        <v>0</v>
      </c>
      <c r="CQ7" s="19">
        <v>17.600000000000001</v>
      </c>
      <c r="CR7" s="19">
        <v>5.5</v>
      </c>
      <c r="CS7" s="19">
        <v>0</v>
      </c>
      <c r="CT7" s="19">
        <v>0</v>
      </c>
      <c r="CU7" s="28"/>
      <c r="CV7" s="41">
        <f t="shared" si="29"/>
        <v>10.6</v>
      </c>
      <c r="CW7" s="41">
        <f t="shared" si="30"/>
        <v>44.9</v>
      </c>
      <c r="CX7" s="41">
        <f t="shared" si="31"/>
        <v>23.9</v>
      </c>
      <c r="CY7" s="41">
        <f t="shared" si="32"/>
        <v>16.100000000000001</v>
      </c>
      <c r="CZ7" s="41">
        <f t="shared" si="33"/>
        <v>68.8</v>
      </c>
      <c r="DA7" s="41">
        <f t="shared" si="34"/>
        <v>12</v>
      </c>
      <c r="DB7" s="41">
        <f t="shared" si="35"/>
        <v>46.6</v>
      </c>
      <c r="DC7" s="41">
        <f t="shared" si="36"/>
        <v>115.4</v>
      </c>
      <c r="DD7" s="52">
        <f t="shared" si="37"/>
        <v>4.6000000000000085</v>
      </c>
      <c r="DE7" s="52" t="str">
        <f t="shared" si="38"/>
        <v/>
      </c>
      <c r="DF7" s="52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40"/>
        <v/>
      </c>
      <c r="EB7" s="41" t="str">
        <f t="shared" si="41"/>
        <v/>
      </c>
      <c r="EC7" s="41" t="str">
        <f t="shared" si="42"/>
        <v/>
      </c>
      <c r="ED7" s="41" t="str">
        <f t="shared" si="43"/>
        <v/>
      </c>
      <c r="EE7" s="41" t="str">
        <f t="shared" si="44"/>
        <v/>
      </c>
      <c r="EF7" s="41" t="str">
        <f t="shared" si="45"/>
        <v/>
      </c>
      <c r="EG7" s="41" t="str">
        <f t="shared" si="46"/>
        <v/>
      </c>
      <c r="EH7" s="41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6"/>
        <v/>
      </c>
      <c r="GF7" s="41" t="str">
        <f t="shared" si="57"/>
        <v/>
      </c>
      <c r="GG7" s="41" t="str">
        <f t="shared" si="58"/>
        <v/>
      </c>
      <c r="GH7" s="41" t="str">
        <f t="shared" si="59"/>
        <v/>
      </c>
      <c r="GI7" s="41" t="str">
        <f t="shared" si="60"/>
        <v/>
      </c>
      <c r="GJ7" s="41" t="str">
        <f t="shared" si="61"/>
        <v/>
      </c>
      <c r="GK7" s="41" t="str">
        <f t="shared" si="62"/>
        <v/>
      </c>
      <c r="GL7" s="41" t="str">
        <f t="shared" si="63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>
        <v>17.8</v>
      </c>
      <c r="HP7" s="17">
        <v>6.5</v>
      </c>
      <c r="HQ7" s="17">
        <v>0</v>
      </c>
      <c r="HR7" s="17">
        <v>0</v>
      </c>
      <c r="HS7" s="17">
        <v>18.100000000000001</v>
      </c>
      <c r="HT7" s="17">
        <v>7.1</v>
      </c>
      <c r="HU7" s="17">
        <v>0</v>
      </c>
      <c r="HV7" s="17">
        <v>0</v>
      </c>
      <c r="HW7" s="17"/>
      <c r="HX7" s="17"/>
      <c r="HY7" s="17"/>
      <c r="HZ7" s="17"/>
      <c r="IA7" s="17">
        <v>18.100000000000001</v>
      </c>
      <c r="IB7" s="17">
        <v>7.3</v>
      </c>
      <c r="IC7" s="17">
        <v>0</v>
      </c>
      <c r="ID7" s="17">
        <v>0</v>
      </c>
      <c r="IE7" s="17">
        <v>16</v>
      </c>
      <c r="IF7" s="17">
        <v>3.3</v>
      </c>
      <c r="IG7" s="17">
        <v>0</v>
      </c>
      <c r="IH7" s="17">
        <v>0</v>
      </c>
      <c r="II7" s="41">
        <f t="shared" si="72"/>
        <v>13.6</v>
      </c>
      <c r="IJ7" s="41">
        <f t="shared" si="73"/>
        <v>49.500000000000007</v>
      </c>
      <c r="IK7" s="41" t="str">
        <f t="shared" si="74"/>
        <v/>
      </c>
      <c r="IL7" s="41">
        <f t="shared" si="75"/>
        <v>13.6</v>
      </c>
      <c r="IM7" s="41">
        <f t="shared" si="76"/>
        <v>49.500000000000007</v>
      </c>
      <c r="IN7" s="41">
        <f t="shared" si="77"/>
        <v>10.6</v>
      </c>
      <c r="IO7" s="41">
        <f t="shared" si="78"/>
        <v>44.7</v>
      </c>
      <c r="IP7" s="41">
        <f t="shared" si="79"/>
        <v>94.200000000000017</v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17.2</v>
      </c>
      <c r="QF7" s="23">
        <f t="shared" si="136"/>
        <v>5.3</v>
      </c>
      <c r="QG7" s="23">
        <f t="shared" si="136"/>
        <v>0.30000000000000004</v>
      </c>
      <c r="QH7" s="23">
        <f t="shared" si="136"/>
        <v>0.15</v>
      </c>
      <c r="QI7" s="23">
        <f t="shared" si="136"/>
        <v>17.3</v>
      </c>
      <c r="QJ7" s="23">
        <f t="shared" si="136"/>
        <v>5.3</v>
      </c>
      <c r="QK7" s="23">
        <f t="shared" si="136"/>
        <v>0</v>
      </c>
      <c r="QL7" s="23">
        <f t="shared" si="136"/>
        <v>0.15</v>
      </c>
      <c r="QM7" s="23">
        <f t="shared" si="136"/>
        <v>17.7</v>
      </c>
      <c r="QN7" s="23">
        <f t="shared" si="136"/>
        <v>5.5</v>
      </c>
      <c r="QO7" s="23">
        <f t="shared" si="137"/>
        <v>0.1</v>
      </c>
      <c r="QP7" s="23">
        <f t="shared" si="137"/>
        <v>0.15</v>
      </c>
      <c r="QQ7" s="23">
        <f t="shared" si="137"/>
        <v>17.5</v>
      </c>
      <c r="QR7" s="23">
        <f t="shared" si="137"/>
        <v>6</v>
      </c>
      <c r="QS7" s="23">
        <f t="shared" si="137"/>
        <v>0</v>
      </c>
      <c r="QT7" s="23">
        <f t="shared" si="137"/>
        <v>0.15</v>
      </c>
      <c r="QU7" s="23">
        <f t="shared" si="137"/>
        <v>17.700000000000003</v>
      </c>
      <c r="QV7" s="23">
        <f t="shared" si="137"/>
        <v>5.3</v>
      </c>
      <c r="QW7" s="23">
        <f t="shared" si="137"/>
        <v>0</v>
      </c>
      <c r="QX7" s="23">
        <f t="shared" si="137"/>
        <v>0.15</v>
      </c>
      <c r="QY7" s="28" t="s">
        <v>57</v>
      </c>
      <c r="QZ7" s="41">
        <f t="shared" si="138"/>
        <v>10.6</v>
      </c>
      <c r="RA7" s="41">
        <f t="shared" si="139"/>
        <v>45.1</v>
      </c>
      <c r="RB7" s="41">
        <f t="shared" si="140"/>
        <v>23.249999999999996</v>
      </c>
      <c r="RC7" s="41">
        <f t="shared" si="141"/>
        <v>16.100000000000001</v>
      </c>
      <c r="RD7" s="41">
        <f t="shared" si="142"/>
        <v>68.349999999999994</v>
      </c>
      <c r="RE7" s="41">
        <f t="shared" si="143"/>
        <v>11.3</v>
      </c>
      <c r="RF7" s="41">
        <f t="shared" si="144"/>
        <v>46.8</v>
      </c>
      <c r="RG7" s="41">
        <f t="shared" si="145"/>
        <v>115.14999999999999</v>
      </c>
    </row>
    <row r="8" spans="1:475" x14ac:dyDescent="0.2">
      <c r="A8" s="4" cm="1">
        <f t="array" aca="1" ref="A8" ca="1">IF(AND(H8&lt;&gt;"",H8&lt;&gt;"No DD"),SUMPRODUCT((H$4:H$12&lt;&gt;"")*(H$4:H$12&lt;&gt;"No DD")*(E$4:E$12&gt;E8))+1,IF(H8="No DD",SUMPRODUCT((H$4:H$12="No DD")*(E$4:E$12&gt;E8))+1+SUMPRODUCT((H$4:H$12&lt;&gt;"")*(H$4:H$12&lt;&gt;"No DD")),""))</f>
        <v>5</v>
      </c>
      <c r="B8" s="5" t="s">
        <v>84</v>
      </c>
      <c r="C8" s="4" t="s">
        <v>5</v>
      </c>
      <c r="D8" s="4">
        <v>2002</v>
      </c>
      <c r="E8" s="9">
        <f t="shared" si="0"/>
        <v>164.90001176000467</v>
      </c>
      <c r="F8" s="3" t="str">
        <f t="shared" si="1"/>
        <v>P</v>
      </c>
      <c r="G8" s="3" t="str">
        <f t="shared" si="2"/>
        <v>P</v>
      </c>
      <c r="H8" s="37" t="str">
        <f t="shared" si="3"/>
        <v>Worlds Team</v>
      </c>
      <c r="I8" s="3" t="str">
        <f t="shared" si="4"/>
        <v>P</v>
      </c>
      <c r="J8" s="8">
        <f>IF(COUNT(AQ8,BT8,CW8)&gt;0,LARGE((AQ8,BT8,CW8),1),0)</f>
        <v>46.9</v>
      </c>
      <c r="K8" s="8" t="str">
        <f t="shared" si="5"/>
        <v>2023 Domestic 3rd Trial</v>
      </c>
      <c r="L8" s="8">
        <f>IF(COUNT(AQ8,BT8,CW8)&gt;1,LARGE((AQ8,BT8,CW8),2),0)</f>
        <v>45.9</v>
      </c>
      <c r="M8" s="8" t="str">
        <f t="shared" si="6"/>
        <v>2023 Nationals</v>
      </c>
      <c r="N8" s="8">
        <f>IF(COUNT(AR8,BU8,CX8)&gt;0,LARGE((AR8,BU8,CX8),1),0)</f>
        <v>24.799999999999997</v>
      </c>
      <c r="O8" s="8" t="str">
        <f t="shared" si="7"/>
        <v>2023 Nationals</v>
      </c>
      <c r="P8" s="8">
        <f t="shared" si="8"/>
        <v>46.099999999999994</v>
      </c>
      <c r="Q8" s="8" t="str">
        <f t="shared" si="9"/>
        <v>2023 Nationals</v>
      </c>
      <c r="R8" s="8">
        <f t="shared" si="10"/>
        <v>1.2000000000000028</v>
      </c>
      <c r="S8" s="11" t="str">
        <f t="shared" si="11"/>
        <v>(Q1)</v>
      </c>
      <c r="T8" s="8" t="str">
        <f t="shared" si="12"/>
        <v>2023 World Championships (Nov 11)</v>
      </c>
      <c r="U8" s="19">
        <v>17.399999999999999</v>
      </c>
      <c r="V8" s="19">
        <v>5.7</v>
      </c>
      <c r="W8" s="19">
        <v>0</v>
      </c>
      <c r="X8" s="19">
        <v>0</v>
      </c>
      <c r="Y8" s="19">
        <v>16.899999999999999</v>
      </c>
      <c r="Z8" s="19">
        <v>5.9</v>
      </c>
      <c r="AA8" s="19">
        <v>0</v>
      </c>
      <c r="AB8" s="19">
        <v>0</v>
      </c>
      <c r="AC8" s="19">
        <v>17.3</v>
      </c>
      <c r="AD8" s="19">
        <v>6.1</v>
      </c>
      <c r="AE8" s="19">
        <v>0</v>
      </c>
      <c r="AF8" s="19">
        <v>0</v>
      </c>
      <c r="AG8" s="19">
        <v>18.2</v>
      </c>
      <c r="AH8" s="19">
        <v>5.3</v>
      </c>
      <c r="AI8" s="19">
        <v>0</v>
      </c>
      <c r="AJ8" s="19">
        <v>0</v>
      </c>
      <c r="AK8" s="19">
        <v>17.3</v>
      </c>
      <c r="AL8" s="19">
        <v>4.3</v>
      </c>
      <c r="AM8" s="19">
        <v>0.5</v>
      </c>
      <c r="AN8" s="19">
        <v>0</v>
      </c>
      <c r="AO8" s="28"/>
      <c r="AP8" s="41">
        <f t="shared" si="13"/>
        <v>11.600000000000001</v>
      </c>
      <c r="AQ8" s="41">
        <f t="shared" si="14"/>
        <v>45.9</v>
      </c>
      <c r="AR8" s="41">
        <f t="shared" si="15"/>
        <v>23.4</v>
      </c>
      <c r="AS8" s="41">
        <f t="shared" si="16"/>
        <v>17.700000000000003</v>
      </c>
      <c r="AT8" s="41">
        <f t="shared" si="17"/>
        <v>69.3</v>
      </c>
      <c r="AU8" s="41">
        <f t="shared" si="18"/>
        <v>9.6</v>
      </c>
      <c r="AV8" s="41">
        <f t="shared" si="19"/>
        <v>44.599999999999994</v>
      </c>
      <c r="AW8" s="41">
        <f t="shared" si="20"/>
        <v>113.89999999999999</v>
      </c>
      <c r="AX8" s="18">
        <v>17.100000000000001</v>
      </c>
      <c r="AY8" s="18">
        <v>5.7</v>
      </c>
      <c r="AZ8" s="18">
        <v>0</v>
      </c>
      <c r="BA8" s="18">
        <v>0</v>
      </c>
      <c r="BB8" s="18">
        <v>17.2</v>
      </c>
      <c r="BC8" s="18">
        <v>5.9</v>
      </c>
      <c r="BD8" s="18">
        <v>0</v>
      </c>
      <c r="BE8" s="18">
        <v>0</v>
      </c>
      <c r="BF8" s="18">
        <v>16.7</v>
      </c>
      <c r="BG8" s="18">
        <v>8.1</v>
      </c>
      <c r="BH8" s="18">
        <v>0</v>
      </c>
      <c r="BI8" s="18">
        <v>0</v>
      </c>
      <c r="BJ8" s="18">
        <v>18.100000000000001</v>
      </c>
      <c r="BK8" s="18">
        <v>5.7</v>
      </c>
      <c r="BL8" s="18">
        <v>0</v>
      </c>
      <c r="BM8" s="18">
        <v>0</v>
      </c>
      <c r="BN8" s="18">
        <v>16</v>
      </c>
      <c r="BO8" s="18">
        <v>6.5</v>
      </c>
      <c r="BP8" s="18">
        <v>0.2</v>
      </c>
      <c r="BQ8" s="18">
        <v>0</v>
      </c>
      <c r="BR8" s="29"/>
      <c r="BS8" s="11">
        <f t="shared" si="21"/>
        <v>11.600000000000001</v>
      </c>
      <c r="BT8" s="11">
        <f t="shared" si="22"/>
        <v>45.9</v>
      </c>
      <c r="BU8" s="11">
        <f t="shared" si="23"/>
        <v>24.799999999999997</v>
      </c>
      <c r="BV8" s="11">
        <f t="shared" si="24"/>
        <v>19.700000000000003</v>
      </c>
      <c r="BW8" s="11">
        <f t="shared" si="25"/>
        <v>70.699999999999989</v>
      </c>
      <c r="BX8" s="11">
        <f t="shared" si="26"/>
        <v>12.2</v>
      </c>
      <c r="BY8" s="11">
        <f t="shared" si="27"/>
        <v>46.099999999999994</v>
      </c>
      <c r="BZ8" s="11">
        <f t="shared" si="28"/>
        <v>116.79999999999998</v>
      </c>
      <c r="CA8" s="19">
        <v>17.7</v>
      </c>
      <c r="CB8" s="19">
        <v>5.6</v>
      </c>
      <c r="CC8" s="19">
        <v>0</v>
      </c>
      <c r="CD8" s="19">
        <v>0</v>
      </c>
      <c r="CE8" s="19">
        <v>17.5</v>
      </c>
      <c r="CF8" s="19">
        <v>6.1</v>
      </c>
      <c r="CG8" s="19">
        <v>0</v>
      </c>
      <c r="CH8" s="19">
        <v>0</v>
      </c>
      <c r="CI8" s="19">
        <v>17.899999999999999</v>
      </c>
      <c r="CJ8" s="19">
        <v>5.9</v>
      </c>
      <c r="CK8" s="19">
        <v>0</v>
      </c>
      <c r="CL8" s="19">
        <v>0</v>
      </c>
      <c r="CM8" s="19">
        <v>17.399999999999999</v>
      </c>
      <c r="CN8" s="19">
        <v>6.1</v>
      </c>
      <c r="CO8" s="19">
        <v>0</v>
      </c>
      <c r="CP8" s="19">
        <v>0</v>
      </c>
      <c r="CQ8" s="19">
        <v>15.6</v>
      </c>
      <c r="CR8" s="19">
        <v>3.7</v>
      </c>
      <c r="CS8" s="19">
        <v>0</v>
      </c>
      <c r="CT8" s="19">
        <v>0</v>
      </c>
      <c r="CU8" s="28"/>
      <c r="CV8" s="41">
        <f t="shared" si="29"/>
        <v>11.7</v>
      </c>
      <c r="CW8" s="41">
        <f t="shared" si="30"/>
        <v>46.9</v>
      </c>
      <c r="CX8" s="41">
        <f t="shared" si="31"/>
        <v>23.799999999999997</v>
      </c>
      <c r="CY8" s="41">
        <f t="shared" si="32"/>
        <v>17.600000000000001</v>
      </c>
      <c r="CZ8" s="41">
        <f t="shared" si="33"/>
        <v>70.699999999999989</v>
      </c>
      <c r="DA8" s="41">
        <f t="shared" si="34"/>
        <v>9.8000000000000007</v>
      </c>
      <c r="DB8" s="41">
        <f t="shared" si="35"/>
        <v>42.800000000000004</v>
      </c>
      <c r="DC8" s="41">
        <f t="shared" si="36"/>
        <v>113.5</v>
      </c>
      <c r="DD8" s="52">
        <f t="shared" si="37"/>
        <v>1.2000000000000028</v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>
        <v>17.5</v>
      </c>
      <c r="GN8" s="18">
        <v>5.9</v>
      </c>
      <c r="GO8" s="18">
        <v>0</v>
      </c>
      <c r="GP8" s="18">
        <v>0</v>
      </c>
      <c r="GQ8" s="18">
        <v>17.600000000000001</v>
      </c>
      <c r="GR8" s="18">
        <v>6.1</v>
      </c>
      <c r="GS8" s="18">
        <v>0</v>
      </c>
      <c r="GT8" s="18">
        <v>0</v>
      </c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>
        <f t="shared" si="64"/>
        <v>12</v>
      </c>
      <c r="HH8" s="11">
        <f t="shared" si="65"/>
        <v>47.1</v>
      </c>
      <c r="HI8" s="11" t="str">
        <f t="shared" si="66"/>
        <v/>
      </c>
      <c r="HJ8" s="11">
        <f t="shared" si="67"/>
        <v>12</v>
      </c>
      <c r="HK8" s="11">
        <f t="shared" si="68"/>
        <v>47.1</v>
      </c>
      <c r="HL8" s="11" t="str">
        <f t="shared" si="69"/>
        <v/>
      </c>
      <c r="HM8" s="11" t="str">
        <f t="shared" si="70"/>
        <v/>
      </c>
      <c r="HN8" s="11">
        <f t="shared" si="71"/>
        <v>47.1</v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2"/>
        <v/>
      </c>
      <c r="IJ8" s="41" t="str">
        <f t="shared" si="73"/>
        <v/>
      </c>
      <c r="IK8" s="41" t="str">
        <f t="shared" si="74"/>
        <v/>
      </c>
      <c r="IL8" s="41" t="str">
        <f t="shared" si="75"/>
        <v/>
      </c>
      <c r="IM8" s="41" t="str">
        <f t="shared" si="76"/>
        <v/>
      </c>
      <c r="IN8" s="41" t="str">
        <f t="shared" si="77"/>
        <v/>
      </c>
      <c r="IO8" s="41" t="str">
        <f t="shared" si="78"/>
        <v/>
      </c>
      <c r="IP8" s="41" t="str">
        <f t="shared" si="79"/>
        <v/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17.399999999999999</v>
      </c>
      <c r="QF8" s="23">
        <f t="shared" si="136"/>
        <v>5.65</v>
      </c>
      <c r="QG8" s="23">
        <f t="shared" si="136"/>
        <v>0</v>
      </c>
      <c r="QH8" s="23">
        <f t="shared" si="136"/>
        <v>0</v>
      </c>
      <c r="QI8" s="23">
        <f t="shared" si="136"/>
        <v>17.350000000000001</v>
      </c>
      <c r="QJ8" s="23">
        <f t="shared" si="136"/>
        <v>6</v>
      </c>
      <c r="QK8" s="23">
        <f t="shared" si="136"/>
        <v>0</v>
      </c>
      <c r="QL8" s="23">
        <f t="shared" si="136"/>
        <v>0</v>
      </c>
      <c r="QM8" s="23">
        <f t="shared" si="136"/>
        <v>17.299999999999997</v>
      </c>
      <c r="QN8" s="23">
        <f t="shared" si="136"/>
        <v>7</v>
      </c>
      <c r="QO8" s="23">
        <f t="shared" si="137"/>
        <v>0</v>
      </c>
      <c r="QP8" s="23">
        <f t="shared" si="137"/>
        <v>0</v>
      </c>
      <c r="QQ8" s="23">
        <f t="shared" si="137"/>
        <v>17.75</v>
      </c>
      <c r="QR8" s="23">
        <f t="shared" si="137"/>
        <v>5.9</v>
      </c>
      <c r="QS8" s="23">
        <f t="shared" si="137"/>
        <v>0</v>
      </c>
      <c r="QT8" s="23">
        <f t="shared" si="137"/>
        <v>0</v>
      </c>
      <c r="QU8" s="23">
        <f t="shared" si="137"/>
        <v>15.8</v>
      </c>
      <c r="QV8" s="23">
        <f t="shared" si="137"/>
        <v>5.0999999999999996</v>
      </c>
      <c r="QW8" s="23">
        <f t="shared" si="137"/>
        <v>0.1</v>
      </c>
      <c r="QX8" s="23">
        <f t="shared" si="137"/>
        <v>0</v>
      </c>
      <c r="QY8" s="28" t="s">
        <v>57</v>
      </c>
      <c r="QZ8" s="41">
        <f t="shared" si="138"/>
        <v>11.65</v>
      </c>
      <c r="RA8" s="41">
        <f t="shared" si="139"/>
        <v>46.4</v>
      </c>
      <c r="RB8" s="41">
        <f t="shared" si="140"/>
        <v>24.299999999999997</v>
      </c>
      <c r="RC8" s="41">
        <f t="shared" si="141"/>
        <v>18.649999999999999</v>
      </c>
      <c r="RD8" s="41">
        <f t="shared" si="142"/>
        <v>70.699999999999989</v>
      </c>
      <c r="RE8" s="41">
        <f t="shared" si="143"/>
        <v>11</v>
      </c>
      <c r="RF8" s="41">
        <f t="shared" si="144"/>
        <v>44.45</v>
      </c>
      <c r="RG8" s="41">
        <f t="shared" si="145"/>
        <v>115.14999999999999</v>
      </c>
    </row>
    <row r="9" spans="1:475" x14ac:dyDescent="0.2">
      <c r="A9" s="4" cm="1">
        <f t="array" aca="1" ref="A9" ca="1">IF(AND(H9&lt;&gt;"",H9&lt;&gt;"No DD"),SUMPRODUCT((H$4:H$12&lt;&gt;"")*(H$4:H$12&lt;&gt;"No DD")*(E$4:E$12&gt;E9))+1,IF(H9="No DD",SUMPRODUCT((H$4:H$12="No DD")*(E$4:E$12&gt;E9))+1+SUMPRODUCT((H$4:H$12&lt;&gt;"")*(H$4:H$12&lt;&gt;"No DD")),""))</f>
        <v>6</v>
      </c>
      <c r="B9" s="5" t="s">
        <v>132</v>
      </c>
      <c r="C9" s="4" t="s">
        <v>5</v>
      </c>
      <c r="D9" s="4">
        <v>2004</v>
      </c>
      <c r="E9" s="9">
        <f t="shared" si="0"/>
        <v>162.60001101000449</v>
      </c>
      <c r="F9" s="3" t="str">
        <f t="shared" si="1"/>
        <v>P</v>
      </c>
      <c r="G9" s="3" t="str">
        <f t="shared" si="2"/>
        <v>P</v>
      </c>
      <c r="H9" s="37" t="str">
        <f t="shared" si="3"/>
        <v>National Team</v>
      </c>
      <c r="I9" s="3" t="str">
        <f t="shared" si="4"/>
        <v/>
      </c>
      <c r="J9" s="8">
        <f>IF(COUNT(AQ9,BT9,CW9)&gt;0,LARGE((AQ9,BT9,CW9),1),0)</f>
        <v>45.2</v>
      </c>
      <c r="K9" s="8" t="str">
        <f t="shared" si="5"/>
        <v>2023 Elite Canada</v>
      </c>
      <c r="L9" s="8">
        <f>IF(COUNT(AQ9,BT9,CW9)&gt;1,LARGE((AQ9,BT9,CW9),2),0)</f>
        <v>41.6</v>
      </c>
      <c r="M9" s="8" t="str">
        <f t="shared" si="6"/>
        <v>2023 Domestic 3rd Trial</v>
      </c>
      <c r="N9" s="8">
        <f>IF(COUNT(AR9,BU9,CX9)&gt;0,LARGE((AR9,BU9,CX9),1),0)</f>
        <v>23.3</v>
      </c>
      <c r="O9" s="8" t="str">
        <f t="shared" si="7"/>
        <v>2023 Domestic 3rd Trial</v>
      </c>
      <c r="P9" s="8">
        <f t="shared" si="8"/>
        <v>46.099999999999994</v>
      </c>
      <c r="Q9" s="8" t="str">
        <f t="shared" si="9"/>
        <v>2023 Nationals</v>
      </c>
      <c r="R9" s="8">
        <f t="shared" si="10"/>
        <v>6.3999999999999915</v>
      </c>
      <c r="S9" s="11" t="str">
        <f t="shared" si="11"/>
        <v>(Q1)</v>
      </c>
      <c r="T9" s="8" t="str">
        <f t="shared" si="12"/>
        <v>2023 WAGC (Nov 17)</v>
      </c>
      <c r="U9" s="19">
        <v>16.5</v>
      </c>
      <c r="V9" s="19">
        <v>6.1</v>
      </c>
      <c r="W9" s="19">
        <v>0.2</v>
      </c>
      <c r="X9" s="19">
        <v>0</v>
      </c>
      <c r="Y9" s="19">
        <v>16.600000000000001</v>
      </c>
      <c r="Z9" s="19">
        <v>6.2</v>
      </c>
      <c r="AA9" s="19">
        <v>0</v>
      </c>
      <c r="AB9" s="19">
        <v>0</v>
      </c>
      <c r="AC9" s="19">
        <v>16.3</v>
      </c>
      <c r="AD9" s="19">
        <v>6.2</v>
      </c>
      <c r="AE9" s="19">
        <v>0</v>
      </c>
      <c r="AF9" s="19">
        <v>0</v>
      </c>
      <c r="AG9" s="19">
        <v>15.8</v>
      </c>
      <c r="AH9" s="19">
        <v>3.3</v>
      </c>
      <c r="AI9" s="19">
        <v>0</v>
      </c>
      <c r="AJ9" s="19">
        <v>0</v>
      </c>
      <c r="AK9" s="19">
        <v>13.5</v>
      </c>
      <c r="AL9" s="19">
        <v>5.7</v>
      </c>
      <c r="AM9" s="19">
        <v>0</v>
      </c>
      <c r="AN9" s="19">
        <v>0</v>
      </c>
      <c r="AO9" s="28"/>
      <c r="AP9" s="41">
        <f t="shared" si="13"/>
        <v>12.3</v>
      </c>
      <c r="AQ9" s="41">
        <f t="shared" si="14"/>
        <v>45.2</v>
      </c>
      <c r="AR9" s="41">
        <f t="shared" si="15"/>
        <v>22.5</v>
      </c>
      <c r="AS9" s="41">
        <f t="shared" si="16"/>
        <v>18.5</v>
      </c>
      <c r="AT9" s="41">
        <f t="shared" si="17"/>
        <v>67.7</v>
      </c>
      <c r="AU9" s="41">
        <f t="shared" si="18"/>
        <v>9</v>
      </c>
      <c r="AV9" s="41">
        <f t="shared" si="19"/>
        <v>38.300000000000004</v>
      </c>
      <c r="AW9" s="41">
        <f t="shared" si="20"/>
        <v>106</v>
      </c>
      <c r="AX9" s="18">
        <v>15.3</v>
      </c>
      <c r="AY9" s="18">
        <v>3</v>
      </c>
      <c r="AZ9" s="18">
        <v>0</v>
      </c>
      <c r="BA9" s="18">
        <v>0</v>
      </c>
      <c r="BB9" s="18">
        <v>16.8</v>
      </c>
      <c r="BC9" s="18">
        <v>6.2</v>
      </c>
      <c r="BD9" s="18">
        <v>0</v>
      </c>
      <c r="BE9" s="18">
        <v>0</v>
      </c>
      <c r="BF9" s="18">
        <v>16.600000000000001</v>
      </c>
      <c r="BG9" s="18">
        <v>6.2</v>
      </c>
      <c r="BH9" s="18">
        <v>0</v>
      </c>
      <c r="BI9" s="18">
        <v>0</v>
      </c>
      <c r="BJ9" s="18">
        <v>17.2</v>
      </c>
      <c r="BK9" s="18">
        <v>5.7</v>
      </c>
      <c r="BL9" s="18">
        <v>0.2</v>
      </c>
      <c r="BM9" s="18">
        <v>0</v>
      </c>
      <c r="BN9" s="18">
        <v>17.2</v>
      </c>
      <c r="BO9" s="18">
        <v>6.2</v>
      </c>
      <c r="BP9" s="18">
        <v>0</v>
      </c>
      <c r="BQ9" s="18">
        <v>0</v>
      </c>
      <c r="BR9" s="29"/>
      <c r="BS9" s="11">
        <f t="shared" si="21"/>
        <v>9.1999999999999993</v>
      </c>
      <c r="BT9" s="11">
        <f t="shared" si="22"/>
        <v>41.300000000000004</v>
      </c>
      <c r="BU9" s="11">
        <f t="shared" si="23"/>
        <v>22.8</v>
      </c>
      <c r="BV9" s="11">
        <f t="shared" si="24"/>
        <v>15.399999999999999</v>
      </c>
      <c r="BW9" s="11">
        <f t="shared" si="25"/>
        <v>64.100000000000009</v>
      </c>
      <c r="BX9" s="11">
        <f t="shared" si="26"/>
        <v>11.9</v>
      </c>
      <c r="BY9" s="11">
        <f t="shared" si="27"/>
        <v>46.099999999999994</v>
      </c>
      <c r="BZ9" s="11">
        <f t="shared" si="28"/>
        <v>110.2</v>
      </c>
      <c r="CA9" s="19">
        <v>16.7</v>
      </c>
      <c r="CB9" s="19">
        <v>7</v>
      </c>
      <c r="CC9" s="19">
        <v>0</v>
      </c>
      <c r="CD9" s="19">
        <v>0</v>
      </c>
      <c r="CE9" s="19">
        <v>15.3</v>
      </c>
      <c r="CF9" s="19">
        <v>2.6</v>
      </c>
      <c r="CG9" s="19">
        <v>0</v>
      </c>
      <c r="CH9" s="19">
        <v>0</v>
      </c>
      <c r="CI9" s="19">
        <v>17.100000000000001</v>
      </c>
      <c r="CJ9" s="19">
        <v>6.2</v>
      </c>
      <c r="CK9" s="19">
        <v>0</v>
      </c>
      <c r="CL9" s="19">
        <v>0</v>
      </c>
      <c r="CM9" s="19">
        <v>12.9</v>
      </c>
      <c r="CN9" s="19">
        <v>3.6</v>
      </c>
      <c r="CO9" s="19">
        <v>0</v>
      </c>
      <c r="CP9" s="19">
        <v>0</v>
      </c>
      <c r="CQ9" s="19">
        <v>17.2</v>
      </c>
      <c r="CR9" s="19">
        <v>5.8</v>
      </c>
      <c r="CS9" s="19">
        <v>0</v>
      </c>
      <c r="CT9" s="19">
        <v>0</v>
      </c>
      <c r="CU9" s="28"/>
      <c r="CV9" s="41">
        <f t="shared" si="29"/>
        <v>9.6</v>
      </c>
      <c r="CW9" s="41">
        <f t="shared" si="30"/>
        <v>41.6</v>
      </c>
      <c r="CX9" s="41">
        <f t="shared" si="31"/>
        <v>23.3</v>
      </c>
      <c r="CY9" s="41">
        <f t="shared" si="32"/>
        <v>15.8</v>
      </c>
      <c r="CZ9" s="41">
        <f t="shared" si="33"/>
        <v>64.900000000000006</v>
      </c>
      <c r="DA9" s="41">
        <f t="shared" si="34"/>
        <v>9.4</v>
      </c>
      <c r="DB9" s="41">
        <f t="shared" si="35"/>
        <v>39.5</v>
      </c>
      <c r="DC9" s="41">
        <f t="shared" si="36"/>
        <v>104.4</v>
      </c>
      <c r="DD9" s="52">
        <f t="shared" si="37"/>
        <v>6.3999999999999915</v>
      </c>
      <c r="DE9" s="52" t="str">
        <f t="shared" si="38"/>
        <v/>
      </c>
      <c r="DF9" s="52" t="str">
        <f t="shared" si="39"/>
        <v/>
      </c>
      <c r="DG9" s="17">
        <v>12.3</v>
      </c>
      <c r="DH9" s="17">
        <v>2.6</v>
      </c>
      <c r="DI9" s="17">
        <v>0</v>
      </c>
      <c r="DJ9" s="17">
        <v>0</v>
      </c>
      <c r="DK9" s="17">
        <v>18</v>
      </c>
      <c r="DL9" s="17">
        <v>4.8</v>
      </c>
      <c r="DM9" s="17">
        <v>0</v>
      </c>
      <c r="DN9" s="17">
        <v>0</v>
      </c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>
        <f t="shared" si="40"/>
        <v>7.4</v>
      </c>
      <c r="EB9" s="41">
        <f t="shared" si="41"/>
        <v>37.699999999999996</v>
      </c>
      <c r="EC9" s="41" t="str">
        <f t="shared" si="42"/>
        <v/>
      </c>
      <c r="ED9" s="41">
        <f t="shared" si="43"/>
        <v>7.4</v>
      </c>
      <c r="EE9" s="41">
        <f t="shared" si="44"/>
        <v>37.699999999999996</v>
      </c>
      <c r="EF9" s="41" t="str">
        <f t="shared" si="45"/>
        <v/>
      </c>
      <c r="EG9" s="41" t="str">
        <f t="shared" si="46"/>
        <v/>
      </c>
      <c r="EH9" s="41">
        <f t="shared" si="47"/>
        <v>37.699999999999996</v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>
        <v>17.100000000000001</v>
      </c>
      <c r="FL9" s="17">
        <v>6.6</v>
      </c>
      <c r="FM9" s="17">
        <v>0</v>
      </c>
      <c r="FN9" s="17">
        <v>0</v>
      </c>
      <c r="FO9" s="17">
        <v>17.7</v>
      </c>
      <c r="FP9" s="17">
        <v>6.2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 t="shared" si="56"/>
        <v>12.8</v>
      </c>
      <c r="GF9" s="41">
        <f t="shared" si="57"/>
        <v>47.600000000000009</v>
      </c>
      <c r="GG9" s="41" t="str">
        <f t="shared" si="58"/>
        <v/>
      </c>
      <c r="GH9" s="41">
        <f t="shared" si="59"/>
        <v>12.8</v>
      </c>
      <c r="GI9" s="41">
        <f t="shared" si="60"/>
        <v>47.600000000000009</v>
      </c>
      <c r="GJ9" s="41" t="str">
        <f t="shared" si="61"/>
        <v/>
      </c>
      <c r="GK9" s="41" t="str">
        <f t="shared" si="62"/>
        <v/>
      </c>
      <c r="GL9" s="41">
        <f t="shared" si="63"/>
        <v>47.600000000000009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>
        <v>17.399999999999999</v>
      </c>
      <c r="HP9" s="17">
        <v>6.9</v>
      </c>
      <c r="HQ9" s="17">
        <v>0</v>
      </c>
      <c r="HR9" s="17">
        <v>0</v>
      </c>
      <c r="HS9" s="17">
        <v>17</v>
      </c>
      <c r="HT9" s="17">
        <v>6.9</v>
      </c>
      <c r="HU9" s="17">
        <v>0.2</v>
      </c>
      <c r="HV9" s="17">
        <v>0</v>
      </c>
      <c r="HW9" s="17"/>
      <c r="HX9" s="17"/>
      <c r="HY9" s="17"/>
      <c r="HZ9" s="17"/>
      <c r="IA9" s="17">
        <v>17.5</v>
      </c>
      <c r="IB9" s="17">
        <v>7.3</v>
      </c>
      <c r="IC9" s="17">
        <v>0.2</v>
      </c>
      <c r="ID9" s="17">
        <v>0</v>
      </c>
      <c r="IE9" s="17"/>
      <c r="IF9" s="17"/>
      <c r="IG9" s="17"/>
      <c r="IH9" s="17"/>
      <c r="II9" s="41">
        <f t="shared" si="72"/>
        <v>13.8</v>
      </c>
      <c r="IJ9" s="41">
        <f t="shared" si="73"/>
        <v>47.999999999999993</v>
      </c>
      <c r="IK9" s="41" t="str">
        <f t="shared" si="74"/>
        <v/>
      </c>
      <c r="IL9" s="41">
        <f t="shared" si="75"/>
        <v>13.8</v>
      </c>
      <c r="IM9" s="41">
        <f t="shared" si="76"/>
        <v>47.999999999999993</v>
      </c>
      <c r="IN9" s="41">
        <f t="shared" si="77"/>
        <v>7.3</v>
      </c>
      <c r="IO9" s="41">
        <f t="shared" si="78"/>
        <v>24.6</v>
      </c>
      <c r="IP9" s="41">
        <f t="shared" si="79"/>
        <v>72.599999999999994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16</v>
      </c>
      <c r="QF9" s="23">
        <f t="shared" si="136"/>
        <v>5</v>
      </c>
      <c r="QG9" s="23">
        <f t="shared" si="136"/>
        <v>0</v>
      </c>
      <c r="QH9" s="23">
        <f t="shared" si="136"/>
        <v>0</v>
      </c>
      <c r="QI9" s="23">
        <f t="shared" si="136"/>
        <v>16.05</v>
      </c>
      <c r="QJ9" s="23">
        <f t="shared" si="136"/>
        <v>4.4000000000000004</v>
      </c>
      <c r="QK9" s="23">
        <f t="shared" si="136"/>
        <v>0</v>
      </c>
      <c r="QL9" s="23">
        <f t="shared" si="136"/>
        <v>0</v>
      </c>
      <c r="QM9" s="23">
        <f t="shared" si="136"/>
        <v>16.850000000000001</v>
      </c>
      <c r="QN9" s="23">
        <f t="shared" si="136"/>
        <v>6.2</v>
      </c>
      <c r="QO9" s="23">
        <f t="shared" si="137"/>
        <v>0</v>
      </c>
      <c r="QP9" s="23">
        <f t="shared" si="137"/>
        <v>0</v>
      </c>
      <c r="QQ9" s="23">
        <f t="shared" si="137"/>
        <v>15.05</v>
      </c>
      <c r="QR9" s="23">
        <f t="shared" si="137"/>
        <v>4.6500000000000004</v>
      </c>
      <c r="QS9" s="23">
        <f t="shared" si="137"/>
        <v>0.1</v>
      </c>
      <c r="QT9" s="23">
        <f t="shared" si="137"/>
        <v>0</v>
      </c>
      <c r="QU9" s="23">
        <f t="shared" si="137"/>
        <v>17.2</v>
      </c>
      <c r="QV9" s="23">
        <f t="shared" si="137"/>
        <v>6</v>
      </c>
      <c r="QW9" s="23">
        <f t="shared" si="137"/>
        <v>0</v>
      </c>
      <c r="QX9" s="23">
        <f t="shared" si="137"/>
        <v>0</v>
      </c>
      <c r="QY9" s="28" t="s">
        <v>57</v>
      </c>
      <c r="QZ9" s="41">
        <f t="shared" si="138"/>
        <v>9.4</v>
      </c>
      <c r="RA9" s="41">
        <f t="shared" si="139"/>
        <v>41.449999999999996</v>
      </c>
      <c r="RB9" s="41">
        <f t="shared" si="140"/>
        <v>23.05</v>
      </c>
      <c r="RC9" s="41">
        <f t="shared" si="141"/>
        <v>15.600000000000001</v>
      </c>
      <c r="RD9" s="41">
        <f t="shared" si="142"/>
        <v>64.5</v>
      </c>
      <c r="RE9" s="41">
        <f t="shared" si="143"/>
        <v>10.65</v>
      </c>
      <c r="RF9" s="41">
        <f t="shared" si="144"/>
        <v>42.800000000000004</v>
      </c>
      <c r="RG9" s="41">
        <f t="shared" si="145"/>
        <v>107.30000000000001</v>
      </c>
    </row>
    <row r="10" spans="1:475" x14ac:dyDescent="0.2">
      <c r="A10" s="4" cm="1">
        <f t="array" aca="1" ref="A10" ca="1">IF(AND(H10&lt;&gt;"",H10&lt;&gt;"No DD"),SUMPRODUCT((H$4:H$12&lt;&gt;"")*(H$4:H$12&lt;&gt;"No DD")*(E$4:E$12&gt;E10))+1,IF(H10="No DD",SUMPRODUCT((H$4:H$12="No DD")*(E$4:E$12&gt;E10))+1+SUMPRODUCT((H$4:H$12&lt;&gt;"")*(H$4:H$12&lt;&gt;"No DD")),""))</f>
        <v>7</v>
      </c>
      <c r="B10" s="5" t="s">
        <v>166</v>
      </c>
      <c r="C10" s="4" t="s">
        <v>3</v>
      </c>
      <c r="D10" s="4">
        <v>2003</v>
      </c>
      <c r="E10" s="9">
        <f t="shared" si="0"/>
        <v>160.10001119000461</v>
      </c>
      <c r="F10" s="3" t="str">
        <f t="shared" si="1"/>
        <v>P</v>
      </c>
      <c r="G10" s="3" t="str">
        <f t="shared" si="2"/>
        <v>P</v>
      </c>
      <c r="H10" s="37" t="str">
        <f t="shared" ca="1" si="3"/>
        <v>National Team</v>
      </c>
      <c r="I10" s="3" t="str">
        <f ca="1">IF(TODAY()&lt;45103,"P",IF(OR(AND(AS10&gt;=AW$15,AT10&gt;=AW$19,AS10&lt;&gt;"",AO10=""),AND(BV10&gt;=BZ$15,BW10&gt;=BZ$19,BV10&lt;&gt;"",BR10=""),AND(CY10&gt;=DC$15,CZ10&gt;=DC$19,CY10&lt;&gt;"",CU10=""),AND(ED10&gt;=EH$15,EE10&gt;=EH$19,ED10&lt;&gt;""),AND(FF10&gt;=FJ$15,FG10&gt;=FJ$19,FF10&lt;&gt;""),AND(GH10&gt;=GL$15,GI10&gt;=GL$19,GH10&lt;&gt;""),AND(HJ10&gt;=HN$15,HK10&gt;=HN$19,HJ10&lt;&gt;""),AND(IL10&gt;=IP$15,IM10&gt;=IP$19,IL10&lt;&gt;""),AND(JN10&gt;=JR$15,JO10&gt;=JR$19,JN10&lt;&gt;""),AND(KP10&gt;=KT$15,KQ10&gt;=KT$19,KP10&lt;&gt;""),AND(LR10&gt;=LV$15,LS10&gt;=LV$19,LR10&lt;&gt;""),AND(MT10&gt;=MX$15,MU10&gt;=MX$19,MT10&lt;&gt;""),AND(NV10&gt;=NZ$15,NW10&gt;=NZ$19,NV10&lt;&gt;""),AND(OX10&gt;=PB$15,OY10&gt;=PB$19,OX10&lt;&gt;""),AND(PZ10&gt;=QD$15,QA10&gt;=QD$19,PZ10&lt;&gt;"")),"P",""))</f>
        <v/>
      </c>
      <c r="J10" s="8">
        <f>IF(COUNT(AQ10,BT10,CW10)&gt;0,LARGE((AQ10,BT10,CW10),1),0)</f>
        <v>45.7</v>
      </c>
      <c r="K10" s="8" t="str">
        <f t="shared" si="5"/>
        <v>2023 Elite Canada</v>
      </c>
      <c r="L10" s="8">
        <f>IF(COUNT(AQ10,BT10,CW10)&gt;1,LARGE((AQ10,BT10,CW10),2),0)</f>
        <v>43</v>
      </c>
      <c r="M10" s="8" t="str">
        <f t="shared" si="6"/>
        <v>2023 Nationals</v>
      </c>
      <c r="N10" s="8">
        <f>IF(COUNT(AR10,BU10,CX10)&gt;0,LARGE((AR10,BU10,CX10),1),0)</f>
        <v>23.2</v>
      </c>
      <c r="O10" s="8" t="str">
        <f t="shared" si="7"/>
        <v>2023 Nationals</v>
      </c>
      <c r="P10" s="8">
        <f t="shared" si="8"/>
        <v>48.2</v>
      </c>
      <c r="Q10" s="8" t="str">
        <f t="shared" si="9"/>
        <v>2023 Nationals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17</v>
      </c>
      <c r="V10" s="19">
        <v>5.5</v>
      </c>
      <c r="W10" s="19">
        <v>0</v>
      </c>
      <c r="X10" s="19">
        <v>0</v>
      </c>
      <c r="Y10" s="19">
        <v>17.600000000000001</v>
      </c>
      <c r="Z10" s="19">
        <v>5.6</v>
      </c>
      <c r="AA10" s="19">
        <v>0</v>
      </c>
      <c r="AB10" s="19">
        <v>0</v>
      </c>
      <c r="AC10" s="19">
        <v>16.7</v>
      </c>
      <c r="AD10" s="19">
        <v>3</v>
      </c>
      <c r="AE10" s="19">
        <v>1</v>
      </c>
      <c r="AF10" s="19">
        <v>0</v>
      </c>
      <c r="AG10" s="19">
        <v>17.399999999999999</v>
      </c>
      <c r="AH10" s="19">
        <v>5.5</v>
      </c>
      <c r="AI10" s="19">
        <v>0</v>
      </c>
      <c r="AJ10" s="19">
        <v>0</v>
      </c>
      <c r="AK10" s="19">
        <v>16</v>
      </c>
      <c r="AL10" s="19">
        <v>3.7</v>
      </c>
      <c r="AM10" s="19">
        <v>0</v>
      </c>
      <c r="AN10" s="19">
        <v>0</v>
      </c>
      <c r="AO10" s="28"/>
      <c r="AP10" s="41">
        <f t="shared" si="13"/>
        <v>11.1</v>
      </c>
      <c r="AQ10" s="41">
        <f t="shared" si="14"/>
        <v>45.7</v>
      </c>
      <c r="AR10" s="41">
        <f t="shared" si="15"/>
        <v>18.7</v>
      </c>
      <c r="AS10" s="41">
        <f t="shared" si="16"/>
        <v>14.1</v>
      </c>
      <c r="AT10" s="41">
        <f t="shared" si="17"/>
        <v>64.400000000000006</v>
      </c>
      <c r="AU10" s="41">
        <f t="shared" si="18"/>
        <v>9.1999999999999993</v>
      </c>
      <c r="AV10" s="41">
        <f t="shared" si="19"/>
        <v>42.6</v>
      </c>
      <c r="AW10" s="41">
        <f t="shared" si="20"/>
        <v>107</v>
      </c>
      <c r="AX10" s="18">
        <v>16.3</v>
      </c>
      <c r="AY10" s="18">
        <v>5.5</v>
      </c>
      <c r="AZ10" s="18">
        <v>0.4</v>
      </c>
      <c r="BA10" s="18">
        <v>0</v>
      </c>
      <c r="BB10" s="18">
        <v>16.399999999999999</v>
      </c>
      <c r="BC10" s="18">
        <v>5.4</v>
      </c>
      <c r="BD10" s="18">
        <v>0.2</v>
      </c>
      <c r="BE10" s="18">
        <v>0</v>
      </c>
      <c r="BF10" s="18">
        <v>16.899999999999999</v>
      </c>
      <c r="BG10" s="18">
        <v>6.5</v>
      </c>
      <c r="BH10" s="18">
        <v>0.2</v>
      </c>
      <c r="BI10" s="18">
        <v>0</v>
      </c>
      <c r="BJ10" s="18">
        <v>17.8</v>
      </c>
      <c r="BK10" s="18">
        <v>6.5</v>
      </c>
      <c r="BL10" s="18">
        <v>0</v>
      </c>
      <c r="BM10" s="18">
        <v>0</v>
      </c>
      <c r="BN10" s="18">
        <v>18.399999999999999</v>
      </c>
      <c r="BO10" s="18">
        <v>5.5</v>
      </c>
      <c r="BP10" s="18">
        <v>0</v>
      </c>
      <c r="BQ10" s="18">
        <v>0</v>
      </c>
      <c r="BR10" s="29"/>
      <c r="BS10" s="11">
        <f t="shared" si="21"/>
        <v>10.9</v>
      </c>
      <c r="BT10" s="11">
        <f t="shared" si="22"/>
        <v>43</v>
      </c>
      <c r="BU10" s="11">
        <f t="shared" si="23"/>
        <v>23.2</v>
      </c>
      <c r="BV10" s="11">
        <f t="shared" si="24"/>
        <v>17.399999999999999</v>
      </c>
      <c r="BW10" s="11">
        <f t="shared" si="25"/>
        <v>66.2</v>
      </c>
      <c r="BX10" s="11">
        <f t="shared" si="26"/>
        <v>12</v>
      </c>
      <c r="BY10" s="11">
        <f t="shared" si="27"/>
        <v>48.2</v>
      </c>
      <c r="BZ10" s="11">
        <f t="shared" si="28"/>
        <v>114.4</v>
      </c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28"/>
      <c r="CV10" s="41" t="str">
        <f t="shared" si="29"/>
        <v/>
      </c>
      <c r="CW10" s="41" t="str">
        <f t="shared" si="30"/>
        <v/>
      </c>
      <c r="CX10" s="41" t="str">
        <f t="shared" si="31"/>
        <v/>
      </c>
      <c r="CY10" s="41" t="str">
        <f t="shared" si="32"/>
        <v/>
      </c>
      <c r="CZ10" s="41" t="str">
        <f t="shared" si="33"/>
        <v/>
      </c>
      <c r="DA10" s="41" t="str">
        <f t="shared" si="34"/>
        <v/>
      </c>
      <c r="DB10" s="41" t="str">
        <f t="shared" si="35"/>
        <v/>
      </c>
      <c r="DC10" s="41" t="str">
        <f t="shared" si="36"/>
        <v/>
      </c>
      <c r="DD10" s="52" t="str">
        <f t="shared" si="37"/>
        <v/>
      </c>
      <c r="DE10" s="52" t="str">
        <f t="shared" si="38"/>
        <v/>
      </c>
      <c r="DF10" s="52" t="str">
        <f t="shared" si="39"/>
        <v/>
      </c>
      <c r="DG10" s="17">
        <v>15.5</v>
      </c>
      <c r="DH10" s="17">
        <v>3.3</v>
      </c>
      <c r="DI10" s="17">
        <v>0</v>
      </c>
      <c r="DJ10" s="17">
        <v>0</v>
      </c>
      <c r="DK10" s="17">
        <v>16.899999999999999</v>
      </c>
      <c r="DL10" s="17">
        <v>5.5</v>
      </c>
      <c r="DM10" s="17">
        <v>0.2</v>
      </c>
      <c r="DN10" s="17">
        <v>0</v>
      </c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>
        <f t="shared" si="40"/>
        <v>8.8000000000000007</v>
      </c>
      <c r="EB10" s="41">
        <f t="shared" si="41"/>
        <v>41</v>
      </c>
      <c r="EC10" s="41" t="str">
        <f t="shared" si="42"/>
        <v/>
      </c>
      <c r="ED10" s="41">
        <f t="shared" si="43"/>
        <v>8.8000000000000007</v>
      </c>
      <c r="EE10" s="41">
        <f t="shared" si="44"/>
        <v>41</v>
      </c>
      <c r="EF10" s="41" t="str">
        <f t="shared" si="45"/>
        <v/>
      </c>
      <c r="EG10" s="41" t="str">
        <f t="shared" si="46"/>
        <v/>
      </c>
      <c r="EH10" s="41">
        <f t="shared" si="47"/>
        <v>41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>
        <v>16</v>
      </c>
      <c r="FL10" s="17">
        <v>3.3</v>
      </c>
      <c r="FM10" s="17">
        <v>0</v>
      </c>
      <c r="FN10" s="17">
        <v>0</v>
      </c>
      <c r="FO10" s="17">
        <v>15.5</v>
      </c>
      <c r="FP10" s="17">
        <v>3.3</v>
      </c>
      <c r="FQ10" s="17">
        <v>0</v>
      </c>
      <c r="FR10" s="17">
        <v>0</v>
      </c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>
        <f t="shared" si="56"/>
        <v>6.6</v>
      </c>
      <c r="GF10" s="41">
        <f t="shared" si="57"/>
        <v>38.099999999999994</v>
      </c>
      <c r="GG10" s="41" t="str">
        <f t="shared" si="58"/>
        <v/>
      </c>
      <c r="GH10" s="41">
        <f t="shared" si="59"/>
        <v>6.6</v>
      </c>
      <c r="GI10" s="41">
        <f t="shared" si="60"/>
        <v>38.099999999999994</v>
      </c>
      <c r="GJ10" s="41" t="str">
        <f t="shared" si="61"/>
        <v/>
      </c>
      <c r="GK10" s="41" t="str">
        <f t="shared" si="62"/>
        <v/>
      </c>
      <c r="GL10" s="41">
        <f t="shared" si="63"/>
        <v>38.099999999999994</v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8.15</v>
      </c>
      <c r="QF10" s="23">
        <f t="shared" si="136"/>
        <v>2.75</v>
      </c>
      <c r="QG10" s="23">
        <f t="shared" si="136"/>
        <v>0.2</v>
      </c>
      <c r="QH10" s="23">
        <f t="shared" si="136"/>
        <v>0</v>
      </c>
      <c r="QI10" s="23">
        <f t="shared" si="136"/>
        <v>8.1999999999999993</v>
      </c>
      <c r="QJ10" s="23">
        <f t="shared" si="136"/>
        <v>2.7</v>
      </c>
      <c r="QK10" s="23">
        <f t="shared" si="136"/>
        <v>0.1</v>
      </c>
      <c r="QL10" s="23">
        <f t="shared" si="136"/>
        <v>0</v>
      </c>
      <c r="QM10" s="23">
        <f t="shared" si="136"/>
        <v>8.4499999999999993</v>
      </c>
      <c r="QN10" s="23">
        <f t="shared" si="136"/>
        <v>3.25</v>
      </c>
      <c r="QO10" s="23">
        <f t="shared" si="137"/>
        <v>0.1</v>
      </c>
      <c r="QP10" s="23">
        <f t="shared" si="137"/>
        <v>0</v>
      </c>
      <c r="QQ10" s="23">
        <f t="shared" si="137"/>
        <v>8.9</v>
      </c>
      <c r="QR10" s="23">
        <f t="shared" si="137"/>
        <v>3.25</v>
      </c>
      <c r="QS10" s="23">
        <f t="shared" si="137"/>
        <v>0</v>
      </c>
      <c r="QT10" s="23">
        <f t="shared" si="137"/>
        <v>0</v>
      </c>
      <c r="QU10" s="23">
        <f t="shared" si="137"/>
        <v>9.1999999999999993</v>
      </c>
      <c r="QV10" s="23">
        <f t="shared" si="137"/>
        <v>2.75</v>
      </c>
      <c r="QW10" s="23">
        <f t="shared" si="137"/>
        <v>0</v>
      </c>
      <c r="QX10" s="23">
        <f t="shared" si="137"/>
        <v>0</v>
      </c>
      <c r="QY10" s="28" t="s">
        <v>57</v>
      </c>
      <c r="QZ10" s="41">
        <f t="shared" si="138"/>
        <v>5.45</v>
      </c>
      <c r="RA10" s="41">
        <f t="shared" si="139"/>
        <v>21.5</v>
      </c>
      <c r="RB10" s="41">
        <f t="shared" si="140"/>
        <v>11.6</v>
      </c>
      <c r="RC10" s="41">
        <f t="shared" si="141"/>
        <v>8.6999999999999993</v>
      </c>
      <c r="RD10" s="41">
        <f t="shared" si="142"/>
        <v>33.1</v>
      </c>
      <c r="RE10" s="41">
        <f t="shared" si="143"/>
        <v>6</v>
      </c>
      <c r="RF10" s="41">
        <f t="shared" si="144"/>
        <v>24.1</v>
      </c>
      <c r="RG10" s="41">
        <f t="shared" si="145"/>
        <v>57.2</v>
      </c>
    </row>
    <row r="11" spans="1:475" x14ac:dyDescent="0.2">
      <c r="A11" s="4" t="str" cm="1">
        <f t="array" ref="A11">IF(AND(H11&lt;&gt;"",H11&lt;&gt;"No DD"),SUMPRODUCT((H$4:H$12&lt;&gt;"")*(H$4:H$12&lt;&gt;"No DD")*(E$4:E$12&gt;E11))+1,IF(H11="No DD",SUMPRODUCT((H$4:H$12="No DD")*(E$4:E$12&gt;E11))+1+SUMPRODUCT((H$4:H$12&lt;&gt;"")*(H$4:H$12&lt;&gt;"No DD")),""))</f>
        <v/>
      </c>
      <c r="B11" s="5" t="s">
        <v>87</v>
      </c>
      <c r="C11" s="4" t="s">
        <v>5</v>
      </c>
      <c r="D11" s="4">
        <v>2003</v>
      </c>
      <c r="E11" s="9">
        <f t="shared" si="0"/>
        <v>147.50000636000414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>IF(OR(AND(AS11&gt;=AW$15,AT11&gt;=AW$19,AS11&lt;&gt;"",AO11=""),AND(BV11&gt;=BZ$15,BW11&gt;=BZ$19,BV11&lt;&gt;"",BR11=""),AND(CY11&gt;=DC$15,CZ11&gt;=DC$19,CY11&lt;&gt;"",CU11=""),AND(ED11&gt;=EH$15,EE11&gt;=EH$19,ED11&lt;&gt;""),AND(FF11&gt;=FJ$15,FG11&gt;=FJ$19,FF11&lt;&gt;""),AND(GH11&gt;=GL$15,GI11&gt;=GL$19,GH11&lt;&gt;""),AND(HJ11&gt;=HN$15,HK11&gt;=HN$19,HJ11&lt;&gt;""),AND(IL11&gt;=IP$15,IM11&gt;=IP$19,IL11&lt;&gt;""),AND(JN11&gt;=JR$15,JO11&gt;=JR$19,JN11&lt;&gt;""),AND(KP11&gt;=KT$15,KQ11&gt;=KT$19,KP11&lt;&gt;""),AND(LR11&gt;=LV$15,LS11&gt;=LV$19,LR11&lt;&gt;""),AND(MT11&gt;=MX$15,MU11&gt;=MX$19,MT11&lt;&gt;""),AND(NV11&gt;=NZ$15,NW11&gt;=NZ$19,NV11&lt;&gt;""),AND(OX11&gt;=PB$15,OY11&gt;=PB$19,OX11&lt;&gt;""),AND(PZ11&gt;=QD$15,QA11&gt;=QD$19,PZ11&lt;&gt;"")),"P","")</f>
        <v/>
      </c>
      <c r="J11" s="8">
        <f>IF(COUNT(AQ11,BT11,CW11)&gt;0,LARGE((AQ11,BT11,CW11),1),0)</f>
        <v>41.4</v>
      </c>
      <c r="K11" s="8" t="str">
        <f t="shared" si="5"/>
        <v>2023 Domestic 3rd Trial</v>
      </c>
      <c r="L11" s="8">
        <f>IF(COUNT(AQ11,BT11,CW11)&gt;1,LARGE((AQ11,BT11,CW11),2),0)</f>
        <v>0</v>
      </c>
      <c r="M11" s="8" t="str">
        <f t="shared" si="6"/>
        <v/>
      </c>
      <c r="N11" s="8">
        <f>IF(COUNT(AR11,BU11,CX11)&gt;0,LARGE((AR11,BU11,CX11),1),0)</f>
        <v>22.2</v>
      </c>
      <c r="O11" s="8" t="str">
        <f t="shared" si="7"/>
        <v>2023 Domestic 3rd Trial</v>
      </c>
      <c r="P11" s="8">
        <f t="shared" si="8"/>
        <v>39.800000000000004</v>
      </c>
      <c r="Q11" s="8" t="str">
        <f t="shared" si="9"/>
        <v>2023 Domestic 3rd Trial</v>
      </c>
      <c r="R11" s="8">
        <f t="shared" si="10"/>
        <v>44.1</v>
      </c>
      <c r="S11" s="11" t="str">
        <f t="shared" si="11"/>
        <v>(Q1)</v>
      </c>
      <c r="T11" s="8" t="str">
        <f t="shared" si="12"/>
        <v>2023 WAGC (Nov 17)</v>
      </c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28"/>
      <c r="AP11" s="41" t="str">
        <f t="shared" si="13"/>
        <v/>
      </c>
      <c r="AQ11" s="41" t="str">
        <f t="shared" si="14"/>
        <v/>
      </c>
      <c r="AR11" s="41" t="str">
        <f t="shared" si="15"/>
        <v/>
      </c>
      <c r="AS11" s="41" t="str">
        <f t="shared" si="16"/>
        <v/>
      </c>
      <c r="AT11" s="41" t="str">
        <f t="shared" si="17"/>
        <v/>
      </c>
      <c r="AU11" s="41" t="str">
        <f t="shared" si="18"/>
        <v/>
      </c>
      <c r="AV11" s="41" t="str">
        <f t="shared" si="19"/>
        <v/>
      </c>
      <c r="AW11" s="41" t="str">
        <f t="shared" si="20"/>
        <v/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 t="shared" si="21"/>
        <v/>
      </c>
      <c r="BT11" s="11" t="str">
        <f t="shared" si="22"/>
        <v/>
      </c>
      <c r="BU11" s="11" t="str">
        <f t="shared" si="23"/>
        <v/>
      </c>
      <c r="BV11" s="11" t="str">
        <f t="shared" si="24"/>
        <v/>
      </c>
      <c r="BW11" s="11" t="str">
        <f t="shared" si="25"/>
        <v/>
      </c>
      <c r="BX11" s="11" t="str">
        <f t="shared" si="26"/>
        <v/>
      </c>
      <c r="BY11" s="11" t="str">
        <f t="shared" si="27"/>
        <v/>
      </c>
      <c r="BZ11" s="11" t="str">
        <f t="shared" si="28"/>
        <v/>
      </c>
      <c r="CA11" s="19">
        <v>16.2</v>
      </c>
      <c r="CB11" s="19">
        <v>6</v>
      </c>
      <c r="CC11" s="19">
        <v>2</v>
      </c>
      <c r="CD11" s="19">
        <v>0</v>
      </c>
      <c r="CE11" s="19">
        <v>16.3</v>
      </c>
      <c r="CF11" s="19">
        <v>4.9000000000000004</v>
      </c>
      <c r="CG11" s="19">
        <v>0</v>
      </c>
      <c r="CH11" s="19">
        <v>0</v>
      </c>
      <c r="CI11" s="19">
        <v>16.5</v>
      </c>
      <c r="CJ11" s="19">
        <v>5.7</v>
      </c>
      <c r="CK11" s="19">
        <v>0</v>
      </c>
      <c r="CL11" s="19">
        <v>0</v>
      </c>
      <c r="CM11" s="19">
        <v>15.3</v>
      </c>
      <c r="CN11" s="19">
        <v>6</v>
      </c>
      <c r="CO11" s="19">
        <v>0</v>
      </c>
      <c r="CP11" s="19">
        <v>0</v>
      </c>
      <c r="CQ11" s="19">
        <v>14.8</v>
      </c>
      <c r="CR11" s="19">
        <v>3.7</v>
      </c>
      <c r="CS11" s="19">
        <v>0</v>
      </c>
      <c r="CT11" s="19">
        <v>0</v>
      </c>
      <c r="CU11" s="28"/>
      <c r="CV11" s="41">
        <f t="shared" si="29"/>
        <v>10.9</v>
      </c>
      <c r="CW11" s="41">
        <f t="shared" si="30"/>
        <v>41.4</v>
      </c>
      <c r="CX11" s="41">
        <f t="shared" si="31"/>
        <v>22.2</v>
      </c>
      <c r="CY11" s="41">
        <f t="shared" si="32"/>
        <v>16.600000000000001</v>
      </c>
      <c r="CZ11" s="41">
        <f t="shared" si="33"/>
        <v>63.599999999999994</v>
      </c>
      <c r="DA11" s="41">
        <f t="shared" si="34"/>
        <v>9.6999999999999993</v>
      </c>
      <c r="DB11" s="41">
        <f t="shared" si="35"/>
        <v>39.800000000000004</v>
      </c>
      <c r="DC11" s="41">
        <f t="shared" si="36"/>
        <v>103.4</v>
      </c>
      <c r="DD11" s="52">
        <f t="shared" si="37"/>
        <v>44.1</v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>
        <v>17.399999999999999</v>
      </c>
      <c r="HP11" s="17">
        <v>4.2</v>
      </c>
      <c r="HQ11" s="17">
        <v>0</v>
      </c>
      <c r="HR11" s="17">
        <v>0</v>
      </c>
      <c r="HS11" s="17">
        <v>16.8</v>
      </c>
      <c r="HT11" s="17">
        <v>5.7</v>
      </c>
      <c r="HU11" s="17">
        <v>0</v>
      </c>
      <c r="HV11" s="17">
        <v>0</v>
      </c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>
        <f t="shared" si="72"/>
        <v>9.9</v>
      </c>
      <c r="IJ11" s="41">
        <f t="shared" si="73"/>
        <v>44.1</v>
      </c>
      <c r="IK11" s="41" t="str">
        <f t="shared" si="74"/>
        <v/>
      </c>
      <c r="IL11" s="41">
        <f t="shared" si="75"/>
        <v>9.9</v>
      </c>
      <c r="IM11" s="41">
        <f t="shared" si="76"/>
        <v>44.1</v>
      </c>
      <c r="IN11" s="41" t="str">
        <f t="shared" si="77"/>
        <v/>
      </c>
      <c r="IO11" s="41" t="str">
        <f t="shared" si="78"/>
        <v/>
      </c>
      <c r="IP11" s="41">
        <f t="shared" si="79"/>
        <v>44.1</v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8.1</v>
      </c>
      <c r="QF11" s="23">
        <f t="shared" si="136"/>
        <v>3</v>
      </c>
      <c r="QG11" s="23">
        <f t="shared" si="136"/>
        <v>1</v>
      </c>
      <c r="QH11" s="23">
        <f t="shared" si="136"/>
        <v>0</v>
      </c>
      <c r="QI11" s="23">
        <f t="shared" si="136"/>
        <v>8.15</v>
      </c>
      <c r="QJ11" s="23">
        <f t="shared" si="136"/>
        <v>2.4500000000000002</v>
      </c>
      <c r="QK11" s="23">
        <f t="shared" si="136"/>
        <v>0</v>
      </c>
      <c r="QL11" s="23">
        <f t="shared" si="136"/>
        <v>0</v>
      </c>
      <c r="QM11" s="23">
        <f t="shared" si="136"/>
        <v>8.25</v>
      </c>
      <c r="QN11" s="23">
        <f t="shared" si="136"/>
        <v>2.85</v>
      </c>
      <c r="QO11" s="23">
        <f t="shared" si="137"/>
        <v>0</v>
      </c>
      <c r="QP11" s="23">
        <f t="shared" si="137"/>
        <v>0</v>
      </c>
      <c r="QQ11" s="23">
        <f t="shared" si="137"/>
        <v>7.65</v>
      </c>
      <c r="QR11" s="23">
        <f t="shared" si="137"/>
        <v>3</v>
      </c>
      <c r="QS11" s="23">
        <f t="shared" si="137"/>
        <v>0</v>
      </c>
      <c r="QT11" s="23">
        <f t="shared" si="137"/>
        <v>0</v>
      </c>
      <c r="QU11" s="23">
        <f t="shared" si="137"/>
        <v>7.4</v>
      </c>
      <c r="QV11" s="23">
        <f t="shared" si="137"/>
        <v>1.85</v>
      </c>
      <c r="QW11" s="23">
        <f t="shared" si="137"/>
        <v>0</v>
      </c>
      <c r="QX11" s="23">
        <f t="shared" si="137"/>
        <v>0</v>
      </c>
      <c r="QY11" s="28" t="s">
        <v>57</v>
      </c>
      <c r="QZ11" s="41">
        <f t="shared" si="138"/>
        <v>5.45</v>
      </c>
      <c r="RA11" s="41">
        <f t="shared" si="139"/>
        <v>20.7</v>
      </c>
      <c r="RB11" s="41">
        <f t="shared" si="140"/>
        <v>11.1</v>
      </c>
      <c r="RC11" s="41">
        <f t="shared" si="141"/>
        <v>8.3000000000000007</v>
      </c>
      <c r="RD11" s="41">
        <f t="shared" si="142"/>
        <v>31.799999999999997</v>
      </c>
      <c r="RE11" s="41">
        <f t="shared" si="143"/>
        <v>4.8499999999999996</v>
      </c>
      <c r="RF11" s="41">
        <f t="shared" si="144"/>
        <v>19.900000000000002</v>
      </c>
      <c r="RG11" s="41">
        <f t="shared" si="145"/>
        <v>51.7</v>
      </c>
    </row>
    <row r="12" spans="1:475" ht="17" x14ac:dyDescent="0.2">
      <c r="R12" s="10"/>
      <c r="S12" s="10"/>
      <c r="T12" s="10"/>
    </row>
    <row r="13" spans="1:475" ht="17" x14ac:dyDescent="0.2">
      <c r="R13" s="10"/>
      <c r="S13" s="10"/>
      <c r="T13" s="10"/>
    </row>
    <row r="14" spans="1:475" ht="17" x14ac:dyDescent="0.2">
      <c r="B14" s="24" t="s">
        <v>54</v>
      </c>
      <c r="R14" s="10"/>
      <c r="S14" s="10"/>
      <c r="T14" s="10"/>
      <c r="AP14" s="4"/>
      <c r="AW14" s="43">
        <v>11.4</v>
      </c>
      <c r="BS14" s="4"/>
      <c r="BZ14" s="43">
        <v>11.4</v>
      </c>
      <c r="CV14" s="4"/>
      <c r="DC14" s="43">
        <v>11.4</v>
      </c>
      <c r="EA14" s="4"/>
      <c r="EH14" s="43">
        <v>11</v>
      </c>
      <c r="FC14" s="4"/>
      <c r="FJ14" s="43">
        <v>11.4</v>
      </c>
      <c r="GE14" s="4"/>
      <c r="GL14" s="43">
        <v>11.4</v>
      </c>
      <c r="HG14" s="4"/>
      <c r="HN14" s="43">
        <v>11.4</v>
      </c>
      <c r="II14" s="4"/>
      <c r="IP14" s="43">
        <v>11.4</v>
      </c>
      <c r="JK14" s="4"/>
      <c r="JR14" s="43">
        <v>11.4</v>
      </c>
      <c r="KM14" s="4"/>
      <c r="KT14" s="43">
        <v>11.4</v>
      </c>
      <c r="LO14" s="4"/>
      <c r="LV14" s="43">
        <v>11.4</v>
      </c>
      <c r="MQ14" s="4"/>
      <c r="MX14" s="43">
        <v>11.4</v>
      </c>
      <c r="NS14" s="4"/>
      <c r="NZ14" s="43">
        <v>11.4</v>
      </c>
      <c r="OU14" s="4"/>
      <c r="PB14" s="43">
        <v>11.4</v>
      </c>
      <c r="PW14" s="4"/>
      <c r="QD14" s="43">
        <v>11.4</v>
      </c>
    </row>
    <row r="15" spans="1:475" ht="17" x14ac:dyDescent="0.2">
      <c r="B15" s="31" t="s">
        <v>53</v>
      </c>
      <c r="R15" s="10"/>
      <c r="S15" s="10"/>
      <c r="T15" s="10"/>
      <c r="AP15" s="4"/>
      <c r="AW15" s="53">
        <v>17.7</v>
      </c>
      <c r="BS15" s="4"/>
      <c r="BZ15" s="53">
        <v>17.7</v>
      </c>
      <c r="CV15" s="4"/>
      <c r="DC15" s="53">
        <v>17.7</v>
      </c>
      <c r="EA15" s="4"/>
      <c r="EH15" s="53">
        <v>11</v>
      </c>
      <c r="FC15" s="4"/>
      <c r="FJ15" s="53">
        <v>17.7</v>
      </c>
      <c r="GE15" s="4"/>
      <c r="GL15" s="53">
        <v>17.7</v>
      </c>
      <c r="HG15" s="4"/>
      <c r="HN15" s="53">
        <v>17.7</v>
      </c>
      <c r="II15" s="4"/>
      <c r="IP15" s="53">
        <v>17.7</v>
      </c>
      <c r="JK15" s="4"/>
      <c r="JR15" s="53">
        <v>17.7</v>
      </c>
      <c r="KM15" s="4"/>
      <c r="KT15" s="53">
        <v>17.7</v>
      </c>
      <c r="LO15" s="4"/>
      <c r="LV15" s="53">
        <v>17.7</v>
      </c>
      <c r="MQ15" s="4"/>
      <c r="MX15" s="53">
        <v>17.7</v>
      </c>
      <c r="NS15" s="4"/>
      <c r="NZ15" s="53">
        <v>17.7</v>
      </c>
      <c r="OU15" s="4"/>
      <c r="PB15" s="53">
        <v>17.7</v>
      </c>
      <c r="PW15" s="4"/>
      <c r="QD15" s="53">
        <v>17.7</v>
      </c>
    </row>
    <row r="16" spans="1:475" ht="17" x14ac:dyDescent="0.2">
      <c r="A16" s="5"/>
      <c r="B16" s="32" t="s">
        <v>67</v>
      </c>
      <c r="C16" s="20"/>
      <c r="R16" s="10"/>
      <c r="S16" s="10"/>
      <c r="T16" s="10"/>
      <c r="AP16" s="4"/>
      <c r="AW16" s="45">
        <v>20.7</v>
      </c>
      <c r="BS16" s="4"/>
      <c r="BZ16" s="45">
        <v>20.7</v>
      </c>
      <c r="CV16" s="4"/>
      <c r="DC16" s="45">
        <v>20.7</v>
      </c>
      <c r="EA16" s="4"/>
      <c r="EH16" s="45">
        <v>11</v>
      </c>
      <c r="FC16" s="4"/>
      <c r="FJ16" s="45">
        <v>20.7</v>
      </c>
      <c r="GE16" s="4"/>
      <c r="GL16" s="45">
        <v>20.7</v>
      </c>
      <c r="HG16" s="4"/>
      <c r="HN16" s="45">
        <v>20.7</v>
      </c>
      <c r="II16" s="4"/>
      <c r="IP16" s="45">
        <v>20.7</v>
      </c>
      <c r="JK16" s="4"/>
      <c r="JR16" s="45">
        <v>20.7</v>
      </c>
      <c r="KM16" s="4"/>
      <c r="KT16" s="45">
        <v>20.7</v>
      </c>
      <c r="LO16" s="4"/>
      <c r="LV16" s="45">
        <v>20.7</v>
      </c>
      <c r="MQ16" s="4"/>
      <c r="MX16" s="45">
        <v>20.7</v>
      </c>
      <c r="NS16" s="4"/>
      <c r="NZ16" s="45">
        <v>20.7</v>
      </c>
      <c r="OU16" s="4"/>
      <c r="PB16" s="45">
        <v>20.7</v>
      </c>
      <c r="PW16" s="4"/>
      <c r="QD16" s="45">
        <v>20.7</v>
      </c>
    </row>
    <row r="17" spans="1:456" ht="17" x14ac:dyDescent="0.2">
      <c r="A17" s="5"/>
      <c r="B17" s="36" t="s">
        <v>80</v>
      </c>
      <c r="C17" s="20"/>
      <c r="R17" s="10"/>
      <c r="S17" s="10"/>
      <c r="T17" s="10"/>
      <c r="AP17" s="4"/>
      <c r="AW17" s="46">
        <v>20.7</v>
      </c>
      <c r="BS17" s="4"/>
      <c r="BZ17" s="46">
        <v>20.7</v>
      </c>
      <c r="CV17" s="4"/>
      <c r="DC17" s="46">
        <v>20.7</v>
      </c>
      <c r="EA17" s="4"/>
      <c r="EH17" s="46">
        <v>14.6</v>
      </c>
      <c r="FC17" s="4"/>
      <c r="FJ17" s="46">
        <v>20.7</v>
      </c>
      <c r="GE17" s="4"/>
      <c r="GL17" s="46">
        <v>20.7</v>
      </c>
      <c r="HG17" s="4"/>
      <c r="HN17" s="46">
        <v>20.7</v>
      </c>
      <c r="II17" s="4"/>
      <c r="IP17" s="46">
        <v>20.7</v>
      </c>
      <c r="JK17" s="4"/>
      <c r="JR17" s="46">
        <v>20.7</v>
      </c>
      <c r="KM17" s="4"/>
      <c r="KT17" s="46">
        <v>20.7</v>
      </c>
      <c r="LO17" s="4"/>
      <c r="LV17" s="46">
        <v>20.7</v>
      </c>
      <c r="MQ17" s="4"/>
      <c r="MX17" s="46">
        <v>20.7</v>
      </c>
      <c r="NS17" s="4"/>
      <c r="NZ17" s="46">
        <v>20.7</v>
      </c>
      <c r="OU17" s="4"/>
      <c r="PB17" s="46">
        <v>20.7</v>
      </c>
      <c r="PW17" s="4"/>
      <c r="QD17" s="46">
        <v>20.7</v>
      </c>
    </row>
    <row r="18" spans="1:456" ht="17" x14ac:dyDescent="0.2">
      <c r="A18" s="5"/>
      <c r="B18" s="35" t="s">
        <v>51</v>
      </c>
      <c r="C18" s="20"/>
      <c r="R18" s="10"/>
      <c r="S18" s="10"/>
      <c r="T18" s="10"/>
      <c r="AP18" s="4"/>
      <c r="AW18" s="47">
        <v>46.2</v>
      </c>
      <c r="BS18" s="4"/>
      <c r="BZ18" s="47">
        <v>46.2</v>
      </c>
      <c r="CV18" s="4"/>
      <c r="DC18" s="47">
        <v>46.2</v>
      </c>
      <c r="EA18" s="4"/>
      <c r="EH18" s="47">
        <v>45</v>
      </c>
      <c r="FC18" s="4"/>
      <c r="FJ18" s="47">
        <v>46.2</v>
      </c>
      <c r="GE18" s="4"/>
      <c r="GL18" s="47">
        <v>46.2</v>
      </c>
      <c r="HG18" s="4"/>
      <c r="HN18" s="47">
        <v>46.2</v>
      </c>
      <c r="II18" s="4"/>
      <c r="IP18" s="47">
        <v>46.2</v>
      </c>
      <c r="JK18" s="4"/>
      <c r="JR18" s="47">
        <v>46.2</v>
      </c>
      <c r="KM18" s="4"/>
      <c r="KT18" s="47">
        <v>46.2</v>
      </c>
      <c r="LO18" s="4"/>
      <c r="LV18" s="47">
        <v>46.2</v>
      </c>
      <c r="MQ18" s="4"/>
      <c r="MX18" s="47">
        <v>46.2</v>
      </c>
      <c r="NS18" s="4"/>
      <c r="NZ18" s="47">
        <v>46.2</v>
      </c>
      <c r="OU18" s="4"/>
      <c r="PB18" s="47">
        <v>46.2</v>
      </c>
      <c r="PW18" s="4"/>
      <c r="QD18" s="47">
        <v>46.2</v>
      </c>
    </row>
    <row r="19" spans="1:456" ht="17" x14ac:dyDescent="0.2">
      <c r="A19" s="5"/>
      <c r="B19" s="25" t="s">
        <v>52</v>
      </c>
      <c r="C19" s="20"/>
      <c r="R19" s="10"/>
      <c r="S19" s="10"/>
      <c r="T19" s="10"/>
      <c r="AP19" s="4"/>
      <c r="AW19" s="48">
        <v>70.5</v>
      </c>
      <c r="BS19" s="4"/>
      <c r="BZ19" s="48">
        <v>70.5</v>
      </c>
      <c r="CV19" s="4"/>
      <c r="DC19" s="48">
        <v>70.5</v>
      </c>
      <c r="EA19" s="4"/>
      <c r="EH19" s="48">
        <v>46.2</v>
      </c>
      <c r="FC19" s="4"/>
      <c r="FJ19" s="48">
        <v>70.5</v>
      </c>
      <c r="GE19" s="4"/>
      <c r="GL19" s="48">
        <v>70.5</v>
      </c>
      <c r="HG19" s="4"/>
      <c r="HN19" s="48">
        <v>70.5</v>
      </c>
      <c r="II19" s="4"/>
      <c r="IP19" s="48">
        <v>70.5</v>
      </c>
      <c r="JK19" s="4"/>
      <c r="JR19" s="48">
        <v>70.5</v>
      </c>
      <c r="KM19" s="4"/>
      <c r="KT19" s="48">
        <v>70.5</v>
      </c>
      <c r="LO19" s="4"/>
      <c r="LV19" s="48">
        <v>70.5</v>
      </c>
      <c r="MQ19" s="4"/>
      <c r="MX19" s="48">
        <v>70.5</v>
      </c>
      <c r="NS19" s="4"/>
      <c r="NZ19" s="48">
        <v>70.5</v>
      </c>
      <c r="OU19" s="4"/>
      <c r="PB19" s="48">
        <v>70.5</v>
      </c>
      <c r="PW19" s="4"/>
      <c r="QD19" s="48">
        <v>70.5</v>
      </c>
    </row>
    <row r="20" spans="1:456" ht="17" x14ac:dyDescent="0.2">
      <c r="A20" s="5"/>
      <c r="B20" s="34" t="s">
        <v>66</v>
      </c>
      <c r="C20" s="20"/>
      <c r="R20" s="10"/>
      <c r="S20" s="10"/>
      <c r="T20" s="10"/>
      <c r="AP20" s="4"/>
      <c r="AW20" s="49">
        <v>74.400000000000006</v>
      </c>
      <c r="BS20" s="4"/>
      <c r="BZ20" s="49">
        <v>74.400000000000006</v>
      </c>
      <c r="CV20" s="4"/>
      <c r="DC20" s="49">
        <v>74.400000000000006</v>
      </c>
      <c r="EA20" s="4"/>
      <c r="EH20" s="49">
        <v>47.4</v>
      </c>
      <c r="FC20" s="4"/>
      <c r="FJ20" s="49">
        <v>74.400000000000006</v>
      </c>
      <c r="GE20" s="4"/>
      <c r="GL20" s="49">
        <v>74.400000000000006</v>
      </c>
      <c r="HG20" s="4"/>
      <c r="HN20" s="49">
        <v>74.400000000000006</v>
      </c>
      <c r="II20" s="4"/>
      <c r="IP20" s="49">
        <v>74.400000000000006</v>
      </c>
      <c r="JK20" s="4"/>
      <c r="JR20" s="49">
        <v>74.400000000000006</v>
      </c>
      <c r="KM20" s="4"/>
      <c r="KT20" s="49">
        <v>74.400000000000006</v>
      </c>
      <c r="LO20" s="4"/>
      <c r="LV20" s="49">
        <v>74.400000000000006</v>
      </c>
      <c r="MQ20" s="4"/>
      <c r="MX20" s="49">
        <v>74.400000000000006</v>
      </c>
      <c r="NS20" s="4"/>
      <c r="NZ20" s="49">
        <v>74.400000000000006</v>
      </c>
      <c r="OU20" s="4"/>
      <c r="PB20" s="49">
        <v>74.400000000000006</v>
      </c>
      <c r="PW20" s="4"/>
      <c r="QD20" s="49">
        <v>74.400000000000006</v>
      </c>
    </row>
    <row r="21" spans="1:456" ht="17" x14ac:dyDescent="0.2">
      <c r="A21" s="5"/>
      <c r="B21" s="26" t="s">
        <v>35</v>
      </c>
      <c r="C21" s="20"/>
      <c r="R21" s="10"/>
      <c r="S21" s="10"/>
      <c r="T21" s="10"/>
      <c r="AP21" s="4"/>
      <c r="AW21" s="50">
        <v>76.7</v>
      </c>
      <c r="BS21" s="4"/>
      <c r="BZ21" s="50">
        <v>76.7</v>
      </c>
      <c r="CV21" s="4"/>
      <c r="DC21" s="50">
        <v>76.7</v>
      </c>
      <c r="EA21" s="4"/>
      <c r="EH21" s="50">
        <v>51</v>
      </c>
      <c r="FC21" s="4"/>
      <c r="FJ21" s="50">
        <v>76.7</v>
      </c>
      <c r="GE21" s="4"/>
      <c r="GL21" s="50">
        <v>76.7</v>
      </c>
      <c r="HG21" s="4"/>
      <c r="HN21" s="50">
        <v>76.7</v>
      </c>
      <c r="II21" s="4"/>
      <c r="IP21" s="50">
        <v>76.7</v>
      </c>
      <c r="JK21" s="4"/>
      <c r="JR21" s="50">
        <v>76.7</v>
      </c>
      <c r="KM21" s="4"/>
      <c r="KT21" s="50">
        <v>76.7</v>
      </c>
      <c r="LO21" s="4"/>
      <c r="LV21" s="50">
        <v>76.7</v>
      </c>
      <c r="MQ21" s="4"/>
      <c r="MX21" s="50">
        <v>76.7</v>
      </c>
      <c r="NS21" s="4"/>
      <c r="NZ21" s="50">
        <v>76.7</v>
      </c>
      <c r="OU21" s="4"/>
      <c r="PB21" s="50">
        <v>76.7</v>
      </c>
      <c r="PW21" s="4"/>
      <c r="QD21" s="50">
        <v>76.7</v>
      </c>
    </row>
    <row r="22" spans="1:456" x14ac:dyDescent="0.2">
      <c r="B22" s="30" t="s">
        <v>58</v>
      </c>
      <c r="C22" s="2"/>
    </row>
    <row r="23" spans="1:456" x14ac:dyDescent="0.2">
      <c r="A23" s="5"/>
      <c r="B23" s="5"/>
      <c r="C23" s="20"/>
      <c r="QF23" s="2"/>
      <c r="QG23" s="2"/>
      <c r="QH23" s="2"/>
      <c r="QI23" s="2"/>
      <c r="QJ23" s="2"/>
      <c r="QK23" s="2"/>
      <c r="QL23" s="2"/>
      <c r="QM23" s="2"/>
      <c r="QN23" s="2"/>
    </row>
    <row r="24" spans="1:456" x14ac:dyDescent="0.2">
      <c r="A24" s="5"/>
      <c r="B24" s="5"/>
      <c r="C24" s="20"/>
    </row>
    <row r="25" spans="1:456" x14ac:dyDescent="0.2">
      <c r="A25" s="5"/>
      <c r="B25" s="5"/>
      <c r="C25" s="20"/>
    </row>
    <row r="26" spans="1:456" x14ac:dyDescent="0.2">
      <c r="A26" s="5"/>
      <c r="B26" s="5"/>
      <c r="C26" s="5"/>
    </row>
    <row r="29" spans="1:456" x14ac:dyDescent="0.2">
      <c r="B29" s="61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1">
      <sortCondition descending="1" ref="F1:F12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1">
    <cfRule type="expression" dxfId="433" priority="29" stopIfTrue="1">
      <formula>IF($AO4&lt;&gt;"",1,0)</formula>
    </cfRule>
  </conditionalFormatting>
  <conditionalFormatting sqref="AX4:BZ11">
    <cfRule type="expression" dxfId="432" priority="28" stopIfTrue="1">
      <formula>IF($BR4&lt;&gt;"",1,0)</formula>
    </cfRule>
  </conditionalFormatting>
  <conditionalFormatting sqref="M1:M3 O1:O3 K1:K1048576 Q1:Q1048576 M4:O1048576">
    <cfRule type="expression" dxfId="431" priority="25">
      <formula>IF(K1=$CA$1,1,0)</formula>
    </cfRule>
    <cfRule type="expression" dxfId="430" priority="26">
      <formula>IF(K1=$AX$1,1,0)</formula>
    </cfRule>
    <cfRule type="expression" dxfId="429" priority="27">
      <formula>IF(K1=$U$1,1,0)</formula>
    </cfRule>
  </conditionalFormatting>
  <conditionalFormatting sqref="CA4:DC11">
    <cfRule type="expression" dxfId="428" priority="24" stopIfTrue="1">
      <formula>IF($CU4&lt;&gt;"",1,0)</formula>
    </cfRule>
  </conditionalFormatting>
  <conditionalFormatting sqref="A4:A1048576">
    <cfRule type="expression" dxfId="405" priority="23" stopIfTrue="1">
      <formula>IF(A4&gt;8,1,0)</formula>
    </cfRule>
    <cfRule type="expression" dxfId="406" priority="1">
      <formula>AND(G4="P",F4="")</formula>
    </cfRule>
  </conditionalFormatting>
  <conditionalFormatting sqref="H1:H1048576">
    <cfRule type="containsText" dxfId="427" priority="18" operator="containsText" text="No DD">
      <formula>NOT(ISERROR(SEARCH("No DD",H1)))</formula>
    </cfRule>
    <cfRule type="containsText" dxfId="426" priority="19" operator="containsText" text="Merit">
      <formula>NOT(ISERROR(SEARCH("Merit",H1)))</formula>
    </cfRule>
    <cfRule type="containsText" dxfId="425" priority="20" operator="containsText" text="Excellence">
      <formula>NOT(ISERROR(SEARCH("Excellence",H1)))</formula>
    </cfRule>
    <cfRule type="containsText" dxfId="424" priority="21" operator="containsText" text="Worlds Team">
      <formula>NOT(ISERROR(SEARCH("Worlds Team",H1)))</formula>
    </cfRule>
    <cfRule type="containsText" dxfId="423" priority="22" operator="containsText" text="National Team">
      <formula>NOT(ISERROR(SEARCH("National Team",H1)))</formula>
    </cfRule>
  </conditionalFormatting>
  <conditionalFormatting sqref="AT22:AT1048576 BW22:BW1048576 EE22:EE1048576 BW1:BW20 CZ1:CZ1048576 EE1:EE20 FG1:FG1048576 GI1:GI1048576 HK1:HK1048576 IM1:IM1048576 JO1:JO1048576 KQ1:KQ1048576 LS1:LS1048576 MU1:MU1048576 NW1:NW1048576 OY1:OY1048576 QA1:QA1048576 AT1:AT20">
    <cfRule type="cellIs" dxfId="422" priority="15" operator="between">
      <formula>AW$21</formula>
      <formula>1000</formula>
    </cfRule>
    <cfRule type="cellIs" dxfId="421" priority="16" operator="between">
      <formula>AW$20</formula>
      <formula>AW$21</formula>
    </cfRule>
    <cfRule type="cellIs" dxfId="420" priority="17" operator="between">
      <formula>AW$19</formula>
      <formula>AW$20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419" priority="75186" operator="between">
      <formula>AW$14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418" priority="75231" operator="between">
      <formula>AW$18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417" priority="75276" operator="between">
      <formula>AW$14</formula>
      <formula>AW$15</formula>
    </cfRule>
    <cfRule type="cellIs" dxfId="416" priority="75277" operator="between">
      <formula>AW$15</formula>
      <formula>AW$16</formula>
    </cfRule>
    <cfRule type="cellIs" dxfId="415" priority="75278" operator="between">
      <formula>AW$16</formula>
      <formula>AW$17</formula>
    </cfRule>
    <cfRule type="cellIs" dxfId="414" priority="75279" operator="between">
      <formula>AW$17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413" priority="75456" operator="between">
      <formula>AW$18</formula>
      <formula>AW$19</formula>
    </cfRule>
    <cfRule type="cellIs" dxfId="412" priority="75457" operator="between">
      <formula>AW$19</formula>
      <formula>AW$20</formula>
    </cfRule>
    <cfRule type="cellIs" dxfId="411" priority="75458" operator="between">
      <formula>AW$20</formula>
      <formula>AW$21</formula>
    </cfRule>
    <cfRule type="cellIs" dxfId="410" priority="75459" operator="between">
      <formula>AW$21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409" priority="75636" operator="between">
      <formula>AW$17</formula>
      <formula>1000</formula>
    </cfRule>
    <cfRule type="cellIs" dxfId="408" priority="75637" operator="between">
      <formula>AW$16</formula>
      <formula>AW$17</formula>
    </cfRule>
    <cfRule type="cellIs" dxfId="407" priority="75638" operator="between">
      <formula>AW$15</formula>
      <formula>AW$16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G28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hidden="1" customWidth="1"/>
    <col min="279" max="298" width="10.83203125" hidden="1" customWidth="1"/>
    <col min="299" max="306" width="10.83203125" style="37" hidden="1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7" t="s">
        <v>11</v>
      </c>
      <c r="H1" s="66" t="s">
        <v>12</v>
      </c>
      <c r="I1" s="67" t="s">
        <v>89</v>
      </c>
      <c r="J1" s="72" t="s">
        <v>122</v>
      </c>
      <c r="K1" s="68" t="s">
        <v>33</v>
      </c>
      <c r="L1" s="72" t="s">
        <v>123</v>
      </c>
      <c r="M1" s="68" t="s">
        <v>33</v>
      </c>
      <c r="N1" s="72" t="s">
        <v>124</v>
      </c>
      <c r="O1" s="68" t="s">
        <v>33</v>
      </c>
      <c r="P1" s="68" t="s">
        <v>13</v>
      </c>
      <c r="Q1" s="68" t="s">
        <v>33</v>
      </c>
      <c r="R1" s="71" t="s">
        <v>14</v>
      </c>
      <c r="S1" s="68" t="s">
        <v>34</v>
      </c>
      <c r="T1" s="68" t="s">
        <v>33</v>
      </c>
      <c r="U1" s="69" t="s">
        <v>183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4" t="s">
        <v>220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237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5" t="s">
        <v>64</v>
      </c>
      <c r="DE1" s="75"/>
      <c r="DF1" s="75"/>
      <c r="DG1" s="69" t="s">
        <v>177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4" t="s">
        <v>213</v>
      </c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69" t="s">
        <v>232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4" t="s">
        <v>250</v>
      </c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69" t="s">
        <v>259</v>
      </c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4"/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69"/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72"/>
      <c r="O2" s="68"/>
      <c r="P2" s="68"/>
      <c r="Q2" s="68"/>
      <c r="R2" s="71"/>
      <c r="S2" s="68"/>
      <c r="T2" s="68"/>
      <c r="U2" s="70" t="s">
        <v>114</v>
      </c>
      <c r="V2" s="70"/>
      <c r="W2" s="70"/>
      <c r="X2" s="70"/>
      <c r="Y2" s="70" t="s">
        <v>115</v>
      </c>
      <c r="Z2" s="70"/>
      <c r="AA2" s="70"/>
      <c r="AB2" s="70"/>
      <c r="AC2" s="70" t="s">
        <v>116</v>
      </c>
      <c r="AD2" s="70"/>
      <c r="AE2" s="70"/>
      <c r="AF2" s="70"/>
      <c r="AG2" s="70" t="s">
        <v>117</v>
      </c>
      <c r="AH2" s="70"/>
      <c r="AI2" s="70"/>
      <c r="AJ2" s="70"/>
      <c r="AK2" s="77" t="s">
        <v>118</v>
      </c>
      <c r="AL2" s="77"/>
      <c r="AM2" s="77"/>
      <c r="AN2" s="77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73" t="s">
        <v>114</v>
      </c>
      <c r="AY2" s="73"/>
      <c r="AZ2" s="73"/>
      <c r="BA2" s="73"/>
      <c r="BB2" s="73" t="s">
        <v>115</v>
      </c>
      <c r="BC2" s="73"/>
      <c r="BD2" s="73"/>
      <c r="BE2" s="73"/>
      <c r="BF2" s="73" t="s">
        <v>116</v>
      </c>
      <c r="BG2" s="73"/>
      <c r="BH2" s="73"/>
      <c r="BI2" s="73"/>
      <c r="BJ2" s="73" t="s">
        <v>117</v>
      </c>
      <c r="BK2" s="73"/>
      <c r="BL2" s="73"/>
      <c r="BM2" s="73"/>
      <c r="BN2" s="76" t="s">
        <v>118</v>
      </c>
      <c r="BO2" s="76"/>
      <c r="BP2" s="76"/>
      <c r="BQ2" s="76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70" t="s">
        <v>114</v>
      </c>
      <c r="CB2" s="70"/>
      <c r="CC2" s="70"/>
      <c r="CD2" s="70"/>
      <c r="CE2" s="70" t="s">
        <v>115</v>
      </c>
      <c r="CF2" s="70"/>
      <c r="CG2" s="70"/>
      <c r="CH2" s="70"/>
      <c r="CI2" s="70" t="s">
        <v>116</v>
      </c>
      <c r="CJ2" s="70"/>
      <c r="CK2" s="70"/>
      <c r="CL2" s="70"/>
      <c r="CM2" s="70" t="s">
        <v>117</v>
      </c>
      <c r="CN2" s="70"/>
      <c r="CO2" s="70"/>
      <c r="CP2" s="70"/>
      <c r="CQ2" s="77" t="s">
        <v>118</v>
      </c>
      <c r="CR2" s="77"/>
      <c r="CS2" s="77"/>
      <c r="CT2" s="77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70" t="s">
        <v>114</v>
      </c>
      <c r="DH2" s="70"/>
      <c r="DI2" s="70"/>
      <c r="DJ2" s="70"/>
      <c r="DK2" s="70" t="s">
        <v>115</v>
      </c>
      <c r="DL2" s="70"/>
      <c r="DM2" s="70"/>
      <c r="DN2" s="70"/>
      <c r="DO2" s="70" t="s">
        <v>116</v>
      </c>
      <c r="DP2" s="70"/>
      <c r="DQ2" s="70"/>
      <c r="DR2" s="70"/>
      <c r="DS2" s="70" t="s">
        <v>117</v>
      </c>
      <c r="DT2" s="70"/>
      <c r="DU2" s="70"/>
      <c r="DV2" s="70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73" t="s">
        <v>114</v>
      </c>
      <c r="EJ2" s="73"/>
      <c r="EK2" s="73"/>
      <c r="EL2" s="73"/>
      <c r="EM2" s="73" t="s">
        <v>115</v>
      </c>
      <c r="EN2" s="73"/>
      <c r="EO2" s="73"/>
      <c r="EP2" s="73"/>
      <c r="EQ2" s="73" t="s">
        <v>116</v>
      </c>
      <c r="ER2" s="73"/>
      <c r="ES2" s="73"/>
      <c r="ET2" s="73"/>
      <c r="EU2" s="73" t="s">
        <v>117</v>
      </c>
      <c r="EV2" s="73"/>
      <c r="EW2" s="73"/>
      <c r="EX2" s="73"/>
      <c r="EY2" s="76" t="s">
        <v>118</v>
      </c>
      <c r="EZ2" s="76"/>
      <c r="FA2" s="76"/>
      <c r="FB2" s="76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70" t="s">
        <v>114</v>
      </c>
      <c r="FL2" s="70"/>
      <c r="FM2" s="70"/>
      <c r="FN2" s="70"/>
      <c r="FO2" s="70" t="s">
        <v>115</v>
      </c>
      <c r="FP2" s="70"/>
      <c r="FQ2" s="70"/>
      <c r="FR2" s="70"/>
      <c r="FS2" s="70" t="s">
        <v>116</v>
      </c>
      <c r="FT2" s="70"/>
      <c r="FU2" s="70"/>
      <c r="FV2" s="70"/>
      <c r="FW2" s="70" t="s">
        <v>117</v>
      </c>
      <c r="FX2" s="70"/>
      <c r="FY2" s="70"/>
      <c r="FZ2" s="70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73" t="s">
        <v>114</v>
      </c>
      <c r="GN2" s="73"/>
      <c r="GO2" s="73"/>
      <c r="GP2" s="73"/>
      <c r="GQ2" s="73" t="s">
        <v>115</v>
      </c>
      <c r="GR2" s="73"/>
      <c r="GS2" s="73"/>
      <c r="GT2" s="73"/>
      <c r="GU2" s="73" t="s">
        <v>116</v>
      </c>
      <c r="GV2" s="73"/>
      <c r="GW2" s="73"/>
      <c r="GX2" s="73"/>
      <c r="GY2" s="73" t="s">
        <v>117</v>
      </c>
      <c r="GZ2" s="73"/>
      <c r="HA2" s="73"/>
      <c r="HB2" s="73"/>
      <c r="HC2" s="76" t="s">
        <v>118</v>
      </c>
      <c r="HD2" s="76"/>
      <c r="HE2" s="76"/>
      <c r="HF2" s="76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70" t="s">
        <v>114</v>
      </c>
      <c r="HP2" s="70"/>
      <c r="HQ2" s="70"/>
      <c r="HR2" s="70"/>
      <c r="HS2" s="70" t="s">
        <v>115</v>
      </c>
      <c r="HT2" s="70"/>
      <c r="HU2" s="70"/>
      <c r="HV2" s="70"/>
      <c r="HW2" s="70" t="s">
        <v>116</v>
      </c>
      <c r="HX2" s="70"/>
      <c r="HY2" s="70"/>
      <c r="HZ2" s="70"/>
      <c r="IA2" s="70" t="s">
        <v>117</v>
      </c>
      <c r="IB2" s="70"/>
      <c r="IC2" s="70"/>
      <c r="ID2" s="70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73" t="s">
        <v>114</v>
      </c>
      <c r="IR2" s="73"/>
      <c r="IS2" s="73"/>
      <c r="IT2" s="73"/>
      <c r="IU2" s="73" t="s">
        <v>115</v>
      </c>
      <c r="IV2" s="73"/>
      <c r="IW2" s="73"/>
      <c r="IX2" s="73"/>
      <c r="IY2" s="73" t="s">
        <v>116</v>
      </c>
      <c r="IZ2" s="73"/>
      <c r="JA2" s="73"/>
      <c r="JB2" s="73"/>
      <c r="JC2" s="73" t="s">
        <v>117</v>
      </c>
      <c r="JD2" s="73"/>
      <c r="JE2" s="73"/>
      <c r="JF2" s="73"/>
      <c r="JG2" s="76" t="s">
        <v>118</v>
      </c>
      <c r="JH2" s="76"/>
      <c r="JI2" s="76"/>
      <c r="JJ2" s="76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70" t="s">
        <v>114</v>
      </c>
      <c r="JT2" s="70"/>
      <c r="JU2" s="70"/>
      <c r="JV2" s="70"/>
      <c r="JW2" s="70" t="s">
        <v>115</v>
      </c>
      <c r="JX2" s="70"/>
      <c r="JY2" s="70"/>
      <c r="JZ2" s="70"/>
      <c r="KA2" s="70" t="s">
        <v>116</v>
      </c>
      <c r="KB2" s="70"/>
      <c r="KC2" s="70"/>
      <c r="KD2" s="70"/>
      <c r="KE2" s="70" t="s">
        <v>117</v>
      </c>
      <c r="KF2" s="70"/>
      <c r="KG2" s="70"/>
      <c r="KH2" s="70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73" t="s">
        <v>114</v>
      </c>
      <c r="KV2" s="73"/>
      <c r="KW2" s="73"/>
      <c r="KX2" s="73"/>
      <c r="KY2" s="73" t="s">
        <v>115</v>
      </c>
      <c r="KZ2" s="73"/>
      <c r="LA2" s="73"/>
      <c r="LB2" s="73"/>
      <c r="LC2" s="73" t="s">
        <v>116</v>
      </c>
      <c r="LD2" s="73"/>
      <c r="LE2" s="73"/>
      <c r="LF2" s="73"/>
      <c r="LG2" s="73" t="s">
        <v>117</v>
      </c>
      <c r="LH2" s="73"/>
      <c r="LI2" s="73"/>
      <c r="LJ2" s="73"/>
      <c r="LK2" s="76" t="s">
        <v>118</v>
      </c>
      <c r="LL2" s="76"/>
      <c r="LM2" s="76"/>
      <c r="LN2" s="76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70" t="s">
        <v>114</v>
      </c>
      <c r="LX2" s="70"/>
      <c r="LY2" s="70"/>
      <c r="LZ2" s="70"/>
      <c r="MA2" s="70" t="s">
        <v>115</v>
      </c>
      <c r="MB2" s="70"/>
      <c r="MC2" s="70"/>
      <c r="MD2" s="70"/>
      <c r="ME2" s="70" t="s">
        <v>116</v>
      </c>
      <c r="MF2" s="70"/>
      <c r="MG2" s="70"/>
      <c r="MH2" s="70"/>
      <c r="MI2" s="70" t="s">
        <v>117</v>
      </c>
      <c r="MJ2" s="70"/>
      <c r="MK2" s="70"/>
      <c r="ML2" s="70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73" t="s">
        <v>114</v>
      </c>
      <c r="MZ2" s="73"/>
      <c r="NA2" s="73"/>
      <c r="NB2" s="73"/>
      <c r="NC2" s="73" t="s">
        <v>115</v>
      </c>
      <c r="ND2" s="73"/>
      <c r="NE2" s="73"/>
      <c r="NF2" s="73"/>
      <c r="NG2" s="73" t="s">
        <v>116</v>
      </c>
      <c r="NH2" s="73"/>
      <c r="NI2" s="73"/>
      <c r="NJ2" s="73"/>
      <c r="NK2" s="73" t="s">
        <v>117</v>
      </c>
      <c r="NL2" s="73"/>
      <c r="NM2" s="73"/>
      <c r="NN2" s="73"/>
      <c r="NO2" s="76" t="s">
        <v>118</v>
      </c>
      <c r="NP2" s="76"/>
      <c r="NQ2" s="76"/>
      <c r="NR2" s="76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70" t="s">
        <v>114</v>
      </c>
      <c r="OB2" s="70"/>
      <c r="OC2" s="70"/>
      <c r="OD2" s="70"/>
      <c r="OE2" s="70" t="s">
        <v>115</v>
      </c>
      <c r="OF2" s="70"/>
      <c r="OG2" s="70"/>
      <c r="OH2" s="70"/>
      <c r="OI2" s="70" t="s">
        <v>116</v>
      </c>
      <c r="OJ2" s="70"/>
      <c r="OK2" s="70"/>
      <c r="OL2" s="70"/>
      <c r="OM2" s="70" t="s">
        <v>117</v>
      </c>
      <c r="ON2" s="70"/>
      <c r="OO2" s="70"/>
      <c r="OP2" s="70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73" t="s">
        <v>114</v>
      </c>
      <c r="PD2" s="73"/>
      <c r="PE2" s="73"/>
      <c r="PF2" s="73"/>
      <c r="PG2" s="73" t="s">
        <v>115</v>
      </c>
      <c r="PH2" s="73"/>
      <c r="PI2" s="73"/>
      <c r="PJ2" s="73"/>
      <c r="PK2" s="73" t="s">
        <v>116</v>
      </c>
      <c r="PL2" s="73"/>
      <c r="PM2" s="73"/>
      <c r="PN2" s="73"/>
      <c r="PO2" s="73" t="s">
        <v>117</v>
      </c>
      <c r="PP2" s="73"/>
      <c r="PQ2" s="73"/>
      <c r="PR2" s="73"/>
      <c r="PS2" s="76" t="s">
        <v>118</v>
      </c>
      <c r="PT2" s="76"/>
      <c r="PU2" s="76"/>
      <c r="PV2" s="76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70" t="s">
        <v>114</v>
      </c>
      <c r="QF2" s="70"/>
      <c r="QG2" s="70"/>
      <c r="QH2" s="70"/>
      <c r="QI2" s="70" t="s">
        <v>115</v>
      </c>
      <c r="QJ2" s="70"/>
      <c r="QK2" s="70"/>
      <c r="QL2" s="70"/>
      <c r="QM2" s="70" t="s">
        <v>116</v>
      </c>
      <c r="QN2" s="70"/>
      <c r="QO2" s="70"/>
      <c r="QP2" s="70"/>
      <c r="QQ2" s="70" t="s">
        <v>117</v>
      </c>
      <c r="QR2" s="70"/>
      <c r="QS2" s="70"/>
      <c r="QT2" s="70"/>
      <c r="QU2" s="77" t="s">
        <v>118</v>
      </c>
      <c r="QV2" s="77"/>
      <c r="QW2" s="77"/>
      <c r="QX2" s="77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72"/>
      <c r="O3" s="68"/>
      <c r="P3" s="68"/>
      <c r="Q3" s="68"/>
      <c r="R3" s="71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DD"),SUMPRODUCT((H$4:H$14&lt;&gt;"")*(H$4:H$14&lt;&gt;"No DD")*(E$4:E$14&gt;E4))+1,IF(H4="No DD",SUMPRODUCT((H$4:H$14="No DD")*(E$4:E$14&gt;E4))+1+SUMPRODUCT((H$4:H$14&lt;&gt;"")*(H$4:H$14&lt;&gt;"No DD")),""))</f>
        <v>1</v>
      </c>
      <c r="B4" s="5" t="s">
        <v>78</v>
      </c>
      <c r="C4" s="4" t="s">
        <v>3</v>
      </c>
      <c r="D4" s="4">
        <v>2003</v>
      </c>
      <c r="E4" s="9">
        <f t="shared" ref="E4:E13" si="0">SUM(J4:R4)+SUM(J4:N4)*0.0000001+SUM(J4)*0.0000000000001</f>
        <v>157.10001103000445</v>
      </c>
      <c r="F4" s="3" t="str">
        <f t="shared" ref="F4:F13" si="1">IF(OR(AND(AP4&gt;=AW$16,AQ4&gt;=AW$20,AP4&lt;&gt;"",AO4=""),AND(AU4&gt;=AW$16,AV4&gt;=AW$20,AU4&lt;&gt;"",AO4=""),AND(BS4&gt;=BZ$16,BT4&gt;=BZ$20,BS4&lt;&gt;"",BR4=""),AND(BX4&gt;=BZ$16,BY4&gt;=BZ$20,BX4&lt;&gt;"",BR4=""),AND(CV4&gt;=DC$16,CW4&gt;=DC$20,CV4&lt;&gt;"",CU4=""),AND(DA4&gt;=DC$16,DB4&gt;=DC$20,DA4&lt;&gt;""),AND(EA4&gt;=EH$16,EB4&gt;=EH$20,EA4&lt;&gt;""),AND(EF4&gt;=EH$16,EG4&gt;=EH$20,EF4&lt;&gt;""),AND(FC4&gt;=FJ$16,FD4&gt;=FJ$20,FC4&lt;&gt;""),AND(FH4&gt;=FJ$16,FI4&gt;=FJ$20,FH4&lt;&gt;""),AND(GE4&gt;=GL$16,GF4&gt;=GL$20,GE4&lt;&gt;""),AND(GJ4&gt;=GL$16,GK4&gt;=GL$20,GJ4&lt;&gt;""),AND(HG4&gt;=HN$16,HH4&gt;=HN$20,HG4&lt;&gt;""),AND(HL4&gt;=HN$16,HM4&gt;=HN$20,HL4&lt;&gt;""),AND(II4&gt;=IP$16,IJ4&gt;=IP$20,II4&lt;&gt;""),AND(IN4&gt;=IP$16,IO4&gt;=IP$20,IN4&lt;&gt;""),AND(JK4&gt;=JR$16,JL4&gt;=JR$20,JK4&lt;&gt;""),AND(JP4&gt;=JR$16,JQ4&gt;=JR$20,JP4&lt;&gt;""),AND(KM4&gt;=KT$16,KN4&gt;=KT$20,KM4&lt;&gt;""),AND(KR4&gt;=KT$16,KS4&gt;=KT$20,KR4&lt;&gt;""),AND(LO4&gt;=LV$16,LP4&gt;=LV$20,LO4&lt;&gt;""),AND(LT4&gt;=LV$16,LU4&gt;=LV$20,LT4&lt;&gt;""),AND(MQ4&gt;=MX$16,MR4&gt;=MX$20,MQ4&lt;&gt;""),AND(MV4&gt;=MX$16,MW4&gt;=MX$20,MV4&lt;&gt;""),AND(NS4&gt;=NZ$16,NT4&gt;=NZ$20,NS4&lt;&gt;""),AND(NX4&gt;=NZ$16,NY4&gt;=NZ$20,NX4&lt;&gt;""),AND(OU4&gt;=PB$16,OV4&gt;=PB$20,OU4&lt;&gt;""),AND(OZ4&gt;=PB$16,PA4&gt;=PB$20,OZ4&lt;&gt;""),AND(PW4&gt;=QD$16,PX4&gt;=QD$20,PW4&lt;&gt;""),AND(QB4&gt;=QD$16,QC4&gt;=QD$20,QB4&lt;&gt;"")),"P","")</f>
        <v>P</v>
      </c>
      <c r="G4" s="3" t="str">
        <f t="shared" ref="G4:G13" si="2">IF(OR(AND(AQ4&gt;=AW$20,AQ4&lt;&gt;"",AO4=""),AND(AV4&gt;=AW$20,AV4&lt;&gt;"",AO4=""),AND(BT4&gt;=BZ$20,BT4&lt;&gt;"",BR4=""),AND(BY4&gt;=BZ$20,BY4&lt;&gt;"",BR4=""),AND(CW4&gt;=DC$20,CW4&lt;&gt;"",CU4=""),AND(DB4&gt;=DC$20,DB4&lt;&gt;"",CU4=""),AND(EB4&gt;=EH$20,EB4&lt;&gt;""),AND(EG4&gt;=EH$20,EG4&lt;&gt;""),AND(FD4&gt;=FJ$20,FD4&lt;&gt;""),AND(FI4&gt;=FJ$20,FI4&lt;&gt;""),AND(GF4&gt;=GL$20,GF4&lt;&gt;""),AND(GK4&gt;=GL$20,GK4&lt;&gt;""),AND(HH4&gt;=HN$20,HH4&lt;&gt;""),AND(HM4&gt;=HN$20,HM4&lt;&gt;""),AND(IJ4&gt;=IP$20,IJ4&lt;&gt;""),AND(IO4&gt;=IP$20,IO4&lt;&gt;""),AND(JL4&gt;=JR$20,JL4&lt;&gt;""),AND(JQ4&gt;=JR$20,JQ4&lt;&gt;""),AND(KN4&gt;=KT$20,KN4&lt;&gt;""),AND(KS4&gt;=KT$20,KS4&lt;&gt;""),AND(LP4&gt;=LV$20,LP4&lt;&gt;""),AND(LU4&gt;=LV$20,LU4&lt;&gt;""),AND(MR4&gt;=MX$20,MR4&lt;&gt;""),AND(MW4&gt;=MX$20,MW4&lt;&gt;""),AND(NT4&gt;=NZ$20,NT4&lt;&gt;""),AND(NY4&gt;=NZ$20,NY4&lt;&gt;""),AND(OV4&gt;=PB$20,OV4&lt;&gt;""),AND(PA4&gt;=PB$20,PA4&lt;&gt;""),AND(PX4&gt;=QD$20,PX4&lt;&gt;""),AND(QC4&gt;=QD$20,QC4&lt;&gt;"")),"P","")</f>
        <v>P</v>
      </c>
      <c r="H4" s="37" t="str">
        <f t="shared" ref="H4:H13" si="3">IF(AND(G4="P",F4=""),"No DD",IF(OR(AND(AS4&gt;=AW$19,AT4&gt;=AW$23,AS4&lt;&gt;"",AO4=""),AND(BV4&gt;=BZ$19,BW4&gt;=BZ$23,BV4&lt;&gt;"",BR4=""),AND(CY4&gt;=DC$19,CZ4&gt;=DC$23,CY4&lt;&gt;"",CU4=""),AND(ED4&gt;=EH$19,EE4&gt;=EH$23,ED4&lt;&gt;""),AND(FF4&gt;=FJ$19,FG4&gt;=FJ$23,FF4&lt;&gt;""),AND(GH4&gt;=GL$19,GI4&gt;=GL$23,GH4&lt;&gt;""),AND(HJ4&gt;=HN$19,HK4&gt;=HN$23,HJ4&lt;&gt;""),AND(IL4&gt;=IP$19,IM4&gt;=IP$23,IL4&lt;&gt;""),AND(JN4&gt;=JR$19,JO4&gt;=JR$23,JN4&lt;&gt;""),AND(KP4&gt;=KT$19,KQ4&gt;=KT$23,KP4&lt;&gt;""),AND(LR4&gt;=LV$19,LS4&gt;=LV$23,LR4&lt;&gt;""),AND(MT4&gt;=MX$19,MU4&gt;=MX$23,MT4&lt;&gt;""),AND(NV4&gt;=NZ$19,NW4&gt;=NZ$23,NV4&lt;&gt;""),AND(OX4&gt;=PB$19,OY4&gt;=PB$23,OX4&lt;&gt;""),AND(PZ4&gt;=QD$19,QA4&gt;=QD$23,PZ4&lt;&gt;"")),"Merit",IF(OR(AND(AS4&gt;=AW$18,AT4&gt;=AW$22,AS4&lt;&gt;"",AO4=""),AND(BV4&gt;=BZ$18,BW4&gt;=BZ$22,BV4&lt;&gt;"",BR4=""),AND(CY4&gt;=DC$18,CZ4&gt;=DC$22,CY4&lt;&gt;"",CU4=""),AND(ED4&gt;=EH$18,EE4&gt;=EH$22,ED4&lt;&gt;""),AND(FF4&gt;=FJ$18,FG4&gt;=FJ$22,FF4&lt;&gt;""),AND(GH4&gt;=GL$18,GI4&gt;=GL$22,GH4&lt;&gt;""),AND(HJ4&gt;=HN$18,HK4&gt;=HN$22,HJ4&lt;&gt;""),AND(IL4&gt;=IP$18,IM4&gt;=IP$22,IL4&lt;&gt;""),AND(JN4&gt;=JR$18,JO4&gt;=JR$22,JN4&lt;&gt;""),AND(KP4&gt;=KT$18,KQ4&gt;=KT$22,KP4&lt;&gt;""),AND(LR4&gt;=LV$18,LS4&gt;=LV$22,LR4&lt;&gt;""),AND(MT4&gt;=MX$18,MU4&gt;=MX$22,MT4&lt;&gt;""),AND(NV4&gt;=NZ$18,NW4&gt;=NZ$22,NV4&lt;&gt;""),AND(OX4&gt;=PB$18,OY4&gt;=PB$22,OX4&lt;&gt;""),AND(PZ4&gt;=QD$18,QA4&gt;=QD$22,PZ4&lt;&gt;"")),"Excellence",IF(I4="P","Worlds Team",IF(F4="P","National Team","")))))</f>
        <v>National Team</v>
      </c>
      <c r="I4" s="3" t="str">
        <f t="shared" ref="I4:I13" si="4">IF(OR(AND(AS4&gt;=AW$17,AT4&gt;=AW$21,AS4&lt;&gt;"",AO4=""),AND(BV4&gt;=BZ$17,BW4&gt;=BZ$21,BV4&lt;&gt;"",BR4=""),AND(CY4&gt;=DC$17,CZ4&gt;=DC$21,CY4&lt;&gt;"",CU4=""),AND(ED4&gt;=EH$17,EE4&gt;=EH$21,ED4&lt;&gt;""),AND(FF4&gt;=FJ$17,FG4&gt;=FJ$21,FF4&lt;&gt;""),AND(GH4&gt;=GL$17,GI4&gt;=GL$21,GH4&lt;&gt;""),AND(HJ4&gt;=HN$17,HK4&gt;=HN$21,HJ4&lt;&gt;""),AND(IL4&gt;=IP$17,IM4&gt;=IP$21,IL4&lt;&gt;""),AND(JN4&gt;=JR$17,JO4&gt;=JR$21,JN4&lt;&gt;""),AND(KP4&gt;=KT$17,KQ4&gt;=KT$21,KP4&lt;&gt;""),AND(LR4&gt;=LV$17,LS4&gt;=LV$21,LR4&lt;&gt;""),AND(MT4&gt;=MX$17,MU4&gt;=MX$21,MT4&lt;&gt;""),AND(NV4&gt;=NZ$17,NW4&gt;=NZ$21,NV4&lt;&gt;""),AND(OX4&gt;=PB$17,OY4&gt;=PB$21,OX4&lt;&gt;""),AND(PZ4&gt;=QD$17,QA4&gt;=QD$21,PZ4&lt;&gt;"")),"P","")</f>
        <v/>
      </c>
      <c r="J4" s="8">
        <f>IF(COUNT(AQ4,BT4,CW4)&gt;0,LARGE((AQ4,BT4,CW4),1),0)</f>
        <v>44.70000000000001</v>
      </c>
      <c r="K4" s="8" t="str">
        <f t="shared" ref="K4:K13" si="5">IF(J4=0,"",IF(J4=CW4,$CA$1,IF(J4=BT4,$AX$1,IF(J4=AQ4,$U$1,""))))</f>
        <v>2023 Nationals</v>
      </c>
      <c r="L4" s="8">
        <f>IF(COUNT(AQ4,BT4,CW4)&gt;1,LARGE((AQ4,BT4,CW4),2),0)</f>
        <v>43.399999999999991</v>
      </c>
      <c r="M4" s="8" t="str">
        <f t="shared" ref="M4:M13" si="6">IF(L4=0,"",IF(L4=CW4,$CA$1,IF(L4=BT4,$AX$1,IF(L4=AQ4,$U$1,""))))</f>
        <v>2023 Elite Canada</v>
      </c>
      <c r="N4" s="8">
        <f>IF(COUNT(AR4,BU4,CX4)&gt;0,LARGE((AR4,BU4,CX4),1),0)</f>
        <v>22.200000000000003</v>
      </c>
      <c r="O4" s="8" t="str">
        <f t="shared" ref="O4:O13" si="7">IF(N4=0,"",IF(N4=CX4,$CA$1,IF(N4=BU4,$AX$1,IF(N4=AR4,$U$1,""))))</f>
        <v>2023 Elite Canada</v>
      </c>
      <c r="P4" s="8">
        <f t="shared" ref="P4:P13" si="8">IF(MAX(AV4,BY4,DB4)&gt;0,MAX(AV4,BY4,DB4),0)</f>
        <v>45.4</v>
      </c>
      <c r="Q4" s="8" t="str">
        <f t="shared" ref="Q4:Q13" si="9">IF(P4=0,"",IF(P4=DB4,$CA$1,IF(P4=BY4,$AX$1,IF(P4=AV4,$U$1,""))))</f>
        <v>2023 Nationals</v>
      </c>
      <c r="R4" s="8">
        <f t="shared" ref="R4:R13" si="10">IF(MAX(DD4:DF4)&gt;0,MAX(DD4:DF4),"")</f>
        <v>1.4000000000000128</v>
      </c>
      <c r="S4" s="11" t="str">
        <f t="shared" ref="S4:S13" si="11">IF(R4="","",IF(R4=DD4,"("&amp;DD$2&amp;")",IF(R4=DE4,"("&amp;DE$2&amp;")",IF(R4=DF4,"("&amp;DF$2&amp;")"))))</f>
        <v>(Q1)</v>
      </c>
      <c r="T4" s="8" t="str">
        <f t="shared" ref="T4:T13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>2023 World Cup USA (Aug 5)</v>
      </c>
      <c r="U4" s="19">
        <v>17.3</v>
      </c>
      <c r="V4" s="19">
        <v>3.9</v>
      </c>
      <c r="W4" s="19">
        <v>0</v>
      </c>
      <c r="X4" s="19">
        <v>0.3</v>
      </c>
      <c r="Y4" s="19">
        <v>17.3</v>
      </c>
      <c r="Z4" s="19">
        <v>4.3</v>
      </c>
      <c r="AA4" s="19">
        <v>0</v>
      </c>
      <c r="AB4" s="19">
        <v>0.3</v>
      </c>
      <c r="AC4" s="19">
        <v>16.8</v>
      </c>
      <c r="AD4" s="19">
        <v>4.8</v>
      </c>
      <c r="AE4" s="19">
        <v>0</v>
      </c>
      <c r="AF4" s="19">
        <v>0.6</v>
      </c>
      <c r="AG4" s="19">
        <v>17.100000000000001</v>
      </c>
      <c r="AH4" s="19">
        <v>4.3</v>
      </c>
      <c r="AI4" s="19">
        <v>0</v>
      </c>
      <c r="AJ4" s="19">
        <v>0.3</v>
      </c>
      <c r="AK4" s="19">
        <v>14.9</v>
      </c>
      <c r="AL4" s="19">
        <v>4.8</v>
      </c>
      <c r="AM4" s="19">
        <v>0</v>
      </c>
      <c r="AN4" s="19">
        <v>0.6</v>
      </c>
      <c r="AO4" s="28"/>
      <c r="AP4" s="41">
        <f t="shared" ref="AP4:AP13" si="13">IF(SUM(V4,Z4)&gt;0,SUM(V4,Z4),"")</f>
        <v>8.1999999999999993</v>
      </c>
      <c r="AQ4" s="41">
        <f t="shared" ref="AQ4:AQ13" si="14">IF(SUM(U4:V4,X4:Z4,AB4)-W4-AA4&gt;0,SUM(U4:V4,X4:Z4,AB4)-W4-AA4,"")</f>
        <v>43.399999999999991</v>
      </c>
      <c r="AR4" s="41">
        <f t="shared" ref="AR4:AR13" si="15">IF(SUM(AC4:AD4,AF4)-AE4&gt;0,SUM(AC4:AD4,AF4)-AE4,"")</f>
        <v>22.200000000000003</v>
      </c>
      <c r="AS4" s="41">
        <f t="shared" ref="AS4:AS13" si="16">IF(SUM(V4,Z4,AD4)&gt;0,SUM(V4,Z4,AD4),"")</f>
        <v>13</v>
      </c>
      <c r="AT4" s="41">
        <f t="shared" ref="AT4:AT13" si="17">IF(SUM(AQ4,AR4)&gt;0,SUM(AQ4,AR4),"")</f>
        <v>65.599999999999994</v>
      </c>
      <c r="AU4" s="41">
        <f t="shared" ref="AU4:AU13" si="18">IF(SUM(AH4,AL4)&gt;0,SUM(AH4,AL4),"")</f>
        <v>9.1</v>
      </c>
      <c r="AV4" s="41">
        <f t="shared" ref="AV4:AV13" si="19">IF(SUM(AG4:AH4,AJ4:AL4,AN4)-SUM(AI4,AM4)&gt;0,SUM(AG4:AH4,AJ4:AL4,AN4)-SUM(AI4,AM4),"")</f>
        <v>42</v>
      </c>
      <c r="AW4" s="41">
        <f t="shared" ref="AW4:AW13" si="20">IF(SUM(AQ4,AR4,AV4)&gt;0,SUM(AQ4,AR4,AV4),"")</f>
        <v>107.6</v>
      </c>
      <c r="AX4" s="18">
        <v>16.7</v>
      </c>
      <c r="AY4" s="18">
        <v>5</v>
      </c>
      <c r="AZ4" s="18">
        <v>0</v>
      </c>
      <c r="BA4" s="18">
        <v>0.6</v>
      </c>
      <c r="BB4" s="18">
        <v>16.600000000000001</v>
      </c>
      <c r="BC4" s="18">
        <v>5.2</v>
      </c>
      <c r="BD4" s="18">
        <v>0</v>
      </c>
      <c r="BE4" s="18">
        <v>0.6</v>
      </c>
      <c r="BF4" s="18">
        <v>14.9</v>
      </c>
      <c r="BG4" s="18">
        <v>5</v>
      </c>
      <c r="BH4" s="18">
        <v>0</v>
      </c>
      <c r="BI4" s="18">
        <v>0.6</v>
      </c>
      <c r="BJ4" s="18">
        <v>17.2</v>
      </c>
      <c r="BK4" s="18">
        <v>5</v>
      </c>
      <c r="BL4" s="18">
        <v>0</v>
      </c>
      <c r="BM4" s="18">
        <v>0.6</v>
      </c>
      <c r="BN4" s="18">
        <v>17</v>
      </c>
      <c r="BO4" s="18">
        <v>5.2</v>
      </c>
      <c r="BP4" s="18">
        <v>0.2</v>
      </c>
      <c r="BQ4" s="18">
        <v>0.6</v>
      </c>
      <c r="BR4" s="29"/>
      <c r="BS4" s="11">
        <f t="shared" ref="BS4:BS13" si="21">IF(SUM(AY4,BC4)&gt;0,SUM(AY4,BC4),"")</f>
        <v>10.199999999999999</v>
      </c>
      <c r="BT4" s="11">
        <f t="shared" ref="BT4:BT13" si="22">IF(SUM(AX4:AY4,BA4:BC4,BE4)-AZ4-BD4&gt;0,SUM(AX4:AY4,BA4:BC4,BE4)-AZ4-BD4,"")</f>
        <v>44.70000000000001</v>
      </c>
      <c r="BU4" s="11">
        <f t="shared" ref="BU4:BU13" si="23">IF(SUM(BF4:BG4,BI4)-BH4&gt;0,SUM(BF4:BG4,BI4)-BH4,"")</f>
        <v>20.5</v>
      </c>
      <c r="BV4" s="11">
        <f t="shared" ref="BV4:BV13" si="24">IF(SUM(AY4,BC4,BG4)&gt;0,SUM(AY4,BC4,BG4),"")</f>
        <v>15.2</v>
      </c>
      <c r="BW4" s="11">
        <f t="shared" ref="BW4:BW13" si="25">IF(SUM(BT4,BU4)&gt;0,SUM(BT4,BU4),"")</f>
        <v>65.200000000000017</v>
      </c>
      <c r="BX4" s="11">
        <f t="shared" ref="BX4:BX13" si="26">IF(SUM(BK4,BO4)&gt;0,SUM(BK4,BO4),"")</f>
        <v>10.199999999999999</v>
      </c>
      <c r="BY4" s="11">
        <f t="shared" ref="BY4:BY13" si="27">IF(SUM(BJ4:BK4,BM4:BO4,BQ4)-SUM(BL4,BP4)&gt;0,SUM(BJ4:BK4,BM4:BO4,BQ4)-SUM(BL4,BP4),"")</f>
        <v>45.4</v>
      </c>
      <c r="BZ4" s="11">
        <f t="shared" ref="BZ4:BZ13" si="28">IF(SUM(BT4,BU4,BY4)&gt;0,SUM(BT4,BU4,BY4),"")</f>
        <v>110.60000000000002</v>
      </c>
      <c r="CA4" s="19">
        <v>15.4</v>
      </c>
      <c r="CB4" s="19">
        <v>5</v>
      </c>
      <c r="CC4" s="19">
        <v>0</v>
      </c>
      <c r="CD4" s="19">
        <v>0.6</v>
      </c>
      <c r="CE4" s="19">
        <v>17</v>
      </c>
      <c r="CF4" s="19">
        <v>4.5999999999999996</v>
      </c>
      <c r="CG4" s="19">
        <v>0</v>
      </c>
      <c r="CH4" s="19">
        <v>0.6</v>
      </c>
      <c r="CI4" s="19">
        <v>15.9</v>
      </c>
      <c r="CJ4" s="19">
        <v>2.6</v>
      </c>
      <c r="CK4" s="19">
        <v>0</v>
      </c>
      <c r="CL4" s="19">
        <v>0.6</v>
      </c>
      <c r="CM4" s="19">
        <v>16.3</v>
      </c>
      <c r="CN4" s="19">
        <v>4.5999999999999996</v>
      </c>
      <c r="CO4" s="19">
        <v>0</v>
      </c>
      <c r="CP4" s="19">
        <v>0.6</v>
      </c>
      <c r="CQ4" s="19">
        <v>16.5</v>
      </c>
      <c r="CR4" s="19">
        <v>4.8</v>
      </c>
      <c r="CS4" s="19">
        <v>0</v>
      </c>
      <c r="CT4" s="19">
        <v>0.6</v>
      </c>
      <c r="CU4" s="28"/>
      <c r="CV4" s="41">
        <f t="shared" ref="CV4:CV13" si="29">IF(SUM(CB4,CF4)&gt;0,SUM(CB4,CF4),"")</f>
        <v>9.6</v>
      </c>
      <c r="CW4" s="41">
        <f t="shared" ref="CW4:CW13" si="30">IF(SUM(CA4:CB4,CD4:CF4,CH4)-CC4-CG4&gt;0,SUM(CA4:CB4,CD4:CF4,CH4)-CC4-CG4,"")</f>
        <v>43.2</v>
      </c>
      <c r="CX4" s="41">
        <f t="shared" ref="CX4:CX13" si="31">IF(SUM(CI4:CJ4,CL4)-CK4&gt;0,SUM(CI4:CJ4,CL4)-CK4,"")</f>
        <v>19.100000000000001</v>
      </c>
      <c r="CY4" s="41">
        <f t="shared" ref="CY4:CY13" si="32">IF(SUM(CB4,CF4,CJ4)&gt;0,SUM(CB4,CF4,CJ4),"")</f>
        <v>12.2</v>
      </c>
      <c r="CZ4" s="41">
        <f t="shared" ref="CZ4:CZ13" si="33">IF(SUM(CW4,CX4)&gt;0,SUM(CW4,CX4),"")</f>
        <v>62.300000000000004</v>
      </c>
      <c r="DA4" s="41">
        <f t="shared" ref="DA4:DA13" si="34">IF(SUM(CN4,CR4)&gt;0,SUM(CN4,CR4),"")</f>
        <v>9.3999999999999986</v>
      </c>
      <c r="DB4" s="41">
        <f t="shared" ref="DB4:DB13" si="35">IF(SUM(CM4:CN4,CP4:CR4,CT4)-SUM(CO4,CS4)&gt;0,SUM(CM4:CN4,CP4:CR4,CT4)-SUM(CO4,CS4),"")</f>
        <v>43.4</v>
      </c>
      <c r="DC4" s="41">
        <f t="shared" ref="DC4:DC13" si="36">IF(SUM(CW4,CX4,DB4)&gt;0,SUM(CW4,CX4,DB4),"")</f>
        <v>105.7</v>
      </c>
      <c r="DD4" s="52">
        <f t="shared" ref="DD4:DD13" si="37">IF(MAX(EB4,FD4,GF4,HH4,IJ4,JL4,KN4,LP4,MR4,NT4,OV4,PX4)-IF(L4="",0,L4)&gt;0.001,MAX(EB4,FD4,GF4,HH4,IJ4,JL4,KN4,LP4,MR4,NT4,OV4,PX4)-IF(L4="",0,L4),"")</f>
        <v>1.4000000000000128</v>
      </c>
      <c r="DE4" s="52" t="str">
        <f t="shared" ref="DE4:DE13" si="38">IF(MAX(EC4,FE4,GG4,HI4,IK4,JM4,KO4,LQ4,MS4,NU4,OW4,PY4)-IF(N4="",0,N4)&gt;0.001,MAX(EC4,FE4,GG4,HI4,IK4,JM4,KO4,LQ4,MS4,NU4,OW4,PY4)-IF(N4="",0,N4),"")</f>
        <v/>
      </c>
      <c r="DF4" s="52" t="str">
        <f t="shared" ref="DF4:DF13" si="39"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 t="shared" ref="EA4:EA13" si="40">IF(SUM(DH4,DL4)&gt;0,SUM(DH4,DL4),"")</f>
        <v/>
      </c>
      <c r="EB4" s="41" t="str">
        <f t="shared" ref="EB4:EB13" si="41">IF(SUM(DG4:DH4,DJ4:DL4,DN4)-DI4-DM4&gt;0,SUM(DG4:DH4,DJ4:DL4,DN4)-DI4-DM4,"")</f>
        <v/>
      </c>
      <c r="EC4" s="41" t="str">
        <f t="shared" ref="EC4:EC13" si="42">IF(SUM(DO4:DP4,DR4)-DQ4&gt;0,SUM(DO4:DP4,DR4)-DQ4,"")</f>
        <v/>
      </c>
      <c r="ED4" s="41" t="str">
        <f t="shared" ref="ED4:ED13" si="43">IF(SUM(DH4,DL4,DP4)&gt;0,SUM(DH4,DL4,DP4),"")</f>
        <v/>
      </c>
      <c r="EE4" s="41" t="str">
        <f t="shared" ref="EE4:EE13" si="44">IF(SUM(EB4,EC4)&gt;0,SUM(EB4,EC4),"")</f>
        <v/>
      </c>
      <c r="EF4" s="41" t="str">
        <f t="shared" ref="EF4:EF13" si="45">IF(SUM(DT4,DX4)&gt;0,SUM(DT4,DX4),"")</f>
        <v/>
      </c>
      <c r="EG4" s="41" t="str">
        <f t="shared" ref="EG4:EG13" si="46">IF(SUM(DS4:DT4,DV4:DX4,DZ4)-SUM(DU4,DY4)&gt;0,SUM(DS4:DT4,DV4:DX4,DZ4)-SUM(DU4,DY4),"")</f>
        <v/>
      </c>
      <c r="EH4" s="41" t="str">
        <f t="shared" ref="EH4:EH13" si="47">IF(SUM(EB4,EC4,EG4)&gt;0,SUM(EB4,EC4,EG4),"")</f>
        <v/>
      </c>
      <c r="EI4" s="18">
        <v>16.7</v>
      </c>
      <c r="EJ4" s="18">
        <v>4.3</v>
      </c>
      <c r="EK4" s="18">
        <v>0</v>
      </c>
      <c r="EL4" s="18">
        <v>0</v>
      </c>
      <c r="EM4" s="18">
        <v>15.1</v>
      </c>
      <c r="EN4" s="18">
        <v>5.2</v>
      </c>
      <c r="EO4" s="18">
        <v>0.2</v>
      </c>
      <c r="EP4" s="18">
        <v>0</v>
      </c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>
        <f t="shared" ref="FC4:FC13" si="48">IF(SUM(EJ4,EN4)&gt;0,SUM(EJ4,EN4),"")</f>
        <v>9.5</v>
      </c>
      <c r="FD4" s="11">
        <f t="shared" ref="FD4:FD13" si="49">IF(SUM(EI4:EJ4,EL4:EN4,EP4)-EK4-EO4&gt;0,SUM(EI4:EJ4,EL4:EN4,EP4)-EK4-EO4,"")</f>
        <v>41.1</v>
      </c>
      <c r="FE4" s="11" t="str">
        <f t="shared" ref="FE4:FE13" si="50">IF(SUM(EQ4:ER4,ET4)-ES4&gt;0,SUM(EQ4:ER4,ET4)-ES4,"")</f>
        <v/>
      </c>
      <c r="FF4" s="11">
        <f t="shared" ref="FF4:FF13" si="51">IF(SUM(EJ4,EN4,ER4)&gt;0,SUM(EJ4,EN4,ER4),"")</f>
        <v>9.5</v>
      </c>
      <c r="FG4" s="11">
        <f t="shared" ref="FG4:FG13" si="52">IF(SUM(FD4,FE4)&gt;0,SUM(FD4,FE4),"")</f>
        <v>41.1</v>
      </c>
      <c r="FH4" s="11" t="str">
        <f t="shared" ref="FH4:FH13" si="53">IF(SUM(EV4,EZ4)&gt;0,SUM(EV4,EZ4),"")</f>
        <v/>
      </c>
      <c r="FI4" s="11" t="str">
        <f t="shared" ref="FI4:FI13" si="54">IF(SUM(EU4:EV4,EX4:EZ4,FB4)-SUM(EW4,FA4)&gt;0,SUM(EU4:EV4,EX4:EZ4,FB4)-SUM(EW4,FA4),"")</f>
        <v/>
      </c>
      <c r="FJ4" s="11">
        <f t="shared" ref="FJ4:FJ13" si="55">IF(SUM(FD4,FE4,FI4)&gt;0,SUM(FD4,FE4,FI4),"")</f>
        <v>41.1</v>
      </c>
      <c r="FK4" s="17">
        <v>17.100000000000001</v>
      </c>
      <c r="FL4" s="17">
        <v>5</v>
      </c>
      <c r="FM4" s="17">
        <v>0</v>
      </c>
      <c r="FN4" s="17">
        <v>0</v>
      </c>
      <c r="FO4" s="17">
        <v>17.5</v>
      </c>
      <c r="FP4" s="17">
        <v>5.2</v>
      </c>
      <c r="FQ4" s="17">
        <v>0</v>
      </c>
      <c r="FR4" s="17">
        <v>0</v>
      </c>
      <c r="FS4" s="17"/>
      <c r="FT4" s="17"/>
      <c r="FU4" s="17"/>
      <c r="FV4" s="17"/>
      <c r="FW4" s="17">
        <v>16.899999999999999</v>
      </c>
      <c r="FX4" s="17">
        <v>5</v>
      </c>
      <c r="FY4" s="17">
        <v>0</v>
      </c>
      <c r="FZ4" s="17">
        <v>0</v>
      </c>
      <c r="GA4" s="17"/>
      <c r="GB4" s="17"/>
      <c r="GC4" s="17"/>
      <c r="GD4" s="17"/>
      <c r="GE4" s="41">
        <f t="shared" ref="GE4:GE13" si="56">IF(SUM(FL4,FP4)&gt;0,SUM(FL4,FP4),"")</f>
        <v>10.199999999999999</v>
      </c>
      <c r="GF4" s="41">
        <f t="shared" ref="GF4:GF13" si="57">IF(SUM(FK4:FL4,FN4:FP4,FR4)-FM4-FQ4&gt;0,SUM(FK4:FL4,FN4:FP4,FR4)-FM4-FQ4,"")</f>
        <v>44.800000000000004</v>
      </c>
      <c r="GG4" s="41" t="str">
        <f t="shared" ref="GG4:GG13" si="58">IF(SUM(FS4:FT4,FV4)-FU4&gt;0,SUM(FS4:FT4,FV4)-FU4,"")</f>
        <v/>
      </c>
      <c r="GH4" s="41">
        <f t="shared" ref="GH4:GH13" si="59">IF(SUM(FL4,FP4,FT4)&gt;0,SUM(FL4,FP4,FT4),"")</f>
        <v>10.199999999999999</v>
      </c>
      <c r="GI4" s="41">
        <f t="shared" ref="GI4:GI13" si="60">IF(SUM(GF4,GG4)&gt;0,SUM(GF4,GG4),"")</f>
        <v>44.800000000000004</v>
      </c>
      <c r="GJ4" s="41">
        <f t="shared" ref="GJ4:GJ13" si="61">IF(SUM(FX4,GB4)&gt;0,SUM(FX4,GB4),"")</f>
        <v>5</v>
      </c>
      <c r="GK4" s="41">
        <f t="shared" ref="GK4:GK13" si="62">IF(SUM(FW4:FX4,FZ4:GB4,GD4)-SUM(FY4,GC4)&gt;0,SUM(FW4:FX4,FZ4:GB4,GD4)-SUM(FY4,GC4),"")</f>
        <v>21.9</v>
      </c>
      <c r="GL4" s="41">
        <f t="shared" ref="GL4:GL13" si="63">IF(SUM(GF4,GG4,GK4)&gt;0,SUM(GF4,GG4,GK4),"")</f>
        <v>66.7</v>
      </c>
      <c r="GM4" s="18">
        <v>16.5</v>
      </c>
      <c r="GN4" s="18">
        <v>5</v>
      </c>
      <c r="GO4" s="18">
        <v>0.2</v>
      </c>
      <c r="GP4" s="18">
        <v>0</v>
      </c>
      <c r="GQ4" s="18">
        <v>17.2</v>
      </c>
      <c r="GR4" s="18">
        <v>5</v>
      </c>
      <c r="GS4" s="18">
        <v>0.2</v>
      </c>
      <c r="GT4" s="18">
        <v>0</v>
      </c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>
        <f t="shared" ref="HG4:HG13" si="64">IF(SUM(GN4,GR4)&gt;0,SUM(GN4,GR4),"")</f>
        <v>10</v>
      </c>
      <c r="HH4" s="11">
        <f t="shared" ref="HH4:HH13" si="65">IF(SUM(GM4:GN4,GP4:GR4,GT4)-GO4-GS4&gt;0,SUM(GM4:GN4,GP4:GR4,GT4)-GO4-GS4,"")</f>
        <v>43.3</v>
      </c>
      <c r="HI4" s="11" t="str">
        <f t="shared" ref="HI4:HI13" si="66">IF(SUM(GU4:GV4,GX4)-GW4&gt;0,SUM(GU4:GV4,GX4)-GW4,"")</f>
        <v/>
      </c>
      <c r="HJ4" s="11">
        <f t="shared" ref="HJ4:HJ13" si="67">IF(SUM(GN4,GR4,GV4)&gt;0,SUM(GN4,GR4,GV4),"")</f>
        <v>10</v>
      </c>
      <c r="HK4" s="11">
        <f t="shared" ref="HK4:HK13" si="68">IF(SUM(HH4,HI4)&gt;0,SUM(HH4,HI4),"")</f>
        <v>43.3</v>
      </c>
      <c r="HL4" s="11" t="str">
        <f t="shared" ref="HL4:HL13" si="69">IF(SUM(GZ4,HD4)&gt;0,SUM(GZ4,HD4),"")</f>
        <v/>
      </c>
      <c r="HM4" s="11" t="str">
        <f t="shared" ref="HM4:HM13" si="70">IF(SUM(GY4:GZ4,HB4:HD4,HF4)-SUM(HA4,HE4)&gt;0,SUM(GY4:GZ4,HB4:HD4,HF4)-SUM(HA4,HE4),"")</f>
        <v/>
      </c>
      <c r="HN4" s="11">
        <f t="shared" ref="HN4:HN13" si="71">IF(SUM(HH4,HI4,HM4)&gt;0,SUM(HH4,HI4,HM4),"")</f>
        <v>43.3</v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13" si="72">IF(SUM(HP4,HT4)&gt;0,SUM(HP4,HT4),"")</f>
        <v/>
      </c>
      <c r="IJ4" s="41" t="str">
        <f t="shared" ref="IJ4:IJ13" si="73">IF(SUM(HO4:HP4,HR4:HT4,HV4)-HQ4-HU4&gt;0,SUM(HO4:HP4,HR4:HT4,HV4)-HQ4-HU4,"")</f>
        <v/>
      </c>
      <c r="IK4" s="41" t="str">
        <f t="shared" ref="IK4:IK13" si="74">IF(SUM(HW4:HX4,HZ4)-HY4&gt;0,SUM(HW4:HX4,HZ4)-HY4,"")</f>
        <v/>
      </c>
      <c r="IL4" s="41" t="str">
        <f t="shared" ref="IL4:IL13" si="75">IF(SUM(HP4,HT4,HX4)&gt;0,SUM(HP4,HT4,HX4),"")</f>
        <v/>
      </c>
      <c r="IM4" s="41" t="str">
        <f t="shared" ref="IM4:IM13" si="76">IF(SUM(IJ4,IK4)&gt;0,SUM(IJ4,IK4),"")</f>
        <v/>
      </c>
      <c r="IN4" s="41" t="str">
        <f t="shared" ref="IN4:IN13" si="77">IF(SUM(IB4,IF4)&gt;0,SUM(IB4,IF4),"")</f>
        <v/>
      </c>
      <c r="IO4" s="41" t="str">
        <f t="shared" ref="IO4:IO13" si="78">IF(SUM(IA4:IB4,ID4:IF4,IH4)-SUM(IC4,IG4)&gt;0,SUM(IA4:IB4,ID4:IF4,IH4)-SUM(IC4,IG4),"")</f>
        <v/>
      </c>
      <c r="IP4" s="41" t="str">
        <f t="shared" ref="IP4:IP13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3" si="80">IF(SUM(IR4,IV4)&gt;0,SUM(IR4,IV4),"")</f>
        <v/>
      </c>
      <c r="JL4" s="11" t="str">
        <f t="shared" ref="JL4:JL13" si="81">IF(SUM(IQ4:IR4,IT4:IV4,IX4)-IS4-IW4&gt;0,SUM(IQ4:IR4,IT4:IV4,IX4)-IS4-IW4,"")</f>
        <v/>
      </c>
      <c r="JM4" s="11" t="str">
        <f t="shared" ref="JM4:JM13" si="82">IF(SUM(IY4:IZ4,JB4)-JA4&gt;0,SUM(IY4:IZ4,JB4)-JA4,"")</f>
        <v/>
      </c>
      <c r="JN4" s="11" t="str">
        <f t="shared" ref="JN4:JN13" si="83">IF(SUM(IR4,IV4,IZ4)&gt;0,SUM(IR4,IV4,IZ4),"")</f>
        <v/>
      </c>
      <c r="JO4" s="11" t="str">
        <f t="shared" ref="JO4:JO13" si="84">IF(SUM(JL4,JM4)&gt;0,SUM(JL4,JM4),"")</f>
        <v/>
      </c>
      <c r="JP4" s="11" t="str">
        <f t="shared" ref="JP4:JP13" si="85">IF(SUM(JD4,JH4)&gt;0,SUM(JD4,JH4),"")</f>
        <v/>
      </c>
      <c r="JQ4" s="11" t="str">
        <f t="shared" ref="JQ4:JQ13" si="86">IF(SUM(JC4:JD4,JF4:JH4,JJ4)-SUM(JE4,JI4)&gt;0,SUM(JC4:JD4,JF4:JH4,JJ4)-SUM(JE4,JI4),"")</f>
        <v/>
      </c>
      <c r="JR4" s="11" t="str">
        <f t="shared" ref="JR4:JR13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3" si="88">IF(SUM(JT4,JX4)&gt;0,SUM(JT4,JX4),"")</f>
        <v/>
      </c>
      <c r="KN4" s="41" t="str">
        <f t="shared" ref="KN4:KN13" si="89">IF(SUM(JS4:JT4,JV4:JX4,JZ4)-JU4-JY4&gt;0,SUM(JS4:JT4,JV4:JX4,JZ4)-JU4-JY4,"")</f>
        <v/>
      </c>
      <c r="KO4" s="41" t="str">
        <f t="shared" ref="KO4:KO13" si="90">IF(SUM(KA4:KB4,KD4)-KC4&gt;0,SUM(KA4:KB4,KD4)-KC4,"")</f>
        <v/>
      </c>
      <c r="KP4" s="41" t="str">
        <f t="shared" ref="KP4:KP13" si="91">IF(SUM(JT4,JX4,KB4)&gt;0,SUM(JT4,JX4,KB4),"")</f>
        <v/>
      </c>
      <c r="KQ4" s="41" t="str">
        <f t="shared" ref="KQ4:KQ13" si="92">IF(SUM(KN4,KO4)&gt;0,SUM(KN4,KO4),"")</f>
        <v/>
      </c>
      <c r="KR4" s="41" t="str">
        <f t="shared" ref="KR4:KR13" si="93">IF(SUM(KF4,KJ4)&gt;0,SUM(KF4,KJ4),"")</f>
        <v/>
      </c>
      <c r="KS4" s="41" t="str">
        <f t="shared" ref="KS4:KS13" si="94">IF(SUM(KE4:KF4,KH4:KJ4,KL4)-SUM(KG4,KK4)&gt;0,SUM(KE4:KF4,KH4:KJ4,KL4)-SUM(KG4,KK4),"")</f>
        <v/>
      </c>
      <c r="KT4" s="41" t="str">
        <f t="shared" ref="KT4:KT13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3" si="96">IF(SUM(KV4,KZ4)&gt;0,SUM(KV4,KZ4),"")</f>
        <v/>
      </c>
      <c r="LP4" s="11" t="str">
        <f t="shared" ref="LP4:LP13" si="97">IF(SUM(KU4:KV4,KX4:KZ4,LB4)-KW4-LA4&gt;0,SUM(KU4:KV4,KX4:KZ4,LB4)-KW4-LA4,"")</f>
        <v/>
      </c>
      <c r="LQ4" s="11" t="str">
        <f t="shared" ref="LQ4:LQ13" si="98">IF(SUM(LC4:LD4,LF4)-LE4&gt;0,SUM(LC4:LD4,LF4)-LE4,"")</f>
        <v/>
      </c>
      <c r="LR4" s="11" t="str">
        <f t="shared" ref="LR4:LR13" si="99">IF(SUM(KV4,KZ4,LD4)&gt;0,SUM(KV4,KZ4,LD4),"")</f>
        <v/>
      </c>
      <c r="LS4" s="11" t="str">
        <f t="shared" ref="LS4:LS13" si="100">IF(SUM(LP4,LQ4)&gt;0,SUM(LP4,LQ4),"")</f>
        <v/>
      </c>
      <c r="LT4" s="11" t="str">
        <f t="shared" ref="LT4:LT13" si="101">IF(SUM(LH4,LL4)&gt;0,SUM(LH4,LL4),"")</f>
        <v/>
      </c>
      <c r="LU4" s="11" t="str">
        <f t="shared" ref="LU4:LU13" si="102">IF(SUM(LG4:LH4,LJ4:LL4,LN4)-SUM(LI4,LM4)&gt;0,SUM(LG4:LH4,LJ4:LL4,LN4)-SUM(LI4,LM4),"")</f>
        <v/>
      </c>
      <c r="LV4" s="11" t="str">
        <f t="shared" ref="LV4:LV13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3" si="104">IF(SUM(LX4,MB4)&gt;0,SUM(LX4,MB4),"")</f>
        <v/>
      </c>
      <c r="MR4" s="41" t="str">
        <f t="shared" ref="MR4:MR13" si="105">IF(SUM(LW4:LX4,LZ4:MB4,MD4)-LY4-MC4&gt;0,SUM(LW4:LX4,LZ4:MB4,MD4)-LY4-MC4,"")</f>
        <v/>
      </c>
      <c r="MS4" s="41" t="str">
        <f t="shared" ref="MS4:MS13" si="106">IF(SUM(ME4:MF4,MH4)-MG4&gt;0,SUM(ME4:MF4,MH4)-MG4,"")</f>
        <v/>
      </c>
      <c r="MT4" s="41" t="str">
        <f t="shared" ref="MT4:MT13" si="107">IF(SUM(LX4,MB4,MF4)&gt;0,SUM(LX4,MB4,MF4),"")</f>
        <v/>
      </c>
      <c r="MU4" s="41" t="str">
        <f t="shared" ref="MU4:MU13" si="108">IF(SUM(MR4,MS4)&gt;0,SUM(MR4,MS4),"")</f>
        <v/>
      </c>
      <c r="MV4" s="41" t="str">
        <f t="shared" ref="MV4:MV13" si="109">IF(SUM(MJ4,MN4)&gt;0,SUM(MJ4,MN4),"")</f>
        <v/>
      </c>
      <c r="MW4" s="41" t="str">
        <f t="shared" ref="MW4:MW13" si="110">IF(SUM(MI4:MJ4,ML4:MN4,MP4)-SUM(MK4,MO4)&gt;0,SUM(MI4:MJ4,ML4:MN4,MP4)-SUM(MK4,MO4),"")</f>
        <v/>
      </c>
      <c r="MX4" s="41" t="str">
        <f t="shared" ref="MX4:MX13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3" si="112">IF(SUM(MZ4,ND4)&gt;0,SUM(MZ4,ND4),"")</f>
        <v/>
      </c>
      <c r="NT4" s="11" t="str">
        <f t="shared" ref="NT4:NT13" si="113">IF(SUM(MY4:MZ4,NB4:ND4,NF4)-NA4-NE4&gt;0,SUM(MY4:MZ4,NB4:ND4,NF4)-NA4-NE4,"")</f>
        <v/>
      </c>
      <c r="NU4" s="11" t="str">
        <f t="shared" ref="NU4:NU13" si="114">IF(SUM(NG4:NH4,NJ4)-NI4&gt;0,SUM(NG4:NH4,NJ4)-NI4,"")</f>
        <v/>
      </c>
      <c r="NV4" s="11" t="str">
        <f t="shared" ref="NV4:NV13" si="115">IF(SUM(MZ4,ND4,NH4)&gt;0,SUM(MZ4,ND4,NH4),"")</f>
        <v/>
      </c>
      <c r="NW4" s="11" t="str">
        <f t="shared" ref="NW4:NW13" si="116">IF(SUM(NT4,NU4)&gt;0,SUM(NT4,NU4),"")</f>
        <v/>
      </c>
      <c r="NX4" s="11" t="str">
        <f t="shared" ref="NX4:NX13" si="117">IF(SUM(NL4,NP4)&gt;0,SUM(NL4,NP4),"")</f>
        <v/>
      </c>
      <c r="NY4" s="11" t="str">
        <f t="shared" ref="NY4:NY13" si="118">IF(SUM(NK4:NL4,NN4:NP4,NR4)-SUM(NM4,NQ4)&gt;0,SUM(NK4:NL4,NN4:NP4,NR4)-SUM(NM4,NQ4),"")</f>
        <v/>
      </c>
      <c r="NZ4" s="11" t="str">
        <f t="shared" ref="NZ4:NZ13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3" si="120">IF(SUM(OB4,OF4)&gt;0,SUM(OB4,OF4),"")</f>
        <v/>
      </c>
      <c r="OV4" s="41" t="str">
        <f t="shared" ref="OV4:OV13" si="121">IF(SUM(OA4:OB4,OD4:OF4,OH4)-OC4-OG4&gt;0,SUM(OA4:OB4,OD4:OF4,OH4)-OC4-OG4,"")</f>
        <v/>
      </c>
      <c r="OW4" s="41" t="str">
        <f t="shared" ref="OW4:OW13" si="122">IF(SUM(OI4:OJ4,OL4)-OK4&gt;0,SUM(OI4:OJ4,OL4)-OK4,"")</f>
        <v/>
      </c>
      <c r="OX4" s="41" t="str">
        <f t="shared" ref="OX4:OX13" si="123">IF(SUM(OB4,OF4,OJ4)&gt;0,SUM(OB4,OF4,OJ4),"")</f>
        <v/>
      </c>
      <c r="OY4" s="41" t="str">
        <f t="shared" ref="OY4:OY13" si="124">IF(SUM(OV4,OW4)&gt;0,SUM(OV4,OW4),"")</f>
        <v/>
      </c>
      <c r="OZ4" s="41" t="str">
        <f t="shared" ref="OZ4:OZ13" si="125">IF(SUM(ON4,OR4)&gt;0,SUM(ON4,OR4),"")</f>
        <v/>
      </c>
      <c r="PA4" s="41" t="str">
        <f t="shared" ref="PA4:PA13" si="126">IF(SUM(OM4:ON4,OP4:OR4,OT4)-SUM(OO4,OS4)&gt;0,SUM(OM4:ON4,OP4:OR4,OT4)-SUM(OO4,OS4),"")</f>
        <v/>
      </c>
      <c r="PB4" s="41" t="str">
        <f t="shared" ref="PB4:PB13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3" si="128">IF(SUM(PD4,PH4)&gt;0,SUM(PD4,PH4),"")</f>
        <v/>
      </c>
      <c r="PX4" s="11" t="str">
        <f t="shared" ref="PX4:PX13" si="129">IF(SUM(PC4:PD4,PF4:PH4,PJ4)-PE4-PI4&gt;0,SUM(PC4:PD4,PF4:PH4,PJ4)-PE4-PI4,"")</f>
        <v/>
      </c>
      <c r="PY4" s="11" t="str">
        <f t="shared" ref="PY4:PY13" si="130">IF(SUM(PK4:PL4,PN4)-PM4&gt;0,SUM(PK4:PL4,PN4)-PM4,"")</f>
        <v/>
      </c>
      <c r="PZ4" s="11" t="str">
        <f t="shared" ref="PZ4:PZ13" si="131">IF(SUM(PD4,PH4,PL4)&gt;0,SUM(PD4,PH4,PL4),"")</f>
        <v/>
      </c>
      <c r="QA4" s="11" t="str">
        <f t="shared" ref="QA4:QA13" si="132">IF(SUM(PX4,PY4)&gt;0,SUM(PX4,PY4),"")</f>
        <v/>
      </c>
      <c r="QB4" s="11" t="str">
        <f t="shared" ref="QB4:QB13" si="133">IF(SUM(PP4,PT4)&gt;0,SUM(PP4,PT4),"")</f>
        <v/>
      </c>
      <c r="QC4" s="11" t="str">
        <f t="shared" ref="QC4:QC13" si="134">IF(SUM(PO4:PP4,PR4:PT4,PV4)-SUM(PQ4,PU4)&gt;0,SUM(PO4:PP4,PR4:PT4,PV4)-SUM(PQ4,PU4),"")</f>
        <v/>
      </c>
      <c r="QD4" s="11" t="str">
        <f t="shared" ref="QD4:QD13" si="135">IF(SUM(PX4,PY4,QC4)&gt;0,SUM(PX4,PY4,QC4),"")</f>
        <v/>
      </c>
      <c r="QE4" s="23">
        <f t="shared" ref="QE4:QE13" si="136">IF($CU4="P",CA4,(CA4+AX4)/2)</f>
        <v>16.05</v>
      </c>
      <c r="QF4" s="23">
        <f t="shared" ref="QF4:QF13" si="137">IF($CU4="P",CB4,(CB4+AY4)/2)</f>
        <v>5</v>
      </c>
      <c r="QG4" s="23">
        <f t="shared" ref="QG4:QG13" si="138">IF($CU4="P",CC4,(CC4+AZ4)/2)</f>
        <v>0</v>
      </c>
      <c r="QH4" s="23">
        <f t="shared" ref="QH4:QH13" si="139">IF($CU4="P",CD4,(CD4+BA4)/2)</f>
        <v>0.6</v>
      </c>
      <c r="QI4" s="23">
        <f t="shared" ref="QI4:QI13" si="140">IF($CU4="P",CE4,(CE4+BB4)/2)</f>
        <v>16.8</v>
      </c>
      <c r="QJ4" s="23">
        <f t="shared" ref="QJ4:QJ13" si="141">IF($CU4="P",CF4,(CF4+BC4)/2)</f>
        <v>4.9000000000000004</v>
      </c>
      <c r="QK4" s="23">
        <f t="shared" ref="QK4:QK13" si="142">IF($CU4="P",CG4,(CG4+BD4)/2)</f>
        <v>0</v>
      </c>
      <c r="QL4" s="23">
        <f t="shared" ref="QL4:QL13" si="143">IF($CU4="P",CH4,(CH4+BE4)/2)</f>
        <v>0.6</v>
      </c>
      <c r="QM4" s="23">
        <f t="shared" ref="QM4:QM13" si="144">IF($CU4="P",CI4,(CI4+BF4)/2)</f>
        <v>15.4</v>
      </c>
      <c r="QN4" s="23">
        <f t="shared" ref="QN4:QN13" si="145">IF($CU4="P",CJ4,(CJ4+BG4)/2)</f>
        <v>3.8</v>
      </c>
      <c r="QO4" s="23">
        <f t="shared" ref="QO4:QO13" si="146">IF($CU4="P",CK4,(CK4+BH4)/2)</f>
        <v>0</v>
      </c>
      <c r="QP4" s="23">
        <f t="shared" ref="QP4:QP13" si="147">IF($CU4="P",CL4,(CL4+BI4)/2)</f>
        <v>0.6</v>
      </c>
      <c r="QQ4" s="23">
        <f t="shared" ref="QQ4:QQ13" si="148">IF($CU4="P",CM4,(CM4+BJ4)/2)</f>
        <v>16.75</v>
      </c>
      <c r="QR4" s="23">
        <f t="shared" ref="QR4:QR13" si="149">IF($CU4="P",CN4,(CN4+BK4)/2)</f>
        <v>4.8</v>
      </c>
      <c r="QS4" s="23">
        <f t="shared" ref="QS4:QS13" si="150">IF($CU4="P",CO4,(CO4+BL4)/2)</f>
        <v>0</v>
      </c>
      <c r="QT4" s="23">
        <f t="shared" ref="QT4:QT13" si="151">IF($CU4="P",CP4,(CP4+BM4)/2)</f>
        <v>0.6</v>
      </c>
      <c r="QU4" s="23">
        <f t="shared" ref="QU4:QU13" si="152">IF($CU4="P",CQ4,(CQ4+BN4)/2)</f>
        <v>16.75</v>
      </c>
      <c r="QV4" s="23">
        <f t="shared" ref="QV4:QV13" si="153">IF($CU4="P",CR4,(CR4+BO4)/2)</f>
        <v>5</v>
      </c>
      <c r="QW4" s="23">
        <f t="shared" ref="QW4:QW13" si="154">IF($CU4="P",CS4,(CS4+BP4)/2)</f>
        <v>0.1</v>
      </c>
      <c r="QX4" s="23">
        <f t="shared" ref="QX4:QX13" si="155">IF($CU4="P",CT4,(CT4+BQ4)/2)</f>
        <v>0.6</v>
      </c>
      <c r="QY4" s="28" t="s">
        <v>57</v>
      </c>
      <c r="QZ4" s="41">
        <f t="shared" ref="QZ4:QZ13" si="156">IF(SUM(QF4,QJ4)&gt;0,SUM(QF4,QJ4),"")</f>
        <v>9.9</v>
      </c>
      <c r="RA4" s="41">
        <f t="shared" ref="RA4:RA13" si="157">IF(SUM(QE4:QF4,QH4:QJ4,QL4)-QG4-QK4&gt;0,SUM(QE4:QF4,QH4:QJ4,QL4)-QG4-QK4,"")</f>
        <v>43.95</v>
      </c>
      <c r="RB4" s="41">
        <f t="shared" ref="RB4:RB13" si="158">IF(SUM(QM4:QN4,QP4)-QO4&gt;0,SUM(QM4:QN4,QP4)-QO4,"")</f>
        <v>19.8</v>
      </c>
      <c r="RC4" s="41">
        <f t="shared" ref="RC4:RC13" si="159">IF(SUM(QF4,QJ4,QN4)&gt;0,SUM(QF4,QJ4,QN4),"")</f>
        <v>13.7</v>
      </c>
      <c r="RD4" s="41">
        <f t="shared" ref="RD4:RD13" si="160">IF(SUM(RA4,RB4)&gt;0,SUM(RA4,RB4),"")</f>
        <v>63.75</v>
      </c>
      <c r="RE4" s="41">
        <f t="shared" ref="RE4:RE13" si="161">IF(SUM(QR4,QV4)&gt;0,SUM(QR4,QV4),"")</f>
        <v>9.8000000000000007</v>
      </c>
      <c r="RF4" s="41">
        <f t="shared" ref="RF4:RF13" si="162">IF(SUM(QQ4:QR4,QT4:QV4,QX4)-SUM(QS4,QW4)&gt;0,SUM(QQ4:QR4,QT4:QV4,QX4)-SUM(QS4,QW4),"")</f>
        <v>44.400000000000006</v>
      </c>
      <c r="RG4" s="41">
        <f t="shared" ref="RG4:RG13" si="163">IF(SUM(RA4,RB4,RF4)&gt;0,SUM(RA4,RB4,RF4),"")</f>
        <v>108.15</v>
      </c>
    </row>
    <row r="5" spans="1:475" x14ac:dyDescent="0.2">
      <c r="A5" s="4" cm="1">
        <f t="array" ref="A5">IF(AND(H5&lt;&gt;"",H5&lt;&gt;"No DD"),SUMPRODUCT((H$4:H$14&lt;&gt;"")*(H$4:H$14&lt;&gt;"No DD")*(E$4:E$14&gt;E5))+1,IF(H5="No DD",SUMPRODUCT((H$4:H$14="No DD")*(E$4:E$14&gt;E5))+1+SUMPRODUCT((H$4:H$14&lt;&gt;"")*(H$4:H$14&lt;&gt;"No DD")),""))</f>
        <v>2</v>
      </c>
      <c r="B5" s="5" t="s">
        <v>229</v>
      </c>
      <c r="C5" s="4" t="s">
        <v>5</v>
      </c>
      <c r="D5" s="4">
        <v>2006</v>
      </c>
      <c r="E5" s="9">
        <f t="shared" si="0"/>
        <v>155.00001093000438</v>
      </c>
      <c r="F5" s="3" t="str">
        <f t="shared" si="1"/>
        <v>P</v>
      </c>
      <c r="G5" s="3" t="str">
        <f t="shared" si="2"/>
        <v>P</v>
      </c>
      <c r="H5" s="37" t="str">
        <f t="shared" si="3"/>
        <v>Worlds Team</v>
      </c>
      <c r="I5" s="3" t="str">
        <f t="shared" si="4"/>
        <v>P</v>
      </c>
      <c r="J5" s="8">
        <f>IF(COUNT(AQ5,BT5,CW5)&gt;0,LARGE((AQ5,BT5,CW5),1),0)</f>
        <v>43.5</v>
      </c>
      <c r="K5" s="8" t="str">
        <f t="shared" si="5"/>
        <v>2023 Elite Canada</v>
      </c>
      <c r="L5" s="8">
        <f>IF(COUNT(AQ5,BT5,CW5)&gt;1,LARGE((AQ5,BT5,CW5),2),0)</f>
        <v>43.4</v>
      </c>
      <c r="M5" s="8" t="str">
        <f t="shared" si="6"/>
        <v>2023 Nationals</v>
      </c>
      <c r="N5" s="8">
        <f>IF(COUNT(AR5,BU5,CX5)&gt;0,LARGE((AR5,BU5,CX5),1),0)</f>
        <v>22.400000000000002</v>
      </c>
      <c r="O5" s="8" t="str">
        <f t="shared" si="7"/>
        <v>2023 Domestic 3rd Trial</v>
      </c>
      <c r="P5" s="8">
        <f t="shared" si="8"/>
        <v>43.600000000000009</v>
      </c>
      <c r="Q5" s="8" t="str">
        <f t="shared" si="9"/>
        <v>2023 Domestic 3rd Trial</v>
      </c>
      <c r="R5" s="8">
        <f t="shared" si="10"/>
        <v>2.1000000000000014</v>
      </c>
      <c r="S5" s="11" t="str">
        <f t="shared" si="11"/>
        <v>(Q1)</v>
      </c>
      <c r="T5" s="8" t="str">
        <f t="shared" si="12"/>
        <v>2023 World Championships (Nov 11)</v>
      </c>
      <c r="U5" s="19">
        <v>16.7</v>
      </c>
      <c r="V5" s="19">
        <v>4.8</v>
      </c>
      <c r="W5" s="19">
        <v>0</v>
      </c>
      <c r="X5" s="19">
        <v>0.6</v>
      </c>
      <c r="Y5" s="19">
        <v>16.2</v>
      </c>
      <c r="Z5" s="19">
        <v>4.5999999999999996</v>
      </c>
      <c r="AA5" s="19">
        <v>0</v>
      </c>
      <c r="AB5" s="19">
        <v>0.6</v>
      </c>
      <c r="AC5" s="19">
        <v>16.8</v>
      </c>
      <c r="AD5" s="19">
        <v>4.8</v>
      </c>
      <c r="AE5" s="19">
        <v>0</v>
      </c>
      <c r="AF5" s="19">
        <v>0.6</v>
      </c>
      <c r="AG5" s="19">
        <v>17.3</v>
      </c>
      <c r="AH5" s="19">
        <v>4.0999999999999996</v>
      </c>
      <c r="AI5" s="19">
        <v>0</v>
      </c>
      <c r="AJ5" s="19">
        <v>0.3</v>
      </c>
      <c r="AK5" s="19">
        <v>16.3</v>
      </c>
      <c r="AL5" s="19">
        <v>4.5999999999999996</v>
      </c>
      <c r="AM5" s="19">
        <v>0</v>
      </c>
      <c r="AN5" s="19">
        <v>0.6</v>
      </c>
      <c r="AO5" s="28"/>
      <c r="AP5" s="41">
        <f t="shared" si="13"/>
        <v>9.3999999999999986</v>
      </c>
      <c r="AQ5" s="41">
        <f t="shared" si="14"/>
        <v>43.5</v>
      </c>
      <c r="AR5" s="41">
        <f t="shared" si="15"/>
        <v>22.200000000000003</v>
      </c>
      <c r="AS5" s="41">
        <f t="shared" si="16"/>
        <v>14.2</v>
      </c>
      <c r="AT5" s="41">
        <f t="shared" si="17"/>
        <v>65.7</v>
      </c>
      <c r="AU5" s="41">
        <f t="shared" si="18"/>
        <v>8.6999999999999993</v>
      </c>
      <c r="AV5" s="41">
        <f t="shared" si="19"/>
        <v>43.2</v>
      </c>
      <c r="AW5" s="41">
        <f t="shared" si="20"/>
        <v>108.9</v>
      </c>
      <c r="AX5" s="18">
        <v>16.899999999999999</v>
      </c>
      <c r="AY5" s="18">
        <v>4.3</v>
      </c>
      <c r="AZ5" s="18">
        <v>0</v>
      </c>
      <c r="BA5" s="18">
        <v>0.3</v>
      </c>
      <c r="BB5" s="18">
        <v>16.5</v>
      </c>
      <c r="BC5" s="18">
        <v>4.8</v>
      </c>
      <c r="BD5" s="18">
        <v>0</v>
      </c>
      <c r="BE5" s="18">
        <v>0.6</v>
      </c>
      <c r="BF5" s="18">
        <v>15.7</v>
      </c>
      <c r="BG5" s="18">
        <v>3.8</v>
      </c>
      <c r="BH5" s="18">
        <v>0</v>
      </c>
      <c r="BI5" s="18">
        <v>0.3</v>
      </c>
      <c r="BJ5" s="18">
        <v>17.3</v>
      </c>
      <c r="BK5" s="18">
        <v>5</v>
      </c>
      <c r="BL5" s="18">
        <v>0</v>
      </c>
      <c r="BM5" s="18">
        <v>0.6</v>
      </c>
      <c r="BN5" s="18">
        <v>16.100000000000001</v>
      </c>
      <c r="BO5" s="18">
        <v>2.6</v>
      </c>
      <c r="BP5" s="18">
        <v>0</v>
      </c>
      <c r="BQ5" s="18">
        <v>0.6</v>
      </c>
      <c r="BR5" s="29"/>
      <c r="BS5" s="11">
        <f t="shared" si="21"/>
        <v>9.1</v>
      </c>
      <c r="BT5" s="11">
        <f t="shared" si="22"/>
        <v>43.4</v>
      </c>
      <c r="BU5" s="11">
        <f t="shared" si="23"/>
        <v>19.8</v>
      </c>
      <c r="BV5" s="11">
        <f t="shared" si="24"/>
        <v>12.899999999999999</v>
      </c>
      <c r="BW5" s="11">
        <f t="shared" si="25"/>
        <v>63.2</v>
      </c>
      <c r="BX5" s="11">
        <f t="shared" si="26"/>
        <v>7.6</v>
      </c>
      <c r="BY5" s="11">
        <f t="shared" si="27"/>
        <v>42.2</v>
      </c>
      <c r="BZ5" s="11">
        <f t="shared" si="28"/>
        <v>105.4</v>
      </c>
      <c r="CA5" s="19">
        <v>16.8</v>
      </c>
      <c r="CB5" s="19">
        <v>5</v>
      </c>
      <c r="CC5" s="19">
        <v>0</v>
      </c>
      <c r="CD5" s="19">
        <v>0.6</v>
      </c>
      <c r="CE5" s="19">
        <v>15.5</v>
      </c>
      <c r="CF5" s="19">
        <v>4.5999999999999996</v>
      </c>
      <c r="CG5" s="19">
        <v>0</v>
      </c>
      <c r="CH5" s="19">
        <v>0.6</v>
      </c>
      <c r="CI5" s="19">
        <v>16.8</v>
      </c>
      <c r="CJ5" s="19">
        <v>5</v>
      </c>
      <c r="CK5" s="19">
        <v>0</v>
      </c>
      <c r="CL5" s="19">
        <v>0.6</v>
      </c>
      <c r="CM5" s="19">
        <v>16.5</v>
      </c>
      <c r="CN5" s="19">
        <v>4.8</v>
      </c>
      <c r="CO5" s="19">
        <v>0</v>
      </c>
      <c r="CP5" s="19">
        <v>0.6</v>
      </c>
      <c r="CQ5" s="19">
        <v>16.5</v>
      </c>
      <c r="CR5" s="19">
        <v>4.5999999999999996</v>
      </c>
      <c r="CS5" s="19">
        <v>0</v>
      </c>
      <c r="CT5" s="19">
        <v>0.6</v>
      </c>
      <c r="CU5" s="28"/>
      <c r="CV5" s="41">
        <f t="shared" si="29"/>
        <v>9.6</v>
      </c>
      <c r="CW5" s="41">
        <f t="shared" si="30"/>
        <v>43.100000000000009</v>
      </c>
      <c r="CX5" s="41">
        <f t="shared" si="31"/>
        <v>22.400000000000002</v>
      </c>
      <c r="CY5" s="41">
        <f t="shared" si="32"/>
        <v>14.6</v>
      </c>
      <c r="CZ5" s="41">
        <f t="shared" si="33"/>
        <v>65.500000000000014</v>
      </c>
      <c r="DA5" s="41">
        <f t="shared" si="34"/>
        <v>9.3999999999999986</v>
      </c>
      <c r="DB5" s="41">
        <f t="shared" si="35"/>
        <v>43.600000000000009</v>
      </c>
      <c r="DC5" s="41">
        <f t="shared" si="36"/>
        <v>109.10000000000002</v>
      </c>
      <c r="DD5" s="52">
        <f t="shared" si="37"/>
        <v>2.1000000000000014</v>
      </c>
      <c r="DE5" s="52" t="str">
        <f t="shared" si="38"/>
        <v/>
      </c>
      <c r="DF5" s="52" t="str">
        <f t="shared" si="39"/>
        <v/>
      </c>
      <c r="DG5" s="17">
        <v>16.100000000000001</v>
      </c>
      <c r="DH5" s="17">
        <v>1.9</v>
      </c>
      <c r="DI5" s="17">
        <v>0</v>
      </c>
      <c r="DJ5" s="17">
        <v>0</v>
      </c>
      <c r="DK5" s="17">
        <v>17.100000000000001</v>
      </c>
      <c r="DL5" s="17">
        <v>4.5999999999999996</v>
      </c>
      <c r="DM5" s="17">
        <v>0</v>
      </c>
      <c r="DN5" s="17">
        <v>0</v>
      </c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>
        <f t="shared" si="40"/>
        <v>6.5</v>
      </c>
      <c r="EB5" s="41">
        <f t="shared" si="41"/>
        <v>39.700000000000003</v>
      </c>
      <c r="EC5" s="41" t="str">
        <f t="shared" si="42"/>
        <v/>
      </c>
      <c r="ED5" s="41">
        <f t="shared" si="43"/>
        <v>6.5</v>
      </c>
      <c r="EE5" s="41">
        <f t="shared" si="44"/>
        <v>39.700000000000003</v>
      </c>
      <c r="EF5" s="41" t="str">
        <f t="shared" si="45"/>
        <v/>
      </c>
      <c r="EG5" s="41" t="str">
        <f t="shared" si="46"/>
        <v/>
      </c>
      <c r="EH5" s="41">
        <f t="shared" si="47"/>
        <v>39.700000000000003</v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 t="shared" si="56"/>
        <v/>
      </c>
      <c r="GF5" s="41" t="str">
        <f t="shared" si="57"/>
        <v/>
      </c>
      <c r="GG5" s="41" t="str">
        <f t="shared" si="58"/>
        <v/>
      </c>
      <c r="GH5" s="41" t="str">
        <f t="shared" si="59"/>
        <v/>
      </c>
      <c r="GI5" s="41" t="str">
        <f t="shared" si="60"/>
        <v/>
      </c>
      <c r="GJ5" s="41" t="str">
        <f t="shared" si="61"/>
        <v/>
      </c>
      <c r="GK5" s="41" t="str">
        <f t="shared" si="62"/>
        <v/>
      </c>
      <c r="GL5" s="41" t="str">
        <f t="shared" si="63"/>
        <v/>
      </c>
      <c r="GM5" s="18">
        <v>17.2</v>
      </c>
      <c r="GN5" s="18">
        <v>6.1</v>
      </c>
      <c r="GO5" s="18">
        <v>0</v>
      </c>
      <c r="GP5" s="18">
        <v>0</v>
      </c>
      <c r="GQ5" s="18">
        <v>17.2</v>
      </c>
      <c r="GR5" s="18">
        <v>5</v>
      </c>
      <c r="GS5" s="18">
        <v>0</v>
      </c>
      <c r="GT5" s="18">
        <v>0</v>
      </c>
      <c r="GU5" s="18">
        <v>16.600000000000001</v>
      </c>
      <c r="GV5" s="18">
        <v>6.1</v>
      </c>
      <c r="GW5" s="18">
        <v>0.4</v>
      </c>
      <c r="GX5" s="18">
        <v>0</v>
      </c>
      <c r="GY5" s="18"/>
      <c r="GZ5" s="18"/>
      <c r="HA5" s="18"/>
      <c r="HB5" s="18"/>
      <c r="HC5" s="18"/>
      <c r="HD5" s="18"/>
      <c r="HE5" s="18"/>
      <c r="HF5" s="18"/>
      <c r="HG5" s="11">
        <f t="shared" si="64"/>
        <v>11.1</v>
      </c>
      <c r="HH5" s="11">
        <f t="shared" si="65"/>
        <v>45.5</v>
      </c>
      <c r="HI5" s="11">
        <f t="shared" si="66"/>
        <v>22.300000000000004</v>
      </c>
      <c r="HJ5" s="11">
        <f t="shared" si="67"/>
        <v>17.2</v>
      </c>
      <c r="HK5" s="11">
        <f t="shared" si="68"/>
        <v>67.800000000000011</v>
      </c>
      <c r="HL5" s="11" t="str">
        <f t="shared" si="69"/>
        <v/>
      </c>
      <c r="HM5" s="11" t="str">
        <f t="shared" si="70"/>
        <v/>
      </c>
      <c r="HN5" s="11">
        <f t="shared" si="71"/>
        <v>67.800000000000011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/>
      <c r="IR5" s="18"/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 t="str">
        <f t="shared" si="80"/>
        <v/>
      </c>
      <c r="JL5" s="11" t="str">
        <f t="shared" si="81"/>
        <v/>
      </c>
      <c r="JM5" s="11" t="str">
        <f t="shared" si="82"/>
        <v/>
      </c>
      <c r="JN5" s="11" t="str">
        <f t="shared" si="83"/>
        <v/>
      </c>
      <c r="JO5" s="11" t="str">
        <f t="shared" si="84"/>
        <v/>
      </c>
      <c r="JP5" s="11" t="str">
        <f t="shared" si="85"/>
        <v/>
      </c>
      <c r="JQ5" s="11" t="str">
        <f t="shared" si="86"/>
        <v/>
      </c>
      <c r="JR5" s="11" t="str">
        <f t="shared" si="87"/>
        <v/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 t="str">
        <f t="shared" si="93"/>
        <v/>
      </c>
      <c r="KS5" s="41" t="str">
        <f t="shared" si="94"/>
        <v/>
      </c>
      <c r="KT5" s="41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16.850000000000001</v>
      </c>
      <c r="QF5" s="23">
        <f t="shared" si="137"/>
        <v>4.6500000000000004</v>
      </c>
      <c r="QG5" s="23">
        <f t="shared" si="138"/>
        <v>0</v>
      </c>
      <c r="QH5" s="23">
        <f t="shared" si="139"/>
        <v>0.44999999999999996</v>
      </c>
      <c r="QI5" s="23">
        <f t="shared" si="140"/>
        <v>16</v>
      </c>
      <c r="QJ5" s="23">
        <f t="shared" si="141"/>
        <v>4.6999999999999993</v>
      </c>
      <c r="QK5" s="23">
        <f t="shared" si="142"/>
        <v>0</v>
      </c>
      <c r="QL5" s="23">
        <f t="shared" si="143"/>
        <v>0.6</v>
      </c>
      <c r="QM5" s="23">
        <f t="shared" si="144"/>
        <v>16.25</v>
      </c>
      <c r="QN5" s="23">
        <f t="shared" si="145"/>
        <v>4.4000000000000004</v>
      </c>
      <c r="QO5" s="23">
        <f t="shared" si="146"/>
        <v>0</v>
      </c>
      <c r="QP5" s="23">
        <f t="shared" si="147"/>
        <v>0.44999999999999996</v>
      </c>
      <c r="QQ5" s="23">
        <f t="shared" si="148"/>
        <v>16.899999999999999</v>
      </c>
      <c r="QR5" s="23">
        <f t="shared" si="149"/>
        <v>4.9000000000000004</v>
      </c>
      <c r="QS5" s="23">
        <f t="shared" si="150"/>
        <v>0</v>
      </c>
      <c r="QT5" s="23">
        <f t="shared" si="151"/>
        <v>0.6</v>
      </c>
      <c r="QU5" s="23">
        <f t="shared" si="152"/>
        <v>16.3</v>
      </c>
      <c r="QV5" s="23">
        <f t="shared" si="153"/>
        <v>3.5999999999999996</v>
      </c>
      <c r="QW5" s="23">
        <f t="shared" si="154"/>
        <v>0</v>
      </c>
      <c r="QX5" s="23">
        <f t="shared" si="155"/>
        <v>0.6</v>
      </c>
      <c r="QY5" s="28" t="s">
        <v>57</v>
      </c>
      <c r="QZ5" s="41">
        <f t="shared" si="156"/>
        <v>9.35</v>
      </c>
      <c r="RA5" s="41">
        <f t="shared" si="157"/>
        <v>43.250000000000007</v>
      </c>
      <c r="RB5" s="41">
        <f t="shared" si="158"/>
        <v>21.099999999999998</v>
      </c>
      <c r="RC5" s="41">
        <f t="shared" si="159"/>
        <v>13.75</v>
      </c>
      <c r="RD5" s="41">
        <f t="shared" si="160"/>
        <v>64.350000000000009</v>
      </c>
      <c r="RE5" s="41">
        <f t="shared" si="161"/>
        <v>8.5</v>
      </c>
      <c r="RF5" s="41">
        <f t="shared" si="162"/>
        <v>42.900000000000006</v>
      </c>
      <c r="RG5" s="41">
        <f t="shared" si="163"/>
        <v>107.25000000000001</v>
      </c>
    </row>
    <row r="6" spans="1:475" x14ac:dyDescent="0.2">
      <c r="A6" s="4" cm="1">
        <f t="array" ref="A6">IF(AND(H6&lt;&gt;"",H6&lt;&gt;"No DD"),SUMPRODUCT((H$4:H$14&lt;&gt;"")*(H$4:H$14&lt;&gt;"No DD")*(E$4:E$14&gt;E6))+1,IF(H6="No DD",SUMPRODUCT((H$4:H$14="No DD")*(E$4:E$14&gt;E6))+1+SUMPRODUCT((H$4:H$14&lt;&gt;"")*(H$4:H$14&lt;&gt;"No DD")),""))</f>
        <v>3</v>
      </c>
      <c r="B6" s="5" t="s">
        <v>147</v>
      </c>
      <c r="C6" s="4" t="s">
        <v>5</v>
      </c>
      <c r="D6" s="4">
        <v>2003</v>
      </c>
      <c r="E6" s="9">
        <f t="shared" si="0"/>
        <v>154.70001093000445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44.699999999999996</v>
      </c>
      <c r="K6" s="8" t="str">
        <f t="shared" si="5"/>
        <v>2023 Nationals</v>
      </c>
      <c r="L6" s="8">
        <f>IF(COUNT(AQ6,BT6,CW6)&gt;1,LARGE((AQ6,BT6,CW6),2),0)</f>
        <v>43.500000000000007</v>
      </c>
      <c r="M6" s="8" t="str">
        <f t="shared" si="6"/>
        <v>2023 Domestic 3rd Trial</v>
      </c>
      <c r="N6" s="8">
        <f>IF(COUNT(AR6,BU6,CX6)&gt;0,LARGE((AR6,BU6,CX6),1),0)</f>
        <v>21.099999999999998</v>
      </c>
      <c r="O6" s="8" t="str">
        <f t="shared" si="7"/>
        <v>2023 Nationals</v>
      </c>
      <c r="P6" s="8">
        <f t="shared" si="8"/>
        <v>45.300000000000004</v>
      </c>
      <c r="Q6" s="8" t="str">
        <f t="shared" si="9"/>
        <v>2023 Nationals</v>
      </c>
      <c r="R6" s="8">
        <f t="shared" si="10"/>
        <v>9.999999999998721E-2</v>
      </c>
      <c r="S6" s="11" t="str">
        <f t="shared" si="11"/>
        <v>(Q1)</v>
      </c>
      <c r="T6" s="8" t="str">
        <f t="shared" si="12"/>
        <v>2023 World Championships (Nov 11)</v>
      </c>
      <c r="U6" s="19">
        <v>17.3</v>
      </c>
      <c r="V6" s="19">
        <v>3.9</v>
      </c>
      <c r="W6" s="19">
        <v>0</v>
      </c>
      <c r="X6" s="19">
        <v>0.3</v>
      </c>
      <c r="Y6" s="19">
        <v>16.100000000000001</v>
      </c>
      <c r="Z6" s="19">
        <v>2.6</v>
      </c>
      <c r="AA6" s="19">
        <v>0</v>
      </c>
      <c r="AB6" s="19">
        <v>0.6</v>
      </c>
      <c r="AC6" s="19">
        <v>15.8</v>
      </c>
      <c r="AD6" s="19">
        <v>1.9</v>
      </c>
      <c r="AE6" s="19">
        <v>0</v>
      </c>
      <c r="AF6" s="19">
        <v>0.3</v>
      </c>
      <c r="AG6" s="19">
        <v>17</v>
      </c>
      <c r="AH6" s="19">
        <v>3.9</v>
      </c>
      <c r="AI6" s="19">
        <v>0.2</v>
      </c>
      <c r="AJ6" s="19">
        <v>0.3</v>
      </c>
      <c r="AK6" s="19">
        <v>16.399999999999999</v>
      </c>
      <c r="AL6" s="19">
        <v>1.9</v>
      </c>
      <c r="AM6" s="19">
        <v>0</v>
      </c>
      <c r="AN6" s="19">
        <v>0.3</v>
      </c>
      <c r="AO6" s="28"/>
      <c r="AP6" s="41">
        <f t="shared" si="13"/>
        <v>6.5</v>
      </c>
      <c r="AQ6" s="41">
        <f t="shared" si="14"/>
        <v>40.800000000000004</v>
      </c>
      <c r="AR6" s="41">
        <f t="shared" si="15"/>
        <v>18</v>
      </c>
      <c r="AS6" s="41">
        <f t="shared" si="16"/>
        <v>8.4</v>
      </c>
      <c r="AT6" s="41">
        <f t="shared" si="17"/>
        <v>58.800000000000004</v>
      </c>
      <c r="AU6" s="41">
        <f t="shared" si="18"/>
        <v>5.8</v>
      </c>
      <c r="AV6" s="41">
        <f t="shared" si="19"/>
        <v>39.599999999999987</v>
      </c>
      <c r="AW6" s="41">
        <f t="shared" si="20"/>
        <v>98.399999999999991</v>
      </c>
      <c r="AX6" s="18">
        <v>17.399999999999999</v>
      </c>
      <c r="AY6" s="18">
        <v>4.3</v>
      </c>
      <c r="AZ6" s="18">
        <v>0</v>
      </c>
      <c r="BA6" s="18">
        <v>0.3</v>
      </c>
      <c r="BB6" s="18">
        <v>17.5</v>
      </c>
      <c r="BC6" s="18">
        <v>4.8</v>
      </c>
      <c r="BD6" s="18">
        <v>0.2</v>
      </c>
      <c r="BE6" s="18">
        <v>0.6</v>
      </c>
      <c r="BF6" s="18">
        <v>16.7</v>
      </c>
      <c r="BG6" s="18">
        <v>4.0999999999999996</v>
      </c>
      <c r="BH6" s="18">
        <v>0</v>
      </c>
      <c r="BI6" s="18">
        <v>0.3</v>
      </c>
      <c r="BJ6" s="18">
        <v>17.399999999999999</v>
      </c>
      <c r="BK6" s="18">
        <v>4.8</v>
      </c>
      <c r="BL6" s="18">
        <v>0</v>
      </c>
      <c r="BM6" s="18">
        <v>0.6</v>
      </c>
      <c r="BN6" s="18">
        <v>17.3</v>
      </c>
      <c r="BO6" s="18">
        <v>4.5999999999999996</v>
      </c>
      <c r="BP6" s="18">
        <v>0</v>
      </c>
      <c r="BQ6" s="18">
        <v>0.6</v>
      </c>
      <c r="BR6" s="29"/>
      <c r="BS6" s="11">
        <f t="shared" si="21"/>
        <v>9.1</v>
      </c>
      <c r="BT6" s="11">
        <f t="shared" si="22"/>
        <v>44.699999999999996</v>
      </c>
      <c r="BU6" s="11">
        <f t="shared" si="23"/>
        <v>21.099999999999998</v>
      </c>
      <c r="BV6" s="11">
        <f t="shared" si="24"/>
        <v>13.2</v>
      </c>
      <c r="BW6" s="11">
        <f t="shared" si="25"/>
        <v>65.8</v>
      </c>
      <c r="BX6" s="11">
        <f t="shared" si="26"/>
        <v>9.3999999999999986</v>
      </c>
      <c r="BY6" s="11">
        <f t="shared" si="27"/>
        <v>45.300000000000004</v>
      </c>
      <c r="BZ6" s="11">
        <f t="shared" si="28"/>
        <v>111.1</v>
      </c>
      <c r="CA6" s="19">
        <v>17.5</v>
      </c>
      <c r="CB6" s="19">
        <v>4.3</v>
      </c>
      <c r="CC6" s="19">
        <v>0</v>
      </c>
      <c r="CD6" s="19">
        <v>0.3</v>
      </c>
      <c r="CE6" s="19">
        <v>16.600000000000001</v>
      </c>
      <c r="CF6" s="19">
        <v>4.5999999999999996</v>
      </c>
      <c r="CG6" s="19">
        <v>0.4</v>
      </c>
      <c r="CH6" s="19">
        <v>0.6</v>
      </c>
      <c r="CI6" s="19">
        <v>16</v>
      </c>
      <c r="CJ6" s="19">
        <v>1.9</v>
      </c>
      <c r="CK6" s="19">
        <v>0</v>
      </c>
      <c r="CL6" s="19">
        <v>0.3</v>
      </c>
      <c r="CM6" s="62">
        <v>17.2</v>
      </c>
      <c r="CN6" s="62">
        <v>4.3499999999999996</v>
      </c>
      <c r="CO6" s="62">
        <v>0.1</v>
      </c>
      <c r="CP6" s="62">
        <v>0.44999999999999996</v>
      </c>
      <c r="CQ6" s="62">
        <v>16.850000000000001</v>
      </c>
      <c r="CR6" s="62">
        <v>3.25</v>
      </c>
      <c r="CS6" s="62">
        <v>0</v>
      </c>
      <c r="CT6" s="62">
        <v>0.44999999999999996</v>
      </c>
      <c r="CU6" s="28"/>
      <c r="CV6" s="41">
        <f t="shared" si="29"/>
        <v>8.8999999999999986</v>
      </c>
      <c r="CW6" s="41">
        <f t="shared" si="30"/>
        <v>43.500000000000007</v>
      </c>
      <c r="CX6" s="41">
        <f t="shared" si="31"/>
        <v>18.2</v>
      </c>
      <c r="CY6" s="41">
        <f t="shared" si="32"/>
        <v>10.799999999999999</v>
      </c>
      <c r="CZ6" s="41">
        <f t="shared" si="33"/>
        <v>61.7</v>
      </c>
      <c r="DA6" s="64">
        <f t="shared" si="34"/>
        <v>7.6</v>
      </c>
      <c r="DB6" s="64">
        <f t="shared" si="35"/>
        <v>42.449999999999996</v>
      </c>
      <c r="DC6" s="41">
        <f t="shared" si="36"/>
        <v>104.15</v>
      </c>
      <c r="DD6" s="52">
        <f t="shared" si="37"/>
        <v>9.999999999998721E-2</v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 t="str">
        <f t="shared" si="45"/>
        <v/>
      </c>
      <c r="EG6" s="41" t="str">
        <f t="shared" si="46"/>
        <v/>
      </c>
      <c r="EH6" s="41" t="str">
        <f t="shared" si="47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 t="str">
        <f t="shared" si="53"/>
        <v/>
      </c>
      <c r="FI6" s="11" t="str">
        <f t="shared" si="54"/>
        <v/>
      </c>
      <c r="FJ6" s="11" t="str">
        <f t="shared" si="55"/>
        <v/>
      </c>
      <c r="FK6" s="17">
        <v>16.8</v>
      </c>
      <c r="FL6" s="17">
        <v>1.9</v>
      </c>
      <c r="FM6" s="17">
        <v>0</v>
      </c>
      <c r="FN6" s="17">
        <v>0</v>
      </c>
      <c r="FO6" s="17">
        <v>16.600000000000001</v>
      </c>
      <c r="FP6" s="17">
        <v>3.5</v>
      </c>
      <c r="FQ6" s="17">
        <v>0.4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 t="shared" si="56"/>
        <v>5.4</v>
      </c>
      <c r="GF6" s="41">
        <f t="shared" si="57"/>
        <v>38.4</v>
      </c>
      <c r="GG6" s="41" t="str">
        <f t="shared" si="58"/>
        <v/>
      </c>
      <c r="GH6" s="41">
        <f t="shared" si="59"/>
        <v>5.4</v>
      </c>
      <c r="GI6" s="41">
        <f t="shared" si="60"/>
        <v>38.4</v>
      </c>
      <c r="GJ6" s="41" t="str">
        <f t="shared" si="61"/>
        <v/>
      </c>
      <c r="GK6" s="41" t="str">
        <f t="shared" si="62"/>
        <v/>
      </c>
      <c r="GL6" s="41">
        <f t="shared" si="63"/>
        <v>38.4</v>
      </c>
      <c r="GM6" s="18">
        <v>17.600000000000001</v>
      </c>
      <c r="GN6" s="18">
        <v>3.9</v>
      </c>
      <c r="GO6" s="18">
        <v>0.2</v>
      </c>
      <c r="GP6" s="18">
        <v>0</v>
      </c>
      <c r="GQ6" s="18">
        <v>18</v>
      </c>
      <c r="GR6" s="18">
        <v>4.3</v>
      </c>
      <c r="GS6" s="18">
        <v>0</v>
      </c>
      <c r="GT6" s="18">
        <v>0</v>
      </c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>
        <f t="shared" si="64"/>
        <v>8.1999999999999993</v>
      </c>
      <c r="HH6" s="11">
        <f t="shared" si="65"/>
        <v>43.599999999999994</v>
      </c>
      <c r="HI6" s="11" t="str">
        <f t="shared" si="66"/>
        <v/>
      </c>
      <c r="HJ6" s="11">
        <f t="shared" si="67"/>
        <v>8.1999999999999993</v>
      </c>
      <c r="HK6" s="11">
        <f t="shared" si="68"/>
        <v>43.599999999999994</v>
      </c>
      <c r="HL6" s="11" t="str">
        <f t="shared" si="69"/>
        <v/>
      </c>
      <c r="HM6" s="11" t="str">
        <f t="shared" si="70"/>
        <v/>
      </c>
      <c r="HN6" s="11">
        <f t="shared" si="71"/>
        <v>43.599999999999994</v>
      </c>
      <c r="HO6" s="17"/>
      <c r="HP6" s="17"/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41" t="str">
        <f t="shared" si="72"/>
        <v/>
      </c>
      <c r="IJ6" s="41" t="str">
        <f t="shared" si="73"/>
        <v/>
      </c>
      <c r="IK6" s="41" t="str">
        <f t="shared" si="74"/>
        <v/>
      </c>
      <c r="IL6" s="41" t="str">
        <f t="shared" si="75"/>
        <v/>
      </c>
      <c r="IM6" s="41" t="str">
        <f t="shared" si="76"/>
        <v/>
      </c>
      <c r="IN6" s="41" t="str">
        <f t="shared" si="77"/>
        <v/>
      </c>
      <c r="IO6" s="41" t="str">
        <f t="shared" si="78"/>
        <v/>
      </c>
      <c r="IP6" s="41" t="str">
        <f t="shared" si="79"/>
        <v/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80"/>
        <v/>
      </c>
      <c r="JL6" s="11" t="str">
        <f t="shared" si="81"/>
        <v/>
      </c>
      <c r="JM6" s="11" t="str">
        <f t="shared" si="82"/>
        <v/>
      </c>
      <c r="JN6" s="11" t="str">
        <f t="shared" si="83"/>
        <v/>
      </c>
      <c r="JO6" s="11" t="str">
        <f t="shared" si="84"/>
        <v/>
      </c>
      <c r="JP6" s="11" t="str">
        <f t="shared" si="85"/>
        <v/>
      </c>
      <c r="JQ6" s="11" t="str">
        <f t="shared" si="86"/>
        <v/>
      </c>
      <c r="JR6" s="11" t="str">
        <f t="shared" si="87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17.45</v>
      </c>
      <c r="QF6" s="23">
        <f t="shared" si="137"/>
        <v>4.3</v>
      </c>
      <c r="QG6" s="23">
        <f t="shared" si="138"/>
        <v>0</v>
      </c>
      <c r="QH6" s="23">
        <f t="shared" si="139"/>
        <v>0.3</v>
      </c>
      <c r="QI6" s="23">
        <f t="shared" si="140"/>
        <v>17.05</v>
      </c>
      <c r="QJ6" s="23">
        <f t="shared" si="141"/>
        <v>4.6999999999999993</v>
      </c>
      <c r="QK6" s="23">
        <f t="shared" si="142"/>
        <v>0.30000000000000004</v>
      </c>
      <c r="QL6" s="23">
        <f t="shared" si="143"/>
        <v>0.6</v>
      </c>
      <c r="QM6" s="23">
        <f t="shared" si="144"/>
        <v>16.350000000000001</v>
      </c>
      <c r="QN6" s="23">
        <f t="shared" si="145"/>
        <v>3</v>
      </c>
      <c r="QO6" s="23">
        <f t="shared" si="146"/>
        <v>0</v>
      </c>
      <c r="QP6" s="23">
        <f t="shared" si="147"/>
        <v>0.3</v>
      </c>
      <c r="QQ6" s="23">
        <f t="shared" si="148"/>
        <v>17.299999999999997</v>
      </c>
      <c r="QR6" s="23">
        <f t="shared" si="149"/>
        <v>4.5749999999999993</v>
      </c>
      <c r="QS6" s="23">
        <f t="shared" si="150"/>
        <v>0.05</v>
      </c>
      <c r="QT6" s="23">
        <f t="shared" si="151"/>
        <v>0.52499999999999991</v>
      </c>
      <c r="QU6" s="23">
        <f t="shared" si="152"/>
        <v>17.075000000000003</v>
      </c>
      <c r="QV6" s="23">
        <f t="shared" si="153"/>
        <v>3.9249999999999998</v>
      </c>
      <c r="QW6" s="23">
        <f t="shared" si="154"/>
        <v>0</v>
      </c>
      <c r="QX6" s="23">
        <f t="shared" si="155"/>
        <v>0.52499999999999991</v>
      </c>
      <c r="QY6" s="28" t="s">
        <v>57</v>
      </c>
      <c r="QZ6" s="41">
        <f t="shared" si="156"/>
        <v>9</v>
      </c>
      <c r="RA6" s="41">
        <f t="shared" si="157"/>
        <v>44.1</v>
      </c>
      <c r="RB6" s="41">
        <f t="shared" si="158"/>
        <v>19.650000000000002</v>
      </c>
      <c r="RC6" s="41">
        <f t="shared" si="159"/>
        <v>12</v>
      </c>
      <c r="RD6" s="41">
        <f t="shared" si="160"/>
        <v>63.75</v>
      </c>
      <c r="RE6" s="41">
        <f t="shared" si="161"/>
        <v>8.5</v>
      </c>
      <c r="RF6" s="41">
        <f t="shared" si="162"/>
        <v>43.874999999999993</v>
      </c>
      <c r="RG6" s="41">
        <f t="shared" si="163"/>
        <v>107.625</v>
      </c>
    </row>
    <row r="7" spans="1:475" x14ac:dyDescent="0.2">
      <c r="A7" s="4" cm="1">
        <f t="array" ref="A7">IF(AND(H7&lt;&gt;"",H7&lt;&gt;"No DD"),SUMPRODUCT((H$4:H$14&lt;&gt;"")*(H$4:H$14&lt;&gt;"No DD")*(E$4:E$14&gt;E7))+1,IF(H7="No DD",SUMPRODUCT((H$4:H$14="No DD")*(E$4:E$14&gt;E7))+1+SUMPRODUCT((H$4:H$14&lt;&gt;"")*(H$4:H$14&lt;&gt;"No DD")),""))</f>
        <v>4</v>
      </c>
      <c r="B7" s="5" t="s">
        <v>174</v>
      </c>
      <c r="C7" s="4" t="s">
        <v>5</v>
      </c>
      <c r="D7" s="4">
        <v>2003</v>
      </c>
      <c r="E7" s="9">
        <f t="shared" si="0"/>
        <v>154.00001087000444</v>
      </c>
      <c r="F7" s="3" t="str">
        <f t="shared" si="1"/>
        <v>P</v>
      </c>
      <c r="G7" s="3" t="str">
        <f t="shared" si="2"/>
        <v>P</v>
      </c>
      <c r="H7" s="37" t="str">
        <f t="shared" si="3"/>
        <v>Worlds Team</v>
      </c>
      <c r="I7" s="3" t="str">
        <f t="shared" si="4"/>
        <v>P</v>
      </c>
      <c r="J7" s="8">
        <f>IF(COUNT(AQ7,BT7,CW7)&gt;0,LARGE((AQ7,BT7,CW7),1),0)</f>
        <v>44.300000000000004</v>
      </c>
      <c r="K7" s="8" t="str">
        <f t="shared" si="5"/>
        <v>2023 Domestic 3rd Trial</v>
      </c>
      <c r="L7" s="8">
        <f>IF(COUNT(AQ7,BT7,CW7)&gt;1,LARGE((AQ7,BT7,CW7),2),0)</f>
        <v>42.900000000000006</v>
      </c>
      <c r="M7" s="8" t="str">
        <f t="shared" si="6"/>
        <v>2023 Nationals</v>
      </c>
      <c r="N7" s="8">
        <f>IF(COUNT(AR7,BU7,CX7)&gt;0,LARGE((AR7,BU7,CX7),1),0)</f>
        <v>21.5</v>
      </c>
      <c r="O7" s="8" t="str">
        <f t="shared" si="7"/>
        <v>2023 Nationals</v>
      </c>
      <c r="P7" s="8">
        <f t="shared" si="8"/>
        <v>44.599999999999994</v>
      </c>
      <c r="Q7" s="8" t="str">
        <f t="shared" si="9"/>
        <v>2023 Nationals</v>
      </c>
      <c r="R7" s="8">
        <f t="shared" si="10"/>
        <v>0.69999999999999574</v>
      </c>
      <c r="S7" s="11" t="str">
        <f t="shared" si="11"/>
        <v>(Q1)</v>
      </c>
      <c r="T7" s="8" t="str">
        <f t="shared" si="12"/>
        <v>2022 WAGC (Nov 24)</v>
      </c>
      <c r="U7" s="19">
        <v>17.100000000000001</v>
      </c>
      <c r="V7" s="19">
        <v>3.9</v>
      </c>
      <c r="W7" s="19">
        <v>0</v>
      </c>
      <c r="X7" s="19">
        <v>0.3</v>
      </c>
      <c r="Y7" s="19">
        <v>16.399999999999999</v>
      </c>
      <c r="Z7" s="19">
        <v>1.9</v>
      </c>
      <c r="AA7" s="19">
        <v>0</v>
      </c>
      <c r="AB7" s="19">
        <v>0.3</v>
      </c>
      <c r="AC7" s="19">
        <v>16.899999999999999</v>
      </c>
      <c r="AD7" s="19">
        <v>4.0999999999999996</v>
      </c>
      <c r="AE7" s="19">
        <v>0</v>
      </c>
      <c r="AF7" s="19">
        <v>0.3</v>
      </c>
      <c r="AG7" s="19">
        <v>17.600000000000001</v>
      </c>
      <c r="AH7" s="19">
        <v>4.0999999999999996</v>
      </c>
      <c r="AI7" s="19">
        <v>0</v>
      </c>
      <c r="AJ7" s="19">
        <v>0.3</v>
      </c>
      <c r="AK7" s="19">
        <v>17.399999999999999</v>
      </c>
      <c r="AL7" s="19">
        <v>3.2</v>
      </c>
      <c r="AM7" s="19">
        <v>0.4</v>
      </c>
      <c r="AN7" s="19">
        <v>0.6</v>
      </c>
      <c r="AO7" s="28"/>
      <c r="AP7" s="41">
        <f t="shared" si="13"/>
        <v>5.8</v>
      </c>
      <c r="AQ7" s="41">
        <f t="shared" si="14"/>
        <v>39.9</v>
      </c>
      <c r="AR7" s="41">
        <f t="shared" si="15"/>
        <v>21.3</v>
      </c>
      <c r="AS7" s="41">
        <f t="shared" si="16"/>
        <v>9.8999999999999986</v>
      </c>
      <c r="AT7" s="41">
        <f t="shared" si="17"/>
        <v>61.2</v>
      </c>
      <c r="AU7" s="41">
        <f t="shared" si="18"/>
        <v>7.3</v>
      </c>
      <c r="AV7" s="41">
        <f t="shared" si="19"/>
        <v>42.800000000000011</v>
      </c>
      <c r="AW7" s="41">
        <f t="shared" si="20"/>
        <v>104.00000000000001</v>
      </c>
      <c r="AX7" s="18">
        <v>17.2</v>
      </c>
      <c r="AY7" s="18">
        <v>4.3</v>
      </c>
      <c r="AZ7" s="18">
        <v>0</v>
      </c>
      <c r="BA7" s="18">
        <v>0.3</v>
      </c>
      <c r="BB7" s="18">
        <v>15.9</v>
      </c>
      <c r="BC7" s="18">
        <v>4.5999999999999996</v>
      </c>
      <c r="BD7" s="18">
        <v>0</v>
      </c>
      <c r="BE7" s="18">
        <v>0.6</v>
      </c>
      <c r="BF7" s="18">
        <v>16.3</v>
      </c>
      <c r="BG7" s="18">
        <v>4.5999999999999996</v>
      </c>
      <c r="BH7" s="18">
        <v>0</v>
      </c>
      <c r="BI7" s="18">
        <v>0.6</v>
      </c>
      <c r="BJ7" s="18">
        <v>16.7</v>
      </c>
      <c r="BK7" s="18">
        <v>4.5999999999999996</v>
      </c>
      <c r="BL7" s="18">
        <v>0.2</v>
      </c>
      <c r="BM7" s="18">
        <v>0.6</v>
      </c>
      <c r="BN7" s="18">
        <v>18.3</v>
      </c>
      <c r="BO7" s="18">
        <v>4.3</v>
      </c>
      <c r="BP7" s="18">
        <v>0</v>
      </c>
      <c r="BQ7" s="18">
        <v>0.3</v>
      </c>
      <c r="BR7" s="29"/>
      <c r="BS7" s="11">
        <f t="shared" si="21"/>
        <v>8.8999999999999986</v>
      </c>
      <c r="BT7" s="11">
        <f t="shared" si="22"/>
        <v>42.900000000000006</v>
      </c>
      <c r="BU7" s="11">
        <f t="shared" si="23"/>
        <v>21.5</v>
      </c>
      <c r="BV7" s="11">
        <f t="shared" si="24"/>
        <v>13.499999999999998</v>
      </c>
      <c r="BW7" s="11">
        <f t="shared" si="25"/>
        <v>64.400000000000006</v>
      </c>
      <c r="BX7" s="11">
        <f t="shared" si="26"/>
        <v>8.8999999999999986</v>
      </c>
      <c r="BY7" s="11">
        <f t="shared" si="27"/>
        <v>44.599999999999994</v>
      </c>
      <c r="BZ7" s="11">
        <f t="shared" si="28"/>
        <v>109</v>
      </c>
      <c r="CA7" s="19">
        <v>17.5</v>
      </c>
      <c r="CB7" s="19">
        <v>4.3</v>
      </c>
      <c r="CC7" s="19">
        <v>0</v>
      </c>
      <c r="CD7" s="19">
        <v>0.3</v>
      </c>
      <c r="CE7" s="19">
        <v>17</v>
      </c>
      <c r="CF7" s="19">
        <v>4.5999999999999996</v>
      </c>
      <c r="CG7" s="19">
        <v>0</v>
      </c>
      <c r="CH7" s="19">
        <v>0.6</v>
      </c>
      <c r="CI7" s="19">
        <v>15</v>
      </c>
      <c r="CJ7" s="19">
        <v>4.5999999999999996</v>
      </c>
      <c r="CK7" s="19">
        <v>0</v>
      </c>
      <c r="CL7" s="19">
        <v>0.6</v>
      </c>
      <c r="CM7" s="19">
        <v>15.1</v>
      </c>
      <c r="CN7" s="19">
        <v>3.9</v>
      </c>
      <c r="CO7" s="19">
        <v>0.2</v>
      </c>
      <c r="CP7" s="19">
        <v>0.3</v>
      </c>
      <c r="CQ7" s="19">
        <v>16.899999999999999</v>
      </c>
      <c r="CR7" s="19">
        <v>4.8</v>
      </c>
      <c r="CS7" s="19">
        <v>0</v>
      </c>
      <c r="CT7" s="63">
        <v>0.6</v>
      </c>
      <c r="CU7" s="28"/>
      <c r="CV7" s="41">
        <f t="shared" si="29"/>
        <v>8.8999999999999986</v>
      </c>
      <c r="CW7" s="41">
        <f t="shared" si="30"/>
        <v>44.300000000000004</v>
      </c>
      <c r="CX7" s="41">
        <f t="shared" si="31"/>
        <v>20.200000000000003</v>
      </c>
      <c r="CY7" s="41">
        <f t="shared" si="32"/>
        <v>13.499999999999998</v>
      </c>
      <c r="CZ7" s="41">
        <f t="shared" si="33"/>
        <v>64.5</v>
      </c>
      <c r="DA7" s="41">
        <f t="shared" si="34"/>
        <v>8.6999999999999993</v>
      </c>
      <c r="DB7" s="41">
        <f t="shared" si="35"/>
        <v>41.4</v>
      </c>
      <c r="DC7" s="41">
        <f t="shared" si="36"/>
        <v>105.9</v>
      </c>
      <c r="DD7" s="52">
        <f t="shared" si="37"/>
        <v>0.69999999999999574</v>
      </c>
      <c r="DE7" s="52" t="str">
        <f t="shared" si="38"/>
        <v/>
      </c>
      <c r="DF7" s="52" t="str">
        <f t="shared" si="39"/>
        <v/>
      </c>
      <c r="DG7" s="17">
        <v>17.8</v>
      </c>
      <c r="DH7" s="17">
        <v>4.3</v>
      </c>
      <c r="DI7" s="17">
        <v>0</v>
      </c>
      <c r="DJ7" s="17">
        <v>0</v>
      </c>
      <c r="DK7" s="17">
        <v>16.899999999999999</v>
      </c>
      <c r="DL7" s="17">
        <v>4.5999999999999996</v>
      </c>
      <c r="DM7" s="17">
        <v>0</v>
      </c>
      <c r="DN7" s="17">
        <v>0</v>
      </c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>
        <f t="shared" si="40"/>
        <v>8.8999999999999986</v>
      </c>
      <c r="EB7" s="41">
        <f t="shared" si="41"/>
        <v>43.6</v>
      </c>
      <c r="EC7" s="41" t="str">
        <f t="shared" si="42"/>
        <v/>
      </c>
      <c r="ED7" s="41">
        <f t="shared" si="43"/>
        <v>8.8999999999999986</v>
      </c>
      <c r="EE7" s="41">
        <f t="shared" si="44"/>
        <v>43.6</v>
      </c>
      <c r="EF7" s="41" t="str">
        <f t="shared" si="45"/>
        <v/>
      </c>
      <c r="EG7" s="41" t="str">
        <f t="shared" si="46"/>
        <v/>
      </c>
      <c r="EH7" s="41">
        <f t="shared" si="47"/>
        <v>43.6</v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>
        <v>17.3</v>
      </c>
      <c r="FL7" s="17">
        <v>3.9</v>
      </c>
      <c r="FM7" s="17">
        <v>0</v>
      </c>
      <c r="FN7" s="17">
        <v>0</v>
      </c>
      <c r="FO7" s="17">
        <v>18.100000000000001</v>
      </c>
      <c r="FP7" s="17">
        <v>4.0999999999999996</v>
      </c>
      <c r="FQ7" s="17">
        <v>0</v>
      </c>
      <c r="FR7" s="17">
        <v>0</v>
      </c>
      <c r="FS7" s="17"/>
      <c r="FT7" s="17"/>
      <c r="FU7" s="17"/>
      <c r="FV7" s="17"/>
      <c r="FW7" s="17">
        <v>17.7</v>
      </c>
      <c r="FX7" s="17">
        <v>5</v>
      </c>
      <c r="FY7" s="17">
        <v>0</v>
      </c>
      <c r="FZ7" s="17">
        <v>0</v>
      </c>
      <c r="GA7" s="17"/>
      <c r="GB7" s="17"/>
      <c r="GC7" s="17"/>
      <c r="GD7" s="17"/>
      <c r="GE7" s="41">
        <f t="shared" si="56"/>
        <v>8</v>
      </c>
      <c r="GF7" s="41">
        <f t="shared" si="57"/>
        <v>43.4</v>
      </c>
      <c r="GG7" s="41" t="str">
        <f t="shared" si="58"/>
        <v/>
      </c>
      <c r="GH7" s="41">
        <f t="shared" si="59"/>
        <v>8</v>
      </c>
      <c r="GI7" s="41">
        <f t="shared" si="60"/>
        <v>43.4</v>
      </c>
      <c r="GJ7" s="41">
        <f t="shared" si="61"/>
        <v>5</v>
      </c>
      <c r="GK7" s="41">
        <f t="shared" si="62"/>
        <v>22.7</v>
      </c>
      <c r="GL7" s="41">
        <f t="shared" si="63"/>
        <v>66.099999999999994</v>
      </c>
      <c r="GM7" s="18">
        <v>16.8</v>
      </c>
      <c r="GN7" s="18">
        <v>4.5999999999999996</v>
      </c>
      <c r="GO7" s="18">
        <v>0.2</v>
      </c>
      <c r="GP7" s="18">
        <v>0</v>
      </c>
      <c r="GQ7" s="18">
        <v>16.899999999999999</v>
      </c>
      <c r="GR7" s="18">
        <v>3.2</v>
      </c>
      <c r="GS7" s="18">
        <v>0.4</v>
      </c>
      <c r="GT7" s="18">
        <v>0</v>
      </c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>
        <f t="shared" si="64"/>
        <v>7.8</v>
      </c>
      <c r="HH7" s="11">
        <f t="shared" si="65"/>
        <v>40.9</v>
      </c>
      <c r="HI7" s="11" t="str">
        <f t="shared" si="66"/>
        <v/>
      </c>
      <c r="HJ7" s="11">
        <f t="shared" si="67"/>
        <v>7.8</v>
      </c>
      <c r="HK7" s="11">
        <f t="shared" si="68"/>
        <v>40.9</v>
      </c>
      <c r="HL7" s="11" t="str">
        <f t="shared" si="69"/>
        <v/>
      </c>
      <c r="HM7" s="11" t="str">
        <f t="shared" si="70"/>
        <v/>
      </c>
      <c r="HN7" s="11">
        <f t="shared" si="71"/>
        <v>40.9</v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2"/>
        <v/>
      </c>
      <c r="IJ7" s="41" t="str">
        <f t="shared" si="73"/>
        <v/>
      </c>
      <c r="IK7" s="41" t="str">
        <f t="shared" si="74"/>
        <v/>
      </c>
      <c r="IL7" s="41" t="str">
        <f t="shared" si="75"/>
        <v/>
      </c>
      <c r="IM7" s="41" t="str">
        <f t="shared" si="76"/>
        <v/>
      </c>
      <c r="IN7" s="41" t="str">
        <f t="shared" si="77"/>
        <v/>
      </c>
      <c r="IO7" s="41" t="str">
        <f t="shared" si="78"/>
        <v/>
      </c>
      <c r="IP7" s="41" t="str">
        <f t="shared" si="79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80"/>
        <v/>
      </c>
      <c r="JL7" s="11" t="str">
        <f t="shared" si="81"/>
        <v/>
      </c>
      <c r="JM7" s="11" t="str">
        <f t="shared" si="82"/>
        <v/>
      </c>
      <c r="JN7" s="11" t="str">
        <f t="shared" si="83"/>
        <v/>
      </c>
      <c r="JO7" s="11" t="str">
        <f t="shared" si="84"/>
        <v/>
      </c>
      <c r="JP7" s="11" t="str">
        <f t="shared" si="85"/>
        <v/>
      </c>
      <c r="JQ7" s="11" t="str">
        <f t="shared" si="86"/>
        <v/>
      </c>
      <c r="JR7" s="11" t="str">
        <f t="shared" si="87"/>
        <v/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17.350000000000001</v>
      </c>
      <c r="QF7" s="23">
        <f t="shared" si="137"/>
        <v>4.3</v>
      </c>
      <c r="QG7" s="23">
        <f t="shared" si="138"/>
        <v>0</v>
      </c>
      <c r="QH7" s="23">
        <f t="shared" si="139"/>
        <v>0.3</v>
      </c>
      <c r="QI7" s="23">
        <f t="shared" si="140"/>
        <v>16.45</v>
      </c>
      <c r="QJ7" s="23">
        <f t="shared" si="141"/>
        <v>4.5999999999999996</v>
      </c>
      <c r="QK7" s="23">
        <f t="shared" si="142"/>
        <v>0</v>
      </c>
      <c r="QL7" s="23">
        <f t="shared" si="143"/>
        <v>0.6</v>
      </c>
      <c r="QM7" s="23">
        <f t="shared" si="144"/>
        <v>15.65</v>
      </c>
      <c r="QN7" s="23">
        <f t="shared" si="145"/>
        <v>4.5999999999999996</v>
      </c>
      <c r="QO7" s="23">
        <f t="shared" si="146"/>
        <v>0</v>
      </c>
      <c r="QP7" s="23">
        <f t="shared" si="147"/>
        <v>0.6</v>
      </c>
      <c r="QQ7" s="23">
        <f t="shared" si="148"/>
        <v>15.899999999999999</v>
      </c>
      <c r="QR7" s="23">
        <f t="shared" si="149"/>
        <v>4.25</v>
      </c>
      <c r="QS7" s="23">
        <f t="shared" si="150"/>
        <v>0.2</v>
      </c>
      <c r="QT7" s="23">
        <f t="shared" si="151"/>
        <v>0.44999999999999996</v>
      </c>
      <c r="QU7" s="23">
        <f t="shared" si="152"/>
        <v>17.600000000000001</v>
      </c>
      <c r="QV7" s="23">
        <f t="shared" si="153"/>
        <v>4.55</v>
      </c>
      <c r="QW7" s="23">
        <f t="shared" si="154"/>
        <v>0</v>
      </c>
      <c r="QX7" s="23">
        <f t="shared" si="155"/>
        <v>0.44999999999999996</v>
      </c>
      <c r="QY7" s="28" t="s">
        <v>57</v>
      </c>
      <c r="QZ7" s="41">
        <f t="shared" si="156"/>
        <v>8.8999999999999986</v>
      </c>
      <c r="RA7" s="41">
        <f t="shared" si="157"/>
        <v>43.600000000000009</v>
      </c>
      <c r="RB7" s="41">
        <f t="shared" si="158"/>
        <v>20.85</v>
      </c>
      <c r="RC7" s="41">
        <f t="shared" si="159"/>
        <v>13.499999999999998</v>
      </c>
      <c r="RD7" s="41">
        <f t="shared" si="160"/>
        <v>64.450000000000017</v>
      </c>
      <c r="RE7" s="41">
        <f t="shared" si="161"/>
        <v>8.8000000000000007</v>
      </c>
      <c r="RF7" s="41">
        <f t="shared" si="162"/>
        <v>43</v>
      </c>
      <c r="RG7" s="41">
        <f t="shared" si="163"/>
        <v>107.45000000000002</v>
      </c>
    </row>
    <row r="8" spans="1:475" x14ac:dyDescent="0.2">
      <c r="A8" s="4" cm="1">
        <f t="array" ref="A8">IF(AND(H8&lt;&gt;"",H8&lt;&gt;"No DD"),SUMPRODUCT((H$4:H$14&lt;&gt;"")*(H$4:H$14&lt;&gt;"No DD")*(E$4:E$14&gt;E8))+1,IF(H8="No DD",SUMPRODUCT((H$4:H$14="No DD")*(E$4:E$14&gt;E8))+1+SUMPRODUCT((H$4:H$14&lt;&gt;"")*(H$4:H$14&lt;&gt;"No DD")),""))</f>
        <v>5</v>
      </c>
      <c r="B8" s="5" t="s">
        <v>97</v>
      </c>
      <c r="C8" s="4" t="s">
        <v>6</v>
      </c>
      <c r="D8" s="4">
        <v>2004</v>
      </c>
      <c r="E8" s="9">
        <f t="shared" si="0"/>
        <v>146.50000977000389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IF(COUNT(AQ8,BT8,CW8)&gt;0,LARGE((AQ8,BT8,CW8),1),0)</f>
        <v>38.700000000000003</v>
      </c>
      <c r="K8" s="8" t="str">
        <f t="shared" si="5"/>
        <v>2023 Nationals</v>
      </c>
      <c r="L8" s="8">
        <f>IF(COUNT(AQ8,BT8,CW8)&gt;1,LARGE((AQ8,BT8,CW8),2),0)</f>
        <v>37.500000000000007</v>
      </c>
      <c r="M8" s="8" t="str">
        <f t="shared" si="6"/>
        <v>2023 Elite Canada</v>
      </c>
      <c r="N8" s="8">
        <f>IF(COUNT(AR8,BU8,CX8)&gt;0,LARGE((AR8,BU8,CX8),1),0)</f>
        <v>21.5</v>
      </c>
      <c r="O8" s="8" t="str">
        <f t="shared" si="7"/>
        <v>2023 Domestic 3rd Trial</v>
      </c>
      <c r="P8" s="8">
        <f t="shared" si="8"/>
        <v>42.800000000000004</v>
      </c>
      <c r="Q8" s="8" t="str">
        <f t="shared" si="9"/>
        <v>2023 Nationals</v>
      </c>
      <c r="R8" s="8">
        <f t="shared" si="10"/>
        <v>5.9999999999999929</v>
      </c>
      <c r="S8" s="11" t="str">
        <f t="shared" si="11"/>
        <v>(Q1)</v>
      </c>
      <c r="T8" s="8" t="str">
        <f t="shared" si="12"/>
        <v>2023 WAGC (Nov 17)</v>
      </c>
      <c r="U8" s="19">
        <v>16.8</v>
      </c>
      <c r="V8" s="19">
        <v>3.4</v>
      </c>
      <c r="W8" s="19">
        <v>0.4</v>
      </c>
      <c r="X8" s="19">
        <v>0</v>
      </c>
      <c r="Y8" s="19">
        <v>14.5</v>
      </c>
      <c r="Z8" s="19">
        <v>4.5999999999999996</v>
      </c>
      <c r="AA8" s="19">
        <v>2</v>
      </c>
      <c r="AB8" s="19">
        <v>0.6</v>
      </c>
      <c r="AC8" s="19">
        <v>15.3</v>
      </c>
      <c r="AD8" s="19">
        <v>2.6</v>
      </c>
      <c r="AE8" s="19">
        <v>0</v>
      </c>
      <c r="AF8" s="19">
        <v>0.6</v>
      </c>
      <c r="AG8" s="19">
        <v>16.600000000000001</v>
      </c>
      <c r="AH8" s="19">
        <v>3.8</v>
      </c>
      <c r="AI8" s="19">
        <v>0</v>
      </c>
      <c r="AJ8" s="19">
        <v>0</v>
      </c>
      <c r="AK8" s="19">
        <v>16.600000000000001</v>
      </c>
      <c r="AL8" s="19">
        <v>4.5999999999999996</v>
      </c>
      <c r="AM8" s="19">
        <v>0</v>
      </c>
      <c r="AN8" s="19">
        <v>0.6</v>
      </c>
      <c r="AO8" s="28"/>
      <c r="AP8" s="41">
        <f t="shared" si="13"/>
        <v>8</v>
      </c>
      <c r="AQ8" s="41">
        <f t="shared" si="14"/>
        <v>37.500000000000007</v>
      </c>
      <c r="AR8" s="41">
        <f t="shared" si="15"/>
        <v>18.500000000000004</v>
      </c>
      <c r="AS8" s="41">
        <f t="shared" si="16"/>
        <v>10.6</v>
      </c>
      <c r="AT8" s="41">
        <f t="shared" si="17"/>
        <v>56.000000000000014</v>
      </c>
      <c r="AU8" s="41">
        <f t="shared" si="18"/>
        <v>8.3999999999999986</v>
      </c>
      <c r="AV8" s="41">
        <f t="shared" si="19"/>
        <v>42.2</v>
      </c>
      <c r="AW8" s="41">
        <f t="shared" si="20"/>
        <v>98.200000000000017</v>
      </c>
      <c r="AX8" s="18">
        <v>15.2</v>
      </c>
      <c r="AY8" s="18">
        <v>3.4</v>
      </c>
      <c r="AZ8" s="18">
        <v>0.4</v>
      </c>
      <c r="BA8" s="18">
        <v>0</v>
      </c>
      <c r="BB8" s="18">
        <v>16.600000000000001</v>
      </c>
      <c r="BC8" s="18">
        <v>5.3</v>
      </c>
      <c r="BD8" s="18">
        <v>2</v>
      </c>
      <c r="BE8" s="18">
        <v>0.6</v>
      </c>
      <c r="BF8" s="18">
        <v>15.9</v>
      </c>
      <c r="BG8" s="18">
        <v>4.2</v>
      </c>
      <c r="BH8" s="18">
        <v>0</v>
      </c>
      <c r="BI8" s="18">
        <v>0.6</v>
      </c>
      <c r="BJ8" s="18">
        <v>14.9</v>
      </c>
      <c r="BK8" s="18">
        <v>4.5999999999999996</v>
      </c>
      <c r="BL8" s="18">
        <v>0</v>
      </c>
      <c r="BM8" s="18">
        <v>0.6</v>
      </c>
      <c r="BN8" s="18">
        <v>16.600000000000001</v>
      </c>
      <c r="BO8" s="18">
        <v>5.5</v>
      </c>
      <c r="BP8" s="18">
        <v>0</v>
      </c>
      <c r="BQ8" s="18">
        <v>0.6</v>
      </c>
      <c r="BR8" s="29"/>
      <c r="BS8" s="11">
        <f t="shared" si="21"/>
        <v>8.6999999999999993</v>
      </c>
      <c r="BT8" s="11">
        <f t="shared" si="22"/>
        <v>38.700000000000003</v>
      </c>
      <c r="BU8" s="11">
        <f t="shared" si="23"/>
        <v>20.700000000000003</v>
      </c>
      <c r="BV8" s="11">
        <f t="shared" si="24"/>
        <v>12.899999999999999</v>
      </c>
      <c r="BW8" s="11">
        <f t="shared" si="25"/>
        <v>59.400000000000006</v>
      </c>
      <c r="BX8" s="11">
        <f t="shared" si="26"/>
        <v>10.1</v>
      </c>
      <c r="BY8" s="11">
        <f t="shared" si="27"/>
        <v>42.800000000000004</v>
      </c>
      <c r="BZ8" s="11">
        <f t="shared" si="28"/>
        <v>102.20000000000002</v>
      </c>
      <c r="CA8" s="19">
        <v>15.8</v>
      </c>
      <c r="CB8" s="19">
        <v>1.2</v>
      </c>
      <c r="CC8" s="19">
        <v>0</v>
      </c>
      <c r="CD8" s="19">
        <v>0</v>
      </c>
      <c r="CE8" s="19">
        <v>16</v>
      </c>
      <c r="CF8" s="19">
        <v>3.5</v>
      </c>
      <c r="CG8" s="19">
        <v>0.4</v>
      </c>
      <c r="CH8" s="19">
        <v>0.6</v>
      </c>
      <c r="CI8" s="19">
        <v>16.3</v>
      </c>
      <c r="CJ8" s="19">
        <v>4.5999999999999996</v>
      </c>
      <c r="CK8" s="19">
        <v>0</v>
      </c>
      <c r="CL8" s="19">
        <v>0.6</v>
      </c>
      <c r="CM8" s="19">
        <v>16</v>
      </c>
      <c r="CN8" s="19">
        <v>4.8</v>
      </c>
      <c r="CO8" s="19">
        <v>0</v>
      </c>
      <c r="CP8" s="19">
        <v>0.6</v>
      </c>
      <c r="CQ8" s="19">
        <v>16</v>
      </c>
      <c r="CR8" s="19">
        <v>3.9</v>
      </c>
      <c r="CS8" s="19">
        <v>0.2</v>
      </c>
      <c r="CT8" s="19">
        <v>0.3</v>
      </c>
      <c r="CU8" s="28"/>
      <c r="CV8" s="41">
        <f t="shared" si="29"/>
        <v>4.7</v>
      </c>
      <c r="CW8" s="41">
        <f t="shared" si="30"/>
        <v>36.700000000000003</v>
      </c>
      <c r="CX8" s="41">
        <f t="shared" si="31"/>
        <v>21.5</v>
      </c>
      <c r="CY8" s="41">
        <f t="shared" si="32"/>
        <v>9.3000000000000007</v>
      </c>
      <c r="CZ8" s="41">
        <f t="shared" si="33"/>
        <v>58.2</v>
      </c>
      <c r="DA8" s="41">
        <f t="shared" si="34"/>
        <v>8.6999999999999993</v>
      </c>
      <c r="DB8" s="41">
        <f t="shared" si="35"/>
        <v>41.4</v>
      </c>
      <c r="DC8" s="41">
        <f t="shared" si="36"/>
        <v>99.6</v>
      </c>
      <c r="DD8" s="52">
        <f t="shared" si="37"/>
        <v>5.9999999999999929</v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6"/>
        <v/>
      </c>
      <c r="GF8" s="41" t="str">
        <f t="shared" si="57"/>
        <v/>
      </c>
      <c r="GG8" s="41" t="str">
        <f t="shared" si="58"/>
        <v/>
      </c>
      <c r="GH8" s="41" t="str">
        <f t="shared" si="59"/>
        <v/>
      </c>
      <c r="GI8" s="41" t="str">
        <f t="shared" si="60"/>
        <v/>
      </c>
      <c r="GJ8" s="41" t="str">
        <f t="shared" si="61"/>
        <v/>
      </c>
      <c r="GK8" s="41" t="str">
        <f t="shared" si="62"/>
        <v/>
      </c>
      <c r="GL8" s="41" t="str">
        <f t="shared" si="63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>
        <v>16.600000000000001</v>
      </c>
      <c r="HP8" s="17">
        <v>5.3</v>
      </c>
      <c r="HQ8" s="17">
        <v>0</v>
      </c>
      <c r="HR8" s="17">
        <v>0</v>
      </c>
      <c r="HS8" s="17">
        <v>16.100000000000001</v>
      </c>
      <c r="HT8" s="17">
        <v>5.5</v>
      </c>
      <c r="HU8" s="17">
        <v>0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 t="shared" si="72"/>
        <v>10.8</v>
      </c>
      <c r="IJ8" s="41">
        <f t="shared" si="73"/>
        <v>43.5</v>
      </c>
      <c r="IK8" s="41" t="str">
        <f t="shared" si="74"/>
        <v/>
      </c>
      <c r="IL8" s="41">
        <f t="shared" si="75"/>
        <v>10.8</v>
      </c>
      <c r="IM8" s="41">
        <f t="shared" si="76"/>
        <v>43.5</v>
      </c>
      <c r="IN8" s="41" t="str">
        <f t="shared" si="77"/>
        <v/>
      </c>
      <c r="IO8" s="41" t="str">
        <f t="shared" si="78"/>
        <v/>
      </c>
      <c r="IP8" s="41">
        <f t="shared" si="79"/>
        <v>43.5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15.5</v>
      </c>
      <c r="QF8" s="23">
        <f t="shared" si="137"/>
        <v>2.2999999999999998</v>
      </c>
      <c r="QG8" s="23">
        <f t="shared" si="138"/>
        <v>0.2</v>
      </c>
      <c r="QH8" s="23">
        <f t="shared" si="139"/>
        <v>0</v>
      </c>
      <c r="QI8" s="23">
        <f t="shared" si="140"/>
        <v>16.3</v>
      </c>
      <c r="QJ8" s="23">
        <f t="shared" si="141"/>
        <v>4.4000000000000004</v>
      </c>
      <c r="QK8" s="23">
        <f t="shared" si="142"/>
        <v>1.2</v>
      </c>
      <c r="QL8" s="23">
        <f t="shared" si="143"/>
        <v>0.6</v>
      </c>
      <c r="QM8" s="23">
        <f t="shared" si="144"/>
        <v>16.100000000000001</v>
      </c>
      <c r="QN8" s="23">
        <f t="shared" si="145"/>
        <v>4.4000000000000004</v>
      </c>
      <c r="QO8" s="23">
        <f t="shared" si="146"/>
        <v>0</v>
      </c>
      <c r="QP8" s="23">
        <f t="shared" si="147"/>
        <v>0.6</v>
      </c>
      <c r="QQ8" s="23">
        <f t="shared" si="148"/>
        <v>15.45</v>
      </c>
      <c r="QR8" s="23">
        <f t="shared" si="149"/>
        <v>4.6999999999999993</v>
      </c>
      <c r="QS8" s="23">
        <f t="shared" si="150"/>
        <v>0</v>
      </c>
      <c r="QT8" s="23">
        <f t="shared" si="151"/>
        <v>0.6</v>
      </c>
      <c r="QU8" s="23">
        <f t="shared" si="152"/>
        <v>16.3</v>
      </c>
      <c r="QV8" s="23">
        <f t="shared" si="153"/>
        <v>4.7</v>
      </c>
      <c r="QW8" s="23">
        <f t="shared" si="154"/>
        <v>0.1</v>
      </c>
      <c r="QX8" s="23">
        <f t="shared" si="155"/>
        <v>0.44999999999999996</v>
      </c>
      <c r="QY8" s="28" t="s">
        <v>57</v>
      </c>
      <c r="QZ8" s="41">
        <f t="shared" si="156"/>
        <v>6.7</v>
      </c>
      <c r="RA8" s="41">
        <f t="shared" si="157"/>
        <v>37.699999999999996</v>
      </c>
      <c r="RB8" s="41">
        <f t="shared" si="158"/>
        <v>21.1</v>
      </c>
      <c r="RC8" s="41">
        <f t="shared" si="159"/>
        <v>11.100000000000001</v>
      </c>
      <c r="RD8" s="41">
        <f t="shared" si="160"/>
        <v>58.8</v>
      </c>
      <c r="RE8" s="41">
        <f t="shared" si="161"/>
        <v>9.3999999999999986</v>
      </c>
      <c r="RF8" s="41">
        <f t="shared" si="162"/>
        <v>42.1</v>
      </c>
      <c r="RG8" s="41">
        <f t="shared" si="163"/>
        <v>100.9</v>
      </c>
    </row>
    <row r="9" spans="1:475" x14ac:dyDescent="0.2">
      <c r="A9" s="4" cm="1">
        <f t="array" ref="A9">IF(AND(H9&lt;&gt;"",H9&lt;&gt;"No DD"),SUMPRODUCT((H$4:H$14&lt;&gt;"")*(H$4:H$14&lt;&gt;"No DD")*(E$4:E$14&gt;E9))+1,IF(H9="No DD",SUMPRODUCT((H$4:H$14="No DD")*(E$4:E$14&gt;E9))+1+SUMPRODUCT((H$4:H$14&lt;&gt;"")*(H$4:H$14&lt;&gt;"No DD")),""))</f>
        <v>6</v>
      </c>
      <c r="B9" s="5" t="s">
        <v>167</v>
      </c>
      <c r="C9" s="4" t="s">
        <v>3</v>
      </c>
      <c r="D9" s="4">
        <v>2004</v>
      </c>
      <c r="E9" s="9">
        <f t="shared" si="0"/>
        <v>148.90001050500425</v>
      </c>
      <c r="F9" s="3" t="str">
        <f t="shared" si="1"/>
        <v/>
      </c>
      <c r="G9" s="3" t="str">
        <f t="shared" si="2"/>
        <v>P</v>
      </c>
      <c r="H9" s="37" t="str">
        <f t="shared" si="3"/>
        <v>No DD</v>
      </c>
      <c r="I9" s="3" t="str">
        <f t="shared" si="4"/>
        <v/>
      </c>
      <c r="J9" s="8">
        <f>IF(COUNT(AQ9,BT9,CW9)&gt;0,LARGE((AQ9,BT9,CW9),1),0)</f>
        <v>42.1</v>
      </c>
      <c r="K9" s="8" t="str">
        <f t="shared" si="5"/>
        <v>2023 Nationals</v>
      </c>
      <c r="L9" s="8">
        <f>IF(COUNT(AQ9,BT9,CW9)&gt;1,LARGE((AQ9,BT9,CW9),2),0)</f>
        <v>41.65</v>
      </c>
      <c r="M9" s="8" t="str">
        <f t="shared" si="6"/>
        <v>2023 Domestic 3rd Trial</v>
      </c>
      <c r="N9" s="8">
        <f>IF(COUNT(AR9,BU9,CX9)&gt;0,LARGE((AR9,BU9,CX9),1),0)</f>
        <v>21.3</v>
      </c>
      <c r="O9" s="8" t="str">
        <f t="shared" si="7"/>
        <v>2023 Nationals</v>
      </c>
      <c r="P9" s="8">
        <f t="shared" si="8"/>
        <v>43.5</v>
      </c>
      <c r="Q9" s="8" t="str">
        <f t="shared" si="9"/>
        <v>2023 Nationals</v>
      </c>
      <c r="R9" s="8">
        <f t="shared" si="10"/>
        <v>0.35000000000000853</v>
      </c>
      <c r="S9" s="11" t="str">
        <f t="shared" si="11"/>
        <v>(Q1)</v>
      </c>
      <c r="T9" s="8" t="str">
        <f t="shared" si="12"/>
        <v>2023 WAGC (Nov 17)</v>
      </c>
      <c r="U9" s="19">
        <v>16.600000000000001</v>
      </c>
      <c r="V9" s="19">
        <v>3.6</v>
      </c>
      <c r="W9" s="19">
        <v>0.2</v>
      </c>
      <c r="X9" s="19">
        <v>0</v>
      </c>
      <c r="Y9" s="19">
        <v>17</v>
      </c>
      <c r="Z9" s="19">
        <v>4.0999999999999996</v>
      </c>
      <c r="AA9" s="19">
        <v>0.2</v>
      </c>
      <c r="AB9" s="19">
        <v>0.3</v>
      </c>
      <c r="AC9" s="19">
        <v>16.440000000000001</v>
      </c>
      <c r="AD9" s="19">
        <v>4.0999999999999996</v>
      </c>
      <c r="AE9" s="19">
        <v>0</v>
      </c>
      <c r="AF9" s="19">
        <v>0.3</v>
      </c>
      <c r="AG9" s="19">
        <v>17.5</v>
      </c>
      <c r="AH9" s="19">
        <v>4.0999999999999996</v>
      </c>
      <c r="AI9" s="19">
        <v>0</v>
      </c>
      <c r="AJ9" s="19">
        <v>0.3</v>
      </c>
      <c r="AK9" s="19">
        <v>17.2</v>
      </c>
      <c r="AL9" s="19">
        <v>3.9</v>
      </c>
      <c r="AM9" s="19">
        <v>0</v>
      </c>
      <c r="AN9" s="19">
        <v>0.3</v>
      </c>
      <c r="AO9" s="28"/>
      <c r="AP9" s="41">
        <f t="shared" si="13"/>
        <v>7.6999999999999993</v>
      </c>
      <c r="AQ9" s="41">
        <f t="shared" si="14"/>
        <v>41.199999999999996</v>
      </c>
      <c r="AR9" s="41">
        <f t="shared" si="15"/>
        <v>20.84</v>
      </c>
      <c r="AS9" s="41">
        <f t="shared" si="16"/>
        <v>11.799999999999999</v>
      </c>
      <c r="AT9" s="41">
        <f t="shared" si="17"/>
        <v>62.039999999999992</v>
      </c>
      <c r="AU9" s="41">
        <f t="shared" si="18"/>
        <v>8</v>
      </c>
      <c r="AV9" s="41">
        <f t="shared" si="19"/>
        <v>43.3</v>
      </c>
      <c r="AW9" s="41">
        <f t="shared" si="20"/>
        <v>105.33999999999999</v>
      </c>
      <c r="AX9" s="18">
        <v>16.600000000000001</v>
      </c>
      <c r="AY9" s="18">
        <v>4.3</v>
      </c>
      <c r="AZ9" s="18">
        <v>0</v>
      </c>
      <c r="BA9" s="18">
        <v>0.3</v>
      </c>
      <c r="BB9" s="18">
        <v>16.5</v>
      </c>
      <c r="BC9" s="18">
        <v>4.0999999999999996</v>
      </c>
      <c r="BD9" s="18">
        <v>0</v>
      </c>
      <c r="BE9" s="18">
        <v>0.3</v>
      </c>
      <c r="BF9" s="18">
        <v>16.899999999999999</v>
      </c>
      <c r="BG9" s="18">
        <v>4.0999999999999996</v>
      </c>
      <c r="BH9" s="18">
        <v>0</v>
      </c>
      <c r="BI9" s="18">
        <v>0.3</v>
      </c>
      <c r="BJ9" s="18">
        <v>17.100000000000001</v>
      </c>
      <c r="BK9" s="18">
        <v>4.3</v>
      </c>
      <c r="BL9" s="18">
        <v>0.2</v>
      </c>
      <c r="BM9" s="18">
        <v>0.3</v>
      </c>
      <c r="BN9" s="18">
        <v>17.600000000000001</v>
      </c>
      <c r="BO9" s="18">
        <v>4.0999999999999996</v>
      </c>
      <c r="BP9" s="18">
        <v>0</v>
      </c>
      <c r="BQ9" s="18">
        <v>0.3</v>
      </c>
      <c r="BR9" s="29"/>
      <c r="BS9" s="11">
        <f t="shared" si="21"/>
        <v>8.3999999999999986</v>
      </c>
      <c r="BT9" s="11">
        <f t="shared" si="22"/>
        <v>42.1</v>
      </c>
      <c r="BU9" s="11">
        <f t="shared" si="23"/>
        <v>21.3</v>
      </c>
      <c r="BV9" s="11">
        <f t="shared" si="24"/>
        <v>12.499999999999998</v>
      </c>
      <c r="BW9" s="11">
        <f t="shared" si="25"/>
        <v>63.400000000000006</v>
      </c>
      <c r="BX9" s="11">
        <f t="shared" si="26"/>
        <v>8.3999999999999986</v>
      </c>
      <c r="BY9" s="11">
        <f t="shared" si="27"/>
        <v>43.5</v>
      </c>
      <c r="BZ9" s="11">
        <f t="shared" si="28"/>
        <v>106.9</v>
      </c>
      <c r="CA9" s="19">
        <v>16.600000000000001</v>
      </c>
      <c r="CB9" s="19">
        <v>3.95</v>
      </c>
      <c r="CC9" s="19">
        <v>0.1</v>
      </c>
      <c r="CD9" s="19">
        <v>0.15</v>
      </c>
      <c r="CE9" s="19">
        <v>16.75</v>
      </c>
      <c r="CF9" s="19">
        <v>4.0999999999999996</v>
      </c>
      <c r="CG9" s="19">
        <v>0.1</v>
      </c>
      <c r="CH9" s="19">
        <v>0.3</v>
      </c>
      <c r="CI9" s="19">
        <v>16.670000000000002</v>
      </c>
      <c r="CJ9" s="19">
        <v>4.0999999999999996</v>
      </c>
      <c r="CK9" s="19">
        <v>0</v>
      </c>
      <c r="CL9" s="19">
        <v>0.3</v>
      </c>
      <c r="CM9" s="19">
        <v>17.3</v>
      </c>
      <c r="CN9" s="19">
        <v>4.1999999999999993</v>
      </c>
      <c r="CO9" s="19">
        <v>0.1</v>
      </c>
      <c r="CP9" s="19">
        <v>0.3</v>
      </c>
      <c r="CQ9" s="19">
        <v>17.399999999999999</v>
      </c>
      <c r="CR9" s="19">
        <v>4</v>
      </c>
      <c r="CS9" s="19">
        <v>0</v>
      </c>
      <c r="CT9" s="19">
        <v>0.3</v>
      </c>
      <c r="CU9" s="28" t="s">
        <v>57</v>
      </c>
      <c r="CV9" s="41">
        <f t="shared" si="29"/>
        <v>8.0500000000000007</v>
      </c>
      <c r="CW9" s="41">
        <f t="shared" si="30"/>
        <v>41.65</v>
      </c>
      <c r="CX9" s="41">
        <f t="shared" si="31"/>
        <v>21.070000000000004</v>
      </c>
      <c r="CY9" s="41">
        <f t="shared" si="32"/>
        <v>12.15</v>
      </c>
      <c r="CZ9" s="41">
        <f t="shared" si="33"/>
        <v>62.72</v>
      </c>
      <c r="DA9" s="41">
        <f t="shared" si="34"/>
        <v>8.1999999999999993</v>
      </c>
      <c r="DB9" s="41">
        <f t="shared" si="35"/>
        <v>43.4</v>
      </c>
      <c r="DC9" s="41">
        <f t="shared" si="36"/>
        <v>106.12</v>
      </c>
      <c r="DD9" s="52">
        <f t="shared" si="37"/>
        <v>0.35000000000000853</v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>
        <v>15.3</v>
      </c>
      <c r="FL9" s="17">
        <v>4.3</v>
      </c>
      <c r="FM9" s="17">
        <v>0</v>
      </c>
      <c r="FN9" s="17">
        <v>0</v>
      </c>
      <c r="FO9" s="17">
        <v>17.600000000000001</v>
      </c>
      <c r="FP9" s="17">
        <v>4.0999999999999996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 t="shared" si="56"/>
        <v>8.3999999999999986</v>
      </c>
      <c r="GF9" s="41">
        <f t="shared" si="57"/>
        <v>41.300000000000004</v>
      </c>
      <c r="GG9" s="41" t="str">
        <f t="shared" si="58"/>
        <v/>
      </c>
      <c r="GH9" s="41">
        <f t="shared" si="59"/>
        <v>8.3999999999999986</v>
      </c>
      <c r="GI9" s="41">
        <f t="shared" si="60"/>
        <v>41.300000000000004</v>
      </c>
      <c r="GJ9" s="41" t="str">
        <f t="shared" si="61"/>
        <v/>
      </c>
      <c r="GK9" s="41" t="str">
        <f t="shared" si="62"/>
        <v/>
      </c>
      <c r="GL9" s="41">
        <f t="shared" si="63"/>
        <v>41.300000000000004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>
        <v>16.5</v>
      </c>
      <c r="HP9" s="17">
        <v>4.3</v>
      </c>
      <c r="HQ9" s="17">
        <v>0</v>
      </c>
      <c r="HR9" s="17">
        <v>0</v>
      </c>
      <c r="HS9" s="17">
        <v>16.600000000000001</v>
      </c>
      <c r="HT9" s="17">
        <v>4.5999999999999996</v>
      </c>
      <c r="HU9" s="17">
        <v>0</v>
      </c>
      <c r="HV9" s="17">
        <v>0</v>
      </c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>
        <f t="shared" si="72"/>
        <v>8.8999999999999986</v>
      </c>
      <c r="IJ9" s="41">
        <f t="shared" si="73"/>
        <v>42.000000000000007</v>
      </c>
      <c r="IK9" s="41" t="str">
        <f t="shared" si="74"/>
        <v/>
      </c>
      <c r="IL9" s="41">
        <f t="shared" si="75"/>
        <v>8.8999999999999986</v>
      </c>
      <c r="IM9" s="41">
        <f t="shared" si="76"/>
        <v>42.000000000000007</v>
      </c>
      <c r="IN9" s="41" t="str">
        <f t="shared" si="77"/>
        <v/>
      </c>
      <c r="IO9" s="41" t="str">
        <f t="shared" si="78"/>
        <v/>
      </c>
      <c r="IP9" s="41">
        <f t="shared" si="79"/>
        <v>42.000000000000007</v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80"/>
        <v/>
      </c>
      <c r="JL9" s="11" t="str">
        <f t="shared" si="81"/>
        <v/>
      </c>
      <c r="JM9" s="11" t="str">
        <f t="shared" si="82"/>
        <v/>
      </c>
      <c r="JN9" s="11" t="str">
        <f t="shared" si="83"/>
        <v/>
      </c>
      <c r="JO9" s="11" t="str">
        <f t="shared" si="84"/>
        <v/>
      </c>
      <c r="JP9" s="11" t="str">
        <f t="shared" si="85"/>
        <v/>
      </c>
      <c r="JQ9" s="11" t="str">
        <f t="shared" si="86"/>
        <v/>
      </c>
      <c r="JR9" s="11" t="str">
        <f t="shared" si="87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16.600000000000001</v>
      </c>
      <c r="QF9" s="23">
        <f t="shared" si="137"/>
        <v>3.95</v>
      </c>
      <c r="QG9" s="23">
        <f t="shared" si="138"/>
        <v>0.1</v>
      </c>
      <c r="QH9" s="23">
        <f t="shared" si="139"/>
        <v>0.15</v>
      </c>
      <c r="QI9" s="23">
        <f t="shared" si="140"/>
        <v>16.75</v>
      </c>
      <c r="QJ9" s="23">
        <f t="shared" si="141"/>
        <v>4.0999999999999996</v>
      </c>
      <c r="QK9" s="23">
        <f t="shared" si="142"/>
        <v>0.1</v>
      </c>
      <c r="QL9" s="23">
        <f t="shared" si="143"/>
        <v>0.3</v>
      </c>
      <c r="QM9" s="23">
        <f t="shared" si="144"/>
        <v>16.670000000000002</v>
      </c>
      <c r="QN9" s="23">
        <f t="shared" si="145"/>
        <v>4.0999999999999996</v>
      </c>
      <c r="QO9" s="23">
        <f t="shared" si="146"/>
        <v>0</v>
      </c>
      <c r="QP9" s="23">
        <f t="shared" si="147"/>
        <v>0.3</v>
      </c>
      <c r="QQ9" s="23">
        <f t="shared" si="148"/>
        <v>17.3</v>
      </c>
      <c r="QR9" s="23">
        <f t="shared" si="149"/>
        <v>4.1999999999999993</v>
      </c>
      <c r="QS9" s="23">
        <f t="shared" si="150"/>
        <v>0.1</v>
      </c>
      <c r="QT9" s="23">
        <f t="shared" si="151"/>
        <v>0.3</v>
      </c>
      <c r="QU9" s="23">
        <f t="shared" si="152"/>
        <v>17.399999999999999</v>
      </c>
      <c r="QV9" s="23">
        <f t="shared" si="153"/>
        <v>4</v>
      </c>
      <c r="QW9" s="23">
        <f t="shared" si="154"/>
        <v>0</v>
      </c>
      <c r="QX9" s="23">
        <f t="shared" si="155"/>
        <v>0.3</v>
      </c>
      <c r="QY9" s="28" t="s">
        <v>57</v>
      </c>
      <c r="QZ9" s="41">
        <f t="shared" si="156"/>
        <v>8.0500000000000007</v>
      </c>
      <c r="RA9" s="41">
        <f t="shared" si="157"/>
        <v>41.65</v>
      </c>
      <c r="RB9" s="41">
        <f t="shared" si="158"/>
        <v>21.070000000000004</v>
      </c>
      <c r="RC9" s="41">
        <f t="shared" si="159"/>
        <v>12.15</v>
      </c>
      <c r="RD9" s="41">
        <f t="shared" si="160"/>
        <v>62.72</v>
      </c>
      <c r="RE9" s="41">
        <f t="shared" si="161"/>
        <v>8.1999999999999993</v>
      </c>
      <c r="RF9" s="41">
        <f t="shared" si="162"/>
        <v>43.4</v>
      </c>
      <c r="RG9" s="41">
        <f t="shared" si="163"/>
        <v>106.12</v>
      </c>
    </row>
    <row r="10" spans="1:475" x14ac:dyDescent="0.2">
      <c r="A10" s="4" t="str" cm="1">
        <f t="array" ref="A10">IF(AND(H10&lt;&gt;"",H10&lt;&gt;"No DD"),SUMPRODUCT((H$4:H$14&lt;&gt;"")*(H$4:H$14&lt;&gt;"No DD")*(E$4:E$14&gt;E10))+1,IF(H10="No DD",SUMPRODUCT((H$4:H$14="No DD")*(E$4:E$14&gt;E10))+1+SUMPRODUCT((H$4:H$14&lt;&gt;"")*(H$4:H$14&lt;&gt;"No DD")),""))</f>
        <v/>
      </c>
      <c r="B10" s="5" t="s">
        <v>149</v>
      </c>
      <c r="C10" s="4" t="s">
        <v>5</v>
      </c>
      <c r="D10" s="4">
        <v>2001</v>
      </c>
      <c r="E10" s="9">
        <f t="shared" si="0"/>
        <v>145.00001026000422</v>
      </c>
      <c r="F10" s="3" t="str">
        <f t="shared" si="1"/>
        <v/>
      </c>
      <c r="G10" s="3" t="str">
        <f t="shared" si="2"/>
        <v/>
      </c>
      <c r="H10" s="37" t="str">
        <f t="shared" si="3"/>
        <v/>
      </c>
      <c r="I10" s="3" t="str">
        <f t="shared" si="4"/>
        <v/>
      </c>
      <c r="J10" s="8">
        <f>IF(COUNT(AQ10,BT10,CW10)&gt;0,LARGE((AQ10,BT10,CW10),1),0)</f>
        <v>42.2</v>
      </c>
      <c r="K10" s="8" t="str">
        <f t="shared" si="5"/>
        <v>2023 Domestic 3rd Trial</v>
      </c>
      <c r="L10" s="8">
        <f>IF(COUNT(AQ10,BT10,CW10)&gt;1,LARGE((AQ10,BT10,CW10),2),0)</f>
        <v>39.400000000000006</v>
      </c>
      <c r="M10" s="8" t="str">
        <f t="shared" si="6"/>
        <v>2023 Nationals</v>
      </c>
      <c r="N10" s="8">
        <f>IF(COUNT(AR10,BU10,CX10)&gt;0,LARGE((AR10,BU10,CX10),1),0)</f>
        <v>21</v>
      </c>
      <c r="O10" s="8" t="str">
        <f t="shared" si="7"/>
        <v>2023 Nationals</v>
      </c>
      <c r="P10" s="8">
        <f t="shared" si="8"/>
        <v>42.400000000000006</v>
      </c>
      <c r="Q10" s="8" t="str">
        <f t="shared" si="9"/>
        <v>2023 Nationals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15.5</v>
      </c>
      <c r="V10" s="19">
        <v>1.9</v>
      </c>
      <c r="W10" s="19">
        <v>0</v>
      </c>
      <c r="X10" s="19">
        <v>0.3</v>
      </c>
      <c r="Y10" s="19">
        <v>15.8</v>
      </c>
      <c r="Z10" s="19">
        <v>3.5</v>
      </c>
      <c r="AA10" s="19">
        <v>0</v>
      </c>
      <c r="AB10" s="19">
        <v>0.6</v>
      </c>
      <c r="AC10" s="19">
        <v>16.2</v>
      </c>
      <c r="AD10" s="19">
        <v>3.5</v>
      </c>
      <c r="AE10" s="19">
        <v>0</v>
      </c>
      <c r="AF10" s="19">
        <v>0.6</v>
      </c>
      <c r="AG10" s="19">
        <v>16.5</v>
      </c>
      <c r="AH10" s="19">
        <v>3.5</v>
      </c>
      <c r="AI10" s="19">
        <v>0</v>
      </c>
      <c r="AJ10" s="19">
        <v>0.6</v>
      </c>
      <c r="AK10" s="19">
        <v>16.399999999999999</v>
      </c>
      <c r="AL10" s="19">
        <v>3.9</v>
      </c>
      <c r="AM10" s="19">
        <v>0</v>
      </c>
      <c r="AN10" s="19">
        <v>0.3</v>
      </c>
      <c r="AO10" s="28"/>
      <c r="AP10" s="41">
        <f t="shared" si="13"/>
        <v>5.4</v>
      </c>
      <c r="AQ10" s="41">
        <f t="shared" si="14"/>
        <v>37.6</v>
      </c>
      <c r="AR10" s="41">
        <f t="shared" si="15"/>
        <v>20.3</v>
      </c>
      <c r="AS10" s="41">
        <f t="shared" si="16"/>
        <v>8.9</v>
      </c>
      <c r="AT10" s="41">
        <f t="shared" si="17"/>
        <v>57.900000000000006</v>
      </c>
      <c r="AU10" s="41">
        <f t="shared" si="18"/>
        <v>7.4</v>
      </c>
      <c r="AV10" s="41">
        <f t="shared" si="19"/>
        <v>41.199999999999996</v>
      </c>
      <c r="AW10" s="41">
        <f t="shared" si="20"/>
        <v>99.1</v>
      </c>
      <c r="AX10" s="18">
        <v>15.9</v>
      </c>
      <c r="AY10" s="18">
        <v>4.5999999999999996</v>
      </c>
      <c r="AZ10" s="18">
        <v>0</v>
      </c>
      <c r="BA10" s="18">
        <v>0.6</v>
      </c>
      <c r="BB10" s="18">
        <v>15.1</v>
      </c>
      <c r="BC10" s="18">
        <v>2.6</v>
      </c>
      <c r="BD10" s="18">
        <v>0</v>
      </c>
      <c r="BE10" s="18">
        <v>0.6</v>
      </c>
      <c r="BF10" s="18">
        <v>15.8</v>
      </c>
      <c r="BG10" s="18">
        <v>4.5999999999999996</v>
      </c>
      <c r="BH10" s="18">
        <v>0</v>
      </c>
      <c r="BI10" s="18">
        <v>0.6</v>
      </c>
      <c r="BJ10" s="18">
        <v>16.600000000000001</v>
      </c>
      <c r="BK10" s="18">
        <v>4.0999999999999996</v>
      </c>
      <c r="BL10" s="18">
        <v>0</v>
      </c>
      <c r="BM10" s="18">
        <v>0.3</v>
      </c>
      <c r="BN10" s="18">
        <v>16.2</v>
      </c>
      <c r="BO10" s="18">
        <v>4.5999999999999996</v>
      </c>
      <c r="BP10" s="18">
        <v>0</v>
      </c>
      <c r="BQ10" s="18">
        <v>0.6</v>
      </c>
      <c r="BR10" s="29"/>
      <c r="BS10" s="11">
        <f t="shared" si="21"/>
        <v>7.1999999999999993</v>
      </c>
      <c r="BT10" s="11">
        <f t="shared" si="22"/>
        <v>39.400000000000006</v>
      </c>
      <c r="BU10" s="11">
        <f t="shared" si="23"/>
        <v>21</v>
      </c>
      <c r="BV10" s="11">
        <f t="shared" si="24"/>
        <v>11.799999999999999</v>
      </c>
      <c r="BW10" s="11">
        <f t="shared" si="25"/>
        <v>60.400000000000006</v>
      </c>
      <c r="BX10" s="11">
        <f t="shared" si="26"/>
        <v>8.6999999999999993</v>
      </c>
      <c r="BY10" s="11">
        <f t="shared" si="27"/>
        <v>42.400000000000006</v>
      </c>
      <c r="BZ10" s="11">
        <f t="shared" si="28"/>
        <v>102.80000000000001</v>
      </c>
      <c r="CA10" s="19">
        <v>15.9</v>
      </c>
      <c r="CB10" s="19">
        <v>4.5999999999999996</v>
      </c>
      <c r="CC10" s="19">
        <v>0</v>
      </c>
      <c r="CD10" s="19">
        <v>0.6</v>
      </c>
      <c r="CE10" s="19">
        <v>17.5</v>
      </c>
      <c r="CF10" s="19">
        <v>3.6</v>
      </c>
      <c r="CG10" s="19">
        <v>0</v>
      </c>
      <c r="CH10" s="19">
        <v>0</v>
      </c>
      <c r="CI10" s="19">
        <v>15.6</v>
      </c>
      <c r="CJ10" s="19">
        <v>2.6</v>
      </c>
      <c r="CK10" s="19">
        <v>0</v>
      </c>
      <c r="CL10" s="19">
        <v>0.6</v>
      </c>
      <c r="CM10" s="19">
        <v>15.6</v>
      </c>
      <c r="CN10" s="19">
        <v>1.9</v>
      </c>
      <c r="CO10" s="19">
        <v>0</v>
      </c>
      <c r="CP10" s="19">
        <v>0.3</v>
      </c>
      <c r="CQ10" s="19">
        <v>16.7</v>
      </c>
      <c r="CR10" s="19">
        <v>4.5999999999999996</v>
      </c>
      <c r="CS10" s="19">
        <v>0</v>
      </c>
      <c r="CT10" s="19">
        <v>0.6</v>
      </c>
      <c r="CU10" s="28"/>
      <c r="CV10" s="41">
        <f t="shared" si="29"/>
        <v>8.1999999999999993</v>
      </c>
      <c r="CW10" s="41">
        <f t="shared" si="30"/>
        <v>42.2</v>
      </c>
      <c r="CX10" s="41">
        <f t="shared" si="31"/>
        <v>18.8</v>
      </c>
      <c r="CY10" s="41">
        <f t="shared" si="32"/>
        <v>10.799999999999999</v>
      </c>
      <c r="CZ10" s="41">
        <f t="shared" si="33"/>
        <v>61</v>
      </c>
      <c r="DA10" s="41">
        <f t="shared" si="34"/>
        <v>6.5</v>
      </c>
      <c r="DB10" s="41">
        <f t="shared" si="35"/>
        <v>39.700000000000003</v>
      </c>
      <c r="DC10" s="41">
        <f t="shared" si="36"/>
        <v>100.7</v>
      </c>
      <c r="DD10" s="52" t="str">
        <f t="shared" si="37"/>
        <v/>
      </c>
      <c r="DE10" s="52" t="str">
        <f t="shared" si="38"/>
        <v/>
      </c>
      <c r="DF10" s="52" t="str">
        <f t="shared" si="39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40"/>
        <v/>
      </c>
      <c r="EB10" s="41" t="str">
        <f t="shared" si="41"/>
        <v/>
      </c>
      <c r="EC10" s="41" t="str">
        <f t="shared" si="42"/>
        <v/>
      </c>
      <c r="ED10" s="41" t="str">
        <f t="shared" si="43"/>
        <v/>
      </c>
      <c r="EE10" s="41" t="str">
        <f t="shared" si="44"/>
        <v/>
      </c>
      <c r="EF10" s="41" t="str">
        <f t="shared" si="45"/>
        <v/>
      </c>
      <c r="EG10" s="41" t="str">
        <f t="shared" si="46"/>
        <v/>
      </c>
      <c r="EH10" s="41" t="str">
        <f t="shared" si="47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15.9</v>
      </c>
      <c r="QF10" s="23">
        <f t="shared" si="137"/>
        <v>4.5999999999999996</v>
      </c>
      <c r="QG10" s="23">
        <f t="shared" si="138"/>
        <v>0</v>
      </c>
      <c r="QH10" s="23">
        <f t="shared" si="139"/>
        <v>0.6</v>
      </c>
      <c r="QI10" s="23">
        <f t="shared" si="140"/>
        <v>16.3</v>
      </c>
      <c r="QJ10" s="23">
        <f t="shared" si="141"/>
        <v>3.1</v>
      </c>
      <c r="QK10" s="23">
        <f t="shared" si="142"/>
        <v>0</v>
      </c>
      <c r="QL10" s="23">
        <f t="shared" si="143"/>
        <v>0.3</v>
      </c>
      <c r="QM10" s="23">
        <f t="shared" si="144"/>
        <v>15.7</v>
      </c>
      <c r="QN10" s="23">
        <f t="shared" si="145"/>
        <v>3.5999999999999996</v>
      </c>
      <c r="QO10" s="23">
        <f t="shared" si="146"/>
        <v>0</v>
      </c>
      <c r="QP10" s="23">
        <f t="shared" si="147"/>
        <v>0.6</v>
      </c>
      <c r="QQ10" s="23">
        <f t="shared" si="148"/>
        <v>16.100000000000001</v>
      </c>
      <c r="QR10" s="23">
        <f t="shared" si="149"/>
        <v>3</v>
      </c>
      <c r="QS10" s="23">
        <f t="shared" si="150"/>
        <v>0</v>
      </c>
      <c r="QT10" s="23">
        <f t="shared" si="151"/>
        <v>0.3</v>
      </c>
      <c r="QU10" s="23">
        <f t="shared" si="152"/>
        <v>16.45</v>
      </c>
      <c r="QV10" s="23">
        <f t="shared" si="153"/>
        <v>4.5999999999999996</v>
      </c>
      <c r="QW10" s="23">
        <f t="shared" si="154"/>
        <v>0</v>
      </c>
      <c r="QX10" s="23">
        <f t="shared" si="155"/>
        <v>0.6</v>
      </c>
      <c r="QY10" s="28" t="s">
        <v>57</v>
      </c>
      <c r="QZ10" s="41">
        <f t="shared" si="156"/>
        <v>7.6999999999999993</v>
      </c>
      <c r="RA10" s="41">
        <f t="shared" si="157"/>
        <v>40.800000000000004</v>
      </c>
      <c r="RB10" s="41">
        <f t="shared" si="158"/>
        <v>19.899999999999999</v>
      </c>
      <c r="RC10" s="41">
        <f t="shared" si="159"/>
        <v>11.299999999999999</v>
      </c>
      <c r="RD10" s="41">
        <f t="shared" si="160"/>
        <v>60.7</v>
      </c>
      <c r="RE10" s="41">
        <f t="shared" si="161"/>
        <v>7.6</v>
      </c>
      <c r="RF10" s="41">
        <f t="shared" si="162"/>
        <v>41.050000000000004</v>
      </c>
      <c r="RG10" s="41">
        <f t="shared" si="163"/>
        <v>101.75</v>
      </c>
    </row>
    <row r="11" spans="1:475" x14ac:dyDescent="0.2">
      <c r="A11" s="4" t="str" cm="1">
        <f t="array" ref="A11">IF(AND(H11&lt;&gt;"",H11&lt;&gt;"No DD"),SUMPRODUCT((H$4:H$14&lt;&gt;"")*(H$4:H$14&lt;&gt;"No DD")*(E$4:E$14&gt;E11))+1,IF(H11="No DD",SUMPRODUCT((H$4:H$14="No DD")*(E$4:E$14&gt;E11))+1+SUMPRODUCT((H$4:H$14&lt;&gt;"")*(H$4:H$14&lt;&gt;"No DD")),""))</f>
        <v/>
      </c>
      <c r="B11" s="5" t="s">
        <v>75</v>
      </c>
      <c r="C11" s="4" t="s">
        <v>6</v>
      </c>
      <c r="D11" s="4">
        <v>2001</v>
      </c>
      <c r="E11" s="9">
        <f t="shared" si="0"/>
        <v>139.8000099600041</v>
      </c>
      <c r="F11" s="3" t="str">
        <f t="shared" si="1"/>
        <v/>
      </c>
      <c r="G11" s="3" t="str">
        <f t="shared" si="2"/>
        <v/>
      </c>
      <c r="H11" s="37" t="str">
        <f t="shared" si="3"/>
        <v/>
      </c>
      <c r="I11" s="3" t="str">
        <f t="shared" si="4"/>
        <v/>
      </c>
      <c r="J11" s="8">
        <f>IF(COUNT(AQ11,BT11,CW11)&gt;0,LARGE((AQ11,BT11,CW11),1),0)</f>
        <v>41.1</v>
      </c>
      <c r="K11" s="8" t="str">
        <f t="shared" si="5"/>
        <v>2023 Domestic 3rd Trial</v>
      </c>
      <c r="L11" s="8">
        <f>IF(COUNT(AQ11,BT11,CW11)&gt;1,LARGE((AQ11,BT11,CW11),2),0)</f>
        <v>39.199999999999996</v>
      </c>
      <c r="M11" s="8" t="str">
        <f t="shared" si="6"/>
        <v>2023 Elite Canada</v>
      </c>
      <c r="N11" s="8">
        <f>IF(COUNT(AR11,BU11,CX11)&gt;0,LARGE((AR11,BU11,CX11),1),0)</f>
        <v>19.3</v>
      </c>
      <c r="O11" s="8" t="str">
        <f t="shared" si="7"/>
        <v>2023 Elite Canada</v>
      </c>
      <c r="P11" s="8">
        <f t="shared" si="8"/>
        <v>40.199999999999989</v>
      </c>
      <c r="Q11" s="8" t="str">
        <f t="shared" si="9"/>
        <v>2023 Elite Canada</v>
      </c>
      <c r="R11" s="8" t="str">
        <f t="shared" si="10"/>
        <v/>
      </c>
      <c r="S11" s="11" t="str">
        <f t="shared" si="11"/>
        <v/>
      </c>
      <c r="T11" s="8" t="str">
        <f t="shared" si="12"/>
        <v/>
      </c>
      <c r="U11" s="19">
        <v>15.6</v>
      </c>
      <c r="V11" s="19">
        <v>1.2</v>
      </c>
      <c r="W11" s="19">
        <v>0</v>
      </c>
      <c r="X11" s="19">
        <v>0</v>
      </c>
      <c r="Y11" s="19">
        <v>16.8</v>
      </c>
      <c r="Z11" s="19">
        <v>2.8</v>
      </c>
      <c r="AA11" s="19">
        <v>0.2</v>
      </c>
      <c r="AB11" s="19">
        <v>3</v>
      </c>
      <c r="AC11" s="19">
        <v>16.100000000000001</v>
      </c>
      <c r="AD11" s="19">
        <v>3.2</v>
      </c>
      <c r="AE11" s="19">
        <v>0</v>
      </c>
      <c r="AF11" s="19">
        <v>0</v>
      </c>
      <c r="AG11" s="19">
        <v>17</v>
      </c>
      <c r="AH11" s="19">
        <v>3.2</v>
      </c>
      <c r="AI11" s="19">
        <v>0</v>
      </c>
      <c r="AJ11" s="19">
        <v>0</v>
      </c>
      <c r="AK11" s="19">
        <v>17.100000000000001</v>
      </c>
      <c r="AL11" s="19">
        <v>2.8</v>
      </c>
      <c r="AM11" s="19">
        <v>0.2</v>
      </c>
      <c r="AN11" s="19">
        <v>0.3</v>
      </c>
      <c r="AO11" s="28"/>
      <c r="AP11" s="41">
        <f t="shared" si="13"/>
        <v>4</v>
      </c>
      <c r="AQ11" s="41">
        <f t="shared" si="14"/>
        <v>39.199999999999996</v>
      </c>
      <c r="AR11" s="41">
        <f t="shared" si="15"/>
        <v>19.3</v>
      </c>
      <c r="AS11" s="41">
        <f t="shared" si="16"/>
        <v>7.2</v>
      </c>
      <c r="AT11" s="41">
        <f t="shared" si="17"/>
        <v>58.5</v>
      </c>
      <c r="AU11" s="41">
        <f t="shared" si="18"/>
        <v>6</v>
      </c>
      <c r="AV11" s="41">
        <f t="shared" si="19"/>
        <v>40.199999999999989</v>
      </c>
      <c r="AW11" s="41">
        <f t="shared" si="20"/>
        <v>98.699999999999989</v>
      </c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29"/>
      <c r="BS11" s="11" t="str">
        <f t="shared" si="21"/>
        <v/>
      </c>
      <c r="BT11" s="11" t="str">
        <f t="shared" si="22"/>
        <v/>
      </c>
      <c r="BU11" s="11" t="str">
        <f t="shared" si="23"/>
        <v/>
      </c>
      <c r="BV11" s="11" t="str">
        <f t="shared" si="24"/>
        <v/>
      </c>
      <c r="BW11" s="11" t="str">
        <f t="shared" si="25"/>
        <v/>
      </c>
      <c r="BX11" s="11" t="str">
        <f t="shared" si="26"/>
        <v/>
      </c>
      <c r="BY11" s="11" t="str">
        <f t="shared" si="27"/>
        <v/>
      </c>
      <c r="BZ11" s="11" t="str">
        <f t="shared" si="28"/>
        <v/>
      </c>
      <c r="CA11" s="19">
        <v>16.399999999999999</v>
      </c>
      <c r="CB11" s="19">
        <v>4.0999999999999996</v>
      </c>
      <c r="CC11" s="19">
        <v>0</v>
      </c>
      <c r="CD11" s="19">
        <v>0.3</v>
      </c>
      <c r="CE11" s="19">
        <v>16.100000000000001</v>
      </c>
      <c r="CF11" s="19">
        <v>3.9</v>
      </c>
      <c r="CG11" s="19">
        <v>0</v>
      </c>
      <c r="CH11" s="19">
        <v>0.3</v>
      </c>
      <c r="CI11" s="19">
        <v>14.7</v>
      </c>
      <c r="CJ11" s="19">
        <v>4.0999999999999996</v>
      </c>
      <c r="CK11" s="19">
        <v>1</v>
      </c>
      <c r="CL11" s="19">
        <v>0.3</v>
      </c>
      <c r="CM11" s="19">
        <v>16.600000000000001</v>
      </c>
      <c r="CN11" s="19">
        <v>3.9</v>
      </c>
      <c r="CO11" s="19">
        <v>0</v>
      </c>
      <c r="CP11" s="19">
        <v>0.3</v>
      </c>
      <c r="CQ11" s="19">
        <v>15.9</v>
      </c>
      <c r="CR11" s="19">
        <v>2.4</v>
      </c>
      <c r="CS11" s="19">
        <v>1</v>
      </c>
      <c r="CT11" s="19">
        <v>0.3</v>
      </c>
      <c r="CU11" s="28"/>
      <c r="CV11" s="41">
        <f t="shared" si="29"/>
        <v>8</v>
      </c>
      <c r="CW11" s="41">
        <f t="shared" si="30"/>
        <v>41.1</v>
      </c>
      <c r="CX11" s="41">
        <f t="shared" si="31"/>
        <v>18.099999999999998</v>
      </c>
      <c r="CY11" s="41">
        <f t="shared" si="32"/>
        <v>12.1</v>
      </c>
      <c r="CZ11" s="41">
        <f t="shared" si="33"/>
        <v>59.2</v>
      </c>
      <c r="DA11" s="41">
        <f t="shared" si="34"/>
        <v>6.3</v>
      </c>
      <c r="DB11" s="41">
        <f t="shared" si="35"/>
        <v>38.4</v>
      </c>
      <c r="DC11" s="41">
        <f t="shared" si="36"/>
        <v>97.6</v>
      </c>
      <c r="DD11" s="52" t="str">
        <f t="shared" si="37"/>
        <v/>
      </c>
      <c r="DE11" s="52" t="str">
        <f t="shared" si="38"/>
        <v/>
      </c>
      <c r="DF11" s="52" t="str">
        <f t="shared" si="39"/>
        <v/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40"/>
        <v/>
      </c>
      <c r="EB11" s="41" t="str">
        <f t="shared" si="41"/>
        <v/>
      </c>
      <c r="EC11" s="41" t="str">
        <f t="shared" si="42"/>
        <v/>
      </c>
      <c r="ED11" s="41" t="str">
        <f t="shared" si="43"/>
        <v/>
      </c>
      <c r="EE11" s="41" t="str">
        <f t="shared" si="44"/>
        <v/>
      </c>
      <c r="EF11" s="41" t="str">
        <f t="shared" si="45"/>
        <v/>
      </c>
      <c r="EG11" s="41" t="str">
        <f t="shared" si="46"/>
        <v/>
      </c>
      <c r="EH11" s="41" t="str">
        <f t="shared" si="47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 t="str">
        <f t="shared" si="53"/>
        <v/>
      </c>
      <c r="FI11" s="11" t="str">
        <f t="shared" si="54"/>
        <v/>
      </c>
      <c r="FJ11" s="11" t="str">
        <f t="shared" si="55"/>
        <v/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 t="str">
        <f t="shared" si="64"/>
        <v/>
      </c>
      <c r="HH11" s="11" t="str">
        <f t="shared" si="65"/>
        <v/>
      </c>
      <c r="HI11" s="11" t="str">
        <f t="shared" si="66"/>
        <v/>
      </c>
      <c r="HJ11" s="11" t="str">
        <f t="shared" si="67"/>
        <v/>
      </c>
      <c r="HK11" s="11" t="str">
        <f t="shared" si="68"/>
        <v/>
      </c>
      <c r="HL11" s="11" t="str">
        <f t="shared" si="69"/>
        <v/>
      </c>
      <c r="HM11" s="11" t="str">
        <f t="shared" si="70"/>
        <v/>
      </c>
      <c r="HN11" s="11" t="str">
        <f t="shared" si="71"/>
        <v/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8"/>
        <v/>
      </c>
      <c r="KN11" s="41" t="str">
        <f t="shared" si="89"/>
        <v/>
      </c>
      <c r="KO11" s="41" t="str">
        <f t="shared" si="90"/>
        <v/>
      </c>
      <c r="KP11" s="41" t="str">
        <f t="shared" si="91"/>
        <v/>
      </c>
      <c r="KQ11" s="41" t="str">
        <f t="shared" si="92"/>
        <v/>
      </c>
      <c r="KR11" s="41" t="str">
        <f t="shared" si="93"/>
        <v/>
      </c>
      <c r="KS11" s="41" t="str">
        <f t="shared" si="94"/>
        <v/>
      </c>
      <c r="KT11" s="41" t="str">
        <f t="shared" si="95"/>
        <v/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8.1999999999999993</v>
      </c>
      <c r="QF11" s="23">
        <f t="shared" si="137"/>
        <v>2.0499999999999998</v>
      </c>
      <c r="QG11" s="23">
        <f t="shared" si="138"/>
        <v>0</v>
      </c>
      <c r="QH11" s="23">
        <f t="shared" si="139"/>
        <v>0.15</v>
      </c>
      <c r="QI11" s="23">
        <f t="shared" si="140"/>
        <v>8.0500000000000007</v>
      </c>
      <c r="QJ11" s="23">
        <f t="shared" si="141"/>
        <v>1.95</v>
      </c>
      <c r="QK11" s="23">
        <f t="shared" si="142"/>
        <v>0</v>
      </c>
      <c r="QL11" s="23">
        <f t="shared" si="143"/>
        <v>0.15</v>
      </c>
      <c r="QM11" s="23">
        <f t="shared" si="144"/>
        <v>7.35</v>
      </c>
      <c r="QN11" s="23">
        <f t="shared" si="145"/>
        <v>2.0499999999999998</v>
      </c>
      <c r="QO11" s="23">
        <f t="shared" si="146"/>
        <v>0.5</v>
      </c>
      <c r="QP11" s="23">
        <f t="shared" si="147"/>
        <v>0.15</v>
      </c>
      <c r="QQ11" s="23">
        <f t="shared" si="148"/>
        <v>8.3000000000000007</v>
      </c>
      <c r="QR11" s="23">
        <f t="shared" si="149"/>
        <v>1.95</v>
      </c>
      <c r="QS11" s="23">
        <f t="shared" si="150"/>
        <v>0</v>
      </c>
      <c r="QT11" s="23">
        <f t="shared" si="151"/>
        <v>0.15</v>
      </c>
      <c r="QU11" s="23">
        <f t="shared" si="152"/>
        <v>7.95</v>
      </c>
      <c r="QV11" s="23">
        <f t="shared" si="153"/>
        <v>1.2</v>
      </c>
      <c r="QW11" s="23">
        <f t="shared" si="154"/>
        <v>0.5</v>
      </c>
      <c r="QX11" s="23">
        <f t="shared" si="155"/>
        <v>0.15</v>
      </c>
      <c r="QY11" s="28" t="s">
        <v>57</v>
      </c>
      <c r="QZ11" s="41">
        <f t="shared" si="156"/>
        <v>4</v>
      </c>
      <c r="RA11" s="41">
        <f t="shared" si="157"/>
        <v>20.55</v>
      </c>
      <c r="RB11" s="41">
        <f t="shared" si="158"/>
        <v>9.0499999999999989</v>
      </c>
      <c r="RC11" s="41">
        <f t="shared" si="159"/>
        <v>6.05</v>
      </c>
      <c r="RD11" s="41">
        <f t="shared" si="160"/>
        <v>29.6</v>
      </c>
      <c r="RE11" s="41">
        <f t="shared" si="161"/>
        <v>3.15</v>
      </c>
      <c r="RF11" s="41">
        <f t="shared" si="162"/>
        <v>19.2</v>
      </c>
      <c r="RG11" s="41">
        <f t="shared" si="163"/>
        <v>48.8</v>
      </c>
    </row>
    <row r="12" spans="1:475" x14ac:dyDescent="0.2">
      <c r="A12" s="4" t="str" cm="1">
        <f t="array" ref="A12">IF(AND(H12&lt;&gt;"",H12&lt;&gt;"No DD"),SUMPRODUCT((H$4:H$14&lt;&gt;"")*(H$4:H$14&lt;&gt;"No DD")*(E$4:E$14&gt;E12))+1,IF(H12="No DD",SUMPRODUCT((H$4:H$14="No DD")*(E$4:E$14&gt;E12))+1+SUMPRODUCT((H$4:H$14&lt;&gt;"")*(H$4:H$14&lt;&gt;"No DD")),""))</f>
        <v/>
      </c>
      <c r="B12" s="5" t="s">
        <v>187</v>
      </c>
      <c r="C12" s="4" t="s">
        <v>5</v>
      </c>
      <c r="D12" s="4">
        <v>1999</v>
      </c>
      <c r="E12" s="9">
        <f t="shared" si="0"/>
        <v>83.300005240003514</v>
      </c>
      <c r="F12" s="3" t="str">
        <f t="shared" si="1"/>
        <v/>
      </c>
      <c r="G12" s="3" t="str">
        <f t="shared" si="2"/>
        <v/>
      </c>
      <c r="H12" s="37" t="str">
        <f t="shared" si="3"/>
        <v/>
      </c>
      <c r="I12" s="3" t="str">
        <f t="shared" si="4"/>
        <v/>
      </c>
      <c r="J12" s="8">
        <f>IF(COUNT(AQ12,BT12,CW12)&gt;0,LARGE((AQ12,BT12,CW12),1),0)</f>
        <v>35.199999999999996</v>
      </c>
      <c r="K12" s="8" t="str">
        <f t="shared" si="5"/>
        <v>2023 Elite Canada</v>
      </c>
      <c r="L12" s="8">
        <f>IF(COUNT(AQ12,BT12,CW12)&gt;1,LARGE((AQ12,BT12,CW12),2),0)</f>
        <v>0</v>
      </c>
      <c r="M12" s="8" t="str">
        <f t="shared" si="6"/>
        <v/>
      </c>
      <c r="N12" s="8">
        <f>IF(COUNT(AR12,BU12,CX12)&gt;0,LARGE((AR12,BU12,CX12),1),0)</f>
        <v>17.200000000000003</v>
      </c>
      <c r="O12" s="8" t="str">
        <f t="shared" si="7"/>
        <v>2023 Elite Canada</v>
      </c>
      <c r="P12" s="8">
        <f t="shared" si="8"/>
        <v>30.9</v>
      </c>
      <c r="Q12" s="8" t="str">
        <f t="shared" si="9"/>
        <v>2023 Elite Canada</v>
      </c>
      <c r="R12" s="8" t="str">
        <f t="shared" si="10"/>
        <v/>
      </c>
      <c r="S12" s="11" t="str">
        <f t="shared" si="11"/>
        <v/>
      </c>
      <c r="T12" s="8" t="str">
        <f t="shared" si="12"/>
        <v/>
      </c>
      <c r="U12" s="19">
        <v>16.399999999999999</v>
      </c>
      <c r="V12" s="19">
        <v>1.2</v>
      </c>
      <c r="W12" s="19">
        <v>0</v>
      </c>
      <c r="X12" s="19">
        <v>0</v>
      </c>
      <c r="Y12" s="19">
        <v>15.1</v>
      </c>
      <c r="Z12" s="19">
        <v>3.2</v>
      </c>
      <c r="AA12" s="19">
        <v>1</v>
      </c>
      <c r="AB12" s="19">
        <v>0.3</v>
      </c>
      <c r="AC12" s="19">
        <v>14.3</v>
      </c>
      <c r="AD12" s="19">
        <v>3.3</v>
      </c>
      <c r="AE12" s="19">
        <v>0.7</v>
      </c>
      <c r="AF12" s="19">
        <v>0.3</v>
      </c>
      <c r="AG12" s="19">
        <v>16.3</v>
      </c>
      <c r="AH12" s="19">
        <v>3.2</v>
      </c>
      <c r="AI12" s="19">
        <v>0.4</v>
      </c>
      <c r="AJ12" s="19">
        <v>0</v>
      </c>
      <c r="AK12" s="19">
        <v>13</v>
      </c>
      <c r="AL12" s="19">
        <v>0.8</v>
      </c>
      <c r="AM12" s="19">
        <v>2</v>
      </c>
      <c r="AN12" s="19">
        <v>0</v>
      </c>
      <c r="AO12" s="28"/>
      <c r="AP12" s="41">
        <f t="shared" si="13"/>
        <v>4.4000000000000004</v>
      </c>
      <c r="AQ12" s="41">
        <f t="shared" si="14"/>
        <v>35.199999999999996</v>
      </c>
      <c r="AR12" s="41">
        <f t="shared" si="15"/>
        <v>17.200000000000003</v>
      </c>
      <c r="AS12" s="41">
        <f t="shared" si="16"/>
        <v>7.7</v>
      </c>
      <c r="AT12" s="41">
        <f t="shared" si="17"/>
        <v>52.4</v>
      </c>
      <c r="AU12" s="41">
        <f t="shared" si="18"/>
        <v>4</v>
      </c>
      <c r="AV12" s="41">
        <f t="shared" si="19"/>
        <v>30.9</v>
      </c>
      <c r="AW12" s="41">
        <f t="shared" si="20"/>
        <v>83.3</v>
      </c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 t="str">
        <f t="shared" si="21"/>
        <v/>
      </c>
      <c r="BT12" s="11" t="str">
        <f t="shared" si="22"/>
        <v/>
      </c>
      <c r="BU12" s="11" t="str">
        <f t="shared" si="23"/>
        <v/>
      </c>
      <c r="BV12" s="11" t="str">
        <f t="shared" si="24"/>
        <v/>
      </c>
      <c r="BW12" s="11" t="str">
        <f t="shared" si="25"/>
        <v/>
      </c>
      <c r="BX12" s="11" t="str">
        <f t="shared" si="26"/>
        <v/>
      </c>
      <c r="BY12" s="11" t="str">
        <f t="shared" si="27"/>
        <v/>
      </c>
      <c r="BZ12" s="11" t="str">
        <f t="shared" si="28"/>
        <v/>
      </c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28"/>
      <c r="CV12" s="41" t="str">
        <f t="shared" si="29"/>
        <v/>
      </c>
      <c r="CW12" s="41" t="str">
        <f t="shared" si="30"/>
        <v/>
      </c>
      <c r="CX12" s="41" t="str">
        <f t="shared" si="31"/>
        <v/>
      </c>
      <c r="CY12" s="41" t="str">
        <f t="shared" si="32"/>
        <v/>
      </c>
      <c r="CZ12" s="41" t="str">
        <f t="shared" si="33"/>
        <v/>
      </c>
      <c r="DA12" s="41" t="str">
        <f t="shared" si="34"/>
        <v/>
      </c>
      <c r="DB12" s="41" t="str">
        <f t="shared" si="35"/>
        <v/>
      </c>
      <c r="DC12" s="41" t="str">
        <f t="shared" si="36"/>
        <v/>
      </c>
      <c r="DD12" s="52" t="str">
        <f t="shared" si="37"/>
        <v/>
      </c>
      <c r="DE12" s="52" t="str">
        <f t="shared" si="38"/>
        <v/>
      </c>
      <c r="DF12" s="52" t="str">
        <f t="shared" si="39"/>
        <v/>
      </c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 t="str">
        <f t="shared" si="40"/>
        <v/>
      </c>
      <c r="EB12" s="41" t="str">
        <f t="shared" si="41"/>
        <v/>
      </c>
      <c r="EC12" s="41" t="str">
        <f t="shared" si="42"/>
        <v/>
      </c>
      <c r="ED12" s="41" t="str">
        <f t="shared" si="43"/>
        <v/>
      </c>
      <c r="EE12" s="41" t="str">
        <f t="shared" si="44"/>
        <v/>
      </c>
      <c r="EF12" s="41" t="str">
        <f t="shared" si="45"/>
        <v/>
      </c>
      <c r="EG12" s="41" t="str">
        <f t="shared" si="46"/>
        <v/>
      </c>
      <c r="EH12" s="41" t="str">
        <f t="shared" si="47"/>
        <v/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6"/>
        <v/>
      </c>
      <c r="GF12" s="41" t="str">
        <f t="shared" si="57"/>
        <v/>
      </c>
      <c r="GG12" s="41" t="str">
        <f t="shared" si="58"/>
        <v/>
      </c>
      <c r="GH12" s="41" t="str">
        <f t="shared" si="59"/>
        <v/>
      </c>
      <c r="GI12" s="41" t="str">
        <f t="shared" si="60"/>
        <v/>
      </c>
      <c r="GJ12" s="41" t="str">
        <f t="shared" si="61"/>
        <v/>
      </c>
      <c r="GK12" s="41" t="str">
        <f t="shared" si="62"/>
        <v/>
      </c>
      <c r="GL12" s="41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2"/>
        <v/>
      </c>
      <c r="IJ12" s="41" t="str">
        <f t="shared" si="73"/>
        <v/>
      </c>
      <c r="IK12" s="41" t="str">
        <f t="shared" si="74"/>
        <v/>
      </c>
      <c r="IL12" s="41" t="str">
        <f t="shared" si="75"/>
        <v/>
      </c>
      <c r="IM12" s="41" t="str">
        <f t="shared" si="76"/>
        <v/>
      </c>
      <c r="IN12" s="41" t="str">
        <f t="shared" si="77"/>
        <v/>
      </c>
      <c r="IO12" s="41" t="str">
        <f t="shared" si="78"/>
        <v/>
      </c>
      <c r="IP12" s="41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8"/>
        <v/>
      </c>
      <c r="KN12" s="41" t="str">
        <f t="shared" si="89"/>
        <v/>
      </c>
      <c r="KO12" s="41" t="str">
        <f t="shared" si="90"/>
        <v/>
      </c>
      <c r="KP12" s="41" t="str">
        <f t="shared" si="91"/>
        <v/>
      </c>
      <c r="KQ12" s="41" t="str">
        <f t="shared" si="92"/>
        <v/>
      </c>
      <c r="KR12" s="41" t="str">
        <f t="shared" si="93"/>
        <v/>
      </c>
      <c r="KS12" s="41" t="str">
        <f t="shared" si="94"/>
        <v/>
      </c>
      <c r="KT12" s="41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4"/>
        <v/>
      </c>
      <c r="MR12" s="41" t="str">
        <f t="shared" si="105"/>
        <v/>
      </c>
      <c r="MS12" s="41" t="str">
        <f t="shared" si="106"/>
        <v/>
      </c>
      <c r="MT12" s="41" t="str">
        <f t="shared" si="107"/>
        <v/>
      </c>
      <c r="MU12" s="41" t="str">
        <f t="shared" si="108"/>
        <v/>
      </c>
      <c r="MV12" s="41" t="str">
        <f t="shared" si="109"/>
        <v/>
      </c>
      <c r="MW12" s="41" t="str">
        <f t="shared" si="110"/>
        <v/>
      </c>
      <c r="MX12" s="41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20"/>
        <v/>
      </c>
      <c r="OV12" s="41" t="str">
        <f t="shared" si="121"/>
        <v/>
      </c>
      <c r="OW12" s="41" t="str">
        <f t="shared" si="122"/>
        <v/>
      </c>
      <c r="OX12" s="41" t="str">
        <f t="shared" si="123"/>
        <v/>
      </c>
      <c r="OY12" s="41" t="str">
        <f t="shared" si="124"/>
        <v/>
      </c>
      <c r="OZ12" s="41" t="str">
        <f t="shared" si="125"/>
        <v/>
      </c>
      <c r="PA12" s="41" t="str">
        <f t="shared" si="126"/>
        <v/>
      </c>
      <c r="PB12" s="41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3">
        <f t="shared" si="136"/>
        <v>0</v>
      </c>
      <c r="QF12" s="23">
        <f t="shared" si="137"/>
        <v>0</v>
      </c>
      <c r="QG12" s="23">
        <f t="shared" si="138"/>
        <v>0</v>
      </c>
      <c r="QH12" s="23">
        <f t="shared" si="139"/>
        <v>0</v>
      </c>
      <c r="QI12" s="23">
        <f t="shared" si="140"/>
        <v>0</v>
      </c>
      <c r="QJ12" s="23">
        <f t="shared" si="141"/>
        <v>0</v>
      </c>
      <c r="QK12" s="23">
        <f t="shared" si="142"/>
        <v>0</v>
      </c>
      <c r="QL12" s="23">
        <f t="shared" si="143"/>
        <v>0</v>
      </c>
      <c r="QM12" s="23">
        <f t="shared" si="144"/>
        <v>0</v>
      </c>
      <c r="QN12" s="23">
        <f t="shared" si="145"/>
        <v>0</v>
      </c>
      <c r="QO12" s="23">
        <f t="shared" si="146"/>
        <v>0</v>
      </c>
      <c r="QP12" s="23">
        <f t="shared" si="147"/>
        <v>0</v>
      </c>
      <c r="QQ12" s="23">
        <f t="shared" si="148"/>
        <v>0</v>
      </c>
      <c r="QR12" s="23">
        <f t="shared" si="149"/>
        <v>0</v>
      </c>
      <c r="QS12" s="23">
        <f t="shared" si="150"/>
        <v>0</v>
      </c>
      <c r="QT12" s="23">
        <f t="shared" si="151"/>
        <v>0</v>
      </c>
      <c r="QU12" s="23">
        <f t="shared" si="152"/>
        <v>0</v>
      </c>
      <c r="QV12" s="23">
        <f t="shared" si="153"/>
        <v>0</v>
      </c>
      <c r="QW12" s="23">
        <f t="shared" si="154"/>
        <v>0</v>
      </c>
      <c r="QX12" s="23">
        <f t="shared" si="155"/>
        <v>0</v>
      </c>
      <c r="QY12" s="28" t="s">
        <v>57</v>
      </c>
      <c r="QZ12" s="41" t="str">
        <f t="shared" si="156"/>
        <v/>
      </c>
      <c r="RA12" s="41" t="str">
        <f t="shared" si="157"/>
        <v/>
      </c>
      <c r="RB12" s="41" t="str">
        <f t="shared" si="158"/>
        <v/>
      </c>
      <c r="RC12" s="41" t="str">
        <f t="shared" si="159"/>
        <v/>
      </c>
      <c r="RD12" s="41" t="str">
        <f t="shared" si="160"/>
        <v/>
      </c>
      <c r="RE12" s="41" t="str">
        <f t="shared" si="161"/>
        <v/>
      </c>
      <c r="RF12" s="41" t="str">
        <f t="shared" si="162"/>
        <v/>
      </c>
      <c r="RG12" s="41" t="str">
        <f t="shared" si="163"/>
        <v/>
      </c>
    </row>
    <row r="13" spans="1:475" x14ac:dyDescent="0.2">
      <c r="A13" s="4" t="str" cm="1">
        <f t="array" ref="A13">IF(AND(H13&lt;&gt;"",H13&lt;&gt;"No DD"),SUMPRODUCT((H$4:H$14&lt;&gt;"")*(H$4:H$14&lt;&gt;"No DD")*(E$4:E$14&gt;E13))+1,IF(H13="No DD",SUMPRODUCT((H$4:H$14="No DD")*(E$4:E$14&gt;E13))+1+SUMPRODUCT((H$4:H$14&lt;&gt;"")*(H$4:H$14&lt;&gt;"No DD")),""))</f>
        <v/>
      </c>
      <c r="B13" s="5" t="s">
        <v>168</v>
      </c>
      <c r="C13" s="4" t="s">
        <v>3</v>
      </c>
      <c r="D13" s="4">
        <v>2004</v>
      </c>
      <c r="E13" s="9">
        <f t="shared" si="0"/>
        <v>39.300000000000004</v>
      </c>
      <c r="F13" s="3" t="str">
        <f t="shared" si="1"/>
        <v/>
      </c>
      <c r="G13" s="3" t="str">
        <f t="shared" si="2"/>
        <v/>
      </c>
      <c r="H13" s="37" t="str">
        <f t="shared" si="3"/>
        <v/>
      </c>
      <c r="I13" s="3" t="str">
        <f t="shared" si="4"/>
        <v/>
      </c>
      <c r="J13" s="8">
        <f>IF(COUNT(AQ13,BT13,CW13)&gt;0,LARGE((AQ13,BT13,CW13),1),0)</f>
        <v>0</v>
      </c>
      <c r="K13" s="8" t="str">
        <f t="shared" si="5"/>
        <v/>
      </c>
      <c r="L13" s="8">
        <f>IF(COUNT(AQ13,BT13,CW13)&gt;1,LARGE((AQ13,BT13,CW13),2),0)</f>
        <v>0</v>
      </c>
      <c r="M13" s="8" t="str">
        <f t="shared" si="6"/>
        <v/>
      </c>
      <c r="N13" s="8">
        <f>IF(COUNT(AR13,BU13,CX13)&gt;0,LARGE((AR13,BU13,CX13),1),0)</f>
        <v>0</v>
      </c>
      <c r="O13" s="8" t="str">
        <f t="shared" si="7"/>
        <v/>
      </c>
      <c r="P13" s="8">
        <f t="shared" si="8"/>
        <v>0</v>
      </c>
      <c r="Q13" s="8" t="str">
        <f t="shared" si="9"/>
        <v/>
      </c>
      <c r="R13" s="8">
        <f t="shared" si="10"/>
        <v>39.300000000000004</v>
      </c>
      <c r="S13" s="11" t="str">
        <f t="shared" si="11"/>
        <v>(Q1)</v>
      </c>
      <c r="T13" s="8" t="str">
        <f t="shared" si="12"/>
        <v>2022 WAGC (Nov 24)</v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8"/>
      <c r="AP13" s="41" t="str">
        <f t="shared" si="13"/>
        <v/>
      </c>
      <c r="AQ13" s="41" t="str">
        <f t="shared" si="14"/>
        <v/>
      </c>
      <c r="AR13" s="41" t="str">
        <f t="shared" si="15"/>
        <v/>
      </c>
      <c r="AS13" s="41" t="str">
        <f t="shared" si="16"/>
        <v/>
      </c>
      <c r="AT13" s="41" t="str">
        <f t="shared" si="17"/>
        <v/>
      </c>
      <c r="AU13" s="41" t="str">
        <f t="shared" si="18"/>
        <v/>
      </c>
      <c r="AV13" s="41" t="str">
        <f t="shared" si="19"/>
        <v/>
      </c>
      <c r="AW13" s="41" t="str">
        <f t="shared" si="20"/>
        <v/>
      </c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29"/>
      <c r="BS13" s="11" t="str">
        <f t="shared" si="21"/>
        <v/>
      </c>
      <c r="BT13" s="11" t="str">
        <f t="shared" si="22"/>
        <v/>
      </c>
      <c r="BU13" s="11" t="str">
        <f t="shared" si="23"/>
        <v/>
      </c>
      <c r="BV13" s="11" t="str">
        <f t="shared" si="24"/>
        <v/>
      </c>
      <c r="BW13" s="11" t="str">
        <f t="shared" si="25"/>
        <v/>
      </c>
      <c r="BX13" s="11" t="str">
        <f t="shared" si="26"/>
        <v/>
      </c>
      <c r="BY13" s="11" t="str">
        <f t="shared" si="27"/>
        <v/>
      </c>
      <c r="BZ13" s="11" t="str">
        <f t="shared" si="28"/>
        <v/>
      </c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28"/>
      <c r="CV13" s="41" t="str">
        <f t="shared" si="29"/>
        <v/>
      </c>
      <c r="CW13" s="41" t="str">
        <f t="shared" si="30"/>
        <v/>
      </c>
      <c r="CX13" s="41" t="str">
        <f t="shared" si="31"/>
        <v/>
      </c>
      <c r="CY13" s="41" t="str">
        <f t="shared" si="32"/>
        <v/>
      </c>
      <c r="CZ13" s="41" t="str">
        <f t="shared" si="33"/>
        <v/>
      </c>
      <c r="DA13" s="41" t="str">
        <f t="shared" si="34"/>
        <v/>
      </c>
      <c r="DB13" s="41" t="str">
        <f t="shared" si="35"/>
        <v/>
      </c>
      <c r="DC13" s="41" t="str">
        <f t="shared" si="36"/>
        <v/>
      </c>
      <c r="DD13" s="52">
        <f t="shared" si="37"/>
        <v>39.300000000000004</v>
      </c>
      <c r="DE13" s="52" t="str">
        <f t="shared" si="38"/>
        <v/>
      </c>
      <c r="DF13" s="52" t="str">
        <f t="shared" si="39"/>
        <v/>
      </c>
      <c r="DG13" s="17">
        <v>17</v>
      </c>
      <c r="DH13" s="17">
        <v>4.0999999999999996</v>
      </c>
      <c r="DI13" s="17">
        <v>0</v>
      </c>
      <c r="DJ13" s="17">
        <v>0</v>
      </c>
      <c r="DK13" s="17">
        <v>16.3</v>
      </c>
      <c r="DL13" s="17">
        <v>1.9</v>
      </c>
      <c r="DM13" s="17">
        <v>0</v>
      </c>
      <c r="DN13" s="17">
        <v>0</v>
      </c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>
        <f t="shared" si="40"/>
        <v>6</v>
      </c>
      <c r="EB13" s="41">
        <f t="shared" si="41"/>
        <v>39.300000000000004</v>
      </c>
      <c r="EC13" s="41" t="str">
        <f t="shared" si="42"/>
        <v/>
      </c>
      <c r="ED13" s="41">
        <f t="shared" si="43"/>
        <v>6</v>
      </c>
      <c r="EE13" s="41">
        <f t="shared" si="44"/>
        <v>39.300000000000004</v>
      </c>
      <c r="EF13" s="41" t="str">
        <f t="shared" si="45"/>
        <v/>
      </c>
      <c r="EG13" s="41" t="str">
        <f t="shared" si="46"/>
        <v/>
      </c>
      <c r="EH13" s="41">
        <f t="shared" si="47"/>
        <v>39.300000000000004</v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6"/>
        <v/>
      </c>
      <c r="GF13" s="41" t="str">
        <f t="shared" si="57"/>
        <v/>
      </c>
      <c r="GG13" s="41" t="str">
        <f t="shared" si="58"/>
        <v/>
      </c>
      <c r="GH13" s="41" t="str">
        <f t="shared" si="59"/>
        <v/>
      </c>
      <c r="GI13" s="41" t="str">
        <f t="shared" si="60"/>
        <v/>
      </c>
      <c r="GJ13" s="41" t="str">
        <f t="shared" si="61"/>
        <v/>
      </c>
      <c r="GK13" s="41" t="str">
        <f t="shared" si="62"/>
        <v/>
      </c>
      <c r="GL13" s="41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2"/>
        <v/>
      </c>
      <c r="IJ13" s="41" t="str">
        <f t="shared" si="73"/>
        <v/>
      </c>
      <c r="IK13" s="41" t="str">
        <f t="shared" si="74"/>
        <v/>
      </c>
      <c r="IL13" s="41" t="str">
        <f t="shared" si="75"/>
        <v/>
      </c>
      <c r="IM13" s="41" t="str">
        <f t="shared" si="76"/>
        <v/>
      </c>
      <c r="IN13" s="41" t="str">
        <f t="shared" si="77"/>
        <v/>
      </c>
      <c r="IO13" s="41" t="str">
        <f t="shared" si="78"/>
        <v/>
      </c>
      <c r="IP13" s="41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8"/>
        <v/>
      </c>
      <c r="KN13" s="41" t="str">
        <f t="shared" si="89"/>
        <v/>
      </c>
      <c r="KO13" s="41" t="str">
        <f t="shared" si="90"/>
        <v/>
      </c>
      <c r="KP13" s="41" t="str">
        <f t="shared" si="91"/>
        <v/>
      </c>
      <c r="KQ13" s="41" t="str">
        <f t="shared" si="92"/>
        <v/>
      </c>
      <c r="KR13" s="41" t="str">
        <f t="shared" si="93"/>
        <v/>
      </c>
      <c r="KS13" s="41" t="str">
        <f t="shared" si="94"/>
        <v/>
      </c>
      <c r="KT13" s="41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4"/>
        <v/>
      </c>
      <c r="MR13" s="41" t="str">
        <f t="shared" si="105"/>
        <v/>
      </c>
      <c r="MS13" s="41" t="str">
        <f t="shared" si="106"/>
        <v/>
      </c>
      <c r="MT13" s="41" t="str">
        <f t="shared" si="107"/>
        <v/>
      </c>
      <c r="MU13" s="41" t="str">
        <f t="shared" si="108"/>
        <v/>
      </c>
      <c r="MV13" s="41" t="str">
        <f t="shared" si="109"/>
        <v/>
      </c>
      <c r="MW13" s="41" t="str">
        <f t="shared" si="110"/>
        <v/>
      </c>
      <c r="MX13" s="41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20"/>
        <v/>
      </c>
      <c r="OV13" s="41" t="str">
        <f t="shared" si="121"/>
        <v/>
      </c>
      <c r="OW13" s="41" t="str">
        <f t="shared" si="122"/>
        <v/>
      </c>
      <c r="OX13" s="41" t="str">
        <f t="shared" si="123"/>
        <v/>
      </c>
      <c r="OY13" s="41" t="str">
        <f t="shared" si="124"/>
        <v/>
      </c>
      <c r="OZ13" s="41" t="str">
        <f t="shared" si="125"/>
        <v/>
      </c>
      <c r="PA13" s="41" t="str">
        <f t="shared" si="126"/>
        <v/>
      </c>
      <c r="PB13" s="41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3">
        <f t="shared" si="136"/>
        <v>0</v>
      </c>
      <c r="QF13" s="23">
        <f t="shared" si="137"/>
        <v>0</v>
      </c>
      <c r="QG13" s="23">
        <f t="shared" si="138"/>
        <v>0</v>
      </c>
      <c r="QH13" s="23">
        <f t="shared" si="139"/>
        <v>0</v>
      </c>
      <c r="QI13" s="23">
        <f t="shared" si="140"/>
        <v>0</v>
      </c>
      <c r="QJ13" s="23">
        <f t="shared" si="141"/>
        <v>0</v>
      </c>
      <c r="QK13" s="23">
        <f t="shared" si="142"/>
        <v>0</v>
      </c>
      <c r="QL13" s="23">
        <f t="shared" si="143"/>
        <v>0</v>
      </c>
      <c r="QM13" s="23">
        <f t="shared" si="144"/>
        <v>0</v>
      </c>
      <c r="QN13" s="23">
        <f t="shared" si="145"/>
        <v>0</v>
      </c>
      <c r="QO13" s="23">
        <f t="shared" si="146"/>
        <v>0</v>
      </c>
      <c r="QP13" s="23">
        <f t="shared" si="147"/>
        <v>0</v>
      </c>
      <c r="QQ13" s="23">
        <f t="shared" si="148"/>
        <v>0</v>
      </c>
      <c r="QR13" s="23">
        <f t="shared" si="149"/>
        <v>0</v>
      </c>
      <c r="QS13" s="23">
        <f t="shared" si="150"/>
        <v>0</v>
      </c>
      <c r="QT13" s="23">
        <f t="shared" si="151"/>
        <v>0</v>
      </c>
      <c r="QU13" s="23">
        <f t="shared" si="152"/>
        <v>0</v>
      </c>
      <c r="QV13" s="23">
        <f t="shared" si="153"/>
        <v>0</v>
      </c>
      <c r="QW13" s="23">
        <f t="shared" si="154"/>
        <v>0</v>
      </c>
      <c r="QX13" s="23">
        <f t="shared" si="155"/>
        <v>0</v>
      </c>
      <c r="QY13" s="28" t="s">
        <v>57</v>
      </c>
      <c r="QZ13" s="41" t="str">
        <f t="shared" si="156"/>
        <v/>
      </c>
      <c r="RA13" s="41" t="str">
        <f t="shared" si="157"/>
        <v/>
      </c>
      <c r="RB13" s="41" t="str">
        <f t="shared" si="158"/>
        <v/>
      </c>
      <c r="RC13" s="41" t="str">
        <f t="shared" si="159"/>
        <v/>
      </c>
      <c r="RD13" s="41" t="str">
        <f t="shared" si="160"/>
        <v/>
      </c>
      <c r="RE13" s="41" t="str">
        <f t="shared" si="161"/>
        <v/>
      </c>
      <c r="RF13" s="41" t="str">
        <f t="shared" si="162"/>
        <v/>
      </c>
      <c r="RG13" s="41" t="str">
        <f t="shared" si="163"/>
        <v/>
      </c>
    </row>
    <row r="14" spans="1:475" ht="17" x14ac:dyDescent="0.2">
      <c r="R14" s="10"/>
      <c r="S14" s="10"/>
      <c r="T14" s="10"/>
    </row>
    <row r="15" spans="1:475" ht="17" x14ac:dyDescent="0.2">
      <c r="R15" s="10"/>
      <c r="S15" s="10"/>
      <c r="T15" s="10"/>
    </row>
    <row r="16" spans="1:475" ht="17" x14ac:dyDescent="0.2">
      <c r="B16" s="24" t="s">
        <v>54</v>
      </c>
      <c r="R16" s="10"/>
      <c r="S16" s="10"/>
      <c r="T16" s="10"/>
      <c r="AP16" s="4"/>
      <c r="AW16" s="43">
        <v>8.6</v>
      </c>
      <c r="BS16" s="4"/>
      <c r="BZ16" s="43">
        <v>8.6</v>
      </c>
      <c r="CV16" s="4"/>
      <c r="DC16" s="43">
        <v>8.6</v>
      </c>
      <c r="EA16" s="4"/>
      <c r="EH16" s="43">
        <v>8.6</v>
      </c>
      <c r="FC16" s="4"/>
      <c r="FJ16" s="43">
        <v>8.6</v>
      </c>
      <c r="GE16" s="4"/>
      <c r="GL16" s="43">
        <v>8.6</v>
      </c>
      <c r="HG16" s="4"/>
      <c r="HN16" s="43">
        <v>8.6</v>
      </c>
      <c r="II16" s="4"/>
      <c r="IP16" s="43">
        <v>8.6</v>
      </c>
      <c r="JK16" s="4"/>
      <c r="JR16" s="43">
        <v>8.6</v>
      </c>
      <c r="KM16" s="4"/>
      <c r="KT16" s="43">
        <v>8.6</v>
      </c>
      <c r="LO16" s="4"/>
      <c r="LV16" s="43">
        <v>8.6</v>
      </c>
      <c r="MQ16" s="4"/>
      <c r="MX16" s="43">
        <v>8.6</v>
      </c>
      <c r="NS16" s="4"/>
      <c r="NZ16" s="43">
        <v>8.6</v>
      </c>
      <c r="OU16" s="4"/>
      <c r="PB16" s="43">
        <v>8.6</v>
      </c>
      <c r="PW16" s="4"/>
      <c r="QD16" s="43">
        <v>8.6</v>
      </c>
    </row>
    <row r="17" spans="1:456" ht="17" x14ac:dyDescent="0.2">
      <c r="B17" s="31" t="s">
        <v>53</v>
      </c>
      <c r="R17" s="10"/>
      <c r="S17" s="10"/>
      <c r="T17" s="10"/>
      <c r="AP17" s="4"/>
      <c r="AW17" s="53">
        <v>12.9</v>
      </c>
      <c r="BS17" s="4"/>
      <c r="BZ17" s="53">
        <v>12.9</v>
      </c>
      <c r="CV17" s="4"/>
      <c r="DC17" s="53">
        <v>12.9</v>
      </c>
      <c r="EA17" s="4"/>
      <c r="EH17" s="53">
        <v>8.6</v>
      </c>
      <c r="FC17" s="4"/>
      <c r="FJ17" s="53">
        <v>12.9</v>
      </c>
      <c r="GE17" s="4"/>
      <c r="GL17" s="53">
        <v>12.9</v>
      </c>
      <c r="HG17" s="4"/>
      <c r="HN17" s="53">
        <v>12.9</v>
      </c>
      <c r="II17" s="4"/>
      <c r="IP17" s="53">
        <v>12.9</v>
      </c>
      <c r="JK17" s="4"/>
      <c r="JR17" s="53">
        <v>12.9</v>
      </c>
      <c r="KM17" s="4"/>
      <c r="KT17" s="53">
        <v>12.9</v>
      </c>
      <c r="LO17" s="4"/>
      <c r="LV17" s="53">
        <v>12.9</v>
      </c>
      <c r="MQ17" s="4"/>
      <c r="MX17" s="53">
        <v>12.9</v>
      </c>
      <c r="NS17" s="4"/>
      <c r="NZ17" s="53">
        <v>12.9</v>
      </c>
      <c r="OU17" s="4"/>
      <c r="PB17" s="53">
        <v>12.9</v>
      </c>
      <c r="PW17" s="4"/>
      <c r="QD17" s="53">
        <v>12.9</v>
      </c>
    </row>
    <row r="18" spans="1:456" ht="17" x14ac:dyDescent="0.2">
      <c r="A18" s="5"/>
      <c r="B18" s="32" t="s">
        <v>67</v>
      </c>
      <c r="C18" s="20"/>
      <c r="R18" s="10"/>
      <c r="S18" s="10"/>
      <c r="T18" s="10"/>
      <c r="AP18" s="4"/>
      <c r="AW18" s="45">
        <v>15.1</v>
      </c>
      <c r="BS18" s="4"/>
      <c r="BZ18" s="45">
        <v>15.1</v>
      </c>
      <c r="CV18" s="4"/>
      <c r="DC18" s="45">
        <v>15.1</v>
      </c>
      <c r="EA18" s="4"/>
      <c r="EH18" s="45">
        <v>8.6</v>
      </c>
      <c r="FC18" s="4"/>
      <c r="FJ18" s="45">
        <v>15.1</v>
      </c>
      <c r="GE18" s="4"/>
      <c r="GL18" s="45">
        <v>15.1</v>
      </c>
      <c r="HG18" s="4"/>
      <c r="HN18" s="45">
        <v>15.1</v>
      </c>
      <c r="II18" s="4"/>
      <c r="IP18" s="45">
        <v>15.1</v>
      </c>
      <c r="JK18" s="4"/>
      <c r="JR18" s="45">
        <v>15.1</v>
      </c>
      <c r="KM18" s="4"/>
      <c r="KT18" s="45">
        <v>15.1</v>
      </c>
      <c r="LO18" s="4"/>
      <c r="LV18" s="45">
        <v>15.1</v>
      </c>
      <c r="MQ18" s="4"/>
      <c r="MX18" s="45">
        <v>15.1</v>
      </c>
      <c r="NS18" s="4"/>
      <c r="NZ18" s="45">
        <v>15.1</v>
      </c>
      <c r="OU18" s="4"/>
      <c r="PB18" s="45">
        <v>15.1</v>
      </c>
      <c r="PW18" s="4"/>
      <c r="QD18" s="45">
        <v>15.1</v>
      </c>
    </row>
    <row r="19" spans="1:456" ht="17" x14ac:dyDescent="0.2">
      <c r="A19" s="5"/>
      <c r="B19" s="36" t="s">
        <v>80</v>
      </c>
      <c r="C19" s="20"/>
      <c r="R19" s="10"/>
      <c r="S19" s="10"/>
      <c r="T19" s="10"/>
      <c r="AP19" s="4"/>
      <c r="AW19" s="46">
        <v>15.1</v>
      </c>
      <c r="BS19" s="4"/>
      <c r="BZ19" s="46">
        <v>15.1</v>
      </c>
      <c r="CV19" s="4"/>
      <c r="DC19" s="46">
        <v>15.1</v>
      </c>
      <c r="EA19" s="4"/>
      <c r="EH19" s="46">
        <v>10.6</v>
      </c>
      <c r="FC19" s="4"/>
      <c r="FJ19" s="46">
        <v>15.1</v>
      </c>
      <c r="GE19" s="4"/>
      <c r="GL19" s="46">
        <v>15.1</v>
      </c>
      <c r="HG19" s="4"/>
      <c r="HN19" s="46">
        <v>15.1</v>
      </c>
      <c r="II19" s="4"/>
      <c r="IP19" s="46">
        <v>15.1</v>
      </c>
      <c r="JK19" s="4"/>
      <c r="JR19" s="46">
        <v>15.1</v>
      </c>
      <c r="KM19" s="4"/>
      <c r="KT19" s="46">
        <v>15.1</v>
      </c>
      <c r="LO19" s="4"/>
      <c r="LV19" s="46">
        <v>15.1</v>
      </c>
      <c r="MQ19" s="4"/>
      <c r="MX19" s="46">
        <v>15.1</v>
      </c>
      <c r="NS19" s="4"/>
      <c r="NZ19" s="46">
        <v>15.1</v>
      </c>
      <c r="OU19" s="4"/>
      <c r="PB19" s="46">
        <v>15.1</v>
      </c>
      <c r="PW19" s="4"/>
      <c r="QD19" s="46">
        <v>15.1</v>
      </c>
    </row>
    <row r="20" spans="1:456" ht="17" x14ac:dyDescent="0.2">
      <c r="A20" s="5"/>
      <c r="B20" s="35" t="s">
        <v>51</v>
      </c>
      <c r="C20" s="20"/>
      <c r="R20" s="10"/>
      <c r="S20" s="10"/>
      <c r="T20" s="10"/>
      <c r="AP20" s="4"/>
      <c r="AW20" s="47">
        <v>43</v>
      </c>
      <c r="BS20" s="4"/>
      <c r="BZ20" s="47">
        <v>43</v>
      </c>
      <c r="CV20" s="4"/>
      <c r="DC20" s="47">
        <v>43</v>
      </c>
      <c r="EA20" s="4"/>
      <c r="EH20" s="47">
        <v>42.6</v>
      </c>
      <c r="FC20" s="4"/>
      <c r="FJ20" s="47">
        <v>43</v>
      </c>
      <c r="GE20" s="4"/>
      <c r="GL20" s="47">
        <v>43</v>
      </c>
      <c r="HG20" s="4"/>
      <c r="HN20" s="47">
        <v>43</v>
      </c>
      <c r="II20" s="4"/>
      <c r="IP20" s="47">
        <v>43</v>
      </c>
      <c r="JK20" s="4"/>
      <c r="JR20" s="47">
        <v>43</v>
      </c>
      <c r="KM20" s="4"/>
      <c r="KT20" s="47">
        <v>43</v>
      </c>
      <c r="LO20" s="4"/>
      <c r="LV20" s="47">
        <v>43</v>
      </c>
      <c r="MQ20" s="4"/>
      <c r="MX20" s="47">
        <v>43</v>
      </c>
      <c r="NS20" s="4"/>
      <c r="NZ20" s="47">
        <v>43</v>
      </c>
      <c r="OU20" s="4"/>
      <c r="PB20" s="47">
        <v>43</v>
      </c>
      <c r="PW20" s="4"/>
      <c r="QD20" s="47">
        <v>43</v>
      </c>
    </row>
    <row r="21" spans="1:456" ht="17" x14ac:dyDescent="0.2">
      <c r="A21" s="5"/>
      <c r="B21" s="25" t="s">
        <v>52</v>
      </c>
      <c r="C21" s="20"/>
      <c r="R21" s="10"/>
      <c r="S21" s="10"/>
      <c r="T21" s="10"/>
      <c r="AP21" s="4"/>
      <c r="AW21" s="48">
        <v>65.7</v>
      </c>
      <c r="BS21" s="4"/>
      <c r="BZ21" s="48">
        <v>65.7</v>
      </c>
      <c r="CV21" s="4"/>
      <c r="DC21" s="48">
        <v>65.7</v>
      </c>
      <c r="EA21" s="4"/>
      <c r="EH21" s="48">
        <v>43.4</v>
      </c>
      <c r="FC21" s="4"/>
      <c r="FJ21" s="48">
        <v>65.7</v>
      </c>
      <c r="GE21" s="4"/>
      <c r="GL21" s="48">
        <v>65.7</v>
      </c>
      <c r="HG21" s="4"/>
      <c r="HN21" s="48">
        <v>65.7</v>
      </c>
      <c r="II21" s="4"/>
      <c r="IP21" s="48">
        <v>65.7</v>
      </c>
      <c r="JK21" s="4"/>
      <c r="JR21" s="48">
        <v>65.7</v>
      </c>
      <c r="KM21" s="4"/>
      <c r="KT21" s="48">
        <v>65.7</v>
      </c>
      <c r="LO21" s="4"/>
      <c r="LV21" s="48">
        <v>65.7</v>
      </c>
      <c r="MQ21" s="4"/>
      <c r="MX21" s="48">
        <v>65.7</v>
      </c>
      <c r="NS21" s="4"/>
      <c r="NZ21" s="48">
        <v>65.7</v>
      </c>
      <c r="OU21" s="4"/>
      <c r="PB21" s="48">
        <v>65.7</v>
      </c>
      <c r="PW21" s="4"/>
      <c r="QD21" s="48">
        <v>65.7</v>
      </c>
    </row>
    <row r="22" spans="1:456" ht="17" x14ac:dyDescent="0.2">
      <c r="A22" s="5"/>
      <c r="B22" s="34" t="s">
        <v>66</v>
      </c>
      <c r="C22" s="20"/>
      <c r="R22" s="10"/>
      <c r="S22" s="10"/>
      <c r="T22" s="10"/>
      <c r="AP22" s="4"/>
      <c r="AW22" s="49">
        <v>68.099999999999994</v>
      </c>
      <c r="BS22" s="4"/>
      <c r="BZ22" s="49">
        <v>68.099999999999994</v>
      </c>
      <c r="CV22" s="4"/>
      <c r="DC22" s="49">
        <v>68.099999999999994</v>
      </c>
      <c r="EA22" s="4"/>
      <c r="EH22" s="49">
        <v>44.6</v>
      </c>
      <c r="FC22" s="4"/>
      <c r="FJ22" s="49">
        <v>68.099999999999994</v>
      </c>
      <c r="GE22" s="4"/>
      <c r="GL22" s="49">
        <v>68.099999999999994</v>
      </c>
      <c r="HG22" s="4"/>
      <c r="HN22" s="49">
        <v>68.099999999999994</v>
      </c>
      <c r="II22" s="4"/>
      <c r="IP22" s="49">
        <v>68.099999999999994</v>
      </c>
      <c r="JK22" s="4"/>
      <c r="JR22" s="49">
        <v>68.099999999999994</v>
      </c>
      <c r="KM22" s="4"/>
      <c r="KT22" s="49">
        <v>68.099999999999994</v>
      </c>
      <c r="LO22" s="4"/>
      <c r="LV22" s="49">
        <v>68.099999999999994</v>
      </c>
      <c r="MQ22" s="4"/>
      <c r="MX22" s="49">
        <v>68.099999999999994</v>
      </c>
      <c r="NS22" s="4"/>
      <c r="NZ22" s="49">
        <v>68.099999999999994</v>
      </c>
      <c r="OU22" s="4"/>
      <c r="PB22" s="49">
        <v>68.099999999999994</v>
      </c>
      <c r="PW22" s="4"/>
      <c r="QD22" s="49">
        <v>68.099999999999994</v>
      </c>
    </row>
    <row r="23" spans="1:456" ht="17" x14ac:dyDescent="0.2">
      <c r="A23" s="5"/>
      <c r="B23" s="26" t="s">
        <v>35</v>
      </c>
      <c r="C23" s="20"/>
      <c r="R23" s="10"/>
      <c r="S23" s="10"/>
      <c r="T23" s="10"/>
      <c r="AP23" s="4"/>
      <c r="AW23" s="50">
        <v>69.900000000000006</v>
      </c>
      <c r="BS23" s="4"/>
      <c r="BZ23" s="50">
        <v>69.900000000000006</v>
      </c>
      <c r="CV23" s="4"/>
      <c r="DC23" s="50">
        <v>69.900000000000006</v>
      </c>
      <c r="EA23" s="4"/>
      <c r="EH23" s="50">
        <v>46</v>
      </c>
      <c r="FC23" s="4"/>
      <c r="FJ23" s="50">
        <v>69.900000000000006</v>
      </c>
      <c r="GE23" s="4"/>
      <c r="GL23" s="50">
        <v>69.900000000000006</v>
      </c>
      <c r="HG23" s="4"/>
      <c r="HN23" s="50">
        <v>69.900000000000006</v>
      </c>
      <c r="II23" s="4"/>
      <c r="IP23" s="50">
        <v>69.900000000000006</v>
      </c>
      <c r="JK23" s="4"/>
      <c r="JR23" s="50">
        <v>69.900000000000006</v>
      </c>
      <c r="KM23" s="4"/>
      <c r="KT23" s="50">
        <v>69.900000000000006</v>
      </c>
      <c r="LO23" s="4"/>
      <c r="LV23" s="50">
        <v>69.900000000000006</v>
      </c>
      <c r="MQ23" s="4"/>
      <c r="MX23" s="50">
        <v>69.900000000000006</v>
      </c>
      <c r="NS23" s="4"/>
      <c r="NZ23" s="50">
        <v>69.900000000000006</v>
      </c>
      <c r="OU23" s="4"/>
      <c r="PB23" s="50">
        <v>69.900000000000006</v>
      </c>
      <c r="PW23" s="4"/>
      <c r="QD23" s="50">
        <v>69.900000000000006</v>
      </c>
    </row>
    <row r="24" spans="1:456" x14ac:dyDescent="0.2">
      <c r="B24" s="30" t="s">
        <v>58</v>
      </c>
      <c r="C24" s="2"/>
    </row>
    <row r="25" spans="1:456" x14ac:dyDescent="0.2">
      <c r="A25" s="5"/>
      <c r="B25" s="5"/>
      <c r="C25" s="20"/>
      <c r="QF25" s="2"/>
      <c r="QG25" s="2"/>
      <c r="QH25" s="2"/>
      <c r="QI25" s="2"/>
      <c r="QJ25" s="2"/>
      <c r="QK25" s="2"/>
      <c r="QL25" s="2"/>
      <c r="QM25" s="2"/>
      <c r="QN25" s="2"/>
    </row>
    <row r="26" spans="1:456" x14ac:dyDescent="0.2">
      <c r="A26" s="5"/>
      <c r="B26" s="5"/>
      <c r="C26" s="20"/>
    </row>
    <row r="27" spans="1:456" x14ac:dyDescent="0.2">
      <c r="A27" s="5"/>
      <c r="B27" s="5"/>
      <c r="C27" s="20"/>
    </row>
    <row r="28" spans="1:456" x14ac:dyDescent="0.2">
      <c r="A28" s="5"/>
      <c r="B28" s="5"/>
      <c r="C28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3">
      <sortCondition descending="1" ref="F1:F14"/>
    </sortState>
  </autoFilter>
  <mergeCells count="117">
    <mergeCell ref="QU2:QX2"/>
    <mergeCell ref="PO2:PR2"/>
    <mergeCell ref="PS2:PV2"/>
    <mergeCell ref="QE2:QH2"/>
    <mergeCell ref="QI2:QL2"/>
    <mergeCell ref="QM2:QP2"/>
    <mergeCell ref="QQ2:QT2"/>
    <mergeCell ref="OI2:OL2"/>
    <mergeCell ref="OM2:OP2"/>
    <mergeCell ref="OQ2:OT2"/>
    <mergeCell ref="PC2:PF2"/>
    <mergeCell ref="PG2:PJ2"/>
    <mergeCell ref="PK2:PN2"/>
    <mergeCell ref="NC2:NF2"/>
    <mergeCell ref="NG2:NJ2"/>
    <mergeCell ref="NK2:NN2"/>
    <mergeCell ref="NO2:NR2"/>
    <mergeCell ref="OA2:OD2"/>
    <mergeCell ref="OE2:OH2"/>
    <mergeCell ref="LW2:LZ2"/>
    <mergeCell ref="MA2:MD2"/>
    <mergeCell ref="ME2:MH2"/>
    <mergeCell ref="MI2:ML2"/>
    <mergeCell ref="MM2:MP2"/>
    <mergeCell ref="MY2:NB2"/>
    <mergeCell ref="KI2:KL2"/>
    <mergeCell ref="KU2:KX2"/>
    <mergeCell ref="KY2:LB2"/>
    <mergeCell ref="LC2:LF2"/>
    <mergeCell ref="LG2:LJ2"/>
    <mergeCell ref="LK2:LN2"/>
    <mergeCell ref="JC2:JF2"/>
    <mergeCell ref="JG2:JJ2"/>
    <mergeCell ref="JS2:JV2"/>
    <mergeCell ref="JW2:JZ2"/>
    <mergeCell ref="KA2:KD2"/>
    <mergeCell ref="KE2:KH2"/>
    <mergeCell ref="EU2:EX2"/>
    <mergeCell ref="EY2:FB2"/>
    <mergeCell ref="HW2:HZ2"/>
    <mergeCell ref="IA2:ID2"/>
    <mergeCell ref="IE2:IH2"/>
    <mergeCell ref="IQ2:IT2"/>
    <mergeCell ref="IU2:IX2"/>
    <mergeCell ref="IY2:JB2"/>
    <mergeCell ref="GQ2:GT2"/>
    <mergeCell ref="GU2:GX2"/>
    <mergeCell ref="GY2:HB2"/>
    <mergeCell ref="HC2:HF2"/>
    <mergeCell ref="HO2:HR2"/>
    <mergeCell ref="HS2:HV2"/>
    <mergeCell ref="QE1:RG1"/>
    <mergeCell ref="U2:X2"/>
    <mergeCell ref="Y2:AB2"/>
    <mergeCell ref="AC2:AF2"/>
    <mergeCell ref="AG2:AJ2"/>
    <mergeCell ref="AK2:AN2"/>
    <mergeCell ref="AX2:BA2"/>
    <mergeCell ref="BB2:BE2"/>
    <mergeCell ref="BF2:BI2"/>
    <mergeCell ref="BJ2:BM2"/>
    <mergeCell ref="JS1:KT1"/>
    <mergeCell ref="KU1:LV1"/>
    <mergeCell ref="LW1:MX1"/>
    <mergeCell ref="MY1:NZ1"/>
    <mergeCell ref="OA1:PB1"/>
    <mergeCell ref="PC1:QD1"/>
    <mergeCell ref="DG1:EH1"/>
    <mergeCell ref="EI1:FJ1"/>
    <mergeCell ref="FK2:FN2"/>
    <mergeCell ref="FO2:FR2"/>
    <mergeCell ref="FS2:FV2"/>
    <mergeCell ref="FW2:FZ2"/>
    <mergeCell ref="GA2:GD2"/>
    <mergeCell ref="GM2:GP2"/>
    <mergeCell ref="FK1:GL1"/>
    <mergeCell ref="GM1:HN1"/>
    <mergeCell ref="HO1:IP1"/>
    <mergeCell ref="IQ1:JR1"/>
    <mergeCell ref="S1:S3"/>
    <mergeCell ref="T1:T3"/>
    <mergeCell ref="U1:AW1"/>
    <mergeCell ref="AX1:BZ1"/>
    <mergeCell ref="CA1:DC1"/>
    <mergeCell ref="DD1:DF1"/>
    <mergeCell ref="BN2:BQ2"/>
    <mergeCell ref="CA2:CD2"/>
    <mergeCell ref="CE2:CH2"/>
    <mergeCell ref="CI2:CL2"/>
    <mergeCell ref="CM2:CP2"/>
    <mergeCell ref="CQ2:CT2"/>
    <mergeCell ref="DG2:DJ2"/>
    <mergeCell ref="DK2:DN2"/>
    <mergeCell ref="DO2:DR2"/>
    <mergeCell ref="DS2:DV2"/>
    <mergeCell ref="DW2:DZ2"/>
    <mergeCell ref="EI2:EL2"/>
    <mergeCell ref="EM2:EP2"/>
    <mergeCell ref="EQ2:ET2"/>
    <mergeCell ref="P1:P3"/>
    <mergeCell ref="Q1:Q3"/>
    <mergeCell ref="R1:R3"/>
    <mergeCell ref="G1:G3"/>
    <mergeCell ref="H1:H3"/>
    <mergeCell ref="I1:I3"/>
    <mergeCell ref="J1:J3"/>
    <mergeCell ref="K1:K3"/>
    <mergeCell ref="L1:L3"/>
    <mergeCell ref="A1:A3"/>
    <mergeCell ref="B1:B3"/>
    <mergeCell ref="C1:C3"/>
    <mergeCell ref="D1:D3"/>
    <mergeCell ref="E1:E3"/>
    <mergeCell ref="F1:F3"/>
    <mergeCell ref="M1:M3"/>
    <mergeCell ref="N1:N3"/>
    <mergeCell ref="O1:O3"/>
  </mergeCells>
  <conditionalFormatting sqref="U4:AW13">
    <cfRule type="expression" dxfId="404" priority="29" stopIfTrue="1">
      <formula>IF($AO4&lt;&gt;"",1,0)</formula>
    </cfRule>
  </conditionalFormatting>
  <conditionalFormatting sqref="AX4:BZ13">
    <cfRule type="expression" dxfId="403" priority="28" stopIfTrue="1">
      <formula>IF($BR4&lt;&gt;"",1,0)</formula>
    </cfRule>
  </conditionalFormatting>
  <conditionalFormatting sqref="M1:M3 O1:O3 K1:K1048576 Q1:Q1048576 M4:O1048576">
    <cfRule type="expression" dxfId="402" priority="25">
      <formula>IF(K1=$CA$1,1,0)</formula>
    </cfRule>
    <cfRule type="expression" dxfId="401" priority="26">
      <formula>IF(K1=$AX$1,1,0)</formula>
    </cfRule>
    <cfRule type="expression" dxfId="400" priority="27">
      <formula>IF(K1=$U$1,1,0)</formula>
    </cfRule>
  </conditionalFormatting>
  <conditionalFormatting sqref="CA4:DC13">
    <cfRule type="expression" dxfId="399" priority="24" stopIfTrue="1">
      <formula>IF($CU4&lt;&gt;"",1,0)</formula>
    </cfRule>
  </conditionalFormatting>
  <conditionalFormatting sqref="A4:A1048576">
    <cfRule type="expression" dxfId="376" priority="23" stopIfTrue="1">
      <formula>IF(A4&gt;8,1,0)</formula>
    </cfRule>
    <cfRule type="expression" dxfId="377" priority="1">
      <formula>AND(G4="P",F4="")</formula>
    </cfRule>
  </conditionalFormatting>
  <conditionalFormatting sqref="H1:H1048576">
    <cfRule type="containsText" dxfId="398" priority="18" operator="containsText" text="No DD">
      <formula>NOT(ISERROR(SEARCH("No DD",H1)))</formula>
    </cfRule>
    <cfRule type="containsText" dxfId="397" priority="19" operator="containsText" text="Merit">
      <formula>NOT(ISERROR(SEARCH("Merit",H1)))</formula>
    </cfRule>
    <cfRule type="containsText" dxfId="396" priority="20" operator="containsText" text="Excellence">
      <formula>NOT(ISERROR(SEARCH("Excellence",H1)))</formula>
    </cfRule>
    <cfRule type="containsText" dxfId="395" priority="21" operator="containsText" text="Worlds Team">
      <formula>NOT(ISERROR(SEARCH("Worlds Team",H1)))</formula>
    </cfRule>
    <cfRule type="containsText" dxfId="394" priority="22" operator="containsText" text="National Team">
      <formula>NOT(ISERROR(SEARCH("National Team",H1)))</formula>
    </cfRule>
  </conditionalFormatting>
  <conditionalFormatting sqref="AT24:AT1048576 BW24:BW1048576 EE24:EE1048576 BW1:BW22 CZ1:CZ1048576 EE1:EE22 FG1:FG1048576 GI1:GI1048576 HK1:HK1048576 IM1:IM1048576 JO1:JO1048576 KQ1:KQ1048576 LS1:LS1048576 MU1:MU1048576 NW1:NW1048576 OY1:OY1048576 QA1:QA1048576 AT1:AT22">
    <cfRule type="cellIs" dxfId="393" priority="15" operator="between">
      <formula>AW$23</formula>
      <formula>1000</formula>
    </cfRule>
    <cfRule type="cellIs" dxfId="392" priority="16" operator="between">
      <formula>AW$22</formula>
      <formula>AW$23</formula>
    </cfRule>
    <cfRule type="cellIs" dxfId="391" priority="17" operator="between">
      <formula>AW$21</formula>
      <formula>AW$22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390" priority="87375" operator="between">
      <formula>AW$16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89" priority="87420" operator="between">
      <formula>AW$20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88" priority="87465" operator="between">
      <formula>AW$16</formula>
      <formula>AW$17</formula>
    </cfRule>
    <cfRule type="cellIs" dxfId="387" priority="87466" operator="between">
      <formula>AW$17</formula>
      <formula>AW$18</formula>
    </cfRule>
    <cfRule type="cellIs" dxfId="386" priority="87467" operator="between">
      <formula>AW$18</formula>
      <formula>AW$19</formula>
    </cfRule>
    <cfRule type="cellIs" dxfId="385" priority="87468" operator="between">
      <formula>AW$19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84" priority="87645" operator="between">
      <formula>AW$20</formula>
      <formula>AW$21</formula>
    </cfRule>
    <cfRule type="cellIs" dxfId="383" priority="87646" operator="between">
      <formula>AW$21</formula>
      <formula>AW$22</formula>
    </cfRule>
    <cfRule type="cellIs" dxfId="382" priority="87647" operator="between">
      <formula>AW$22</formula>
      <formula>AW$23</formula>
    </cfRule>
    <cfRule type="cellIs" dxfId="381" priority="87648" operator="between">
      <formula>AW$23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80" priority="87825" operator="between">
      <formula>AW$19</formula>
      <formula>1000</formula>
    </cfRule>
    <cfRule type="cellIs" dxfId="379" priority="87826" operator="between">
      <formula>AW$18</formula>
      <formula>AW$19</formula>
    </cfRule>
    <cfRule type="cellIs" dxfId="378" priority="87827" operator="between">
      <formula>AW$17</formula>
      <formula>AW$18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G42"/>
  <sheetViews>
    <sheetView zoomScaleNormal="100"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40.33203125" bestFit="1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7" t="s">
        <v>11</v>
      </c>
      <c r="H1" s="66" t="s">
        <v>12</v>
      </c>
      <c r="I1" s="67" t="s">
        <v>89</v>
      </c>
      <c r="J1" s="72" t="s">
        <v>122</v>
      </c>
      <c r="K1" s="68" t="s">
        <v>33</v>
      </c>
      <c r="L1" s="72" t="s">
        <v>123</v>
      </c>
      <c r="M1" s="68" t="s">
        <v>33</v>
      </c>
      <c r="N1" s="72" t="s">
        <v>124</v>
      </c>
      <c r="O1" s="68" t="s">
        <v>33</v>
      </c>
      <c r="P1" s="68" t="s">
        <v>13</v>
      </c>
      <c r="Q1" s="68" t="s">
        <v>33</v>
      </c>
      <c r="R1" s="71" t="s">
        <v>14</v>
      </c>
      <c r="S1" s="68" t="s">
        <v>34</v>
      </c>
      <c r="T1" s="68" t="s">
        <v>33</v>
      </c>
      <c r="U1" s="69" t="s">
        <v>183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4" t="s">
        <v>220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237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5" t="s">
        <v>64</v>
      </c>
      <c r="DE1" s="75"/>
      <c r="DF1" s="75"/>
      <c r="DG1" s="69" t="s">
        <v>175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4" t="s">
        <v>205</v>
      </c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69" t="s">
        <v>204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4" t="s">
        <v>213</v>
      </c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69" t="s">
        <v>219</v>
      </c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4" t="s">
        <v>232</v>
      </c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69" t="s">
        <v>250</v>
      </c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4" t="s">
        <v>259</v>
      </c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72"/>
      <c r="O2" s="68"/>
      <c r="P2" s="68"/>
      <c r="Q2" s="68"/>
      <c r="R2" s="71"/>
      <c r="S2" s="68"/>
      <c r="T2" s="68"/>
      <c r="U2" s="70" t="s">
        <v>114</v>
      </c>
      <c r="V2" s="70"/>
      <c r="W2" s="70"/>
      <c r="X2" s="70"/>
      <c r="Y2" s="70" t="s">
        <v>115</v>
      </c>
      <c r="Z2" s="70"/>
      <c r="AA2" s="70"/>
      <c r="AB2" s="70"/>
      <c r="AC2" s="70" t="s">
        <v>116</v>
      </c>
      <c r="AD2" s="70"/>
      <c r="AE2" s="70"/>
      <c r="AF2" s="70"/>
      <c r="AG2" s="70" t="s">
        <v>117</v>
      </c>
      <c r="AH2" s="70"/>
      <c r="AI2" s="70"/>
      <c r="AJ2" s="70"/>
      <c r="AK2" s="77" t="s">
        <v>118</v>
      </c>
      <c r="AL2" s="77"/>
      <c r="AM2" s="77"/>
      <c r="AN2" s="77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73" t="s">
        <v>114</v>
      </c>
      <c r="AY2" s="73"/>
      <c r="AZ2" s="73"/>
      <c r="BA2" s="73"/>
      <c r="BB2" s="73" t="s">
        <v>115</v>
      </c>
      <c r="BC2" s="73"/>
      <c r="BD2" s="73"/>
      <c r="BE2" s="73"/>
      <c r="BF2" s="73" t="s">
        <v>116</v>
      </c>
      <c r="BG2" s="73"/>
      <c r="BH2" s="73"/>
      <c r="BI2" s="73"/>
      <c r="BJ2" s="73" t="s">
        <v>117</v>
      </c>
      <c r="BK2" s="73"/>
      <c r="BL2" s="73"/>
      <c r="BM2" s="73"/>
      <c r="BN2" s="76" t="s">
        <v>118</v>
      </c>
      <c r="BO2" s="76"/>
      <c r="BP2" s="76"/>
      <c r="BQ2" s="76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70" t="s">
        <v>114</v>
      </c>
      <c r="CB2" s="70"/>
      <c r="CC2" s="70"/>
      <c r="CD2" s="70"/>
      <c r="CE2" s="70" t="s">
        <v>115</v>
      </c>
      <c r="CF2" s="70"/>
      <c r="CG2" s="70"/>
      <c r="CH2" s="70"/>
      <c r="CI2" s="70" t="s">
        <v>116</v>
      </c>
      <c r="CJ2" s="70"/>
      <c r="CK2" s="70"/>
      <c r="CL2" s="70"/>
      <c r="CM2" s="70" t="s">
        <v>117</v>
      </c>
      <c r="CN2" s="70"/>
      <c r="CO2" s="70"/>
      <c r="CP2" s="70"/>
      <c r="CQ2" s="77" t="s">
        <v>118</v>
      </c>
      <c r="CR2" s="77"/>
      <c r="CS2" s="77"/>
      <c r="CT2" s="77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70" t="s">
        <v>114</v>
      </c>
      <c r="DH2" s="70"/>
      <c r="DI2" s="70"/>
      <c r="DJ2" s="70"/>
      <c r="DK2" s="70" t="s">
        <v>115</v>
      </c>
      <c r="DL2" s="70"/>
      <c r="DM2" s="70"/>
      <c r="DN2" s="70"/>
      <c r="DO2" s="70" t="s">
        <v>116</v>
      </c>
      <c r="DP2" s="70"/>
      <c r="DQ2" s="70"/>
      <c r="DR2" s="70"/>
      <c r="DS2" s="70" t="s">
        <v>117</v>
      </c>
      <c r="DT2" s="70"/>
      <c r="DU2" s="70"/>
      <c r="DV2" s="70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73" t="s">
        <v>114</v>
      </c>
      <c r="EJ2" s="73"/>
      <c r="EK2" s="73"/>
      <c r="EL2" s="73"/>
      <c r="EM2" s="73" t="s">
        <v>115</v>
      </c>
      <c r="EN2" s="73"/>
      <c r="EO2" s="73"/>
      <c r="EP2" s="73"/>
      <c r="EQ2" s="73" t="s">
        <v>116</v>
      </c>
      <c r="ER2" s="73"/>
      <c r="ES2" s="73"/>
      <c r="ET2" s="73"/>
      <c r="EU2" s="73" t="s">
        <v>117</v>
      </c>
      <c r="EV2" s="73"/>
      <c r="EW2" s="73"/>
      <c r="EX2" s="73"/>
      <c r="EY2" s="76" t="s">
        <v>118</v>
      </c>
      <c r="EZ2" s="76"/>
      <c r="FA2" s="76"/>
      <c r="FB2" s="76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70" t="s">
        <v>114</v>
      </c>
      <c r="FL2" s="70"/>
      <c r="FM2" s="70"/>
      <c r="FN2" s="70"/>
      <c r="FO2" s="70" t="s">
        <v>115</v>
      </c>
      <c r="FP2" s="70"/>
      <c r="FQ2" s="70"/>
      <c r="FR2" s="70"/>
      <c r="FS2" s="70" t="s">
        <v>116</v>
      </c>
      <c r="FT2" s="70"/>
      <c r="FU2" s="70"/>
      <c r="FV2" s="70"/>
      <c r="FW2" s="70" t="s">
        <v>117</v>
      </c>
      <c r="FX2" s="70"/>
      <c r="FY2" s="70"/>
      <c r="FZ2" s="70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73" t="s">
        <v>114</v>
      </c>
      <c r="GN2" s="73"/>
      <c r="GO2" s="73"/>
      <c r="GP2" s="73"/>
      <c r="GQ2" s="73" t="s">
        <v>115</v>
      </c>
      <c r="GR2" s="73"/>
      <c r="GS2" s="73"/>
      <c r="GT2" s="73"/>
      <c r="GU2" s="73" t="s">
        <v>116</v>
      </c>
      <c r="GV2" s="73"/>
      <c r="GW2" s="73"/>
      <c r="GX2" s="73"/>
      <c r="GY2" s="73" t="s">
        <v>117</v>
      </c>
      <c r="GZ2" s="73"/>
      <c r="HA2" s="73"/>
      <c r="HB2" s="73"/>
      <c r="HC2" s="76" t="s">
        <v>118</v>
      </c>
      <c r="HD2" s="76"/>
      <c r="HE2" s="76"/>
      <c r="HF2" s="76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70" t="s">
        <v>114</v>
      </c>
      <c r="HP2" s="70"/>
      <c r="HQ2" s="70"/>
      <c r="HR2" s="70"/>
      <c r="HS2" s="70" t="s">
        <v>115</v>
      </c>
      <c r="HT2" s="70"/>
      <c r="HU2" s="70"/>
      <c r="HV2" s="70"/>
      <c r="HW2" s="70" t="s">
        <v>116</v>
      </c>
      <c r="HX2" s="70"/>
      <c r="HY2" s="70"/>
      <c r="HZ2" s="70"/>
      <c r="IA2" s="70" t="s">
        <v>117</v>
      </c>
      <c r="IB2" s="70"/>
      <c r="IC2" s="70"/>
      <c r="ID2" s="70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73" t="s">
        <v>114</v>
      </c>
      <c r="IR2" s="73"/>
      <c r="IS2" s="73"/>
      <c r="IT2" s="73"/>
      <c r="IU2" s="73" t="s">
        <v>115</v>
      </c>
      <c r="IV2" s="73"/>
      <c r="IW2" s="73"/>
      <c r="IX2" s="73"/>
      <c r="IY2" s="73" t="s">
        <v>116</v>
      </c>
      <c r="IZ2" s="73"/>
      <c r="JA2" s="73"/>
      <c r="JB2" s="73"/>
      <c r="JC2" s="73" t="s">
        <v>117</v>
      </c>
      <c r="JD2" s="73"/>
      <c r="JE2" s="73"/>
      <c r="JF2" s="73"/>
      <c r="JG2" s="76" t="s">
        <v>118</v>
      </c>
      <c r="JH2" s="76"/>
      <c r="JI2" s="76"/>
      <c r="JJ2" s="76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70" t="s">
        <v>114</v>
      </c>
      <c r="JT2" s="70"/>
      <c r="JU2" s="70"/>
      <c r="JV2" s="70"/>
      <c r="JW2" s="70" t="s">
        <v>115</v>
      </c>
      <c r="JX2" s="70"/>
      <c r="JY2" s="70"/>
      <c r="JZ2" s="70"/>
      <c r="KA2" s="70" t="s">
        <v>116</v>
      </c>
      <c r="KB2" s="70"/>
      <c r="KC2" s="70"/>
      <c r="KD2" s="70"/>
      <c r="KE2" s="70" t="s">
        <v>117</v>
      </c>
      <c r="KF2" s="70"/>
      <c r="KG2" s="70"/>
      <c r="KH2" s="70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73" t="s">
        <v>114</v>
      </c>
      <c r="KV2" s="73"/>
      <c r="KW2" s="73"/>
      <c r="KX2" s="73"/>
      <c r="KY2" s="73" t="s">
        <v>115</v>
      </c>
      <c r="KZ2" s="73"/>
      <c r="LA2" s="73"/>
      <c r="LB2" s="73"/>
      <c r="LC2" s="73" t="s">
        <v>116</v>
      </c>
      <c r="LD2" s="73"/>
      <c r="LE2" s="73"/>
      <c r="LF2" s="73"/>
      <c r="LG2" s="73" t="s">
        <v>117</v>
      </c>
      <c r="LH2" s="73"/>
      <c r="LI2" s="73"/>
      <c r="LJ2" s="73"/>
      <c r="LK2" s="76" t="s">
        <v>118</v>
      </c>
      <c r="LL2" s="76"/>
      <c r="LM2" s="76"/>
      <c r="LN2" s="76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70" t="s">
        <v>114</v>
      </c>
      <c r="LX2" s="70"/>
      <c r="LY2" s="70"/>
      <c r="LZ2" s="70"/>
      <c r="MA2" s="70" t="s">
        <v>115</v>
      </c>
      <c r="MB2" s="70"/>
      <c r="MC2" s="70"/>
      <c r="MD2" s="70"/>
      <c r="ME2" s="70" t="s">
        <v>116</v>
      </c>
      <c r="MF2" s="70"/>
      <c r="MG2" s="70"/>
      <c r="MH2" s="70"/>
      <c r="MI2" s="70" t="s">
        <v>117</v>
      </c>
      <c r="MJ2" s="70"/>
      <c r="MK2" s="70"/>
      <c r="ML2" s="70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73" t="s">
        <v>114</v>
      </c>
      <c r="MZ2" s="73"/>
      <c r="NA2" s="73"/>
      <c r="NB2" s="73"/>
      <c r="NC2" s="73" t="s">
        <v>115</v>
      </c>
      <c r="ND2" s="73"/>
      <c r="NE2" s="73"/>
      <c r="NF2" s="73"/>
      <c r="NG2" s="73" t="s">
        <v>116</v>
      </c>
      <c r="NH2" s="73"/>
      <c r="NI2" s="73"/>
      <c r="NJ2" s="73"/>
      <c r="NK2" s="73" t="s">
        <v>117</v>
      </c>
      <c r="NL2" s="73"/>
      <c r="NM2" s="73"/>
      <c r="NN2" s="73"/>
      <c r="NO2" s="76" t="s">
        <v>118</v>
      </c>
      <c r="NP2" s="76"/>
      <c r="NQ2" s="76"/>
      <c r="NR2" s="76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70" t="s">
        <v>114</v>
      </c>
      <c r="OB2" s="70"/>
      <c r="OC2" s="70"/>
      <c r="OD2" s="70"/>
      <c r="OE2" s="70" t="s">
        <v>115</v>
      </c>
      <c r="OF2" s="70"/>
      <c r="OG2" s="70"/>
      <c r="OH2" s="70"/>
      <c r="OI2" s="70" t="s">
        <v>116</v>
      </c>
      <c r="OJ2" s="70"/>
      <c r="OK2" s="70"/>
      <c r="OL2" s="70"/>
      <c r="OM2" s="70" t="s">
        <v>117</v>
      </c>
      <c r="ON2" s="70"/>
      <c r="OO2" s="70"/>
      <c r="OP2" s="70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73" t="s">
        <v>114</v>
      </c>
      <c r="PD2" s="73"/>
      <c r="PE2" s="73"/>
      <c r="PF2" s="73"/>
      <c r="PG2" s="73" t="s">
        <v>115</v>
      </c>
      <c r="PH2" s="73"/>
      <c r="PI2" s="73"/>
      <c r="PJ2" s="73"/>
      <c r="PK2" s="73" t="s">
        <v>116</v>
      </c>
      <c r="PL2" s="73"/>
      <c r="PM2" s="73"/>
      <c r="PN2" s="73"/>
      <c r="PO2" s="73" t="s">
        <v>117</v>
      </c>
      <c r="PP2" s="73"/>
      <c r="PQ2" s="73"/>
      <c r="PR2" s="73"/>
      <c r="PS2" s="76" t="s">
        <v>118</v>
      </c>
      <c r="PT2" s="76"/>
      <c r="PU2" s="76"/>
      <c r="PV2" s="76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70" t="s">
        <v>114</v>
      </c>
      <c r="QF2" s="70"/>
      <c r="QG2" s="70"/>
      <c r="QH2" s="70"/>
      <c r="QI2" s="70" t="s">
        <v>115</v>
      </c>
      <c r="QJ2" s="70"/>
      <c r="QK2" s="70"/>
      <c r="QL2" s="70"/>
      <c r="QM2" s="70" t="s">
        <v>116</v>
      </c>
      <c r="QN2" s="70"/>
      <c r="QO2" s="70"/>
      <c r="QP2" s="70"/>
      <c r="QQ2" s="70" t="s">
        <v>117</v>
      </c>
      <c r="QR2" s="70"/>
      <c r="QS2" s="70"/>
      <c r="QT2" s="70"/>
      <c r="QU2" s="77" t="s">
        <v>118</v>
      </c>
      <c r="QV2" s="77"/>
      <c r="QW2" s="77"/>
      <c r="QX2" s="77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72"/>
      <c r="O3" s="68"/>
      <c r="P3" s="68"/>
      <c r="Q3" s="68"/>
      <c r="R3" s="71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DD"),SUMPRODUCT((H$4:H$28&lt;&gt;"")*(H$4:H$28&lt;&gt;"No DD")*(E$4:E$28&gt;E4))+1,IF(H4="No DD",SUMPRODUCT((H$4:H$28="No DD")*(E$4:E$28&gt;E4))+1+SUMPRODUCT((H$4:H$28&lt;&gt;"")*(H$4:H$28&lt;&gt;"No DD")),""))</f>
        <v>1</v>
      </c>
      <c r="B4" s="5" t="s">
        <v>90</v>
      </c>
      <c r="C4" s="4" t="s">
        <v>6</v>
      </c>
      <c r="D4" s="4">
        <v>2003</v>
      </c>
      <c r="E4" s="9">
        <f>SUM(J4:R4)+SUM(J4:N4)*0.0000001+SUM(J4)*0.0000000000001</f>
        <v>208.00001486000605</v>
      </c>
      <c r="F4" s="3" t="str">
        <f t="shared" ref="F4:F27" si="0">IF(OR(AND(AP4&gt;=AW$30,AQ4&gt;=AW$34,AP4&lt;&gt;"",AO4=""),AND(AU4&gt;=AW$30,AV4&gt;=AW$34,AU4&lt;&gt;"",AO4=""),AND(BS4&gt;=BZ$30,BT4&gt;=BZ$34,BS4&lt;&gt;"",BR4=""),AND(BX4&gt;=BZ$30,BY4&gt;=BZ$34,BX4&lt;&gt;"",BR4=""),AND(CV4&gt;=DC$30,CW4&gt;=DC$34,CV4&lt;&gt;"",CU4=""),AND(DA4&gt;=DC$30,DB4&gt;=DC$34,DA4&lt;&gt;""),AND(EA4&gt;=EH$30,EB4&gt;=EH$34,EA4&lt;&gt;""),AND(EF4&gt;=EH$30,EG4&gt;=EH$34,EF4&lt;&gt;""),AND(FC4&gt;=FJ$30,FD4&gt;=FJ$34,FC4&lt;&gt;""),AND(FH4&gt;=FJ$30,FI4&gt;=FJ$34,FH4&lt;&gt;""),AND(GE4&gt;=GL$30,GF4&gt;=GL$34,GE4&lt;&gt;""),AND(GJ4&gt;=GL$30,GK4&gt;=GL$34,GJ4&lt;&gt;""),AND(HG4&gt;=HN$30,HH4&gt;=HN$34,HG4&lt;&gt;""),AND(HL4&gt;=HN$30,HM4&gt;=HN$34,HL4&lt;&gt;""),AND(II4&gt;=IP$30,IJ4&gt;=IP$34,II4&lt;&gt;""),AND(IN4&gt;=IP$30,IO4&gt;=IP$34,IN4&lt;&gt;""),AND(JK4&gt;=JR$30,JL4&gt;=JR$34,JK4&lt;&gt;""),AND(JP4&gt;=JR$30,JQ4&gt;=JR$34,JP4&lt;&gt;""),AND(KM4&gt;=KT$30,KN4&gt;=KT$34,KM4&lt;&gt;""),AND(KR4&gt;=KT$30,KS4&gt;=KT$34,KR4&lt;&gt;""),AND(LO4&gt;=LV$30,LP4&gt;=LV$34,LO4&lt;&gt;""),AND(LT4&gt;=LV$30,LU4&gt;=LV$34,LT4&lt;&gt;""),AND(MQ4&gt;=MX$30,MR4&gt;=MX$34,MQ4&lt;&gt;""),AND(MV4&gt;=MX$30,MW4&gt;=MX$34,MV4&lt;&gt;""),AND(NS4&gt;=NZ$30,NT4&gt;=NZ$34,NS4&lt;&gt;""),AND(NX4&gt;=NZ$30,NY4&gt;=NZ$34,NX4&lt;&gt;""),AND(OU4&gt;=PB$30,OV4&gt;=PB$34,OU4&lt;&gt;""),AND(OZ4&gt;=PB$30,PA4&gt;=PB$34,OZ4&lt;&gt;""),AND(PW4&gt;=QD$30,PX4&gt;=QD$34,PW4&lt;&gt;""),AND(QB4&gt;=QD$30,QC4&gt;=QD$34,QB4&lt;&gt;"")),"P","")</f>
        <v>P</v>
      </c>
      <c r="G4" s="3" t="str">
        <f t="shared" ref="G4:G27" si="1">IF(OR(AND(AQ4&gt;=AW$34,AQ4&lt;&gt;"",AO4=""),AND(AV4&gt;=AW$34,AV4&lt;&gt;"",AO4=""),AND(BT4&gt;=BZ$34,BT4&lt;&gt;"",BR4=""),AND(BY4&gt;=BZ$34,BY4&lt;&gt;"",BR4=""),AND(CW4&gt;=DC$34,CW4&lt;&gt;"",CU4=""),AND(DB4&gt;=DC$34,DB4&lt;&gt;"",CU4=""),AND(EB4&gt;=EH$34,EB4&lt;&gt;""),AND(EG4&gt;=EH$34,EG4&lt;&gt;""),AND(FD4&gt;=FJ$34,FD4&lt;&gt;""),AND(FI4&gt;=FJ$34,FI4&lt;&gt;""),AND(GF4&gt;=GL$34,GF4&lt;&gt;""),AND(GK4&gt;=GL$34,GK4&lt;&gt;""),AND(HH4&gt;=HN$34,HH4&lt;&gt;""),AND(HM4&gt;=HN$34,HM4&lt;&gt;""),AND(IJ4&gt;=IP$34,IJ4&lt;&gt;""),AND(IO4&gt;=IP$34,IO4&lt;&gt;""),AND(JL4&gt;=JR$34,JL4&lt;&gt;""),AND(JQ4&gt;=JR$34,JQ4&lt;&gt;""),AND(KN4&gt;=KT$34,KN4&lt;&gt;""),AND(KS4&gt;=KT$34,KS4&lt;&gt;""),AND(LP4&gt;=LV$34,LP4&lt;&gt;""),AND(LU4&gt;=LV$34,LU4&lt;&gt;""),AND(MR4&gt;=MX$34,MR4&lt;&gt;""),AND(MW4&gt;=MX$34,MW4&lt;&gt;""),AND(NT4&gt;=NZ$34,NT4&lt;&gt;""),AND(NY4&gt;=NZ$34,NY4&lt;&gt;""),AND(OV4&gt;=PB$34,OV4&lt;&gt;""),AND(PA4&gt;=PB$34,PA4&lt;&gt;""),AND(PX4&gt;=QD$34,PX4&lt;&gt;""),AND(QC4&gt;=QD$34,QC4&lt;&gt;"")),"P","")</f>
        <v>P</v>
      </c>
      <c r="H4" s="37" t="str">
        <f t="shared" ref="H4:H27" si="2">IF(AND(G4="P",F4=""),"No DD",IF(OR(AND(AS4&gt;=AW$33,AT4&gt;=AW$37,AS4&lt;&gt;"",AO4=""),AND(BV4&gt;=BZ$33,BW4&gt;=BZ$37,BV4&lt;&gt;"",BR4=""),AND(CY4&gt;=DC$33,CZ4&gt;=DC$37,CY4&lt;&gt;"",CU4=""),AND(ED4&gt;=EH$33,EE4&gt;=EH$37,ED4&lt;&gt;""),AND(FF4&gt;=FJ$33,FG4&gt;=FJ$37,FF4&lt;&gt;""),AND(GH4&gt;=GL$33,GI4&gt;=GL$37,GH4&lt;&gt;""),AND(HJ4&gt;=HN$33,HK4&gt;=HN$37,HJ4&lt;&gt;""),AND(IL4&gt;=IP$33,IM4&gt;=IP$37,IL4&lt;&gt;""),AND(JN4&gt;=JR$33,JO4&gt;=JR$37,JN4&lt;&gt;""),AND(KP4&gt;=KT$33,KQ4&gt;=KT$37,KP4&lt;&gt;""),AND(LR4&gt;=LV$33,LS4&gt;=LV$37,LR4&lt;&gt;""),AND(MT4&gt;=MX$33,MU4&gt;=MX$37,MT4&lt;&gt;""),AND(NV4&gt;=NZ$33,NW4&gt;=NZ$37,NV4&lt;&gt;""),AND(OX4&gt;=PB$33,OY4&gt;=PB$37,OX4&lt;&gt;""),AND(PZ4&gt;=QD$33,QA4&gt;=QD$37,PZ4&lt;&gt;"")),"Merit",IF(OR(AND(AS4&gt;=AW$32,AT4&gt;=AW$36,AS4&lt;&gt;"",AO4=""),AND(BV4&gt;=BZ$32,BW4&gt;=BZ$36,BV4&lt;&gt;"",BR4=""),AND(CY4&gt;=DC$32,CZ4&gt;=DC$36,CY4&lt;&gt;"",CU4=""),AND(ED4&gt;=EH$32,EE4&gt;=EH$36,ED4&lt;&gt;""),AND(FF4&gt;=FJ$32,FG4&gt;=FJ$36,FF4&lt;&gt;""),AND(GH4&gt;=GL$32,GI4&gt;=GL$36,GH4&lt;&gt;""),AND(HJ4&gt;=HN$32,HK4&gt;=HN$36,HJ4&lt;&gt;""),AND(IL4&gt;=IP$32,IM4&gt;=IP$36,IL4&lt;&gt;""),AND(JN4&gt;=JR$32,JO4&gt;=JR$36,JN4&lt;&gt;""),AND(KP4&gt;=KT$32,KQ4&gt;=KT$36,KP4&lt;&gt;""),AND(LR4&gt;=LV$32,LS4&gt;=LV$36,LR4&lt;&gt;""),AND(MT4&gt;=MX$32,MU4&gt;=MX$36,MT4&lt;&gt;""),AND(NV4&gt;=NZ$32,NW4&gt;=NZ$36,NV4&lt;&gt;""),AND(OX4&gt;=PB$32,OY4&gt;=PB$36,OX4&lt;&gt;""),AND(PZ4&gt;=QD$32,QA4&gt;=QD$36,PZ4&lt;&gt;"")),"Excellence",IF(I4="P","Worlds Team",IF(F4="P","National Team","")))))</f>
        <v>Merit</v>
      </c>
      <c r="I4" s="3" t="str">
        <f t="shared" ref="I4:I27" si="3">IF(OR(AND(AS4&gt;=AW$31,AT4&gt;=AW$35,AS4&lt;&gt;"",AO4=""),AND(BV4&gt;=BZ$31,BW4&gt;=BZ$35,BV4&lt;&gt;"",BR4=""),AND(CY4&gt;=DC$31,CZ4&gt;=DC$35,CY4&lt;&gt;"",CU4=""),AND(ED4&gt;=EH$31,EE4&gt;=EH$35,ED4&lt;&gt;""),AND(FF4&gt;=FJ$31,FG4&gt;=FJ$35,FF4&lt;&gt;""),AND(GH4&gt;=GL$31,GI4&gt;=GL$35,GH4&lt;&gt;""),AND(HJ4&gt;=HN$31,HK4&gt;=HN$35,HJ4&lt;&gt;""),AND(IL4&gt;=IP$31,IM4&gt;=IP$35,IL4&lt;&gt;""),AND(JN4&gt;=JR$31,JO4&gt;=JR$35,JN4&lt;&gt;""),AND(KP4&gt;=KT$31,KQ4&gt;=KT$35,KP4&lt;&gt;""),AND(LR4&gt;=LV$31,LS4&gt;=LV$35,LR4&lt;&gt;""),AND(MT4&gt;=MX$31,MU4&gt;=MX$35,MT4&lt;&gt;""),AND(NV4&gt;=NZ$31,NW4&gt;=NZ$35,NV4&lt;&gt;""),AND(OX4&gt;=PB$31,OY4&gt;=PB$35,OX4&lt;&gt;""),AND(PZ4&gt;=QD$31,QA4&gt;=QD$35,PZ4&lt;&gt;"")),"P","")</f>
        <v>P</v>
      </c>
      <c r="J4" s="8">
        <f>IF(COUNT(AQ4,BT4,CW4)&gt;0,LARGE((AQ4,BT4,CW4),1),0)</f>
        <v>60.5</v>
      </c>
      <c r="K4" s="8" t="str">
        <f t="shared" ref="K4:K27" si="4">IF(J4=0,"",IF(J4=CW4,$CA$1,IF(J4=BT4,$AX$1,IF(J4=AQ4,$U$1,""))))</f>
        <v>2023 Nationals</v>
      </c>
      <c r="L4" s="8">
        <f>IF(COUNT(AQ4,BT4,CW4)&gt;1,LARGE((AQ4,BT4,CW4),2),0)</f>
        <v>58.699999999999996</v>
      </c>
      <c r="M4" s="8" t="str">
        <f t="shared" ref="M4:M27" si="5">IF(L4=0,"",IF(L4=CW4,$CA$1,IF(L4=BT4,$AX$1,IF(L4=AQ4,$U$1,""))))</f>
        <v>2023 Elite Canada</v>
      </c>
      <c r="N4" s="8">
        <f>IF(COUNT(AR4,BU4,CX4)&gt;0,LARGE((AR4,BU4,CX4),1),0)</f>
        <v>29.4</v>
      </c>
      <c r="O4" s="8" t="str">
        <f t="shared" ref="O4:O27" si="6">IF(N4=0,"",IF(N4=CX4,$CA$1,IF(N4=BU4,$AX$1,IF(N4=AR4,$U$1,""))))</f>
        <v>2023 Domestic 3rd Trial</v>
      </c>
      <c r="P4" s="8">
        <f t="shared" ref="P4:P27" si="7">IF(MAX(AV4,BY4,DB4)&gt;0,MAX(AV4,BY4,DB4),0)</f>
        <v>59.400000000000006</v>
      </c>
      <c r="Q4" s="8" t="str">
        <f t="shared" ref="Q4:Q27" si="8">IF(P4=0,"",IF(P4=DB4,$CA$1,IF(P4=BY4,$AX$1,IF(P4=AV4,$U$1,""))))</f>
        <v>2023 Nationals</v>
      </c>
      <c r="R4" s="8" t="str">
        <f t="shared" ref="R4:R27" si="9">IF(MAX(DD4:DF4)&gt;0,MAX(DD4:DF4),"")</f>
        <v/>
      </c>
      <c r="S4" s="11" t="str">
        <f t="shared" ref="S4:S27" si="10">IF(R4="","",IF(R4=DD4,"("&amp;DD$2&amp;")",IF(R4=DE4,"("&amp;DE$2&amp;")",IF(R4=DF4,"("&amp;DF$2&amp;")"))))</f>
        <v/>
      </c>
      <c r="T4" s="8" t="str">
        <f t="shared" ref="T4:T27" si="11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18.8</v>
      </c>
      <c r="V4" s="19">
        <v>10</v>
      </c>
      <c r="W4" s="19">
        <v>0.2</v>
      </c>
      <c r="X4" s="19">
        <v>0.6</v>
      </c>
      <c r="Y4" s="19">
        <v>18.3</v>
      </c>
      <c r="Z4" s="19">
        <v>10.8</v>
      </c>
      <c r="AA4" s="19">
        <v>0.2</v>
      </c>
      <c r="AB4" s="19">
        <v>0.6</v>
      </c>
      <c r="AC4" s="19">
        <v>19.2</v>
      </c>
      <c r="AD4" s="19">
        <v>8.4</v>
      </c>
      <c r="AE4" s="19">
        <v>0</v>
      </c>
      <c r="AF4" s="19">
        <v>0</v>
      </c>
      <c r="AG4" s="19">
        <v>19</v>
      </c>
      <c r="AH4" s="19">
        <v>10</v>
      </c>
      <c r="AI4" s="19">
        <v>0.2</v>
      </c>
      <c r="AJ4" s="19">
        <v>0.6</v>
      </c>
      <c r="AK4" s="19">
        <v>18.600000000000001</v>
      </c>
      <c r="AL4" s="19">
        <v>10.8</v>
      </c>
      <c r="AM4" s="19">
        <v>0.6</v>
      </c>
      <c r="AN4" s="19">
        <v>0.6</v>
      </c>
      <c r="AO4" s="28"/>
      <c r="AP4" s="41">
        <f t="shared" ref="AP4:AP27" si="12">IF(SUM(V4,Z4)&gt;0,SUM(V4,Z4),"")</f>
        <v>20.8</v>
      </c>
      <c r="AQ4" s="41">
        <f t="shared" ref="AQ4:AQ27" si="13">IF(SUM(U4:V4,X4:Z4,AB4)-W4-AA4&gt;0,SUM(U4:V4,X4:Z4,AB4)-W4-AA4,"")</f>
        <v>58.699999999999996</v>
      </c>
      <c r="AR4" s="41">
        <f t="shared" ref="AR4:AR27" si="14">IF(SUM(AC4:AD4,AF4)-AE4&gt;0,SUM(AC4:AD4,AF4)-AE4,"")</f>
        <v>27.6</v>
      </c>
      <c r="AS4" s="41">
        <f t="shared" ref="AS4:AS27" si="15">IF(SUM(V4,Z4,AD4)&gt;0,SUM(V4,Z4,AD4),"")</f>
        <v>29.200000000000003</v>
      </c>
      <c r="AT4" s="41">
        <f t="shared" ref="AT4:AT27" si="16">IF(SUM(AQ4,AR4)&gt;0,SUM(AQ4,AR4),"")</f>
        <v>86.3</v>
      </c>
      <c r="AU4" s="41">
        <f t="shared" ref="AU4:AU27" si="17">IF(SUM(AH4,AL4)&gt;0,SUM(AH4,AL4),"")</f>
        <v>20.8</v>
      </c>
      <c r="AV4" s="41">
        <f t="shared" ref="AV4:AV27" si="18">IF(SUM(AG4:AH4,AJ4:AL4,AN4)-SUM(AI4,AM4)&gt;0,SUM(AG4:AH4,AJ4:AL4,AN4)-SUM(AI4,AM4),"")</f>
        <v>58.800000000000004</v>
      </c>
      <c r="AW4" s="41">
        <f t="shared" ref="AW4:AW27" si="19">IF(SUM(AQ4,AR4,AV4)&gt;0,SUM(AQ4,AR4,AV4),"")</f>
        <v>145.1</v>
      </c>
      <c r="AX4" s="18">
        <v>19.399999999999999</v>
      </c>
      <c r="AY4" s="18">
        <v>10</v>
      </c>
      <c r="AZ4" s="18">
        <v>0</v>
      </c>
      <c r="BA4" s="18">
        <v>0.6</v>
      </c>
      <c r="BB4" s="18">
        <v>18.8</v>
      </c>
      <c r="BC4" s="18">
        <v>11.1</v>
      </c>
      <c r="BD4" s="18">
        <v>0</v>
      </c>
      <c r="BE4" s="18">
        <v>0.6</v>
      </c>
      <c r="BF4" s="18">
        <v>18.7</v>
      </c>
      <c r="BG4" s="18">
        <v>9.3000000000000007</v>
      </c>
      <c r="BH4" s="18">
        <v>0.6</v>
      </c>
      <c r="BI4" s="18">
        <v>0.3</v>
      </c>
      <c r="BJ4" s="18">
        <v>18</v>
      </c>
      <c r="BK4" s="18">
        <v>11.6</v>
      </c>
      <c r="BL4" s="18">
        <v>1</v>
      </c>
      <c r="BM4" s="18">
        <v>0.3</v>
      </c>
      <c r="BN4" s="18">
        <v>18.8</v>
      </c>
      <c r="BO4" s="18">
        <v>11.1</v>
      </c>
      <c r="BP4" s="18">
        <v>0</v>
      </c>
      <c r="BQ4" s="18">
        <v>0.6</v>
      </c>
      <c r="BR4" s="29"/>
      <c r="BS4" s="11">
        <f t="shared" ref="BS4:BS27" si="20">IF(SUM(AY4,BC4)&gt;0,SUM(AY4,BC4),"")</f>
        <v>21.1</v>
      </c>
      <c r="BT4" s="11">
        <f t="shared" ref="BT4:BT27" si="21">IF(SUM(AX4:AY4,BA4:BC4,BE4)-AZ4-BD4&gt;0,SUM(AX4:AY4,BA4:BC4,BE4)-AZ4-BD4,"")</f>
        <v>60.5</v>
      </c>
      <c r="BU4" s="11">
        <f t="shared" ref="BU4:BU27" si="22">IF(SUM(BF4:BG4,BI4)-BH4&gt;0,SUM(BF4:BG4,BI4)-BH4,"")</f>
        <v>27.7</v>
      </c>
      <c r="BV4" s="11">
        <f t="shared" ref="BV4:BV27" si="23">IF(SUM(AY4,BC4,BG4)&gt;0,SUM(AY4,BC4,BG4),"")</f>
        <v>30.400000000000002</v>
      </c>
      <c r="BW4" s="11">
        <f t="shared" ref="BW4:BW27" si="24">IF(SUM(BT4,BU4)&gt;0,SUM(BT4,BU4),"")</f>
        <v>88.2</v>
      </c>
      <c r="BX4" s="11">
        <f t="shared" ref="BX4:BX27" si="25">IF(SUM(BK4,BO4)&gt;0,SUM(BK4,BO4),"")</f>
        <v>22.7</v>
      </c>
      <c r="BY4" s="11">
        <f t="shared" ref="BY4:BY27" si="26">IF(SUM(BJ4:BK4,BM4:BO4,BQ4)-SUM(BL4,BP4)&gt;0,SUM(BJ4:BK4,BM4:BO4,BQ4)-SUM(BL4,BP4),"")</f>
        <v>59.400000000000006</v>
      </c>
      <c r="BZ4" s="11">
        <f t="shared" ref="BZ4:BZ27" si="27">IF(SUM(BT4,BU4,BY4)&gt;0,SUM(BT4,BU4,BY4),"")</f>
        <v>147.60000000000002</v>
      </c>
      <c r="CA4" s="19">
        <v>19</v>
      </c>
      <c r="CB4" s="19">
        <v>10</v>
      </c>
      <c r="CC4" s="19">
        <v>0.6</v>
      </c>
      <c r="CD4" s="19">
        <v>0.6</v>
      </c>
      <c r="CE4" s="19">
        <v>18.8</v>
      </c>
      <c r="CF4" s="19">
        <v>8.1</v>
      </c>
      <c r="CG4" s="19">
        <v>0.2</v>
      </c>
      <c r="CH4" s="19">
        <v>0</v>
      </c>
      <c r="CI4" s="19">
        <v>18.3</v>
      </c>
      <c r="CJ4" s="19">
        <v>11.1</v>
      </c>
      <c r="CK4" s="19">
        <v>0.6</v>
      </c>
      <c r="CL4" s="19">
        <v>0.6</v>
      </c>
      <c r="CM4" s="19">
        <v>18.600000000000001</v>
      </c>
      <c r="CN4" s="19">
        <v>10</v>
      </c>
      <c r="CO4" s="19">
        <v>0.6</v>
      </c>
      <c r="CP4" s="19">
        <v>0.6</v>
      </c>
      <c r="CQ4" s="19">
        <v>18.7</v>
      </c>
      <c r="CR4" s="19">
        <v>10.8</v>
      </c>
      <c r="CS4" s="19">
        <v>0.6</v>
      </c>
      <c r="CT4" s="19">
        <v>0.6</v>
      </c>
      <c r="CU4" s="28"/>
      <c r="CV4" s="41">
        <f t="shared" ref="CV4:CV27" si="28">IF(SUM(CB4,CF4)&gt;0,SUM(CB4,CF4),"")</f>
        <v>18.100000000000001</v>
      </c>
      <c r="CW4" s="41">
        <f t="shared" ref="CW4:CW27" si="29">IF(SUM(CA4:CB4,CD4:CF4,CH4)-CC4-CG4&gt;0,SUM(CA4:CB4,CD4:CF4,CH4)-CC4-CG4,"")</f>
        <v>55.7</v>
      </c>
      <c r="CX4" s="41">
        <f t="shared" ref="CX4:CX27" si="30">IF(SUM(CI4:CJ4,CL4)-CK4&gt;0,SUM(CI4:CJ4,CL4)-CK4,"")</f>
        <v>29.4</v>
      </c>
      <c r="CY4" s="41">
        <f t="shared" ref="CY4:CY27" si="31">IF(SUM(CB4,CF4,CJ4)&gt;0,SUM(CB4,CF4,CJ4),"")</f>
        <v>29.200000000000003</v>
      </c>
      <c r="CZ4" s="41">
        <f t="shared" ref="CZ4:CZ27" si="32">IF(SUM(CW4,CX4)&gt;0,SUM(CW4,CX4),"")</f>
        <v>85.1</v>
      </c>
      <c r="DA4" s="41">
        <f t="shared" ref="DA4:DA27" si="33">IF(SUM(CN4,CR4)&gt;0,SUM(CN4,CR4),"")</f>
        <v>20.8</v>
      </c>
      <c r="DB4" s="41">
        <f t="shared" ref="DB4:DB27" si="34">IF(SUM(CM4:CN4,CP4:CR4,CT4)-SUM(CO4,CS4)&gt;0,SUM(CM4:CN4,CP4:CR4,CT4)-SUM(CO4,CS4),"")</f>
        <v>58.1</v>
      </c>
      <c r="DC4" s="41">
        <f t="shared" ref="DC4:DC27" si="35">IF(SUM(CW4,CX4,DB4)&gt;0,SUM(CW4,CX4,DB4),"")</f>
        <v>143.19999999999999</v>
      </c>
      <c r="DD4" s="52" t="str">
        <f t="shared" ref="DD4:DD27" si="36">IF(MAX(EB4,FD4,GF4,HH4,IJ4,JL4,KN4,LP4,MR4,NT4,OV4,PX4)-IF(L4="",0,L4)&gt;0.001,MAX(EB4,FD4,GF4,HH4,IJ4,JL4,KN4,LP4,MR4,NT4,OV4,PX4)-IF(L4="",0,L4),"")</f>
        <v/>
      </c>
      <c r="DE4" s="52" t="str">
        <f t="shared" ref="DE4:DE27" si="37">IF(MAX(EC4,FE4,GG4,HI4,IK4,JM4,KO4,LQ4,MS4,NU4,OW4,PY4)-IF(N4="",0,N4)&gt;0.001,MAX(EC4,FE4,GG4,HI4,IK4,JM4,KO4,LQ4,MS4,NU4,OW4,PY4)-IF(N4="",0,N4),"")</f>
        <v/>
      </c>
      <c r="DF4" s="52" t="str">
        <f t="shared" ref="DF4:DF27" si="38"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 t="shared" ref="EA4:EA27" si="39">IF(SUM(DH4,DL4)&gt;0,SUM(DH4,DL4),"")</f>
        <v/>
      </c>
      <c r="EB4" s="41" t="str">
        <f t="shared" ref="EB4:EB27" si="40">IF(SUM(DG4:DH4,DJ4:DL4,DN4)-DI4-DM4&gt;0,SUM(DG4:DH4,DJ4:DL4,DN4)-DI4-DM4,"")</f>
        <v/>
      </c>
      <c r="EC4" s="41" t="str">
        <f t="shared" ref="EC4:EC27" si="41">IF(SUM(DO4:DP4,DR4)-DQ4&gt;0,SUM(DO4:DP4,DR4)-DQ4,"")</f>
        <v/>
      </c>
      <c r="ED4" s="41" t="str">
        <f t="shared" ref="ED4:ED27" si="42">IF(SUM(DH4,DL4,DP4)&gt;0,SUM(DH4,DL4,DP4),"")</f>
        <v/>
      </c>
      <c r="EE4" s="41" t="str">
        <f t="shared" ref="EE4:EE27" si="43">IF(SUM(EB4,EC4)&gt;0,SUM(EB4,EC4),"")</f>
        <v/>
      </c>
      <c r="EF4" s="41" t="str">
        <f t="shared" ref="EF4:EF27" si="44">IF(SUM(DT4,DX4)&gt;0,SUM(DT4,DX4),"")</f>
        <v/>
      </c>
      <c r="EG4" s="41" t="str">
        <f t="shared" ref="EG4:EG27" si="45">IF(SUM(DS4:DT4,DV4:DX4,DZ4)-SUM(DU4,DY4)&gt;0,SUM(DS4:DT4,DV4:DX4,DZ4)-SUM(DU4,DY4),"")</f>
        <v/>
      </c>
      <c r="EH4" s="41" t="str">
        <f t="shared" ref="EH4:EH27" si="46"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27" si="47">IF(SUM(EJ4,EN4)&gt;0,SUM(EJ4,EN4),"")</f>
        <v/>
      </c>
      <c r="FD4" s="11" t="str">
        <f t="shared" ref="FD4:FD27" si="48">IF(SUM(EI4:EJ4,EL4:EN4,EP4)-EK4-EO4&gt;0,SUM(EI4:EJ4,EL4:EN4,EP4)-EK4-EO4,"")</f>
        <v/>
      </c>
      <c r="FE4" s="11" t="str">
        <f t="shared" ref="FE4:FE27" si="49">IF(SUM(EQ4:ER4,ET4)-ES4&gt;0,SUM(EQ4:ER4,ET4)-ES4,"")</f>
        <v/>
      </c>
      <c r="FF4" s="11" t="str">
        <f t="shared" ref="FF4:FF27" si="50">IF(SUM(EJ4,EN4,ER4)&gt;0,SUM(EJ4,EN4,ER4),"")</f>
        <v/>
      </c>
      <c r="FG4" s="11" t="str">
        <f t="shared" ref="FG4:FG27" si="51">IF(SUM(FD4,FE4)&gt;0,SUM(FD4,FE4),"")</f>
        <v/>
      </c>
      <c r="FH4" s="11" t="str">
        <f t="shared" ref="FH4:FH27" si="52">IF(SUM(EV4,EZ4)&gt;0,SUM(EV4,EZ4),"")</f>
        <v/>
      </c>
      <c r="FI4" s="11" t="str">
        <f t="shared" ref="FI4:FI27" si="53">IF(SUM(EU4:EV4,EX4:EZ4,FB4)-SUM(EW4,FA4)&gt;0,SUM(EU4:EV4,EX4:EZ4,FB4)-SUM(EW4,FA4),"")</f>
        <v/>
      </c>
      <c r="FJ4" s="11" t="str">
        <f t="shared" ref="FJ4:FJ27" si="54">IF(SUM(FD4,FE4,FI4)&gt;0,SUM(FD4,FE4,FI4),"")</f>
        <v/>
      </c>
      <c r="FK4" s="17"/>
      <c r="FL4" s="17"/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41" t="str">
        <f t="shared" ref="GE4:GE27" si="55">IF(SUM(FL4,FP4)&gt;0,SUM(FL4,FP4),"")</f>
        <v/>
      </c>
      <c r="GF4" s="41" t="str">
        <f t="shared" ref="GF4:GF27" si="56">IF(SUM(FK4:FL4,FN4:FP4,FR4)-FM4-FQ4&gt;0,SUM(FK4:FL4,FN4:FP4,FR4)-FM4-FQ4,"")</f>
        <v/>
      </c>
      <c r="GG4" s="41" t="str">
        <f t="shared" ref="GG4:GG27" si="57">IF(SUM(FS4:FT4,FV4)-FU4&gt;0,SUM(FS4:FT4,FV4)-FU4,"")</f>
        <v/>
      </c>
      <c r="GH4" s="41" t="str">
        <f t="shared" ref="GH4:GH27" si="58">IF(SUM(FL4,FP4,FT4)&gt;0,SUM(FL4,FP4,FT4),"")</f>
        <v/>
      </c>
      <c r="GI4" s="41" t="str">
        <f t="shared" ref="GI4:GI27" si="59">IF(SUM(GF4,GG4)&gt;0,SUM(GF4,GG4),"")</f>
        <v/>
      </c>
      <c r="GJ4" s="41" t="str">
        <f t="shared" ref="GJ4:GJ27" si="60">IF(SUM(FX4,GB4)&gt;0,SUM(FX4,GB4),"")</f>
        <v/>
      </c>
      <c r="GK4" s="41" t="str">
        <f t="shared" ref="GK4:GK27" si="61">IF(SUM(FW4:FX4,FZ4:GB4,GD4)-SUM(FY4,GC4)&gt;0,SUM(FW4:FX4,FZ4:GB4,GD4)-SUM(FY4,GC4),"")</f>
        <v/>
      </c>
      <c r="GL4" s="41" t="str">
        <f t="shared" ref="GL4:GL27" si="62">IF(SUM(GF4,GG4,GK4)&gt;0,SUM(GF4,GG4,GK4),"")</f>
        <v/>
      </c>
      <c r="GM4" s="18">
        <v>18.8</v>
      </c>
      <c r="GN4" s="18">
        <v>10</v>
      </c>
      <c r="GO4" s="18">
        <v>0.6</v>
      </c>
      <c r="GP4" s="18">
        <v>0</v>
      </c>
      <c r="GQ4" s="18">
        <v>18.5</v>
      </c>
      <c r="GR4" s="18">
        <v>10.8</v>
      </c>
      <c r="GS4" s="18">
        <v>0</v>
      </c>
      <c r="GT4" s="18">
        <v>0</v>
      </c>
      <c r="GU4" s="18"/>
      <c r="GV4" s="18"/>
      <c r="GW4" s="18"/>
      <c r="GX4" s="18"/>
      <c r="GY4" s="18">
        <v>18.8</v>
      </c>
      <c r="GZ4" s="18">
        <v>10</v>
      </c>
      <c r="HA4" s="18">
        <v>0</v>
      </c>
      <c r="HB4" s="18">
        <v>0</v>
      </c>
      <c r="HC4" s="18">
        <v>18.5</v>
      </c>
      <c r="HD4" s="18">
        <v>11.1</v>
      </c>
      <c r="HE4" s="18">
        <v>0.6</v>
      </c>
      <c r="HF4" s="18">
        <v>0</v>
      </c>
      <c r="HG4" s="11">
        <f t="shared" ref="HG4:HG27" si="63">IF(SUM(GN4,GR4)&gt;0,SUM(GN4,GR4),"")</f>
        <v>20.8</v>
      </c>
      <c r="HH4" s="11">
        <f t="shared" ref="HH4:HH27" si="64">IF(SUM(GM4:GN4,GP4:GR4,GT4)-GO4-GS4&gt;0,SUM(GM4:GN4,GP4:GR4,GT4)-GO4-GS4,"")</f>
        <v>57.499999999999993</v>
      </c>
      <c r="HI4" s="11" t="str">
        <f t="shared" ref="HI4:HI27" si="65">IF(SUM(GU4:GV4,GX4)-GW4&gt;0,SUM(GU4:GV4,GX4)-GW4,"")</f>
        <v/>
      </c>
      <c r="HJ4" s="11">
        <f t="shared" ref="HJ4:HJ27" si="66">IF(SUM(GN4,GR4,GV4)&gt;0,SUM(GN4,GR4,GV4),"")</f>
        <v>20.8</v>
      </c>
      <c r="HK4" s="11">
        <f t="shared" ref="HK4:HK27" si="67">IF(SUM(HH4,HI4)&gt;0,SUM(HH4,HI4),"")</f>
        <v>57.499999999999993</v>
      </c>
      <c r="HL4" s="11">
        <f t="shared" ref="HL4:HL27" si="68">IF(SUM(GZ4,HD4)&gt;0,SUM(GZ4,HD4),"")</f>
        <v>21.1</v>
      </c>
      <c r="HM4" s="11">
        <f t="shared" ref="HM4:HM27" si="69">IF(SUM(GY4:GZ4,HB4:HD4,HF4)-SUM(HA4,HE4)&gt;0,SUM(GY4:GZ4,HB4:HD4,HF4)-SUM(HA4,HE4),"")</f>
        <v>57.8</v>
      </c>
      <c r="HN4" s="11">
        <f t="shared" ref="HN4:HN27" si="70">IF(SUM(HH4,HI4,HM4)&gt;0,SUM(HH4,HI4,HM4),"")</f>
        <v>115.29999999999998</v>
      </c>
      <c r="HO4" s="17">
        <v>18.8</v>
      </c>
      <c r="HP4" s="17">
        <v>10</v>
      </c>
      <c r="HQ4" s="17">
        <v>0.6</v>
      </c>
      <c r="HR4" s="17">
        <v>0</v>
      </c>
      <c r="HS4" s="17">
        <v>18.600000000000001</v>
      </c>
      <c r="HT4" s="17">
        <v>10.8</v>
      </c>
      <c r="HU4" s="17">
        <v>0.6</v>
      </c>
      <c r="HV4" s="17">
        <v>0</v>
      </c>
      <c r="HW4" s="17"/>
      <c r="HX4" s="17"/>
      <c r="HY4" s="17"/>
      <c r="HZ4" s="17"/>
      <c r="IA4" s="17">
        <v>18.600000000000001</v>
      </c>
      <c r="IB4" s="17">
        <v>10</v>
      </c>
      <c r="IC4" s="17">
        <v>0</v>
      </c>
      <c r="ID4" s="17">
        <v>0</v>
      </c>
      <c r="IE4" s="17">
        <v>18.3</v>
      </c>
      <c r="IF4" s="17">
        <v>11.1</v>
      </c>
      <c r="IG4" s="17">
        <v>0.8</v>
      </c>
      <c r="IH4" s="17">
        <v>0</v>
      </c>
      <c r="II4" s="41">
        <f t="shared" ref="II4:II27" si="71">IF(SUM(HP4,HT4)&gt;0,SUM(HP4,HT4),"")</f>
        <v>20.8</v>
      </c>
      <c r="IJ4" s="41">
        <f t="shared" ref="IJ4:IJ27" si="72">IF(SUM(HO4:HP4,HR4:HT4,HV4)-HQ4-HU4&gt;0,SUM(HO4:HP4,HR4:HT4,HV4)-HQ4-HU4,"")</f>
        <v>57</v>
      </c>
      <c r="IK4" s="41" t="str">
        <f t="shared" ref="IK4:IK27" si="73">IF(SUM(HW4:HX4,HZ4)-HY4&gt;0,SUM(HW4:HX4,HZ4)-HY4,"")</f>
        <v/>
      </c>
      <c r="IL4" s="41">
        <f t="shared" ref="IL4:IL27" si="74">IF(SUM(HP4,HT4,HX4)&gt;0,SUM(HP4,HT4,HX4),"")</f>
        <v>20.8</v>
      </c>
      <c r="IM4" s="41">
        <f t="shared" ref="IM4:IM27" si="75">IF(SUM(IJ4,IK4)&gt;0,SUM(IJ4,IK4),"")</f>
        <v>57</v>
      </c>
      <c r="IN4" s="41">
        <f t="shared" ref="IN4:IN27" si="76">IF(SUM(IB4,IF4)&gt;0,SUM(IB4,IF4),"")</f>
        <v>21.1</v>
      </c>
      <c r="IO4" s="41">
        <f t="shared" ref="IO4:IO27" si="77">IF(SUM(IA4:IB4,ID4:IF4,IH4)-SUM(IC4,IG4)&gt;0,SUM(IA4:IB4,ID4:IF4,IH4)-SUM(IC4,IG4),"")</f>
        <v>57.20000000000001</v>
      </c>
      <c r="IP4" s="41">
        <f t="shared" ref="IP4:IP27" si="78">IF(SUM(IJ4,IK4,IO4)&gt;0,SUM(IJ4,IK4,IO4),"")</f>
        <v>114.20000000000002</v>
      </c>
      <c r="IQ4" s="18">
        <v>18.600000000000001</v>
      </c>
      <c r="IR4" s="18">
        <v>10</v>
      </c>
      <c r="IS4" s="18">
        <v>0.6</v>
      </c>
      <c r="IT4" s="18">
        <v>0</v>
      </c>
      <c r="IU4" s="18">
        <v>17.2</v>
      </c>
      <c r="IV4" s="18">
        <v>5.0999999999999996</v>
      </c>
      <c r="IW4" s="18">
        <v>0</v>
      </c>
      <c r="IX4" s="18">
        <v>0</v>
      </c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>
        <f t="shared" ref="JK4:JK27" si="79">IF(SUM(IR4,IV4)&gt;0,SUM(IR4,IV4),"")</f>
        <v>15.1</v>
      </c>
      <c r="JL4" s="11">
        <f t="shared" ref="JL4:JL27" si="80">IF(SUM(IQ4:IR4,IT4:IV4,IX4)-IS4-IW4&gt;0,SUM(IQ4:IR4,IT4:IV4,IX4)-IS4-IW4,"")</f>
        <v>50.3</v>
      </c>
      <c r="JM4" s="11" t="str">
        <f t="shared" ref="JM4:JM27" si="81">IF(SUM(IY4:IZ4,JB4)-JA4&gt;0,SUM(IY4:IZ4,JB4)-JA4,"")</f>
        <v/>
      </c>
      <c r="JN4" s="11">
        <f t="shared" ref="JN4:JN27" si="82">IF(SUM(IR4,IV4,IZ4)&gt;0,SUM(IR4,IV4,IZ4),"")</f>
        <v>15.1</v>
      </c>
      <c r="JO4" s="11">
        <f t="shared" ref="JO4:JO27" si="83">IF(SUM(JL4,JM4)&gt;0,SUM(JL4,JM4),"")</f>
        <v>50.3</v>
      </c>
      <c r="JP4" s="11" t="str">
        <f t="shared" ref="JP4:JP27" si="84">IF(SUM(JD4,JH4)&gt;0,SUM(JD4,JH4),"")</f>
        <v/>
      </c>
      <c r="JQ4" s="11" t="str">
        <f t="shared" ref="JQ4:JQ27" si="85">IF(SUM(JC4:JD4,JF4:JH4,JJ4)-SUM(JE4,JI4)&gt;0,SUM(JC4:JD4,JF4:JH4,JJ4)-SUM(JE4,JI4),"")</f>
        <v/>
      </c>
      <c r="JR4" s="11">
        <f t="shared" ref="JR4:JR27" si="86">IF(SUM(JL4,JM4,JQ4)&gt;0,SUM(JL4,JM4,JQ4),"")</f>
        <v>50.3</v>
      </c>
      <c r="JS4" s="17">
        <v>18.3</v>
      </c>
      <c r="JT4" s="17">
        <v>9.3000000000000007</v>
      </c>
      <c r="JU4" s="17">
        <v>0</v>
      </c>
      <c r="JV4" s="17">
        <v>0</v>
      </c>
      <c r="JW4" s="17">
        <v>18.8</v>
      </c>
      <c r="JX4" s="17">
        <v>10</v>
      </c>
      <c r="JY4" s="17">
        <v>0.8</v>
      </c>
      <c r="JZ4" s="17">
        <v>0</v>
      </c>
      <c r="KA4" s="17">
        <v>18.5</v>
      </c>
      <c r="KB4" s="17">
        <v>9.5</v>
      </c>
      <c r="KC4" s="17">
        <v>1</v>
      </c>
      <c r="KD4" s="17">
        <v>0</v>
      </c>
      <c r="KE4" s="17">
        <v>18.399999999999999</v>
      </c>
      <c r="KF4" s="17">
        <v>11.1</v>
      </c>
      <c r="KG4" s="17">
        <v>0.6</v>
      </c>
      <c r="KH4" s="17">
        <v>0</v>
      </c>
      <c r="KI4" s="17">
        <v>18.3</v>
      </c>
      <c r="KJ4" s="17">
        <v>4.5</v>
      </c>
      <c r="KK4" s="17">
        <v>0</v>
      </c>
      <c r="KL4" s="17">
        <v>0</v>
      </c>
      <c r="KM4" s="41">
        <f t="shared" ref="KM4:KM27" si="87">IF(SUM(JT4,JX4)&gt;0,SUM(JT4,JX4),"")</f>
        <v>19.3</v>
      </c>
      <c r="KN4" s="41">
        <f t="shared" ref="KN4:KN27" si="88">IF(SUM(JS4:JT4,JV4:JX4,JZ4)-JU4-JY4&gt;0,SUM(JS4:JT4,JV4:JX4,JZ4)-JU4-JY4,"")</f>
        <v>55.600000000000009</v>
      </c>
      <c r="KO4" s="41">
        <f t="shared" ref="KO4:KO27" si="89">IF(SUM(KA4:KB4,KD4)-KC4&gt;0,SUM(KA4:KB4,KD4)-KC4,"")</f>
        <v>27</v>
      </c>
      <c r="KP4" s="41">
        <f t="shared" ref="KP4:KP27" si="90">IF(SUM(JT4,JX4,KB4)&gt;0,SUM(JT4,JX4,KB4),"")</f>
        <v>28.8</v>
      </c>
      <c r="KQ4" s="41">
        <f t="shared" ref="KQ4:KQ27" si="91">IF(SUM(KN4,KO4)&gt;0,SUM(KN4,KO4),"")</f>
        <v>82.600000000000009</v>
      </c>
      <c r="KR4" s="41">
        <f t="shared" ref="KR4:KR27" si="92">IF(SUM(KF4,KJ4)&gt;0,SUM(KF4,KJ4),"")</f>
        <v>15.6</v>
      </c>
      <c r="KS4" s="41">
        <f t="shared" ref="KS4:KS27" si="93">IF(SUM(KE4:KF4,KH4:KJ4,KL4)-SUM(KG4,KK4)&gt;0,SUM(KE4:KF4,KH4:KJ4,KL4)-SUM(KG4,KK4),"")</f>
        <v>51.699999999999996</v>
      </c>
      <c r="KT4" s="41">
        <f t="shared" ref="KT4:KT27" si="94">IF(SUM(KN4,KO4,KS4)&gt;0,SUM(KN4,KO4,KS4),"")</f>
        <v>134.30000000000001</v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27" si="95">IF(SUM(KV4,KZ4)&gt;0,SUM(KV4,KZ4),"")</f>
        <v/>
      </c>
      <c r="LP4" s="11" t="str">
        <f t="shared" ref="LP4:LP27" si="96">IF(SUM(KU4:KV4,KX4:KZ4,LB4)-KW4-LA4&gt;0,SUM(KU4:KV4,KX4:KZ4,LB4)-KW4-LA4,"")</f>
        <v/>
      </c>
      <c r="LQ4" s="11" t="str">
        <f t="shared" ref="LQ4:LQ27" si="97">IF(SUM(LC4:LD4,LF4)-LE4&gt;0,SUM(LC4:LD4,LF4)-LE4,"")</f>
        <v/>
      </c>
      <c r="LR4" s="11" t="str">
        <f t="shared" ref="LR4:LR27" si="98">IF(SUM(KV4,KZ4,LD4)&gt;0,SUM(KV4,KZ4,LD4),"")</f>
        <v/>
      </c>
      <c r="LS4" s="11" t="str">
        <f t="shared" ref="LS4:LS27" si="99">IF(SUM(LP4,LQ4)&gt;0,SUM(LP4,LQ4),"")</f>
        <v/>
      </c>
      <c r="LT4" s="11" t="str">
        <f t="shared" ref="LT4:LT27" si="100">IF(SUM(LH4,LL4)&gt;0,SUM(LH4,LL4),"")</f>
        <v/>
      </c>
      <c r="LU4" s="11" t="str">
        <f t="shared" ref="LU4:LU27" si="101">IF(SUM(LG4:LH4,LJ4:LL4,LN4)-SUM(LI4,LM4)&gt;0,SUM(LG4:LH4,LJ4:LL4,LN4)-SUM(LI4,LM4),"")</f>
        <v/>
      </c>
      <c r="LV4" s="11" t="str">
        <f t="shared" ref="LV4:LV27" si="102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27" si="103">IF(SUM(LX4,MB4)&gt;0,SUM(LX4,MB4),"")</f>
        <v/>
      </c>
      <c r="MR4" s="41" t="str">
        <f t="shared" ref="MR4:MR27" si="104">IF(SUM(LW4:LX4,LZ4:MB4,MD4)-LY4-MC4&gt;0,SUM(LW4:LX4,LZ4:MB4,MD4)-LY4-MC4,"")</f>
        <v/>
      </c>
      <c r="MS4" s="41" t="str">
        <f t="shared" ref="MS4:MS27" si="105">IF(SUM(ME4:MF4,MH4)-MG4&gt;0,SUM(ME4:MF4,MH4)-MG4,"")</f>
        <v/>
      </c>
      <c r="MT4" s="41" t="str">
        <f t="shared" ref="MT4:MT27" si="106">IF(SUM(LX4,MB4,MF4)&gt;0,SUM(LX4,MB4,MF4),"")</f>
        <v/>
      </c>
      <c r="MU4" s="41" t="str">
        <f t="shared" ref="MU4:MU27" si="107">IF(SUM(MR4,MS4)&gt;0,SUM(MR4,MS4),"")</f>
        <v/>
      </c>
      <c r="MV4" s="41" t="str">
        <f t="shared" ref="MV4:MV27" si="108">IF(SUM(MJ4,MN4)&gt;0,SUM(MJ4,MN4),"")</f>
        <v/>
      </c>
      <c r="MW4" s="41" t="str">
        <f t="shared" ref="MW4:MW27" si="109">IF(SUM(MI4:MJ4,ML4:MN4,MP4)-SUM(MK4,MO4)&gt;0,SUM(MI4:MJ4,ML4:MN4,MP4)-SUM(MK4,MO4),"")</f>
        <v/>
      </c>
      <c r="MX4" s="41" t="str">
        <f t="shared" ref="MX4:MX27" si="110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27" si="111">IF(SUM(MZ4,ND4)&gt;0,SUM(MZ4,ND4),"")</f>
        <v/>
      </c>
      <c r="NT4" s="11" t="str">
        <f t="shared" ref="NT4:NT27" si="112">IF(SUM(MY4:MZ4,NB4:ND4,NF4)-NA4-NE4&gt;0,SUM(MY4:MZ4,NB4:ND4,NF4)-NA4-NE4,"")</f>
        <v/>
      </c>
      <c r="NU4" s="11" t="str">
        <f t="shared" ref="NU4:NU27" si="113">IF(SUM(NG4:NH4,NJ4)-NI4&gt;0,SUM(NG4:NH4,NJ4)-NI4,"")</f>
        <v/>
      </c>
      <c r="NV4" s="11" t="str">
        <f t="shared" ref="NV4:NV27" si="114">IF(SUM(MZ4,ND4,NH4)&gt;0,SUM(MZ4,ND4,NH4),"")</f>
        <v/>
      </c>
      <c r="NW4" s="11" t="str">
        <f t="shared" ref="NW4:NW27" si="115">IF(SUM(NT4,NU4)&gt;0,SUM(NT4,NU4),"")</f>
        <v/>
      </c>
      <c r="NX4" s="11" t="str">
        <f t="shared" ref="NX4:NX27" si="116">IF(SUM(NL4,NP4)&gt;0,SUM(NL4,NP4),"")</f>
        <v/>
      </c>
      <c r="NY4" s="11" t="str">
        <f t="shared" ref="NY4:NY27" si="117">IF(SUM(NK4:NL4,NN4:NP4,NR4)-SUM(NM4,NQ4)&gt;0,SUM(NK4:NL4,NN4:NP4,NR4)-SUM(NM4,NQ4),"")</f>
        <v/>
      </c>
      <c r="NZ4" s="11" t="str">
        <f t="shared" ref="NZ4:NZ27" si="118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27" si="119">IF(SUM(OB4,OF4)&gt;0,SUM(OB4,OF4),"")</f>
        <v/>
      </c>
      <c r="OV4" s="41" t="str">
        <f t="shared" ref="OV4:OV27" si="120">IF(SUM(OA4:OB4,OD4:OF4,OH4)-OC4-OG4&gt;0,SUM(OA4:OB4,OD4:OF4,OH4)-OC4-OG4,"")</f>
        <v/>
      </c>
      <c r="OW4" s="41" t="str">
        <f t="shared" ref="OW4:OW27" si="121">IF(SUM(OI4:OJ4,OL4)-OK4&gt;0,SUM(OI4:OJ4,OL4)-OK4,"")</f>
        <v/>
      </c>
      <c r="OX4" s="41" t="str">
        <f t="shared" ref="OX4:OX27" si="122">IF(SUM(OB4,OF4,OJ4)&gt;0,SUM(OB4,OF4,OJ4),"")</f>
        <v/>
      </c>
      <c r="OY4" s="41" t="str">
        <f t="shared" ref="OY4:OY27" si="123">IF(SUM(OV4,OW4)&gt;0,SUM(OV4,OW4),"")</f>
        <v/>
      </c>
      <c r="OZ4" s="41" t="str">
        <f t="shared" ref="OZ4:OZ27" si="124">IF(SUM(ON4,OR4)&gt;0,SUM(ON4,OR4),"")</f>
        <v/>
      </c>
      <c r="PA4" s="41" t="str">
        <f t="shared" ref="PA4:PA27" si="125">IF(SUM(OM4:ON4,OP4:OR4,OT4)-SUM(OO4,OS4)&gt;0,SUM(OM4:ON4,OP4:OR4,OT4)-SUM(OO4,OS4),"")</f>
        <v/>
      </c>
      <c r="PB4" s="41" t="str">
        <f t="shared" ref="PB4:PB27" si="126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27" si="127">IF(SUM(PD4,PH4)&gt;0,SUM(PD4,PH4),"")</f>
        <v/>
      </c>
      <c r="PX4" s="11" t="str">
        <f t="shared" ref="PX4:PX27" si="128">IF(SUM(PC4:PD4,PF4:PH4,PJ4)-PE4-PI4&gt;0,SUM(PC4:PD4,PF4:PH4,PJ4)-PE4-PI4,"")</f>
        <v/>
      </c>
      <c r="PY4" s="11" t="str">
        <f t="shared" ref="PY4:PY27" si="129">IF(SUM(PK4:PL4,PN4)-PM4&gt;0,SUM(PK4:PL4,PN4)-PM4,"")</f>
        <v/>
      </c>
      <c r="PZ4" s="11" t="str">
        <f t="shared" ref="PZ4:PZ27" si="130">IF(SUM(PD4,PH4,PL4)&gt;0,SUM(PD4,PH4,PL4),"")</f>
        <v/>
      </c>
      <c r="QA4" s="11" t="str">
        <f t="shared" ref="QA4:QA27" si="131">IF(SUM(PX4,PY4)&gt;0,SUM(PX4,PY4),"")</f>
        <v/>
      </c>
      <c r="QB4" s="11" t="str">
        <f t="shared" ref="QB4:QB27" si="132">IF(SUM(PP4,PT4)&gt;0,SUM(PP4,PT4),"")</f>
        <v/>
      </c>
      <c r="QC4" s="11" t="str">
        <f t="shared" ref="QC4:QC27" si="133">IF(SUM(PO4:PP4,PR4:PT4,PV4)-SUM(PQ4,PU4)&gt;0,SUM(PO4:PP4,PR4:PT4,PV4)-SUM(PQ4,PU4),"")</f>
        <v/>
      </c>
      <c r="QD4" s="11" t="str">
        <f t="shared" ref="QD4:QD27" si="134">IF(SUM(PX4,PY4,QC4)&gt;0,SUM(PX4,PY4,QC4),"")</f>
        <v/>
      </c>
      <c r="QE4" s="23">
        <f t="shared" ref="QE4:QE27" si="135">IF($CU4="P",CA4,(CA4+AX4)/2)</f>
        <v>19.2</v>
      </c>
      <c r="QF4" s="23">
        <f t="shared" ref="QF4:QF27" si="136">IF($CU4="P",CB4,(CB4+AY4)/2)</f>
        <v>10</v>
      </c>
      <c r="QG4" s="23">
        <f t="shared" ref="QG4:QG27" si="137">IF($CU4="P",CC4,(CC4+AZ4)/2)</f>
        <v>0.3</v>
      </c>
      <c r="QH4" s="23">
        <f t="shared" ref="QH4:QH27" si="138">IF($CU4="P",CD4,(CD4+BA4)/2)</f>
        <v>0.6</v>
      </c>
      <c r="QI4" s="23">
        <f t="shared" ref="QI4:QI27" si="139">IF($CU4="P",CE4,(CE4+BB4)/2)</f>
        <v>18.8</v>
      </c>
      <c r="QJ4" s="23">
        <f t="shared" ref="QJ4:QJ27" si="140">IF($CU4="P",CF4,(CF4+BC4)/2)</f>
        <v>9.6</v>
      </c>
      <c r="QK4" s="23">
        <f t="shared" ref="QK4:QK27" si="141">IF($CU4="P",CG4,(CG4+BD4)/2)</f>
        <v>0.1</v>
      </c>
      <c r="QL4" s="23">
        <f t="shared" ref="QL4:QL27" si="142">IF($CU4="P",CH4,(CH4+BE4)/2)</f>
        <v>0.3</v>
      </c>
      <c r="QM4" s="23">
        <f t="shared" ref="QM4:QM27" si="143">IF($CU4="P",CI4,(CI4+BF4)/2)</f>
        <v>18.5</v>
      </c>
      <c r="QN4" s="23">
        <f t="shared" ref="QN4:QN27" si="144">IF($CU4="P",CJ4,(CJ4+BG4)/2)</f>
        <v>10.199999999999999</v>
      </c>
      <c r="QO4" s="23">
        <f t="shared" ref="QO4:QO27" si="145">IF($CU4="P",CK4,(CK4+BH4)/2)</f>
        <v>0.6</v>
      </c>
      <c r="QP4" s="23">
        <f t="shared" ref="QP4:QP27" si="146">IF($CU4="P",CL4,(CL4+BI4)/2)</f>
        <v>0.44999999999999996</v>
      </c>
      <c r="QQ4" s="23">
        <f t="shared" ref="QQ4:QQ27" si="147">IF($CU4="P",CM4,(CM4+BJ4)/2)</f>
        <v>18.3</v>
      </c>
      <c r="QR4" s="23">
        <f t="shared" ref="QR4:QR27" si="148">IF($CU4="P",CN4,(CN4+BK4)/2)</f>
        <v>10.8</v>
      </c>
      <c r="QS4" s="23">
        <f t="shared" ref="QS4:QS27" si="149">IF($CU4="P",CO4,(CO4+BL4)/2)</f>
        <v>0.8</v>
      </c>
      <c r="QT4" s="23">
        <f t="shared" ref="QT4:QT27" si="150">IF($CU4="P",CP4,(CP4+BM4)/2)</f>
        <v>0.44999999999999996</v>
      </c>
      <c r="QU4" s="23">
        <f t="shared" ref="QU4:QU27" si="151">IF($CU4="P",CQ4,(CQ4+BN4)/2)</f>
        <v>18.75</v>
      </c>
      <c r="QV4" s="23">
        <f t="shared" ref="QV4:QV27" si="152">IF($CU4="P",CR4,(CR4+BO4)/2)</f>
        <v>10.95</v>
      </c>
      <c r="QW4" s="23">
        <f t="shared" ref="QW4:QW27" si="153">IF($CU4="P",CS4,(CS4+BP4)/2)</f>
        <v>0.3</v>
      </c>
      <c r="QX4" s="23">
        <f t="shared" ref="QX4:QX27" si="154">IF($CU4="P",CT4,(CT4+BQ4)/2)</f>
        <v>0.6</v>
      </c>
      <c r="QY4" s="28" t="s">
        <v>57</v>
      </c>
      <c r="QZ4" s="41">
        <f t="shared" ref="QZ4:QZ27" si="155">IF(SUM(QF4,QJ4)&gt;0,SUM(QF4,QJ4),"")</f>
        <v>19.600000000000001</v>
      </c>
      <c r="RA4" s="41">
        <f t="shared" ref="RA4:RA27" si="156">IF(SUM(QE4:QF4,QH4:QJ4,QL4)-QG4-QK4&gt;0,SUM(QE4:QF4,QH4:QJ4,QL4)-QG4-QK4,"")</f>
        <v>58.1</v>
      </c>
      <c r="RB4" s="41">
        <f t="shared" ref="RB4:RB27" si="157">IF(SUM(QM4:QN4,QP4)-QO4&gt;0,SUM(QM4:QN4,QP4)-QO4,"")</f>
        <v>28.549999999999997</v>
      </c>
      <c r="RC4" s="41">
        <f t="shared" ref="RC4:RC27" si="158">IF(SUM(QF4,QJ4,QN4)&gt;0,SUM(QF4,QJ4,QN4),"")</f>
        <v>29.8</v>
      </c>
      <c r="RD4" s="41">
        <f t="shared" ref="RD4:RD27" si="159">IF(SUM(RA4,RB4)&gt;0,SUM(RA4,RB4),"")</f>
        <v>86.65</v>
      </c>
      <c r="RE4" s="41">
        <f t="shared" ref="RE4:RE27" si="160">IF(SUM(QR4,QV4)&gt;0,SUM(QR4,QV4),"")</f>
        <v>21.75</v>
      </c>
      <c r="RF4" s="41">
        <f t="shared" ref="RF4:RF27" si="161">IF(SUM(QQ4:QR4,QT4:QV4,QX4)-SUM(QS4,QW4)&gt;0,SUM(QQ4:QR4,QT4:QV4,QX4)-SUM(QS4,QW4),"")</f>
        <v>58.75</v>
      </c>
      <c r="RG4" s="41">
        <f t="shared" ref="RG4:RG27" si="162">IF(SUM(RA4,RB4,RF4)&gt;0,SUM(RA4,RB4,RF4),"")</f>
        <v>145.4</v>
      </c>
    </row>
    <row r="5" spans="1:475" x14ac:dyDescent="0.2">
      <c r="A5" s="4" cm="1">
        <f t="array" ref="A5">IF(AND(H5&lt;&gt;"",H5&lt;&gt;"No DD"),SUMPRODUCT((H$4:H$28&lt;&gt;"")*(H$4:H$28&lt;&gt;"No DD")*(E$4:E$28&gt;E5))+1,IF(H5="No DD",SUMPRODUCT((H$4:H$28="No DD")*(E$4:E$28&gt;E5))+1+SUMPRODUCT((H$4:H$28&lt;&gt;"")*(H$4:H$28&lt;&gt;"No DD")),""))</f>
        <v>2</v>
      </c>
      <c r="B5" s="5" t="s">
        <v>87</v>
      </c>
      <c r="C5" s="4" t="s">
        <v>5</v>
      </c>
      <c r="D5" s="4">
        <v>2003</v>
      </c>
      <c r="E5" s="9">
        <f t="shared" ref="E5:E27" si="163">SUM(J5:R5)+SUM(J5:O5)*0.0000001+SUM(J5)*0.0000000000001</f>
        <v>186.90001313000539</v>
      </c>
      <c r="F5" s="3" t="str">
        <f t="shared" si="0"/>
        <v>P</v>
      </c>
      <c r="G5" s="3" t="str">
        <f t="shared" si="1"/>
        <v>P</v>
      </c>
      <c r="H5" s="37" t="str">
        <f t="shared" si="2"/>
        <v>Excellence</v>
      </c>
      <c r="I5" s="3" t="str">
        <f t="shared" si="3"/>
        <v>P</v>
      </c>
      <c r="J5" s="8">
        <f>IF(COUNT(AQ5,BT5,CW5)&gt;0,LARGE((AQ5,BT5,CW5),1),0)</f>
        <v>53.6</v>
      </c>
      <c r="K5" s="8" t="str">
        <f t="shared" si="4"/>
        <v>2023 Nationals</v>
      </c>
      <c r="L5" s="8">
        <f>IF(COUNT(AQ5,BT5,CW5)&gt;1,LARGE((AQ5,BT5,CW5),2),0)</f>
        <v>50.9</v>
      </c>
      <c r="M5" s="8" t="str">
        <f t="shared" si="5"/>
        <v>2023 Domestic 3rd Trial</v>
      </c>
      <c r="N5" s="8">
        <f>IF(COUNT(AR5,BU5,CX5)&gt;0,LARGE((AR5,BU5,CX5),1),0)</f>
        <v>26.8</v>
      </c>
      <c r="O5" s="8" t="str">
        <f t="shared" si="6"/>
        <v>2023 Domestic 3rd Trial</v>
      </c>
      <c r="P5" s="8">
        <f t="shared" si="7"/>
        <v>52.199999999999989</v>
      </c>
      <c r="Q5" s="8" t="str">
        <f t="shared" si="8"/>
        <v>2023 Domestic 3rd Trial</v>
      </c>
      <c r="R5" s="8">
        <f t="shared" si="9"/>
        <v>3.3999999999999986</v>
      </c>
      <c r="S5" s="11" t="str">
        <f t="shared" si="10"/>
        <v>(Q1)</v>
      </c>
      <c r="T5" s="8" t="str">
        <f t="shared" si="11"/>
        <v>2023 World Cup POR 1 (July 2)</v>
      </c>
      <c r="U5" s="19">
        <v>18.2</v>
      </c>
      <c r="V5" s="19">
        <v>8.4</v>
      </c>
      <c r="W5" s="19">
        <v>0.6</v>
      </c>
      <c r="X5" s="19">
        <v>0</v>
      </c>
      <c r="Y5" s="19">
        <v>17.8</v>
      </c>
      <c r="Z5" s="19">
        <v>7.6</v>
      </c>
      <c r="AA5" s="19">
        <v>0.6</v>
      </c>
      <c r="AB5" s="19">
        <v>0</v>
      </c>
      <c r="AC5" s="19">
        <v>18.8</v>
      </c>
      <c r="AD5" s="19">
        <v>7.6</v>
      </c>
      <c r="AE5" s="19">
        <v>0</v>
      </c>
      <c r="AF5" s="19">
        <v>0.3</v>
      </c>
      <c r="AG5" s="19">
        <v>18.3</v>
      </c>
      <c r="AH5" s="19">
        <v>7.2</v>
      </c>
      <c r="AI5" s="19">
        <v>0</v>
      </c>
      <c r="AJ5" s="19">
        <v>0</v>
      </c>
      <c r="AK5" s="19">
        <v>18.8</v>
      </c>
      <c r="AL5" s="19">
        <v>7.6</v>
      </c>
      <c r="AM5" s="19">
        <v>0.6</v>
      </c>
      <c r="AN5" s="19">
        <v>0</v>
      </c>
      <c r="AO5" s="28"/>
      <c r="AP5" s="41">
        <f t="shared" si="12"/>
        <v>16</v>
      </c>
      <c r="AQ5" s="41">
        <f t="shared" si="13"/>
        <v>50.800000000000004</v>
      </c>
      <c r="AR5" s="41">
        <f t="shared" si="14"/>
        <v>26.7</v>
      </c>
      <c r="AS5" s="41">
        <f t="shared" si="15"/>
        <v>23.6</v>
      </c>
      <c r="AT5" s="41">
        <f t="shared" si="16"/>
        <v>77.5</v>
      </c>
      <c r="AU5" s="41">
        <f t="shared" si="17"/>
        <v>14.8</v>
      </c>
      <c r="AV5" s="41">
        <f t="shared" si="18"/>
        <v>51.3</v>
      </c>
      <c r="AW5" s="41">
        <f t="shared" si="19"/>
        <v>128.80000000000001</v>
      </c>
      <c r="AX5" s="18">
        <v>18.600000000000001</v>
      </c>
      <c r="AY5" s="18">
        <v>7.6</v>
      </c>
      <c r="AZ5" s="18">
        <v>0.6</v>
      </c>
      <c r="BA5" s="18">
        <v>0</v>
      </c>
      <c r="BB5" s="18">
        <v>18.5</v>
      </c>
      <c r="BC5" s="18">
        <v>9.1999999999999993</v>
      </c>
      <c r="BD5" s="18">
        <v>0</v>
      </c>
      <c r="BE5" s="18">
        <v>0.3</v>
      </c>
      <c r="BF5" s="18">
        <v>18.399999999999999</v>
      </c>
      <c r="BG5" s="18">
        <v>8.4</v>
      </c>
      <c r="BH5" s="18">
        <v>0.6</v>
      </c>
      <c r="BI5" s="18">
        <v>0.3</v>
      </c>
      <c r="BJ5" s="18">
        <v>18.600000000000001</v>
      </c>
      <c r="BK5" s="18">
        <v>6.8</v>
      </c>
      <c r="BL5" s="18">
        <v>1</v>
      </c>
      <c r="BM5" s="18">
        <v>0</v>
      </c>
      <c r="BN5" s="18">
        <v>18.8</v>
      </c>
      <c r="BO5" s="18">
        <v>8</v>
      </c>
      <c r="BP5" s="18">
        <v>0.6</v>
      </c>
      <c r="BQ5" s="18">
        <v>0.3</v>
      </c>
      <c r="BR5" s="29"/>
      <c r="BS5" s="11">
        <f t="shared" si="20"/>
        <v>16.799999999999997</v>
      </c>
      <c r="BT5" s="11">
        <f t="shared" si="21"/>
        <v>53.6</v>
      </c>
      <c r="BU5" s="11">
        <f t="shared" si="22"/>
        <v>26.499999999999996</v>
      </c>
      <c r="BV5" s="11">
        <f t="shared" si="23"/>
        <v>25.199999999999996</v>
      </c>
      <c r="BW5" s="11">
        <f t="shared" si="24"/>
        <v>80.099999999999994</v>
      </c>
      <c r="BX5" s="11">
        <f t="shared" si="25"/>
        <v>14.8</v>
      </c>
      <c r="BY5" s="11">
        <f t="shared" si="26"/>
        <v>50.9</v>
      </c>
      <c r="BZ5" s="11">
        <f t="shared" si="27"/>
        <v>131</v>
      </c>
      <c r="CA5" s="19">
        <v>18.7</v>
      </c>
      <c r="CB5" s="19">
        <v>7.2</v>
      </c>
      <c r="CC5" s="19">
        <v>0.6</v>
      </c>
      <c r="CD5" s="19">
        <v>0</v>
      </c>
      <c r="CE5" s="19">
        <v>18</v>
      </c>
      <c r="CF5" s="19">
        <v>7.6</v>
      </c>
      <c r="CG5" s="19">
        <v>0</v>
      </c>
      <c r="CH5" s="19">
        <v>0</v>
      </c>
      <c r="CI5" s="19">
        <v>18.5</v>
      </c>
      <c r="CJ5" s="19">
        <v>8.8000000000000007</v>
      </c>
      <c r="CK5" s="19">
        <v>0.8</v>
      </c>
      <c r="CL5" s="19">
        <v>0.3</v>
      </c>
      <c r="CM5" s="19">
        <v>18.399999999999999</v>
      </c>
      <c r="CN5" s="19">
        <v>8.4</v>
      </c>
      <c r="CO5" s="19">
        <v>1</v>
      </c>
      <c r="CP5" s="19">
        <v>0</v>
      </c>
      <c r="CQ5" s="19">
        <v>18.3</v>
      </c>
      <c r="CR5" s="19">
        <v>8.4</v>
      </c>
      <c r="CS5" s="19">
        <v>0.6</v>
      </c>
      <c r="CT5" s="19">
        <v>0.3</v>
      </c>
      <c r="CU5" s="28"/>
      <c r="CV5" s="41">
        <f t="shared" si="28"/>
        <v>14.8</v>
      </c>
      <c r="CW5" s="41">
        <f t="shared" si="29"/>
        <v>50.9</v>
      </c>
      <c r="CX5" s="41">
        <f t="shared" si="30"/>
        <v>26.8</v>
      </c>
      <c r="CY5" s="41">
        <f t="shared" si="31"/>
        <v>23.6</v>
      </c>
      <c r="CZ5" s="41">
        <f t="shared" si="32"/>
        <v>77.7</v>
      </c>
      <c r="DA5" s="41">
        <f t="shared" si="33"/>
        <v>16.8</v>
      </c>
      <c r="DB5" s="41">
        <f t="shared" si="34"/>
        <v>52.199999999999989</v>
      </c>
      <c r="DC5" s="41">
        <f t="shared" si="35"/>
        <v>129.89999999999998</v>
      </c>
      <c r="DD5" s="52">
        <f t="shared" si="36"/>
        <v>3.3999999999999986</v>
      </c>
      <c r="DE5" s="52" t="str">
        <f t="shared" si="37"/>
        <v/>
      </c>
      <c r="DF5" s="52">
        <f t="shared" si="38"/>
        <v>1.4000000000000128</v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39"/>
        <v/>
      </c>
      <c r="EB5" s="41" t="str">
        <f t="shared" si="40"/>
        <v/>
      </c>
      <c r="EC5" s="41" t="str">
        <f t="shared" si="41"/>
        <v/>
      </c>
      <c r="ED5" s="41" t="str">
        <f t="shared" si="42"/>
        <v/>
      </c>
      <c r="EE5" s="41" t="str">
        <f t="shared" si="43"/>
        <v/>
      </c>
      <c r="EF5" s="41" t="str">
        <f t="shared" si="44"/>
        <v/>
      </c>
      <c r="EG5" s="41" t="str">
        <f t="shared" si="45"/>
        <v/>
      </c>
      <c r="EH5" s="41" t="str">
        <f t="shared" si="46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7"/>
        <v/>
      </c>
      <c r="FD5" s="11" t="str">
        <f t="shared" si="48"/>
        <v/>
      </c>
      <c r="FE5" s="11" t="str">
        <f t="shared" si="49"/>
        <v/>
      </c>
      <c r="FF5" s="11" t="str">
        <f t="shared" si="50"/>
        <v/>
      </c>
      <c r="FG5" s="11" t="str">
        <f t="shared" si="51"/>
        <v/>
      </c>
      <c r="FH5" s="11" t="str">
        <f t="shared" si="52"/>
        <v/>
      </c>
      <c r="FI5" s="11" t="str">
        <f t="shared" si="53"/>
        <v/>
      </c>
      <c r="FJ5" s="11" t="str">
        <f t="shared" si="54"/>
        <v/>
      </c>
      <c r="FK5" s="17">
        <v>17.2</v>
      </c>
      <c r="FL5" s="17">
        <v>3.2</v>
      </c>
      <c r="FM5" s="17">
        <v>0</v>
      </c>
      <c r="FN5" s="17">
        <v>0</v>
      </c>
      <c r="FO5" s="17">
        <v>18</v>
      </c>
      <c r="FP5" s="17">
        <v>3.6</v>
      </c>
      <c r="FQ5" s="17">
        <v>0.6</v>
      </c>
      <c r="FR5" s="17">
        <v>0</v>
      </c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>
        <f t="shared" si="55"/>
        <v>6.8000000000000007</v>
      </c>
      <c r="GF5" s="41">
        <f t="shared" si="56"/>
        <v>41.4</v>
      </c>
      <c r="GG5" s="41" t="str">
        <f t="shared" si="57"/>
        <v/>
      </c>
      <c r="GH5" s="41">
        <f t="shared" si="58"/>
        <v>6.8000000000000007</v>
      </c>
      <c r="GI5" s="41">
        <f t="shared" si="59"/>
        <v>41.4</v>
      </c>
      <c r="GJ5" s="41" t="str">
        <f t="shared" si="60"/>
        <v/>
      </c>
      <c r="GK5" s="41" t="str">
        <f t="shared" si="61"/>
        <v/>
      </c>
      <c r="GL5" s="41">
        <f t="shared" si="62"/>
        <v>41.4</v>
      </c>
      <c r="GM5" s="18">
        <v>18.899999999999999</v>
      </c>
      <c r="GN5" s="18">
        <v>8.4</v>
      </c>
      <c r="GO5" s="18">
        <v>0</v>
      </c>
      <c r="GP5" s="18">
        <v>0</v>
      </c>
      <c r="GQ5" s="18">
        <v>18.600000000000001</v>
      </c>
      <c r="GR5" s="18">
        <v>8.4</v>
      </c>
      <c r="GS5" s="18">
        <v>0</v>
      </c>
      <c r="GT5" s="18">
        <v>0</v>
      </c>
      <c r="GU5" s="18"/>
      <c r="GV5" s="18"/>
      <c r="GW5" s="18"/>
      <c r="GX5" s="18"/>
      <c r="GY5" s="18">
        <v>18.8</v>
      </c>
      <c r="GZ5" s="18">
        <v>9.1999999999999993</v>
      </c>
      <c r="HA5" s="18">
        <v>0</v>
      </c>
      <c r="HB5" s="18">
        <v>0</v>
      </c>
      <c r="HC5" s="18">
        <v>18.2</v>
      </c>
      <c r="HD5" s="18">
        <v>8</v>
      </c>
      <c r="HE5" s="18">
        <v>0.6</v>
      </c>
      <c r="HF5" s="18">
        <v>0</v>
      </c>
      <c r="HG5" s="11">
        <f t="shared" si="63"/>
        <v>16.8</v>
      </c>
      <c r="HH5" s="11">
        <f t="shared" si="64"/>
        <v>54.3</v>
      </c>
      <c r="HI5" s="11" t="str">
        <f t="shared" si="65"/>
        <v/>
      </c>
      <c r="HJ5" s="11">
        <f t="shared" si="66"/>
        <v>16.8</v>
      </c>
      <c r="HK5" s="11">
        <f t="shared" si="67"/>
        <v>54.3</v>
      </c>
      <c r="HL5" s="11">
        <f t="shared" si="68"/>
        <v>17.2</v>
      </c>
      <c r="HM5" s="11">
        <f t="shared" si="69"/>
        <v>53.6</v>
      </c>
      <c r="HN5" s="11">
        <f t="shared" si="70"/>
        <v>107.9</v>
      </c>
      <c r="HO5" s="17">
        <v>18.100000000000001</v>
      </c>
      <c r="HP5" s="17">
        <v>8</v>
      </c>
      <c r="HQ5" s="17">
        <v>0.8</v>
      </c>
      <c r="HR5" s="17">
        <v>0</v>
      </c>
      <c r="HS5" s="17">
        <v>17.899999999999999</v>
      </c>
      <c r="HT5" s="17">
        <v>8.8000000000000007</v>
      </c>
      <c r="HU5" s="17">
        <v>0.6</v>
      </c>
      <c r="HV5" s="17">
        <v>0</v>
      </c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>
        <f t="shared" si="71"/>
        <v>16.8</v>
      </c>
      <c r="IJ5" s="41">
        <f t="shared" si="72"/>
        <v>51.4</v>
      </c>
      <c r="IK5" s="41" t="str">
        <f t="shared" si="73"/>
        <v/>
      </c>
      <c r="IL5" s="41">
        <f t="shared" si="74"/>
        <v>16.8</v>
      </c>
      <c r="IM5" s="41">
        <f t="shared" si="75"/>
        <v>51.4</v>
      </c>
      <c r="IN5" s="41" t="str">
        <f t="shared" si="76"/>
        <v/>
      </c>
      <c r="IO5" s="41" t="str">
        <f t="shared" si="77"/>
        <v/>
      </c>
      <c r="IP5" s="41">
        <f t="shared" si="78"/>
        <v>51.4</v>
      </c>
      <c r="IQ5" s="18">
        <v>18.399999999999999</v>
      </c>
      <c r="IR5" s="18">
        <v>8.8000000000000007</v>
      </c>
      <c r="IS5" s="18">
        <v>0</v>
      </c>
      <c r="IT5" s="18">
        <v>0</v>
      </c>
      <c r="IU5" s="18">
        <v>18.100000000000001</v>
      </c>
      <c r="IV5" s="18">
        <v>7.2</v>
      </c>
      <c r="IW5" s="18">
        <v>0.6</v>
      </c>
      <c r="IX5" s="18">
        <v>0</v>
      </c>
      <c r="IY5" s="18"/>
      <c r="IZ5" s="18"/>
      <c r="JA5" s="18"/>
      <c r="JB5" s="18"/>
      <c r="JC5" s="18">
        <v>18.600000000000001</v>
      </c>
      <c r="JD5" s="18">
        <v>9.1999999999999993</v>
      </c>
      <c r="JE5" s="18">
        <v>0.6</v>
      </c>
      <c r="JF5" s="18">
        <v>0</v>
      </c>
      <c r="JG5" s="18">
        <v>18.399999999999999</v>
      </c>
      <c r="JH5" s="18">
        <v>8.4</v>
      </c>
      <c r="JI5" s="18">
        <v>0.6</v>
      </c>
      <c r="JJ5" s="18">
        <v>0</v>
      </c>
      <c r="JK5" s="11">
        <f t="shared" si="79"/>
        <v>16</v>
      </c>
      <c r="JL5" s="11">
        <f t="shared" si="80"/>
        <v>51.9</v>
      </c>
      <c r="JM5" s="11" t="str">
        <f t="shared" si="81"/>
        <v/>
      </c>
      <c r="JN5" s="11">
        <f t="shared" si="82"/>
        <v>16</v>
      </c>
      <c r="JO5" s="11">
        <f t="shared" si="83"/>
        <v>51.9</v>
      </c>
      <c r="JP5" s="11">
        <f t="shared" si="84"/>
        <v>17.600000000000001</v>
      </c>
      <c r="JQ5" s="11">
        <f t="shared" si="85"/>
        <v>53.4</v>
      </c>
      <c r="JR5" s="11">
        <f t="shared" si="86"/>
        <v>105.3</v>
      </c>
      <c r="JS5" s="17">
        <v>18.100000000000001</v>
      </c>
      <c r="JT5" s="17">
        <v>9.1999999999999993</v>
      </c>
      <c r="JU5" s="17">
        <v>0.6</v>
      </c>
      <c r="JV5" s="17">
        <v>0</v>
      </c>
      <c r="JW5" s="17">
        <v>18.600000000000001</v>
      </c>
      <c r="JX5" s="17">
        <v>8.4</v>
      </c>
      <c r="JY5" s="17">
        <v>0</v>
      </c>
      <c r="JZ5" s="17">
        <v>0</v>
      </c>
      <c r="KA5" s="17">
        <v>18.8</v>
      </c>
      <c r="KB5" s="17">
        <v>7.6</v>
      </c>
      <c r="KC5" s="17">
        <v>0</v>
      </c>
      <c r="KD5" s="17">
        <v>0</v>
      </c>
      <c r="KE5" s="17">
        <v>18.399999999999999</v>
      </c>
      <c r="KF5" s="17">
        <v>7.6</v>
      </c>
      <c r="KG5" s="17">
        <v>0</v>
      </c>
      <c r="KH5" s="17">
        <v>0</v>
      </c>
      <c r="KI5" s="17"/>
      <c r="KJ5" s="17"/>
      <c r="KK5" s="17"/>
      <c r="KL5" s="17"/>
      <c r="KM5" s="41">
        <f t="shared" si="87"/>
        <v>17.600000000000001</v>
      </c>
      <c r="KN5" s="41">
        <f t="shared" si="88"/>
        <v>53.7</v>
      </c>
      <c r="KO5" s="41">
        <f t="shared" si="89"/>
        <v>26.4</v>
      </c>
      <c r="KP5" s="41">
        <f t="shared" si="90"/>
        <v>25.200000000000003</v>
      </c>
      <c r="KQ5" s="41">
        <f t="shared" si="91"/>
        <v>80.099999999999994</v>
      </c>
      <c r="KR5" s="41">
        <f t="shared" si="92"/>
        <v>7.6</v>
      </c>
      <c r="KS5" s="41">
        <f t="shared" si="93"/>
        <v>26</v>
      </c>
      <c r="KT5" s="41">
        <f t="shared" si="94"/>
        <v>106.1</v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5"/>
        <v/>
      </c>
      <c r="LP5" s="11" t="str">
        <f t="shared" si="96"/>
        <v/>
      </c>
      <c r="LQ5" s="11" t="str">
        <f t="shared" si="97"/>
        <v/>
      </c>
      <c r="LR5" s="11" t="str">
        <f t="shared" si="98"/>
        <v/>
      </c>
      <c r="LS5" s="11" t="str">
        <f t="shared" si="99"/>
        <v/>
      </c>
      <c r="LT5" s="11" t="str">
        <f t="shared" si="100"/>
        <v/>
      </c>
      <c r="LU5" s="11" t="str">
        <f t="shared" si="101"/>
        <v/>
      </c>
      <c r="LV5" s="11" t="str">
        <f t="shared" si="102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3"/>
        <v/>
      </c>
      <c r="MR5" s="41" t="str">
        <f t="shared" si="104"/>
        <v/>
      </c>
      <c r="MS5" s="41" t="str">
        <f t="shared" si="105"/>
        <v/>
      </c>
      <c r="MT5" s="41" t="str">
        <f t="shared" si="106"/>
        <v/>
      </c>
      <c r="MU5" s="41" t="str">
        <f t="shared" si="107"/>
        <v/>
      </c>
      <c r="MV5" s="41" t="str">
        <f t="shared" si="108"/>
        <v/>
      </c>
      <c r="MW5" s="41" t="str">
        <f t="shared" si="109"/>
        <v/>
      </c>
      <c r="MX5" s="41" t="str">
        <f t="shared" si="110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1"/>
        <v/>
      </c>
      <c r="NT5" s="11" t="str">
        <f t="shared" si="112"/>
        <v/>
      </c>
      <c r="NU5" s="11" t="str">
        <f t="shared" si="113"/>
        <v/>
      </c>
      <c r="NV5" s="11" t="str">
        <f t="shared" si="114"/>
        <v/>
      </c>
      <c r="NW5" s="11" t="str">
        <f t="shared" si="115"/>
        <v/>
      </c>
      <c r="NX5" s="11" t="str">
        <f t="shared" si="116"/>
        <v/>
      </c>
      <c r="NY5" s="11" t="str">
        <f t="shared" si="117"/>
        <v/>
      </c>
      <c r="NZ5" s="11" t="str">
        <f t="shared" si="118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19"/>
        <v/>
      </c>
      <c r="OV5" s="41" t="str">
        <f t="shared" si="120"/>
        <v/>
      </c>
      <c r="OW5" s="41" t="str">
        <f t="shared" si="121"/>
        <v/>
      </c>
      <c r="OX5" s="41" t="str">
        <f t="shared" si="122"/>
        <v/>
      </c>
      <c r="OY5" s="41" t="str">
        <f t="shared" si="123"/>
        <v/>
      </c>
      <c r="OZ5" s="41" t="str">
        <f t="shared" si="124"/>
        <v/>
      </c>
      <c r="PA5" s="41" t="str">
        <f t="shared" si="125"/>
        <v/>
      </c>
      <c r="PB5" s="41" t="str">
        <f t="shared" si="126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7"/>
        <v/>
      </c>
      <c r="PX5" s="11" t="str">
        <f t="shared" si="128"/>
        <v/>
      </c>
      <c r="PY5" s="11" t="str">
        <f t="shared" si="129"/>
        <v/>
      </c>
      <c r="PZ5" s="11" t="str">
        <f t="shared" si="130"/>
        <v/>
      </c>
      <c r="QA5" s="11" t="str">
        <f t="shared" si="131"/>
        <v/>
      </c>
      <c r="QB5" s="11" t="str">
        <f t="shared" si="132"/>
        <v/>
      </c>
      <c r="QC5" s="11" t="str">
        <f t="shared" si="133"/>
        <v/>
      </c>
      <c r="QD5" s="11" t="str">
        <f t="shared" si="134"/>
        <v/>
      </c>
      <c r="QE5" s="23">
        <f t="shared" si="135"/>
        <v>18.649999999999999</v>
      </c>
      <c r="QF5" s="23">
        <f t="shared" si="136"/>
        <v>7.4</v>
      </c>
      <c r="QG5" s="23">
        <f t="shared" si="137"/>
        <v>0.6</v>
      </c>
      <c r="QH5" s="23">
        <f t="shared" si="138"/>
        <v>0</v>
      </c>
      <c r="QI5" s="23">
        <f t="shared" si="139"/>
        <v>18.25</v>
      </c>
      <c r="QJ5" s="23">
        <f t="shared" si="140"/>
        <v>8.3999999999999986</v>
      </c>
      <c r="QK5" s="23">
        <f t="shared" si="141"/>
        <v>0</v>
      </c>
      <c r="QL5" s="23">
        <f t="shared" si="142"/>
        <v>0.15</v>
      </c>
      <c r="QM5" s="23">
        <f t="shared" si="143"/>
        <v>18.45</v>
      </c>
      <c r="QN5" s="23">
        <f t="shared" si="144"/>
        <v>8.6000000000000014</v>
      </c>
      <c r="QO5" s="23">
        <f t="shared" si="145"/>
        <v>0.7</v>
      </c>
      <c r="QP5" s="23">
        <f t="shared" si="146"/>
        <v>0.3</v>
      </c>
      <c r="QQ5" s="23">
        <f t="shared" si="147"/>
        <v>18.5</v>
      </c>
      <c r="QR5" s="23">
        <f t="shared" si="148"/>
        <v>7.6</v>
      </c>
      <c r="QS5" s="23">
        <f t="shared" si="149"/>
        <v>1</v>
      </c>
      <c r="QT5" s="23">
        <f t="shared" si="150"/>
        <v>0</v>
      </c>
      <c r="QU5" s="23">
        <f t="shared" si="151"/>
        <v>18.55</v>
      </c>
      <c r="QV5" s="23">
        <f t="shared" si="152"/>
        <v>8.1999999999999993</v>
      </c>
      <c r="QW5" s="23">
        <f t="shared" si="153"/>
        <v>0.6</v>
      </c>
      <c r="QX5" s="23">
        <f t="shared" si="154"/>
        <v>0.3</v>
      </c>
      <c r="QY5" s="28" t="s">
        <v>57</v>
      </c>
      <c r="QZ5" s="41">
        <f t="shared" si="155"/>
        <v>15.799999999999999</v>
      </c>
      <c r="RA5" s="41">
        <f t="shared" si="156"/>
        <v>52.249999999999993</v>
      </c>
      <c r="RB5" s="41">
        <f t="shared" si="157"/>
        <v>26.650000000000002</v>
      </c>
      <c r="RC5" s="41">
        <f t="shared" si="158"/>
        <v>24.4</v>
      </c>
      <c r="RD5" s="41">
        <f t="shared" si="159"/>
        <v>78.899999999999991</v>
      </c>
      <c r="RE5" s="41">
        <f t="shared" si="160"/>
        <v>15.799999999999999</v>
      </c>
      <c r="RF5" s="41">
        <f t="shared" si="161"/>
        <v>51.550000000000004</v>
      </c>
      <c r="RG5" s="41">
        <f t="shared" si="162"/>
        <v>130.44999999999999</v>
      </c>
    </row>
    <row r="6" spans="1:475" x14ac:dyDescent="0.2">
      <c r="A6" s="4" cm="1">
        <f t="array" ref="A6">IF(AND(H6&lt;&gt;"",H6&lt;&gt;"No DD"),SUMPRODUCT((H$4:H$28&lt;&gt;"")*(H$4:H$28&lt;&gt;"No DD")*(E$4:E$28&gt;E6))+1,IF(H6="No DD",SUMPRODUCT((H$4:H$28="No DD")*(E$4:E$28&gt;E6))+1+SUMPRODUCT((H$4:H$28&lt;&gt;"")*(H$4:H$28&lt;&gt;"No DD")),""))</f>
        <v>3</v>
      </c>
      <c r="B6" s="5" t="s">
        <v>79</v>
      </c>
      <c r="C6" s="4" t="s">
        <v>3</v>
      </c>
      <c r="D6" s="4">
        <v>2003</v>
      </c>
      <c r="E6" s="9">
        <f t="shared" si="163"/>
        <v>186.80001300000518</v>
      </c>
      <c r="F6" s="3" t="str">
        <f t="shared" si="0"/>
        <v>P</v>
      </c>
      <c r="G6" s="3" t="str">
        <f t="shared" si="1"/>
        <v>P</v>
      </c>
      <c r="H6" s="37" t="str">
        <f t="shared" si="2"/>
        <v>Worlds Team</v>
      </c>
      <c r="I6" s="3" t="str">
        <f t="shared" si="3"/>
        <v>P</v>
      </c>
      <c r="J6" s="8">
        <f>IF(COUNT(AQ6,BT6,CW6)&gt;0,LARGE((AQ6,BT6,CW6),1),0)</f>
        <v>51.5</v>
      </c>
      <c r="K6" s="8" t="str">
        <f t="shared" si="4"/>
        <v>2023 Domestic 3rd Trial</v>
      </c>
      <c r="L6" s="8">
        <f>IF(COUNT(AQ6,BT6,CW6)&gt;1,LARGE((AQ6,BT6,CW6),2),0)</f>
        <v>51.199999999999989</v>
      </c>
      <c r="M6" s="8" t="str">
        <f t="shared" si="5"/>
        <v>2023 Nationals</v>
      </c>
      <c r="N6" s="8">
        <f>IF(COUNT(AR6,BU6,CX6)&gt;0,LARGE((AR6,BU6,CX6),1),0)</f>
        <v>27.3</v>
      </c>
      <c r="O6" s="8" t="str">
        <f t="shared" si="6"/>
        <v>2023 Domestic 3rd Trial</v>
      </c>
      <c r="P6" s="8">
        <f t="shared" si="7"/>
        <v>52.600000000000009</v>
      </c>
      <c r="Q6" s="8" t="str">
        <f t="shared" si="8"/>
        <v>2023 Domestic 3rd Trial</v>
      </c>
      <c r="R6" s="8">
        <f t="shared" si="9"/>
        <v>4.2000000000000171</v>
      </c>
      <c r="S6" s="11" t="str">
        <f t="shared" si="10"/>
        <v>(Q1)</v>
      </c>
      <c r="T6" s="8" t="str">
        <f t="shared" si="11"/>
        <v>2023 World Cup POR 2 (July 8)</v>
      </c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28"/>
      <c r="AP6" s="41" t="str">
        <f t="shared" si="12"/>
        <v/>
      </c>
      <c r="AQ6" s="41" t="str">
        <f t="shared" si="13"/>
        <v/>
      </c>
      <c r="AR6" s="41" t="str">
        <f t="shared" si="14"/>
        <v/>
      </c>
      <c r="AS6" s="41" t="str">
        <f t="shared" si="15"/>
        <v/>
      </c>
      <c r="AT6" s="41" t="str">
        <f t="shared" si="16"/>
        <v/>
      </c>
      <c r="AU6" s="41" t="str">
        <f t="shared" si="17"/>
        <v/>
      </c>
      <c r="AV6" s="41" t="str">
        <f t="shared" si="18"/>
        <v/>
      </c>
      <c r="AW6" s="41" t="str">
        <f t="shared" si="19"/>
        <v/>
      </c>
      <c r="AX6" s="18">
        <v>19.2</v>
      </c>
      <c r="AY6" s="18">
        <v>9.1999999999999993</v>
      </c>
      <c r="AZ6" s="18">
        <v>0.2</v>
      </c>
      <c r="BA6" s="18">
        <v>0.3</v>
      </c>
      <c r="BB6" s="18">
        <v>17.600000000000001</v>
      </c>
      <c r="BC6" s="18">
        <v>4.8</v>
      </c>
      <c r="BD6" s="18">
        <v>0</v>
      </c>
      <c r="BE6" s="18">
        <v>0.3</v>
      </c>
      <c r="BF6" s="18">
        <v>17.600000000000001</v>
      </c>
      <c r="BG6" s="18">
        <v>3.6</v>
      </c>
      <c r="BH6" s="18">
        <v>0</v>
      </c>
      <c r="BI6" s="18">
        <v>0</v>
      </c>
      <c r="BJ6" s="18"/>
      <c r="BK6" s="18"/>
      <c r="BL6" s="18"/>
      <c r="BM6" s="18"/>
      <c r="BN6" s="18"/>
      <c r="BO6" s="18"/>
      <c r="BP6" s="18"/>
      <c r="BQ6" s="18"/>
      <c r="BR6" s="29"/>
      <c r="BS6" s="11">
        <f t="shared" si="20"/>
        <v>14</v>
      </c>
      <c r="BT6" s="11">
        <f t="shared" si="21"/>
        <v>51.199999999999989</v>
      </c>
      <c r="BU6" s="11">
        <f t="shared" si="22"/>
        <v>21.200000000000003</v>
      </c>
      <c r="BV6" s="11">
        <f t="shared" si="23"/>
        <v>17.600000000000001</v>
      </c>
      <c r="BW6" s="11">
        <f t="shared" si="24"/>
        <v>72.399999999999991</v>
      </c>
      <c r="BX6" s="11" t="str">
        <f t="shared" si="25"/>
        <v/>
      </c>
      <c r="BY6" s="11" t="str">
        <f t="shared" si="26"/>
        <v/>
      </c>
      <c r="BZ6" s="11">
        <f t="shared" si="27"/>
        <v>72.399999999999991</v>
      </c>
      <c r="CA6" s="19">
        <v>17.100000000000001</v>
      </c>
      <c r="CB6" s="19">
        <v>8</v>
      </c>
      <c r="CC6" s="19">
        <v>1</v>
      </c>
      <c r="CD6" s="19">
        <v>0.3</v>
      </c>
      <c r="CE6" s="19">
        <v>19.100000000000001</v>
      </c>
      <c r="CF6" s="19">
        <v>8.4</v>
      </c>
      <c r="CG6" s="19">
        <v>0.4</v>
      </c>
      <c r="CH6" s="19">
        <v>0</v>
      </c>
      <c r="CI6" s="19">
        <v>19</v>
      </c>
      <c r="CJ6" s="19">
        <v>8.4</v>
      </c>
      <c r="CK6" s="19">
        <v>0.4</v>
      </c>
      <c r="CL6" s="19">
        <v>0.3</v>
      </c>
      <c r="CM6" s="19">
        <v>19.100000000000001</v>
      </c>
      <c r="CN6" s="19">
        <v>8</v>
      </c>
      <c r="CO6" s="19">
        <v>0.6</v>
      </c>
      <c r="CP6" s="19">
        <v>0.3</v>
      </c>
      <c r="CQ6" s="19">
        <v>19</v>
      </c>
      <c r="CR6" s="19">
        <v>7.6</v>
      </c>
      <c r="CS6" s="19">
        <v>0.8</v>
      </c>
      <c r="CT6" s="19">
        <v>0</v>
      </c>
      <c r="CU6" s="28"/>
      <c r="CV6" s="41">
        <f t="shared" si="28"/>
        <v>16.399999999999999</v>
      </c>
      <c r="CW6" s="41">
        <f t="shared" si="29"/>
        <v>51.5</v>
      </c>
      <c r="CX6" s="41">
        <f t="shared" si="30"/>
        <v>27.3</v>
      </c>
      <c r="CY6" s="41">
        <f t="shared" si="31"/>
        <v>24.799999999999997</v>
      </c>
      <c r="CZ6" s="41">
        <f t="shared" si="32"/>
        <v>78.8</v>
      </c>
      <c r="DA6" s="41">
        <f t="shared" si="33"/>
        <v>15.6</v>
      </c>
      <c r="DB6" s="41">
        <f t="shared" si="34"/>
        <v>52.600000000000009</v>
      </c>
      <c r="DC6" s="41">
        <f t="shared" si="35"/>
        <v>131.4</v>
      </c>
      <c r="DD6" s="52">
        <f t="shared" si="36"/>
        <v>4.2000000000000171</v>
      </c>
      <c r="DE6" s="52" t="str">
        <f t="shared" si="37"/>
        <v/>
      </c>
      <c r="DF6" s="52" t="str">
        <f t="shared" si="38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39"/>
        <v/>
      </c>
      <c r="EB6" s="41" t="str">
        <f t="shared" si="40"/>
        <v/>
      </c>
      <c r="EC6" s="41" t="str">
        <f t="shared" si="41"/>
        <v/>
      </c>
      <c r="ED6" s="41" t="str">
        <f t="shared" si="42"/>
        <v/>
      </c>
      <c r="EE6" s="41" t="str">
        <f t="shared" si="43"/>
        <v/>
      </c>
      <c r="EF6" s="41" t="str">
        <f t="shared" si="44"/>
        <v/>
      </c>
      <c r="EG6" s="41" t="str">
        <f t="shared" si="45"/>
        <v/>
      </c>
      <c r="EH6" s="41" t="str">
        <f t="shared" si="46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1" t="str">
        <f t="shared" si="47"/>
        <v/>
      </c>
      <c r="FD6" s="11" t="str">
        <f t="shared" si="48"/>
        <v/>
      </c>
      <c r="FE6" s="11" t="str">
        <f t="shared" si="49"/>
        <v/>
      </c>
      <c r="FF6" s="11" t="str">
        <f t="shared" si="50"/>
        <v/>
      </c>
      <c r="FG6" s="11" t="str">
        <f t="shared" si="51"/>
        <v/>
      </c>
      <c r="FH6" s="11" t="str">
        <f t="shared" si="52"/>
        <v/>
      </c>
      <c r="FI6" s="11" t="str">
        <f t="shared" si="53"/>
        <v/>
      </c>
      <c r="FJ6" s="11" t="str">
        <f t="shared" si="54"/>
        <v/>
      </c>
      <c r="FK6" s="17"/>
      <c r="FL6" s="17"/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 t="str">
        <f t="shared" si="55"/>
        <v/>
      </c>
      <c r="GF6" s="41" t="str">
        <f t="shared" si="56"/>
        <v/>
      </c>
      <c r="GG6" s="41" t="str">
        <f t="shared" si="57"/>
        <v/>
      </c>
      <c r="GH6" s="41" t="str">
        <f t="shared" si="58"/>
        <v/>
      </c>
      <c r="GI6" s="41" t="str">
        <f t="shared" si="59"/>
        <v/>
      </c>
      <c r="GJ6" s="41" t="str">
        <f t="shared" si="60"/>
        <v/>
      </c>
      <c r="GK6" s="41" t="str">
        <f t="shared" si="61"/>
        <v/>
      </c>
      <c r="GL6" s="41" t="str">
        <f t="shared" si="62"/>
        <v/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3"/>
        <v/>
      </c>
      <c r="HH6" s="11" t="str">
        <f t="shared" si="64"/>
        <v/>
      </c>
      <c r="HI6" s="11" t="str">
        <f t="shared" si="65"/>
        <v/>
      </c>
      <c r="HJ6" s="11" t="str">
        <f t="shared" si="66"/>
        <v/>
      </c>
      <c r="HK6" s="11" t="str">
        <f t="shared" si="67"/>
        <v/>
      </c>
      <c r="HL6" s="11" t="str">
        <f t="shared" si="68"/>
        <v/>
      </c>
      <c r="HM6" s="11" t="str">
        <f t="shared" si="69"/>
        <v/>
      </c>
      <c r="HN6" s="11" t="str">
        <f t="shared" si="70"/>
        <v/>
      </c>
      <c r="HO6" s="17">
        <v>18.600000000000001</v>
      </c>
      <c r="HP6" s="17">
        <v>9.1999999999999993</v>
      </c>
      <c r="HQ6" s="17">
        <v>0.2</v>
      </c>
      <c r="HR6" s="17">
        <v>0</v>
      </c>
      <c r="HS6" s="17">
        <v>18.600000000000001</v>
      </c>
      <c r="HT6" s="17">
        <v>9.1999999999999993</v>
      </c>
      <c r="HU6" s="17">
        <v>0</v>
      </c>
      <c r="HV6" s="17">
        <v>0</v>
      </c>
      <c r="HW6" s="17"/>
      <c r="HX6" s="17"/>
      <c r="HY6" s="17"/>
      <c r="HZ6" s="17"/>
      <c r="IA6" s="17">
        <v>18.399999999999999</v>
      </c>
      <c r="IB6" s="17">
        <v>10</v>
      </c>
      <c r="IC6" s="17">
        <v>0.6</v>
      </c>
      <c r="ID6" s="17">
        <v>0</v>
      </c>
      <c r="IE6" s="17"/>
      <c r="IF6" s="17"/>
      <c r="IG6" s="17"/>
      <c r="IH6" s="17"/>
      <c r="II6" s="41">
        <f t="shared" si="71"/>
        <v>18.399999999999999</v>
      </c>
      <c r="IJ6" s="41">
        <f t="shared" si="72"/>
        <v>55.400000000000006</v>
      </c>
      <c r="IK6" s="41" t="str">
        <f t="shared" si="73"/>
        <v/>
      </c>
      <c r="IL6" s="41">
        <f t="shared" si="74"/>
        <v>18.399999999999999</v>
      </c>
      <c r="IM6" s="41">
        <f t="shared" si="75"/>
        <v>55.400000000000006</v>
      </c>
      <c r="IN6" s="41">
        <f t="shared" si="76"/>
        <v>10</v>
      </c>
      <c r="IO6" s="41">
        <f t="shared" si="77"/>
        <v>27.799999999999997</v>
      </c>
      <c r="IP6" s="41">
        <f t="shared" si="78"/>
        <v>83.2</v>
      </c>
      <c r="IQ6" s="18"/>
      <c r="IR6" s="18"/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1" t="str">
        <f t="shared" si="79"/>
        <v/>
      </c>
      <c r="JL6" s="11" t="str">
        <f t="shared" si="80"/>
        <v/>
      </c>
      <c r="JM6" s="11" t="str">
        <f t="shared" si="81"/>
        <v/>
      </c>
      <c r="JN6" s="11" t="str">
        <f t="shared" si="82"/>
        <v/>
      </c>
      <c r="JO6" s="11" t="str">
        <f t="shared" si="83"/>
        <v/>
      </c>
      <c r="JP6" s="11" t="str">
        <f t="shared" si="84"/>
        <v/>
      </c>
      <c r="JQ6" s="11" t="str">
        <f t="shared" si="85"/>
        <v/>
      </c>
      <c r="JR6" s="11" t="str">
        <f t="shared" si="86"/>
        <v/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7"/>
        <v/>
      </c>
      <c r="KN6" s="41" t="str">
        <f t="shared" si="88"/>
        <v/>
      </c>
      <c r="KO6" s="41" t="str">
        <f t="shared" si="89"/>
        <v/>
      </c>
      <c r="KP6" s="41" t="str">
        <f t="shared" si="90"/>
        <v/>
      </c>
      <c r="KQ6" s="41" t="str">
        <f t="shared" si="91"/>
        <v/>
      </c>
      <c r="KR6" s="41" t="str">
        <f t="shared" si="92"/>
        <v/>
      </c>
      <c r="KS6" s="41" t="str">
        <f t="shared" si="93"/>
        <v/>
      </c>
      <c r="KT6" s="41" t="str">
        <f t="shared" si="94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5"/>
        <v/>
      </c>
      <c r="LP6" s="11" t="str">
        <f t="shared" si="96"/>
        <v/>
      </c>
      <c r="LQ6" s="11" t="str">
        <f t="shared" si="97"/>
        <v/>
      </c>
      <c r="LR6" s="11" t="str">
        <f t="shared" si="98"/>
        <v/>
      </c>
      <c r="LS6" s="11" t="str">
        <f t="shared" si="99"/>
        <v/>
      </c>
      <c r="LT6" s="11" t="str">
        <f t="shared" si="100"/>
        <v/>
      </c>
      <c r="LU6" s="11" t="str">
        <f t="shared" si="101"/>
        <v/>
      </c>
      <c r="LV6" s="11" t="str">
        <f t="shared" si="102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3"/>
        <v/>
      </c>
      <c r="MR6" s="41" t="str">
        <f t="shared" si="104"/>
        <v/>
      </c>
      <c r="MS6" s="41" t="str">
        <f t="shared" si="105"/>
        <v/>
      </c>
      <c r="MT6" s="41" t="str">
        <f t="shared" si="106"/>
        <v/>
      </c>
      <c r="MU6" s="41" t="str">
        <f t="shared" si="107"/>
        <v/>
      </c>
      <c r="MV6" s="41" t="str">
        <f t="shared" si="108"/>
        <v/>
      </c>
      <c r="MW6" s="41" t="str">
        <f t="shared" si="109"/>
        <v/>
      </c>
      <c r="MX6" s="41" t="str">
        <f t="shared" si="110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1"/>
        <v/>
      </c>
      <c r="NT6" s="11" t="str">
        <f t="shared" si="112"/>
        <v/>
      </c>
      <c r="NU6" s="11" t="str">
        <f t="shared" si="113"/>
        <v/>
      </c>
      <c r="NV6" s="11" t="str">
        <f t="shared" si="114"/>
        <v/>
      </c>
      <c r="NW6" s="11" t="str">
        <f t="shared" si="115"/>
        <v/>
      </c>
      <c r="NX6" s="11" t="str">
        <f t="shared" si="116"/>
        <v/>
      </c>
      <c r="NY6" s="11" t="str">
        <f t="shared" si="117"/>
        <v/>
      </c>
      <c r="NZ6" s="11" t="str">
        <f t="shared" si="118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19"/>
        <v/>
      </c>
      <c r="OV6" s="41" t="str">
        <f t="shared" si="120"/>
        <v/>
      </c>
      <c r="OW6" s="41" t="str">
        <f t="shared" si="121"/>
        <v/>
      </c>
      <c r="OX6" s="41" t="str">
        <f t="shared" si="122"/>
        <v/>
      </c>
      <c r="OY6" s="41" t="str">
        <f t="shared" si="123"/>
        <v/>
      </c>
      <c r="OZ6" s="41" t="str">
        <f t="shared" si="124"/>
        <v/>
      </c>
      <c r="PA6" s="41" t="str">
        <f t="shared" si="125"/>
        <v/>
      </c>
      <c r="PB6" s="41" t="str">
        <f t="shared" si="126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7"/>
        <v/>
      </c>
      <c r="PX6" s="11" t="str">
        <f t="shared" si="128"/>
        <v/>
      </c>
      <c r="PY6" s="11" t="str">
        <f t="shared" si="129"/>
        <v/>
      </c>
      <c r="PZ6" s="11" t="str">
        <f t="shared" si="130"/>
        <v/>
      </c>
      <c r="QA6" s="11" t="str">
        <f t="shared" si="131"/>
        <v/>
      </c>
      <c r="QB6" s="11" t="str">
        <f t="shared" si="132"/>
        <v/>
      </c>
      <c r="QC6" s="11" t="str">
        <f t="shared" si="133"/>
        <v/>
      </c>
      <c r="QD6" s="11" t="str">
        <f t="shared" si="134"/>
        <v/>
      </c>
      <c r="QE6" s="23">
        <f t="shared" si="135"/>
        <v>18.149999999999999</v>
      </c>
      <c r="QF6" s="23">
        <f t="shared" si="136"/>
        <v>8.6</v>
      </c>
      <c r="QG6" s="23">
        <f t="shared" si="137"/>
        <v>0.6</v>
      </c>
      <c r="QH6" s="23">
        <f t="shared" si="138"/>
        <v>0.3</v>
      </c>
      <c r="QI6" s="23">
        <f t="shared" si="139"/>
        <v>18.350000000000001</v>
      </c>
      <c r="QJ6" s="23">
        <f t="shared" si="140"/>
        <v>6.6</v>
      </c>
      <c r="QK6" s="23">
        <f t="shared" si="141"/>
        <v>0.2</v>
      </c>
      <c r="QL6" s="23">
        <f t="shared" si="142"/>
        <v>0.15</v>
      </c>
      <c r="QM6" s="23">
        <f t="shared" si="143"/>
        <v>18.3</v>
      </c>
      <c r="QN6" s="23">
        <f t="shared" si="144"/>
        <v>6</v>
      </c>
      <c r="QO6" s="23">
        <f t="shared" si="145"/>
        <v>0.2</v>
      </c>
      <c r="QP6" s="23">
        <f t="shared" si="146"/>
        <v>0.15</v>
      </c>
      <c r="QQ6" s="23">
        <f t="shared" si="147"/>
        <v>9.5500000000000007</v>
      </c>
      <c r="QR6" s="23">
        <f t="shared" si="148"/>
        <v>4</v>
      </c>
      <c r="QS6" s="23">
        <f t="shared" si="149"/>
        <v>0.3</v>
      </c>
      <c r="QT6" s="23">
        <f t="shared" si="150"/>
        <v>0.15</v>
      </c>
      <c r="QU6" s="23">
        <f t="shared" si="151"/>
        <v>9.5</v>
      </c>
      <c r="QV6" s="23">
        <f t="shared" si="152"/>
        <v>3.8</v>
      </c>
      <c r="QW6" s="23">
        <f t="shared" si="153"/>
        <v>0.4</v>
      </c>
      <c r="QX6" s="23">
        <f t="shared" si="154"/>
        <v>0</v>
      </c>
      <c r="QY6" s="28" t="s">
        <v>57</v>
      </c>
      <c r="QZ6" s="41">
        <f t="shared" si="155"/>
        <v>15.2</v>
      </c>
      <c r="RA6" s="41">
        <f t="shared" si="156"/>
        <v>51.35</v>
      </c>
      <c r="RB6" s="41">
        <f t="shared" si="157"/>
        <v>24.25</v>
      </c>
      <c r="RC6" s="41">
        <f t="shared" si="158"/>
        <v>21.2</v>
      </c>
      <c r="RD6" s="41">
        <f t="shared" si="159"/>
        <v>75.599999999999994</v>
      </c>
      <c r="RE6" s="41">
        <f t="shared" si="160"/>
        <v>7.8</v>
      </c>
      <c r="RF6" s="41">
        <f t="shared" si="161"/>
        <v>26.300000000000004</v>
      </c>
      <c r="RG6" s="41">
        <f t="shared" si="162"/>
        <v>101.9</v>
      </c>
    </row>
    <row r="7" spans="1:475" x14ac:dyDescent="0.2">
      <c r="A7" s="4" cm="1">
        <f t="array" ref="A7">IF(AND(H7&lt;&gt;"",H7&lt;&gt;"No DD"),SUMPRODUCT((H$4:H$28&lt;&gt;"")*(H$4:H$28&lt;&gt;"No DD")*(E$4:E$28&gt;E7))+1,IF(H7="No DD",SUMPRODUCT((H$4:H$28="No DD")*(E$4:E$28&gt;E7))+1+SUMPRODUCT((H$4:H$28&lt;&gt;"")*(H$4:H$28&lt;&gt;"No DD")),""))</f>
        <v>4</v>
      </c>
      <c r="B7" s="5" t="s">
        <v>9</v>
      </c>
      <c r="C7" s="4" t="s">
        <v>5</v>
      </c>
      <c r="D7" s="4">
        <v>1994</v>
      </c>
      <c r="E7" s="9">
        <f t="shared" si="163"/>
        <v>185.40001324000536</v>
      </c>
      <c r="F7" s="3" t="str">
        <f t="shared" si="0"/>
        <v>P</v>
      </c>
      <c r="G7" s="3" t="str">
        <f t="shared" si="1"/>
        <v>P</v>
      </c>
      <c r="H7" s="37" t="str">
        <f t="shared" si="2"/>
        <v>Worlds Team</v>
      </c>
      <c r="I7" s="3" t="str">
        <f t="shared" si="3"/>
        <v>P</v>
      </c>
      <c r="J7" s="8">
        <f>IF(COUNT(AQ7,BT7,CW7)&gt;0,LARGE((AQ7,BT7,CW7),1),0)</f>
        <v>53.400000000000006</v>
      </c>
      <c r="K7" s="8" t="str">
        <f t="shared" si="4"/>
        <v>2023 Domestic 3rd Trial</v>
      </c>
      <c r="L7" s="8">
        <f>IF(COUNT(AQ7,BT7,CW7)&gt;1,LARGE((AQ7,BT7,CW7),2),0)</f>
        <v>53.300000000000004</v>
      </c>
      <c r="M7" s="8" t="str">
        <f t="shared" si="5"/>
        <v>2023 Nationals</v>
      </c>
      <c r="N7" s="8">
        <f>IF(COUNT(AR7,BU7,CX7)&gt;0,LARGE((AR7,BU7,CX7),1),0)</f>
        <v>25.700000000000003</v>
      </c>
      <c r="O7" s="8" t="str">
        <f t="shared" si="6"/>
        <v>2023 Elite Canada</v>
      </c>
      <c r="P7" s="8">
        <f t="shared" si="7"/>
        <v>53</v>
      </c>
      <c r="Q7" s="8" t="str">
        <f t="shared" si="8"/>
        <v>2023 Domestic 3rd Trial</v>
      </c>
      <c r="R7" s="8" t="str">
        <f t="shared" si="9"/>
        <v/>
      </c>
      <c r="S7" s="11" t="str">
        <f t="shared" si="10"/>
        <v/>
      </c>
      <c r="T7" s="8" t="str">
        <f t="shared" si="11"/>
        <v/>
      </c>
      <c r="U7" s="19">
        <v>18.899999999999999</v>
      </c>
      <c r="V7" s="19">
        <v>8.4</v>
      </c>
      <c r="W7" s="19">
        <v>0.6</v>
      </c>
      <c r="X7" s="19">
        <v>0</v>
      </c>
      <c r="Y7" s="19">
        <v>18.2</v>
      </c>
      <c r="Z7" s="19">
        <v>6.4</v>
      </c>
      <c r="AA7" s="19">
        <v>0</v>
      </c>
      <c r="AB7" s="19">
        <v>0</v>
      </c>
      <c r="AC7" s="19">
        <v>18.600000000000001</v>
      </c>
      <c r="AD7" s="19">
        <v>7.3</v>
      </c>
      <c r="AE7" s="19">
        <v>0.2</v>
      </c>
      <c r="AF7" s="19">
        <v>0</v>
      </c>
      <c r="AG7" s="19">
        <v>17.600000000000001</v>
      </c>
      <c r="AH7" s="19">
        <v>4</v>
      </c>
      <c r="AI7" s="19">
        <v>0</v>
      </c>
      <c r="AJ7" s="19">
        <v>0</v>
      </c>
      <c r="AK7" s="19">
        <v>18.399999999999999</v>
      </c>
      <c r="AL7" s="19">
        <v>8</v>
      </c>
      <c r="AM7" s="19">
        <v>0.6</v>
      </c>
      <c r="AN7" s="19">
        <v>0</v>
      </c>
      <c r="AO7" s="28"/>
      <c r="AP7" s="41">
        <f t="shared" si="12"/>
        <v>14.8</v>
      </c>
      <c r="AQ7" s="41">
        <f t="shared" si="13"/>
        <v>51.3</v>
      </c>
      <c r="AR7" s="41">
        <f t="shared" si="14"/>
        <v>25.700000000000003</v>
      </c>
      <c r="AS7" s="41">
        <f t="shared" si="15"/>
        <v>22.1</v>
      </c>
      <c r="AT7" s="41">
        <f t="shared" si="16"/>
        <v>77</v>
      </c>
      <c r="AU7" s="41">
        <f t="shared" si="17"/>
        <v>12</v>
      </c>
      <c r="AV7" s="41">
        <f t="shared" si="18"/>
        <v>47.4</v>
      </c>
      <c r="AW7" s="41">
        <f t="shared" si="19"/>
        <v>124.4</v>
      </c>
      <c r="AX7" s="18">
        <v>18.8</v>
      </c>
      <c r="AY7" s="18">
        <v>8.4</v>
      </c>
      <c r="AZ7" s="18">
        <v>0</v>
      </c>
      <c r="BA7" s="18">
        <v>0</v>
      </c>
      <c r="BB7" s="18">
        <v>18.899999999999999</v>
      </c>
      <c r="BC7" s="18">
        <v>7.2</v>
      </c>
      <c r="BD7" s="18">
        <v>0</v>
      </c>
      <c r="BE7" s="18">
        <v>0</v>
      </c>
      <c r="BF7" s="18">
        <v>16.600000000000001</v>
      </c>
      <c r="BG7" s="18">
        <v>5.4</v>
      </c>
      <c r="BH7" s="18">
        <v>1.4</v>
      </c>
      <c r="BI7" s="18">
        <v>0.3</v>
      </c>
      <c r="BJ7" s="18">
        <v>19</v>
      </c>
      <c r="BK7" s="18">
        <v>8.4</v>
      </c>
      <c r="BL7" s="18">
        <v>0</v>
      </c>
      <c r="BM7" s="18">
        <v>0</v>
      </c>
      <c r="BN7" s="18">
        <v>18.899999999999999</v>
      </c>
      <c r="BO7" s="18">
        <v>7.2</v>
      </c>
      <c r="BP7" s="18">
        <v>0.8</v>
      </c>
      <c r="BQ7" s="18">
        <v>0</v>
      </c>
      <c r="BR7" s="29"/>
      <c r="BS7" s="11">
        <f t="shared" si="20"/>
        <v>15.600000000000001</v>
      </c>
      <c r="BT7" s="11">
        <f t="shared" si="21"/>
        <v>53.300000000000004</v>
      </c>
      <c r="BU7" s="11">
        <f t="shared" si="22"/>
        <v>20.900000000000002</v>
      </c>
      <c r="BV7" s="11">
        <f t="shared" si="23"/>
        <v>21</v>
      </c>
      <c r="BW7" s="11">
        <f t="shared" si="24"/>
        <v>74.2</v>
      </c>
      <c r="BX7" s="11">
        <f t="shared" si="25"/>
        <v>15.600000000000001</v>
      </c>
      <c r="BY7" s="11">
        <f t="shared" si="26"/>
        <v>52.7</v>
      </c>
      <c r="BZ7" s="11">
        <f t="shared" si="27"/>
        <v>126.9</v>
      </c>
      <c r="CA7" s="19">
        <v>18.8</v>
      </c>
      <c r="CB7" s="19">
        <v>8.4</v>
      </c>
      <c r="CC7" s="19">
        <v>0</v>
      </c>
      <c r="CD7" s="19">
        <v>0</v>
      </c>
      <c r="CE7" s="19">
        <v>19</v>
      </c>
      <c r="CF7" s="19">
        <v>7.2</v>
      </c>
      <c r="CG7" s="19">
        <v>0</v>
      </c>
      <c r="CH7" s="19">
        <v>0</v>
      </c>
      <c r="CI7" s="19">
        <v>18.899999999999999</v>
      </c>
      <c r="CJ7" s="19">
        <v>6.4</v>
      </c>
      <c r="CK7" s="19">
        <v>0</v>
      </c>
      <c r="CL7" s="19">
        <v>0</v>
      </c>
      <c r="CM7" s="19">
        <v>18.600000000000001</v>
      </c>
      <c r="CN7" s="19">
        <v>8</v>
      </c>
      <c r="CO7" s="19">
        <v>0</v>
      </c>
      <c r="CP7" s="19">
        <v>0</v>
      </c>
      <c r="CQ7" s="19">
        <v>18.5</v>
      </c>
      <c r="CR7" s="19">
        <v>8.5</v>
      </c>
      <c r="CS7" s="19">
        <v>0.6</v>
      </c>
      <c r="CT7" s="19">
        <v>0</v>
      </c>
      <c r="CU7" s="28"/>
      <c r="CV7" s="41">
        <f t="shared" si="28"/>
        <v>15.600000000000001</v>
      </c>
      <c r="CW7" s="41">
        <f t="shared" si="29"/>
        <v>53.400000000000006</v>
      </c>
      <c r="CX7" s="41">
        <f t="shared" si="30"/>
        <v>25.299999999999997</v>
      </c>
      <c r="CY7" s="41">
        <f t="shared" si="31"/>
        <v>22</v>
      </c>
      <c r="CZ7" s="41">
        <f t="shared" si="32"/>
        <v>78.7</v>
      </c>
      <c r="DA7" s="41">
        <f t="shared" si="33"/>
        <v>16.5</v>
      </c>
      <c r="DB7" s="41">
        <f t="shared" si="34"/>
        <v>53</v>
      </c>
      <c r="DC7" s="41">
        <f t="shared" si="35"/>
        <v>131.69999999999999</v>
      </c>
      <c r="DD7" s="52" t="str">
        <f t="shared" si="36"/>
        <v/>
      </c>
      <c r="DE7" s="52" t="str">
        <f t="shared" si="37"/>
        <v/>
      </c>
      <c r="DF7" s="52" t="str">
        <f t="shared" si="38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39"/>
        <v/>
      </c>
      <c r="EB7" s="41" t="str">
        <f t="shared" si="40"/>
        <v/>
      </c>
      <c r="EC7" s="41" t="str">
        <f t="shared" si="41"/>
        <v/>
      </c>
      <c r="ED7" s="41" t="str">
        <f t="shared" si="42"/>
        <v/>
      </c>
      <c r="EE7" s="41" t="str">
        <f t="shared" si="43"/>
        <v/>
      </c>
      <c r="EF7" s="41" t="str">
        <f t="shared" si="44"/>
        <v/>
      </c>
      <c r="EG7" s="41" t="str">
        <f t="shared" si="45"/>
        <v/>
      </c>
      <c r="EH7" s="41" t="str">
        <f t="shared" si="46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7"/>
        <v/>
      </c>
      <c r="FD7" s="11" t="str">
        <f t="shared" si="48"/>
        <v/>
      </c>
      <c r="FE7" s="11" t="str">
        <f t="shared" si="49"/>
        <v/>
      </c>
      <c r="FF7" s="11" t="str">
        <f t="shared" si="50"/>
        <v/>
      </c>
      <c r="FG7" s="11" t="str">
        <f t="shared" si="51"/>
        <v/>
      </c>
      <c r="FH7" s="11" t="str">
        <f t="shared" si="52"/>
        <v/>
      </c>
      <c r="FI7" s="11" t="str">
        <f t="shared" si="53"/>
        <v/>
      </c>
      <c r="FJ7" s="11" t="str">
        <f t="shared" si="54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5"/>
        <v/>
      </c>
      <c r="GF7" s="41" t="str">
        <f t="shared" si="56"/>
        <v/>
      </c>
      <c r="GG7" s="41" t="str">
        <f t="shared" si="57"/>
        <v/>
      </c>
      <c r="GH7" s="41" t="str">
        <f t="shared" si="58"/>
        <v/>
      </c>
      <c r="GI7" s="41" t="str">
        <f t="shared" si="59"/>
        <v/>
      </c>
      <c r="GJ7" s="41" t="str">
        <f t="shared" si="60"/>
        <v/>
      </c>
      <c r="GK7" s="41" t="str">
        <f t="shared" si="61"/>
        <v/>
      </c>
      <c r="GL7" s="41" t="str">
        <f t="shared" si="62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3"/>
        <v/>
      </c>
      <c r="HH7" s="11" t="str">
        <f t="shared" si="64"/>
        <v/>
      </c>
      <c r="HI7" s="11" t="str">
        <f t="shared" si="65"/>
        <v/>
      </c>
      <c r="HJ7" s="11" t="str">
        <f t="shared" si="66"/>
        <v/>
      </c>
      <c r="HK7" s="11" t="str">
        <f t="shared" si="67"/>
        <v/>
      </c>
      <c r="HL7" s="11" t="str">
        <f t="shared" si="68"/>
        <v/>
      </c>
      <c r="HM7" s="11" t="str">
        <f t="shared" si="69"/>
        <v/>
      </c>
      <c r="HN7" s="11" t="str">
        <f t="shared" si="70"/>
        <v/>
      </c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 t="str">
        <f t="shared" si="71"/>
        <v/>
      </c>
      <c r="IJ7" s="41" t="str">
        <f t="shared" si="72"/>
        <v/>
      </c>
      <c r="IK7" s="41" t="str">
        <f t="shared" si="73"/>
        <v/>
      </c>
      <c r="IL7" s="41" t="str">
        <f t="shared" si="74"/>
        <v/>
      </c>
      <c r="IM7" s="41" t="str">
        <f t="shared" si="75"/>
        <v/>
      </c>
      <c r="IN7" s="41" t="str">
        <f t="shared" si="76"/>
        <v/>
      </c>
      <c r="IO7" s="41" t="str">
        <f t="shared" si="77"/>
        <v/>
      </c>
      <c r="IP7" s="41" t="str">
        <f t="shared" si="78"/>
        <v/>
      </c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1" t="str">
        <f t="shared" si="79"/>
        <v/>
      </c>
      <c r="JL7" s="11" t="str">
        <f t="shared" si="80"/>
        <v/>
      </c>
      <c r="JM7" s="11" t="str">
        <f t="shared" si="81"/>
        <v/>
      </c>
      <c r="JN7" s="11" t="str">
        <f t="shared" si="82"/>
        <v/>
      </c>
      <c r="JO7" s="11" t="str">
        <f t="shared" si="83"/>
        <v/>
      </c>
      <c r="JP7" s="11" t="str">
        <f t="shared" si="84"/>
        <v/>
      </c>
      <c r="JQ7" s="11" t="str">
        <f t="shared" si="85"/>
        <v/>
      </c>
      <c r="JR7" s="11" t="str">
        <f t="shared" si="86"/>
        <v/>
      </c>
      <c r="JS7" s="17">
        <v>17.7</v>
      </c>
      <c r="JT7" s="17">
        <v>7.6</v>
      </c>
      <c r="JU7" s="17">
        <v>1</v>
      </c>
      <c r="JV7" s="17">
        <v>0</v>
      </c>
      <c r="JW7" s="17">
        <v>18.3</v>
      </c>
      <c r="JX7" s="17">
        <v>8.4</v>
      </c>
      <c r="JY7" s="17">
        <v>0</v>
      </c>
      <c r="JZ7" s="17">
        <v>0</v>
      </c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>
        <f t="shared" si="87"/>
        <v>16</v>
      </c>
      <c r="KN7" s="41">
        <f t="shared" si="88"/>
        <v>50.999999999999993</v>
      </c>
      <c r="KO7" s="41" t="str">
        <f t="shared" si="89"/>
        <v/>
      </c>
      <c r="KP7" s="41">
        <f t="shared" si="90"/>
        <v>16</v>
      </c>
      <c r="KQ7" s="41">
        <f t="shared" si="91"/>
        <v>50.999999999999993</v>
      </c>
      <c r="KR7" s="41" t="str">
        <f t="shared" si="92"/>
        <v/>
      </c>
      <c r="KS7" s="41" t="str">
        <f t="shared" si="93"/>
        <v/>
      </c>
      <c r="KT7" s="41">
        <f t="shared" si="94"/>
        <v>50.999999999999993</v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5"/>
        <v/>
      </c>
      <c r="LP7" s="11" t="str">
        <f t="shared" si="96"/>
        <v/>
      </c>
      <c r="LQ7" s="11" t="str">
        <f t="shared" si="97"/>
        <v/>
      </c>
      <c r="LR7" s="11" t="str">
        <f t="shared" si="98"/>
        <v/>
      </c>
      <c r="LS7" s="11" t="str">
        <f t="shared" si="99"/>
        <v/>
      </c>
      <c r="LT7" s="11" t="str">
        <f t="shared" si="100"/>
        <v/>
      </c>
      <c r="LU7" s="11" t="str">
        <f t="shared" si="101"/>
        <v/>
      </c>
      <c r="LV7" s="11" t="str">
        <f t="shared" si="102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3"/>
        <v/>
      </c>
      <c r="MR7" s="41" t="str">
        <f t="shared" si="104"/>
        <v/>
      </c>
      <c r="MS7" s="41" t="str">
        <f t="shared" si="105"/>
        <v/>
      </c>
      <c r="MT7" s="41" t="str">
        <f t="shared" si="106"/>
        <v/>
      </c>
      <c r="MU7" s="41" t="str">
        <f t="shared" si="107"/>
        <v/>
      </c>
      <c r="MV7" s="41" t="str">
        <f t="shared" si="108"/>
        <v/>
      </c>
      <c r="MW7" s="41" t="str">
        <f t="shared" si="109"/>
        <v/>
      </c>
      <c r="MX7" s="41" t="str">
        <f t="shared" si="110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1"/>
        <v/>
      </c>
      <c r="NT7" s="11" t="str">
        <f t="shared" si="112"/>
        <v/>
      </c>
      <c r="NU7" s="11" t="str">
        <f t="shared" si="113"/>
        <v/>
      </c>
      <c r="NV7" s="11" t="str">
        <f t="shared" si="114"/>
        <v/>
      </c>
      <c r="NW7" s="11" t="str">
        <f t="shared" si="115"/>
        <v/>
      </c>
      <c r="NX7" s="11" t="str">
        <f t="shared" si="116"/>
        <v/>
      </c>
      <c r="NY7" s="11" t="str">
        <f t="shared" si="117"/>
        <v/>
      </c>
      <c r="NZ7" s="11" t="str">
        <f t="shared" si="118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19"/>
        <v/>
      </c>
      <c r="OV7" s="41" t="str">
        <f t="shared" si="120"/>
        <v/>
      </c>
      <c r="OW7" s="41" t="str">
        <f t="shared" si="121"/>
        <v/>
      </c>
      <c r="OX7" s="41" t="str">
        <f t="shared" si="122"/>
        <v/>
      </c>
      <c r="OY7" s="41" t="str">
        <f t="shared" si="123"/>
        <v/>
      </c>
      <c r="OZ7" s="41" t="str">
        <f t="shared" si="124"/>
        <v/>
      </c>
      <c r="PA7" s="41" t="str">
        <f t="shared" si="125"/>
        <v/>
      </c>
      <c r="PB7" s="41" t="str">
        <f t="shared" si="126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7"/>
        <v/>
      </c>
      <c r="PX7" s="11" t="str">
        <f t="shared" si="128"/>
        <v/>
      </c>
      <c r="PY7" s="11" t="str">
        <f t="shared" si="129"/>
        <v/>
      </c>
      <c r="PZ7" s="11" t="str">
        <f t="shared" si="130"/>
        <v/>
      </c>
      <c r="QA7" s="11" t="str">
        <f t="shared" si="131"/>
        <v/>
      </c>
      <c r="QB7" s="11" t="str">
        <f t="shared" si="132"/>
        <v/>
      </c>
      <c r="QC7" s="11" t="str">
        <f t="shared" si="133"/>
        <v/>
      </c>
      <c r="QD7" s="11" t="str">
        <f t="shared" si="134"/>
        <v/>
      </c>
      <c r="QE7" s="23">
        <f t="shared" si="135"/>
        <v>18.8</v>
      </c>
      <c r="QF7" s="23">
        <f t="shared" si="136"/>
        <v>8.4</v>
      </c>
      <c r="QG7" s="23">
        <f t="shared" si="137"/>
        <v>0</v>
      </c>
      <c r="QH7" s="23">
        <f t="shared" si="138"/>
        <v>0</v>
      </c>
      <c r="QI7" s="23">
        <f t="shared" si="139"/>
        <v>18.95</v>
      </c>
      <c r="QJ7" s="23">
        <f t="shared" si="140"/>
        <v>7.2</v>
      </c>
      <c r="QK7" s="23">
        <f t="shared" si="141"/>
        <v>0</v>
      </c>
      <c r="QL7" s="23">
        <f t="shared" si="142"/>
        <v>0</v>
      </c>
      <c r="QM7" s="23">
        <f t="shared" si="143"/>
        <v>17.75</v>
      </c>
      <c r="QN7" s="23">
        <f t="shared" si="144"/>
        <v>5.9</v>
      </c>
      <c r="QO7" s="23">
        <f t="shared" si="145"/>
        <v>0.7</v>
      </c>
      <c r="QP7" s="23">
        <f t="shared" si="146"/>
        <v>0.15</v>
      </c>
      <c r="QQ7" s="23">
        <f t="shared" si="147"/>
        <v>18.8</v>
      </c>
      <c r="QR7" s="23">
        <f t="shared" si="148"/>
        <v>8.1999999999999993</v>
      </c>
      <c r="QS7" s="23">
        <f t="shared" si="149"/>
        <v>0</v>
      </c>
      <c r="QT7" s="23">
        <f t="shared" si="150"/>
        <v>0</v>
      </c>
      <c r="QU7" s="23">
        <f t="shared" si="151"/>
        <v>18.7</v>
      </c>
      <c r="QV7" s="23">
        <f t="shared" si="152"/>
        <v>7.85</v>
      </c>
      <c r="QW7" s="23">
        <f t="shared" si="153"/>
        <v>0.7</v>
      </c>
      <c r="QX7" s="23">
        <f t="shared" si="154"/>
        <v>0</v>
      </c>
      <c r="QY7" s="28" t="s">
        <v>57</v>
      </c>
      <c r="QZ7" s="41">
        <f t="shared" si="155"/>
        <v>15.600000000000001</v>
      </c>
      <c r="RA7" s="41">
        <f t="shared" si="156"/>
        <v>53.350000000000009</v>
      </c>
      <c r="RB7" s="41">
        <f t="shared" si="157"/>
        <v>23.099999999999998</v>
      </c>
      <c r="RC7" s="41">
        <f t="shared" si="158"/>
        <v>21.5</v>
      </c>
      <c r="RD7" s="41">
        <f t="shared" si="159"/>
        <v>76.45</v>
      </c>
      <c r="RE7" s="41">
        <f t="shared" si="160"/>
        <v>16.049999999999997</v>
      </c>
      <c r="RF7" s="41">
        <f t="shared" si="161"/>
        <v>52.85</v>
      </c>
      <c r="RG7" s="41">
        <f t="shared" si="162"/>
        <v>129.30000000000001</v>
      </c>
    </row>
    <row r="8" spans="1:475" x14ac:dyDescent="0.2">
      <c r="A8" s="4" cm="1">
        <f t="array" ref="A8">IF(AND(H8&lt;&gt;"",H8&lt;&gt;"No DD"),SUMPRODUCT((H$4:H$28&lt;&gt;"")*(H$4:H$28&lt;&gt;"No DD")*(E$4:E$28&gt;E8))+1,IF(H8="No DD",SUMPRODUCT((H$4:H$28="No DD")*(E$4:E$28&gt;E8))+1+SUMPRODUCT((H$4:H$28&lt;&gt;"")*(H$4:H$28&lt;&gt;"No DD")),""))</f>
        <v>5</v>
      </c>
      <c r="B8" s="5" t="s">
        <v>132</v>
      </c>
      <c r="C8" s="4" t="s">
        <v>5</v>
      </c>
      <c r="D8" s="4">
        <v>2004</v>
      </c>
      <c r="E8" s="9">
        <f t="shared" si="163"/>
        <v>185.00001247000512</v>
      </c>
      <c r="F8" s="3" t="str">
        <f t="shared" si="0"/>
        <v>P</v>
      </c>
      <c r="G8" s="3" t="str">
        <f t="shared" si="1"/>
        <v>P</v>
      </c>
      <c r="H8" s="37" t="str">
        <f t="shared" si="2"/>
        <v>Worlds Team</v>
      </c>
      <c r="I8" s="3" t="str">
        <f t="shared" si="3"/>
        <v>P</v>
      </c>
      <c r="J8" s="8">
        <f>IF(COUNT(AQ8,BT8,CW8)&gt;0,LARGE((AQ8,BT8,CW8),1),0)</f>
        <v>51.4</v>
      </c>
      <c r="K8" s="8" t="str">
        <f t="shared" si="4"/>
        <v>2023 Domestic 3rd Trial</v>
      </c>
      <c r="L8" s="8">
        <f>IF(COUNT(AQ8,BT8,CW8)&gt;1,LARGE((AQ8,BT8,CW8),2),0)</f>
        <v>46.4</v>
      </c>
      <c r="M8" s="8" t="str">
        <f t="shared" si="5"/>
        <v>2023 Elite Canada</v>
      </c>
      <c r="N8" s="8">
        <f>IF(COUNT(AR8,BU8,CX8)&gt;0,LARGE((AR8,BU8,CX8),1),0)</f>
        <v>26.9</v>
      </c>
      <c r="O8" s="8" t="str">
        <f t="shared" si="6"/>
        <v>2023 Domestic 3rd Trial</v>
      </c>
      <c r="P8" s="8">
        <f t="shared" si="7"/>
        <v>54.29999999999999</v>
      </c>
      <c r="Q8" s="8" t="str">
        <f t="shared" si="8"/>
        <v>2023 Domestic 3rd Trial</v>
      </c>
      <c r="R8" s="8">
        <f t="shared" si="9"/>
        <v>5.9999999999999929</v>
      </c>
      <c r="S8" s="11" t="str">
        <f t="shared" si="10"/>
        <v>(Q1)</v>
      </c>
      <c r="T8" s="8" t="str">
        <f t="shared" si="11"/>
        <v>2023 World Cup USA (Aug 5)</v>
      </c>
      <c r="U8" s="19">
        <v>19</v>
      </c>
      <c r="V8" s="19">
        <v>8</v>
      </c>
      <c r="W8" s="19">
        <v>0.6</v>
      </c>
      <c r="X8" s="19">
        <v>0.3</v>
      </c>
      <c r="Y8" s="19">
        <v>17.3</v>
      </c>
      <c r="Z8" s="19">
        <v>2.4</v>
      </c>
      <c r="AA8" s="19">
        <v>0</v>
      </c>
      <c r="AB8" s="19">
        <v>0</v>
      </c>
      <c r="AC8" s="19">
        <v>16.600000000000001</v>
      </c>
      <c r="AD8" s="19">
        <v>8.9</v>
      </c>
      <c r="AE8" s="19">
        <v>0.2</v>
      </c>
      <c r="AF8" s="19">
        <v>0.3</v>
      </c>
      <c r="AG8" s="19"/>
      <c r="AH8" s="19"/>
      <c r="AI8" s="19"/>
      <c r="AJ8" s="19"/>
      <c r="AK8" s="19"/>
      <c r="AL8" s="19"/>
      <c r="AM8" s="19"/>
      <c r="AN8" s="19"/>
      <c r="AO8" s="28"/>
      <c r="AP8" s="41">
        <f t="shared" si="12"/>
        <v>10.4</v>
      </c>
      <c r="AQ8" s="41">
        <f t="shared" si="13"/>
        <v>46.4</v>
      </c>
      <c r="AR8" s="41">
        <f t="shared" si="14"/>
        <v>25.6</v>
      </c>
      <c r="AS8" s="41">
        <f t="shared" si="15"/>
        <v>19.3</v>
      </c>
      <c r="AT8" s="41">
        <f t="shared" si="16"/>
        <v>72</v>
      </c>
      <c r="AU8" s="41" t="str">
        <f t="shared" si="17"/>
        <v/>
      </c>
      <c r="AV8" s="41" t="str">
        <f t="shared" si="18"/>
        <v/>
      </c>
      <c r="AW8" s="41">
        <f t="shared" si="19"/>
        <v>72</v>
      </c>
      <c r="AX8" s="18">
        <v>17.2</v>
      </c>
      <c r="AY8" s="18">
        <v>9.1999999999999993</v>
      </c>
      <c r="AZ8" s="18">
        <v>0.2</v>
      </c>
      <c r="BA8" s="18">
        <v>0.3</v>
      </c>
      <c r="BB8" s="18">
        <v>0</v>
      </c>
      <c r="BC8" s="18">
        <v>0</v>
      </c>
      <c r="BD8" s="18">
        <v>0</v>
      </c>
      <c r="BE8" s="18">
        <v>0</v>
      </c>
      <c r="BF8" s="18">
        <v>18.600000000000001</v>
      </c>
      <c r="BG8" s="18">
        <v>8.1</v>
      </c>
      <c r="BH8" s="18">
        <v>0.8</v>
      </c>
      <c r="BI8" s="18">
        <v>0.3</v>
      </c>
      <c r="BJ8" s="18"/>
      <c r="BK8" s="18"/>
      <c r="BL8" s="18"/>
      <c r="BM8" s="18"/>
      <c r="BN8" s="18"/>
      <c r="BO8" s="18"/>
      <c r="BP8" s="18"/>
      <c r="BQ8" s="18"/>
      <c r="BR8" s="29"/>
      <c r="BS8" s="11">
        <f t="shared" si="20"/>
        <v>9.1999999999999993</v>
      </c>
      <c r="BT8" s="11">
        <f t="shared" si="21"/>
        <v>26.5</v>
      </c>
      <c r="BU8" s="11">
        <f t="shared" si="22"/>
        <v>26.200000000000003</v>
      </c>
      <c r="BV8" s="11">
        <f t="shared" si="23"/>
        <v>17.299999999999997</v>
      </c>
      <c r="BW8" s="11">
        <f t="shared" si="24"/>
        <v>52.7</v>
      </c>
      <c r="BX8" s="11" t="str">
        <f t="shared" si="25"/>
        <v/>
      </c>
      <c r="BY8" s="11" t="str">
        <f t="shared" si="26"/>
        <v/>
      </c>
      <c r="BZ8" s="11">
        <f t="shared" si="27"/>
        <v>52.7</v>
      </c>
      <c r="CA8" s="19">
        <v>18.399999999999999</v>
      </c>
      <c r="CB8" s="19">
        <v>7.6</v>
      </c>
      <c r="CC8" s="19">
        <v>1</v>
      </c>
      <c r="CD8" s="19">
        <v>0</v>
      </c>
      <c r="CE8" s="19">
        <v>19</v>
      </c>
      <c r="CF8" s="19">
        <v>8</v>
      </c>
      <c r="CG8" s="19">
        <v>0.6</v>
      </c>
      <c r="CH8" s="19">
        <v>0</v>
      </c>
      <c r="CI8" s="19">
        <v>19.2</v>
      </c>
      <c r="CJ8" s="19">
        <v>8</v>
      </c>
      <c r="CK8" s="19">
        <v>0.6</v>
      </c>
      <c r="CL8" s="19">
        <v>0.3</v>
      </c>
      <c r="CM8" s="19">
        <v>18.399999999999999</v>
      </c>
      <c r="CN8" s="19">
        <v>9.1999999999999993</v>
      </c>
      <c r="CO8" s="19">
        <v>0.6</v>
      </c>
      <c r="CP8" s="19">
        <v>0.3</v>
      </c>
      <c r="CQ8" s="19">
        <v>18.399999999999999</v>
      </c>
      <c r="CR8" s="19">
        <v>8.9</v>
      </c>
      <c r="CS8" s="19">
        <v>0.6</v>
      </c>
      <c r="CT8" s="19">
        <v>0.3</v>
      </c>
      <c r="CU8" s="28"/>
      <c r="CV8" s="41">
        <f t="shared" si="28"/>
        <v>15.6</v>
      </c>
      <c r="CW8" s="41">
        <f t="shared" si="29"/>
        <v>51.4</v>
      </c>
      <c r="CX8" s="41">
        <f t="shared" si="30"/>
        <v>26.9</v>
      </c>
      <c r="CY8" s="41">
        <f t="shared" si="31"/>
        <v>23.6</v>
      </c>
      <c r="CZ8" s="41">
        <f t="shared" si="32"/>
        <v>78.3</v>
      </c>
      <c r="DA8" s="41">
        <f t="shared" si="33"/>
        <v>18.100000000000001</v>
      </c>
      <c r="DB8" s="41">
        <f t="shared" si="34"/>
        <v>54.29999999999999</v>
      </c>
      <c r="DC8" s="41">
        <f t="shared" si="35"/>
        <v>132.6</v>
      </c>
      <c r="DD8" s="52">
        <f t="shared" si="36"/>
        <v>5.9999999999999929</v>
      </c>
      <c r="DE8" s="52" t="str">
        <f t="shared" si="37"/>
        <v/>
      </c>
      <c r="DF8" s="52" t="str">
        <f t="shared" si="38"/>
        <v/>
      </c>
      <c r="DG8" s="17">
        <v>18.7</v>
      </c>
      <c r="DH8" s="17">
        <v>8.4</v>
      </c>
      <c r="DI8" s="17">
        <v>0.8</v>
      </c>
      <c r="DJ8" s="17">
        <v>0</v>
      </c>
      <c r="DK8" s="17">
        <v>16.899999999999999</v>
      </c>
      <c r="DL8" s="17">
        <v>8</v>
      </c>
      <c r="DM8" s="17">
        <v>1</v>
      </c>
      <c r="DN8" s="17">
        <v>0</v>
      </c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>
        <f t="shared" si="39"/>
        <v>16.399999999999999</v>
      </c>
      <c r="EB8" s="41">
        <f t="shared" si="40"/>
        <v>50.2</v>
      </c>
      <c r="EC8" s="41" t="str">
        <f t="shared" si="41"/>
        <v/>
      </c>
      <c r="ED8" s="41">
        <f t="shared" si="42"/>
        <v>16.399999999999999</v>
      </c>
      <c r="EE8" s="41">
        <f t="shared" si="43"/>
        <v>50.2</v>
      </c>
      <c r="EF8" s="41" t="str">
        <f t="shared" si="44"/>
        <v/>
      </c>
      <c r="EG8" s="41" t="str">
        <f t="shared" si="45"/>
        <v/>
      </c>
      <c r="EH8" s="41">
        <f t="shared" si="46"/>
        <v>50.2</v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>
        <v>18.600000000000001</v>
      </c>
      <c r="EV8" s="18">
        <v>8</v>
      </c>
      <c r="EW8" s="18">
        <v>0.8</v>
      </c>
      <c r="EX8" s="18">
        <v>0</v>
      </c>
      <c r="EY8" s="18">
        <v>18.600000000000001</v>
      </c>
      <c r="EZ8" s="18">
        <v>9.1999999999999993</v>
      </c>
      <c r="FA8" s="18">
        <v>0.6</v>
      </c>
      <c r="FB8" s="18">
        <v>0</v>
      </c>
      <c r="FC8" s="11" t="str">
        <f t="shared" si="47"/>
        <v/>
      </c>
      <c r="FD8" s="11" t="str">
        <f t="shared" si="48"/>
        <v/>
      </c>
      <c r="FE8" s="11" t="str">
        <f t="shared" si="49"/>
        <v/>
      </c>
      <c r="FF8" s="11" t="str">
        <f t="shared" si="50"/>
        <v/>
      </c>
      <c r="FG8" s="11" t="str">
        <f t="shared" si="51"/>
        <v/>
      </c>
      <c r="FH8" s="11">
        <f t="shared" si="52"/>
        <v>17.2</v>
      </c>
      <c r="FI8" s="11">
        <f t="shared" si="53"/>
        <v>53.000000000000007</v>
      </c>
      <c r="FJ8" s="11">
        <f t="shared" si="54"/>
        <v>53.000000000000007</v>
      </c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41" t="str">
        <f t="shared" si="55"/>
        <v/>
      </c>
      <c r="GF8" s="41" t="str">
        <f t="shared" si="56"/>
        <v/>
      </c>
      <c r="GG8" s="41" t="str">
        <f t="shared" si="57"/>
        <v/>
      </c>
      <c r="GH8" s="41" t="str">
        <f t="shared" si="58"/>
        <v/>
      </c>
      <c r="GI8" s="41" t="str">
        <f t="shared" si="59"/>
        <v/>
      </c>
      <c r="GJ8" s="41" t="str">
        <f t="shared" si="60"/>
        <v/>
      </c>
      <c r="GK8" s="41" t="str">
        <f t="shared" si="61"/>
        <v/>
      </c>
      <c r="GL8" s="41" t="str">
        <f t="shared" si="62"/>
        <v/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3"/>
        <v/>
      </c>
      <c r="HH8" s="11" t="str">
        <f t="shared" si="64"/>
        <v/>
      </c>
      <c r="HI8" s="11" t="str">
        <f t="shared" si="65"/>
        <v/>
      </c>
      <c r="HJ8" s="11" t="str">
        <f t="shared" si="66"/>
        <v/>
      </c>
      <c r="HK8" s="11" t="str">
        <f t="shared" si="67"/>
        <v/>
      </c>
      <c r="HL8" s="11" t="str">
        <f t="shared" si="68"/>
        <v/>
      </c>
      <c r="HM8" s="11" t="str">
        <f t="shared" si="69"/>
        <v/>
      </c>
      <c r="HN8" s="11" t="str">
        <f t="shared" si="70"/>
        <v/>
      </c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 t="str">
        <f t="shared" si="71"/>
        <v/>
      </c>
      <c r="IJ8" s="41" t="str">
        <f t="shared" si="72"/>
        <v/>
      </c>
      <c r="IK8" s="41" t="str">
        <f t="shared" si="73"/>
        <v/>
      </c>
      <c r="IL8" s="41" t="str">
        <f t="shared" si="74"/>
        <v/>
      </c>
      <c r="IM8" s="41" t="str">
        <f t="shared" si="75"/>
        <v/>
      </c>
      <c r="IN8" s="41" t="str">
        <f t="shared" si="76"/>
        <v/>
      </c>
      <c r="IO8" s="41" t="str">
        <f t="shared" si="77"/>
        <v/>
      </c>
      <c r="IP8" s="41" t="str">
        <f t="shared" si="78"/>
        <v/>
      </c>
      <c r="IQ8" s="18">
        <v>18.600000000000001</v>
      </c>
      <c r="IR8" s="18">
        <v>9.1999999999999993</v>
      </c>
      <c r="IS8" s="18">
        <v>0.6</v>
      </c>
      <c r="IT8" s="18">
        <v>0</v>
      </c>
      <c r="IU8" s="18">
        <v>16.5</v>
      </c>
      <c r="IV8" s="18">
        <v>8.9</v>
      </c>
      <c r="IW8" s="18">
        <v>0.2</v>
      </c>
      <c r="IX8" s="18">
        <v>0</v>
      </c>
      <c r="IY8" s="18"/>
      <c r="IZ8" s="18"/>
      <c r="JA8" s="18"/>
      <c r="JB8" s="18"/>
      <c r="JC8" s="18">
        <v>18.7</v>
      </c>
      <c r="JD8" s="18">
        <v>9.1999999999999993</v>
      </c>
      <c r="JE8" s="18">
        <v>0.8</v>
      </c>
      <c r="JF8" s="18">
        <v>0</v>
      </c>
      <c r="JG8" s="18">
        <v>0</v>
      </c>
      <c r="JH8" s="18">
        <v>0</v>
      </c>
      <c r="JI8" s="18">
        <v>0</v>
      </c>
      <c r="JJ8" s="18">
        <v>0</v>
      </c>
      <c r="JK8" s="11">
        <f t="shared" si="79"/>
        <v>18.100000000000001</v>
      </c>
      <c r="JL8" s="11">
        <f t="shared" si="80"/>
        <v>52.399999999999991</v>
      </c>
      <c r="JM8" s="11" t="str">
        <f t="shared" si="81"/>
        <v/>
      </c>
      <c r="JN8" s="11">
        <f t="shared" si="82"/>
        <v>18.100000000000001</v>
      </c>
      <c r="JO8" s="11">
        <f t="shared" si="83"/>
        <v>52.399999999999991</v>
      </c>
      <c r="JP8" s="11">
        <f t="shared" si="84"/>
        <v>9.1999999999999993</v>
      </c>
      <c r="JQ8" s="11">
        <f t="shared" si="85"/>
        <v>27.099999999999998</v>
      </c>
      <c r="JR8" s="11">
        <f t="shared" si="86"/>
        <v>79.499999999999986</v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7"/>
        <v/>
      </c>
      <c r="KN8" s="41" t="str">
        <f t="shared" si="88"/>
        <v/>
      </c>
      <c r="KO8" s="41" t="str">
        <f t="shared" si="89"/>
        <v/>
      </c>
      <c r="KP8" s="41" t="str">
        <f t="shared" si="90"/>
        <v/>
      </c>
      <c r="KQ8" s="41" t="str">
        <f t="shared" si="91"/>
        <v/>
      </c>
      <c r="KR8" s="41" t="str">
        <f t="shared" si="92"/>
        <v/>
      </c>
      <c r="KS8" s="41" t="str">
        <f t="shared" si="93"/>
        <v/>
      </c>
      <c r="KT8" s="41" t="str">
        <f t="shared" si="94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5"/>
        <v/>
      </c>
      <c r="LP8" s="11" t="str">
        <f t="shared" si="96"/>
        <v/>
      </c>
      <c r="LQ8" s="11" t="str">
        <f t="shared" si="97"/>
        <v/>
      </c>
      <c r="LR8" s="11" t="str">
        <f t="shared" si="98"/>
        <v/>
      </c>
      <c r="LS8" s="11" t="str">
        <f t="shared" si="99"/>
        <v/>
      </c>
      <c r="LT8" s="11" t="str">
        <f t="shared" si="100"/>
        <v/>
      </c>
      <c r="LU8" s="11" t="str">
        <f t="shared" si="101"/>
        <v/>
      </c>
      <c r="LV8" s="11" t="str">
        <f t="shared" si="102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3"/>
        <v/>
      </c>
      <c r="MR8" s="41" t="str">
        <f t="shared" si="104"/>
        <v/>
      </c>
      <c r="MS8" s="41" t="str">
        <f t="shared" si="105"/>
        <v/>
      </c>
      <c r="MT8" s="41" t="str">
        <f t="shared" si="106"/>
        <v/>
      </c>
      <c r="MU8" s="41" t="str">
        <f t="shared" si="107"/>
        <v/>
      </c>
      <c r="MV8" s="41" t="str">
        <f t="shared" si="108"/>
        <v/>
      </c>
      <c r="MW8" s="41" t="str">
        <f t="shared" si="109"/>
        <v/>
      </c>
      <c r="MX8" s="41" t="str">
        <f t="shared" si="110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1"/>
        <v/>
      </c>
      <c r="NT8" s="11" t="str">
        <f t="shared" si="112"/>
        <v/>
      </c>
      <c r="NU8" s="11" t="str">
        <f t="shared" si="113"/>
        <v/>
      </c>
      <c r="NV8" s="11" t="str">
        <f t="shared" si="114"/>
        <v/>
      </c>
      <c r="NW8" s="11" t="str">
        <f t="shared" si="115"/>
        <v/>
      </c>
      <c r="NX8" s="11" t="str">
        <f t="shared" si="116"/>
        <v/>
      </c>
      <c r="NY8" s="11" t="str">
        <f t="shared" si="117"/>
        <v/>
      </c>
      <c r="NZ8" s="11" t="str">
        <f t="shared" si="118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19"/>
        <v/>
      </c>
      <c r="OV8" s="41" t="str">
        <f t="shared" si="120"/>
        <v/>
      </c>
      <c r="OW8" s="41" t="str">
        <f t="shared" si="121"/>
        <v/>
      </c>
      <c r="OX8" s="41" t="str">
        <f t="shared" si="122"/>
        <v/>
      </c>
      <c r="OY8" s="41" t="str">
        <f t="shared" si="123"/>
        <v/>
      </c>
      <c r="OZ8" s="41" t="str">
        <f t="shared" si="124"/>
        <v/>
      </c>
      <c r="PA8" s="41" t="str">
        <f t="shared" si="125"/>
        <v/>
      </c>
      <c r="PB8" s="41" t="str">
        <f t="shared" si="126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7"/>
        <v/>
      </c>
      <c r="PX8" s="11" t="str">
        <f t="shared" si="128"/>
        <v/>
      </c>
      <c r="PY8" s="11" t="str">
        <f t="shared" si="129"/>
        <v/>
      </c>
      <c r="PZ8" s="11" t="str">
        <f t="shared" si="130"/>
        <v/>
      </c>
      <c r="QA8" s="11" t="str">
        <f t="shared" si="131"/>
        <v/>
      </c>
      <c r="QB8" s="11" t="str">
        <f t="shared" si="132"/>
        <v/>
      </c>
      <c r="QC8" s="11" t="str">
        <f t="shared" si="133"/>
        <v/>
      </c>
      <c r="QD8" s="11" t="str">
        <f t="shared" si="134"/>
        <v/>
      </c>
      <c r="QE8" s="23">
        <f t="shared" si="135"/>
        <v>17.799999999999997</v>
      </c>
      <c r="QF8" s="23">
        <f t="shared" si="136"/>
        <v>8.3999999999999986</v>
      </c>
      <c r="QG8" s="23">
        <f t="shared" si="137"/>
        <v>0.6</v>
      </c>
      <c r="QH8" s="23">
        <f t="shared" si="138"/>
        <v>0.15</v>
      </c>
      <c r="QI8" s="23">
        <f t="shared" si="139"/>
        <v>9.5</v>
      </c>
      <c r="QJ8" s="23">
        <f t="shared" si="140"/>
        <v>4</v>
      </c>
      <c r="QK8" s="23">
        <f t="shared" si="141"/>
        <v>0.3</v>
      </c>
      <c r="QL8" s="23">
        <f t="shared" si="142"/>
        <v>0</v>
      </c>
      <c r="QM8" s="23">
        <f t="shared" si="143"/>
        <v>18.899999999999999</v>
      </c>
      <c r="QN8" s="23">
        <f t="shared" si="144"/>
        <v>8.0500000000000007</v>
      </c>
      <c r="QO8" s="23">
        <f t="shared" si="145"/>
        <v>0.7</v>
      </c>
      <c r="QP8" s="23">
        <f t="shared" si="146"/>
        <v>0.3</v>
      </c>
      <c r="QQ8" s="23">
        <f t="shared" si="147"/>
        <v>9.1999999999999993</v>
      </c>
      <c r="QR8" s="23">
        <f t="shared" si="148"/>
        <v>4.5999999999999996</v>
      </c>
      <c r="QS8" s="23">
        <f t="shared" si="149"/>
        <v>0.3</v>
      </c>
      <c r="QT8" s="23">
        <f t="shared" si="150"/>
        <v>0.15</v>
      </c>
      <c r="QU8" s="23">
        <f t="shared" si="151"/>
        <v>9.1999999999999993</v>
      </c>
      <c r="QV8" s="23">
        <f t="shared" si="152"/>
        <v>4.45</v>
      </c>
      <c r="QW8" s="23">
        <f t="shared" si="153"/>
        <v>0.3</v>
      </c>
      <c r="QX8" s="23">
        <f t="shared" si="154"/>
        <v>0.15</v>
      </c>
      <c r="QY8" s="28" t="s">
        <v>57</v>
      </c>
      <c r="QZ8" s="41">
        <f t="shared" si="155"/>
        <v>12.399999999999999</v>
      </c>
      <c r="RA8" s="41">
        <f t="shared" si="156"/>
        <v>38.949999999999996</v>
      </c>
      <c r="RB8" s="41">
        <f t="shared" si="157"/>
        <v>26.55</v>
      </c>
      <c r="RC8" s="41">
        <f t="shared" si="158"/>
        <v>20.45</v>
      </c>
      <c r="RD8" s="41">
        <f t="shared" si="159"/>
        <v>65.5</v>
      </c>
      <c r="RE8" s="41">
        <f t="shared" si="160"/>
        <v>9.0500000000000007</v>
      </c>
      <c r="RF8" s="41">
        <f t="shared" si="161"/>
        <v>27.149999999999995</v>
      </c>
      <c r="RG8" s="41">
        <f t="shared" si="162"/>
        <v>92.649999999999991</v>
      </c>
    </row>
    <row r="9" spans="1:475" x14ac:dyDescent="0.2">
      <c r="A9" s="4" cm="1">
        <f t="array" ref="A9">IF(AND(H9&lt;&gt;"",H9&lt;&gt;"No DD"),SUMPRODUCT((H$4:H$28&lt;&gt;"")*(H$4:H$28&lt;&gt;"No DD")*(E$4:E$28&gt;E9))+1,IF(H9="No DD",SUMPRODUCT((H$4:H$28="No DD")*(E$4:E$28&gt;E9))+1+SUMPRODUCT((H$4:H$28&lt;&gt;"")*(H$4:H$28&lt;&gt;"No DD")),""))</f>
        <v>6</v>
      </c>
      <c r="B9" s="5" t="s">
        <v>170</v>
      </c>
      <c r="C9" s="4" t="s">
        <v>169</v>
      </c>
      <c r="D9" s="4">
        <v>2002</v>
      </c>
      <c r="E9" s="9">
        <f t="shared" si="163"/>
        <v>182.50001297000529</v>
      </c>
      <c r="F9" s="3" t="str">
        <f t="shared" si="0"/>
        <v>P</v>
      </c>
      <c r="G9" s="3" t="str">
        <f t="shared" si="1"/>
        <v>P</v>
      </c>
      <c r="H9" s="37" t="str">
        <f t="shared" si="2"/>
        <v>Worlds Team</v>
      </c>
      <c r="I9" s="3" t="str">
        <f t="shared" si="3"/>
        <v>P</v>
      </c>
      <c r="J9" s="8">
        <f>IF(COUNT(AQ9,BT9,CW9)&gt;0,LARGE((AQ9,BT9,CW9),1),0)</f>
        <v>52.9</v>
      </c>
      <c r="K9" s="8" t="str">
        <f t="shared" si="4"/>
        <v>2023 Nationals</v>
      </c>
      <c r="L9" s="8">
        <f>IF(COUNT(AQ9,BT9,CW9)&gt;1,LARGE((AQ9,BT9,CW9),2),0)</f>
        <v>51.4</v>
      </c>
      <c r="M9" s="8" t="str">
        <f t="shared" si="5"/>
        <v>2023 Domestic 3rd Trial</v>
      </c>
      <c r="N9" s="8">
        <f>IF(COUNT(AR9,BU9,CX9)&gt;0,LARGE((AR9,BU9,CX9),1),0)</f>
        <v>25.4</v>
      </c>
      <c r="O9" s="8" t="str">
        <f t="shared" si="6"/>
        <v>2023 Domestic 3rd Trial</v>
      </c>
      <c r="P9" s="8">
        <f t="shared" si="7"/>
        <v>52.800000000000004</v>
      </c>
      <c r="Q9" s="8" t="str">
        <f t="shared" si="8"/>
        <v>2023 Nationals</v>
      </c>
      <c r="R9" s="8" t="str">
        <f t="shared" si="9"/>
        <v/>
      </c>
      <c r="S9" s="11" t="str">
        <f t="shared" si="10"/>
        <v/>
      </c>
      <c r="T9" s="8" t="str">
        <f t="shared" si="11"/>
        <v/>
      </c>
      <c r="U9" s="19">
        <v>9.25</v>
      </c>
      <c r="V9" s="19">
        <v>3.6</v>
      </c>
      <c r="W9" s="19">
        <v>0</v>
      </c>
      <c r="X9" s="19">
        <v>0</v>
      </c>
      <c r="Y9" s="19">
        <v>9.25</v>
      </c>
      <c r="Z9" s="19">
        <v>3.4</v>
      </c>
      <c r="AA9" s="19">
        <v>0.4</v>
      </c>
      <c r="AB9" s="19">
        <v>0</v>
      </c>
      <c r="AC9" s="19">
        <v>8.6</v>
      </c>
      <c r="AD9" s="19">
        <v>1.6</v>
      </c>
      <c r="AE9" s="19">
        <v>0</v>
      </c>
      <c r="AF9" s="19">
        <v>0</v>
      </c>
      <c r="AG9" s="19">
        <v>0</v>
      </c>
      <c r="AH9" s="19">
        <v>0</v>
      </c>
      <c r="AI9" s="19">
        <v>0</v>
      </c>
      <c r="AJ9" s="19">
        <v>0</v>
      </c>
      <c r="AK9" s="19">
        <v>0</v>
      </c>
      <c r="AL9" s="19">
        <v>0</v>
      </c>
      <c r="AM9" s="19">
        <v>0</v>
      </c>
      <c r="AN9" s="19">
        <v>0</v>
      </c>
      <c r="AO9" s="28" t="s">
        <v>57</v>
      </c>
      <c r="AP9" s="41">
        <f t="shared" si="12"/>
        <v>7</v>
      </c>
      <c r="AQ9" s="41">
        <f t="shared" si="13"/>
        <v>25.1</v>
      </c>
      <c r="AR9" s="41">
        <f t="shared" si="14"/>
        <v>10.199999999999999</v>
      </c>
      <c r="AS9" s="41">
        <f t="shared" si="15"/>
        <v>8.6</v>
      </c>
      <c r="AT9" s="41">
        <f t="shared" si="16"/>
        <v>35.299999999999997</v>
      </c>
      <c r="AU9" s="41" t="str">
        <f t="shared" si="17"/>
        <v/>
      </c>
      <c r="AV9" s="41" t="str">
        <f t="shared" si="18"/>
        <v/>
      </c>
      <c r="AW9" s="41">
        <f t="shared" si="19"/>
        <v>35.299999999999997</v>
      </c>
      <c r="AX9" s="18">
        <v>19.2</v>
      </c>
      <c r="AY9" s="18">
        <v>7.2</v>
      </c>
      <c r="AZ9" s="18">
        <v>0</v>
      </c>
      <c r="BA9" s="18">
        <v>0</v>
      </c>
      <c r="BB9" s="18">
        <v>18.899999999999999</v>
      </c>
      <c r="BC9" s="18">
        <v>7.6</v>
      </c>
      <c r="BD9" s="18">
        <v>0</v>
      </c>
      <c r="BE9" s="18">
        <v>0</v>
      </c>
      <c r="BF9" s="18">
        <v>17.899999999999999</v>
      </c>
      <c r="BG9" s="18">
        <v>7.7</v>
      </c>
      <c r="BH9" s="18">
        <v>0.6</v>
      </c>
      <c r="BI9" s="18">
        <v>0</v>
      </c>
      <c r="BJ9" s="18">
        <v>19</v>
      </c>
      <c r="BK9" s="18">
        <v>7.6</v>
      </c>
      <c r="BL9" s="18">
        <v>0</v>
      </c>
      <c r="BM9" s="18">
        <v>0</v>
      </c>
      <c r="BN9" s="18">
        <v>18.600000000000001</v>
      </c>
      <c r="BO9" s="18">
        <v>7.6</v>
      </c>
      <c r="BP9" s="18">
        <v>0</v>
      </c>
      <c r="BQ9" s="18">
        <v>0</v>
      </c>
      <c r="BR9" s="29"/>
      <c r="BS9" s="11">
        <f t="shared" si="20"/>
        <v>14.8</v>
      </c>
      <c r="BT9" s="11">
        <f t="shared" si="21"/>
        <v>52.9</v>
      </c>
      <c r="BU9" s="11">
        <f t="shared" si="22"/>
        <v>24.999999999999996</v>
      </c>
      <c r="BV9" s="11">
        <f t="shared" si="23"/>
        <v>22.5</v>
      </c>
      <c r="BW9" s="11">
        <f t="shared" si="24"/>
        <v>77.899999999999991</v>
      </c>
      <c r="BX9" s="11">
        <f t="shared" si="25"/>
        <v>15.2</v>
      </c>
      <c r="BY9" s="11">
        <f t="shared" si="26"/>
        <v>52.800000000000004</v>
      </c>
      <c r="BZ9" s="11">
        <f t="shared" si="27"/>
        <v>130.69999999999999</v>
      </c>
      <c r="CA9" s="19">
        <v>19.2</v>
      </c>
      <c r="CB9" s="19">
        <v>7.2</v>
      </c>
      <c r="CC9" s="19">
        <v>0.6</v>
      </c>
      <c r="CD9" s="19">
        <v>0</v>
      </c>
      <c r="CE9" s="19">
        <v>18.600000000000001</v>
      </c>
      <c r="CF9" s="19">
        <v>7.6</v>
      </c>
      <c r="CG9" s="19">
        <v>0.6</v>
      </c>
      <c r="CH9" s="19">
        <v>0</v>
      </c>
      <c r="CI9" s="19">
        <v>18.3</v>
      </c>
      <c r="CJ9" s="19">
        <v>7.7</v>
      </c>
      <c r="CK9" s="19">
        <v>0.6</v>
      </c>
      <c r="CL9" s="19">
        <v>0</v>
      </c>
      <c r="CM9" s="19">
        <v>19.100000000000001</v>
      </c>
      <c r="CN9" s="19">
        <v>7.2</v>
      </c>
      <c r="CO9" s="19">
        <v>0</v>
      </c>
      <c r="CP9" s="19">
        <v>0</v>
      </c>
      <c r="CQ9" s="19">
        <v>18.8</v>
      </c>
      <c r="CR9" s="19">
        <v>6.8</v>
      </c>
      <c r="CS9" s="19">
        <v>0</v>
      </c>
      <c r="CT9" s="19">
        <v>0</v>
      </c>
      <c r="CU9" s="28"/>
      <c r="CV9" s="41">
        <f t="shared" si="28"/>
        <v>14.8</v>
      </c>
      <c r="CW9" s="41">
        <f t="shared" si="29"/>
        <v>51.4</v>
      </c>
      <c r="CX9" s="41">
        <f t="shared" si="30"/>
        <v>25.4</v>
      </c>
      <c r="CY9" s="41">
        <f t="shared" si="31"/>
        <v>22.5</v>
      </c>
      <c r="CZ9" s="41">
        <f t="shared" si="32"/>
        <v>76.8</v>
      </c>
      <c r="DA9" s="41">
        <f t="shared" si="33"/>
        <v>14</v>
      </c>
      <c r="DB9" s="41">
        <f t="shared" si="34"/>
        <v>51.9</v>
      </c>
      <c r="DC9" s="41">
        <f t="shared" si="35"/>
        <v>128.69999999999999</v>
      </c>
      <c r="DD9" s="52" t="str">
        <f t="shared" si="36"/>
        <v/>
      </c>
      <c r="DE9" s="52" t="str">
        <f t="shared" si="37"/>
        <v/>
      </c>
      <c r="DF9" s="52" t="str">
        <f t="shared" si="38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39"/>
        <v/>
      </c>
      <c r="EB9" s="41" t="str">
        <f t="shared" si="40"/>
        <v/>
      </c>
      <c r="EC9" s="41" t="str">
        <f t="shared" si="41"/>
        <v/>
      </c>
      <c r="ED9" s="41" t="str">
        <f t="shared" si="42"/>
        <v/>
      </c>
      <c r="EE9" s="41" t="str">
        <f t="shared" si="43"/>
        <v/>
      </c>
      <c r="EF9" s="41" t="str">
        <f t="shared" si="44"/>
        <v/>
      </c>
      <c r="EG9" s="41" t="str">
        <f t="shared" si="45"/>
        <v/>
      </c>
      <c r="EH9" s="41" t="str">
        <f t="shared" si="46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7"/>
        <v/>
      </c>
      <c r="FD9" s="11" t="str">
        <f t="shared" si="48"/>
        <v/>
      </c>
      <c r="FE9" s="11" t="str">
        <f t="shared" si="49"/>
        <v/>
      </c>
      <c r="FF9" s="11" t="str">
        <f t="shared" si="50"/>
        <v/>
      </c>
      <c r="FG9" s="11" t="str">
        <f t="shared" si="51"/>
        <v/>
      </c>
      <c r="FH9" s="11" t="str">
        <f t="shared" si="52"/>
        <v/>
      </c>
      <c r="FI9" s="11" t="str">
        <f t="shared" si="53"/>
        <v/>
      </c>
      <c r="FJ9" s="11" t="str">
        <f t="shared" si="54"/>
        <v/>
      </c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 t="str">
        <f t="shared" si="55"/>
        <v/>
      </c>
      <c r="GF9" s="41" t="str">
        <f t="shared" si="56"/>
        <v/>
      </c>
      <c r="GG9" s="41" t="str">
        <f t="shared" si="57"/>
        <v/>
      </c>
      <c r="GH9" s="41" t="str">
        <f t="shared" si="58"/>
        <v/>
      </c>
      <c r="GI9" s="41" t="str">
        <f t="shared" si="59"/>
        <v/>
      </c>
      <c r="GJ9" s="41" t="str">
        <f t="shared" si="60"/>
        <v/>
      </c>
      <c r="GK9" s="41" t="str">
        <f t="shared" si="61"/>
        <v/>
      </c>
      <c r="GL9" s="41" t="str">
        <f t="shared" si="62"/>
        <v/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3"/>
        <v/>
      </c>
      <c r="HH9" s="11" t="str">
        <f t="shared" si="64"/>
        <v/>
      </c>
      <c r="HI9" s="11" t="str">
        <f t="shared" si="65"/>
        <v/>
      </c>
      <c r="HJ9" s="11" t="str">
        <f t="shared" si="66"/>
        <v/>
      </c>
      <c r="HK9" s="11" t="str">
        <f t="shared" si="67"/>
        <v/>
      </c>
      <c r="HL9" s="11" t="str">
        <f t="shared" si="68"/>
        <v/>
      </c>
      <c r="HM9" s="11" t="str">
        <f t="shared" si="69"/>
        <v/>
      </c>
      <c r="HN9" s="11" t="str">
        <f t="shared" si="70"/>
        <v/>
      </c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41" t="str">
        <f t="shared" si="71"/>
        <v/>
      </c>
      <c r="IJ9" s="41" t="str">
        <f t="shared" si="72"/>
        <v/>
      </c>
      <c r="IK9" s="41" t="str">
        <f t="shared" si="73"/>
        <v/>
      </c>
      <c r="IL9" s="41" t="str">
        <f t="shared" si="74"/>
        <v/>
      </c>
      <c r="IM9" s="41" t="str">
        <f t="shared" si="75"/>
        <v/>
      </c>
      <c r="IN9" s="41" t="str">
        <f t="shared" si="76"/>
        <v/>
      </c>
      <c r="IO9" s="41" t="str">
        <f t="shared" si="77"/>
        <v/>
      </c>
      <c r="IP9" s="41" t="str">
        <f t="shared" si="78"/>
        <v/>
      </c>
      <c r="IQ9" s="18"/>
      <c r="IR9" s="18"/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1" t="str">
        <f t="shared" si="79"/>
        <v/>
      </c>
      <c r="JL9" s="11" t="str">
        <f t="shared" si="80"/>
        <v/>
      </c>
      <c r="JM9" s="11" t="str">
        <f t="shared" si="81"/>
        <v/>
      </c>
      <c r="JN9" s="11" t="str">
        <f t="shared" si="82"/>
        <v/>
      </c>
      <c r="JO9" s="11" t="str">
        <f t="shared" si="83"/>
        <v/>
      </c>
      <c r="JP9" s="11" t="str">
        <f t="shared" si="84"/>
        <v/>
      </c>
      <c r="JQ9" s="11" t="str">
        <f t="shared" si="85"/>
        <v/>
      </c>
      <c r="JR9" s="11" t="str">
        <f t="shared" si="86"/>
        <v/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7"/>
        <v/>
      </c>
      <c r="KN9" s="41" t="str">
        <f t="shared" si="88"/>
        <v/>
      </c>
      <c r="KO9" s="41" t="str">
        <f t="shared" si="89"/>
        <v/>
      </c>
      <c r="KP9" s="41" t="str">
        <f t="shared" si="90"/>
        <v/>
      </c>
      <c r="KQ9" s="41" t="str">
        <f t="shared" si="91"/>
        <v/>
      </c>
      <c r="KR9" s="41" t="str">
        <f t="shared" si="92"/>
        <v/>
      </c>
      <c r="KS9" s="41" t="str">
        <f t="shared" si="93"/>
        <v/>
      </c>
      <c r="KT9" s="41" t="str">
        <f t="shared" si="94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5"/>
        <v/>
      </c>
      <c r="LP9" s="11" t="str">
        <f t="shared" si="96"/>
        <v/>
      </c>
      <c r="LQ9" s="11" t="str">
        <f t="shared" si="97"/>
        <v/>
      </c>
      <c r="LR9" s="11" t="str">
        <f t="shared" si="98"/>
        <v/>
      </c>
      <c r="LS9" s="11" t="str">
        <f t="shared" si="99"/>
        <v/>
      </c>
      <c r="LT9" s="11" t="str">
        <f t="shared" si="100"/>
        <v/>
      </c>
      <c r="LU9" s="11" t="str">
        <f t="shared" si="101"/>
        <v/>
      </c>
      <c r="LV9" s="11" t="str">
        <f t="shared" si="102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3"/>
        <v/>
      </c>
      <c r="MR9" s="41" t="str">
        <f t="shared" si="104"/>
        <v/>
      </c>
      <c r="MS9" s="41" t="str">
        <f t="shared" si="105"/>
        <v/>
      </c>
      <c r="MT9" s="41" t="str">
        <f t="shared" si="106"/>
        <v/>
      </c>
      <c r="MU9" s="41" t="str">
        <f t="shared" si="107"/>
        <v/>
      </c>
      <c r="MV9" s="41" t="str">
        <f t="shared" si="108"/>
        <v/>
      </c>
      <c r="MW9" s="41" t="str">
        <f t="shared" si="109"/>
        <v/>
      </c>
      <c r="MX9" s="41" t="str">
        <f t="shared" si="110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1"/>
        <v/>
      </c>
      <c r="NT9" s="11" t="str">
        <f t="shared" si="112"/>
        <v/>
      </c>
      <c r="NU9" s="11" t="str">
        <f t="shared" si="113"/>
        <v/>
      </c>
      <c r="NV9" s="11" t="str">
        <f t="shared" si="114"/>
        <v/>
      </c>
      <c r="NW9" s="11" t="str">
        <f t="shared" si="115"/>
        <v/>
      </c>
      <c r="NX9" s="11" t="str">
        <f t="shared" si="116"/>
        <v/>
      </c>
      <c r="NY9" s="11" t="str">
        <f t="shared" si="117"/>
        <v/>
      </c>
      <c r="NZ9" s="11" t="str">
        <f t="shared" si="118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19"/>
        <v/>
      </c>
      <c r="OV9" s="41" t="str">
        <f t="shared" si="120"/>
        <v/>
      </c>
      <c r="OW9" s="41" t="str">
        <f t="shared" si="121"/>
        <v/>
      </c>
      <c r="OX9" s="41" t="str">
        <f t="shared" si="122"/>
        <v/>
      </c>
      <c r="OY9" s="41" t="str">
        <f t="shared" si="123"/>
        <v/>
      </c>
      <c r="OZ9" s="41" t="str">
        <f t="shared" si="124"/>
        <v/>
      </c>
      <c r="PA9" s="41" t="str">
        <f t="shared" si="125"/>
        <v/>
      </c>
      <c r="PB9" s="41" t="str">
        <f t="shared" si="126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7"/>
        <v/>
      </c>
      <c r="PX9" s="11" t="str">
        <f t="shared" si="128"/>
        <v/>
      </c>
      <c r="PY9" s="11" t="str">
        <f t="shared" si="129"/>
        <v/>
      </c>
      <c r="PZ9" s="11" t="str">
        <f t="shared" si="130"/>
        <v/>
      </c>
      <c r="QA9" s="11" t="str">
        <f t="shared" si="131"/>
        <v/>
      </c>
      <c r="QB9" s="11" t="str">
        <f t="shared" si="132"/>
        <v/>
      </c>
      <c r="QC9" s="11" t="str">
        <f t="shared" si="133"/>
        <v/>
      </c>
      <c r="QD9" s="11" t="str">
        <f t="shared" si="134"/>
        <v/>
      </c>
      <c r="QE9" s="23">
        <f t="shared" si="135"/>
        <v>19.2</v>
      </c>
      <c r="QF9" s="23">
        <f t="shared" si="136"/>
        <v>7.2</v>
      </c>
      <c r="QG9" s="23">
        <f t="shared" si="137"/>
        <v>0.3</v>
      </c>
      <c r="QH9" s="23">
        <f t="shared" si="138"/>
        <v>0</v>
      </c>
      <c r="QI9" s="23">
        <f t="shared" si="139"/>
        <v>18.75</v>
      </c>
      <c r="QJ9" s="23">
        <f t="shared" si="140"/>
        <v>7.6</v>
      </c>
      <c r="QK9" s="23">
        <f t="shared" si="141"/>
        <v>0.3</v>
      </c>
      <c r="QL9" s="23">
        <f t="shared" si="142"/>
        <v>0</v>
      </c>
      <c r="QM9" s="23">
        <f t="shared" si="143"/>
        <v>18.100000000000001</v>
      </c>
      <c r="QN9" s="23">
        <f t="shared" si="144"/>
        <v>7.7</v>
      </c>
      <c r="QO9" s="23">
        <f t="shared" si="145"/>
        <v>0.6</v>
      </c>
      <c r="QP9" s="23">
        <f t="shared" si="146"/>
        <v>0</v>
      </c>
      <c r="QQ9" s="23">
        <f t="shared" si="147"/>
        <v>19.05</v>
      </c>
      <c r="QR9" s="23">
        <f t="shared" si="148"/>
        <v>7.4</v>
      </c>
      <c r="QS9" s="23">
        <f t="shared" si="149"/>
        <v>0</v>
      </c>
      <c r="QT9" s="23">
        <f t="shared" si="150"/>
        <v>0</v>
      </c>
      <c r="QU9" s="23">
        <f t="shared" si="151"/>
        <v>18.700000000000003</v>
      </c>
      <c r="QV9" s="23">
        <f t="shared" si="152"/>
        <v>7.1999999999999993</v>
      </c>
      <c r="QW9" s="23">
        <f t="shared" si="153"/>
        <v>0</v>
      </c>
      <c r="QX9" s="23">
        <f t="shared" si="154"/>
        <v>0</v>
      </c>
      <c r="QY9" s="28" t="s">
        <v>57</v>
      </c>
      <c r="QZ9" s="41">
        <f t="shared" si="155"/>
        <v>14.8</v>
      </c>
      <c r="RA9" s="41">
        <f t="shared" si="156"/>
        <v>52.150000000000006</v>
      </c>
      <c r="RB9" s="41">
        <f t="shared" si="157"/>
        <v>25.2</v>
      </c>
      <c r="RC9" s="41">
        <f t="shared" si="158"/>
        <v>22.5</v>
      </c>
      <c r="RD9" s="41">
        <f t="shared" si="159"/>
        <v>77.350000000000009</v>
      </c>
      <c r="RE9" s="41">
        <f t="shared" si="160"/>
        <v>14.6</v>
      </c>
      <c r="RF9" s="41">
        <f t="shared" si="161"/>
        <v>52.350000000000009</v>
      </c>
      <c r="RG9" s="41">
        <f t="shared" si="162"/>
        <v>129.70000000000002</v>
      </c>
    </row>
    <row r="10" spans="1:475" x14ac:dyDescent="0.2">
      <c r="A10" s="4" cm="1">
        <f t="array" ref="A10">IF(AND(H10&lt;&gt;"",H10&lt;&gt;"No DD"),SUMPRODUCT((H$4:H$28&lt;&gt;"")*(H$4:H$28&lt;&gt;"No DD")*(E$4:E$28&gt;E10))+1,IF(H10="No DD",SUMPRODUCT((H$4:H$28="No DD")*(E$4:E$28&gt;E10))+1+SUMPRODUCT((H$4:H$28&lt;&gt;"")*(H$4:H$28&lt;&gt;"No DD")),""))</f>
        <v>7</v>
      </c>
      <c r="B10" s="5" t="s">
        <v>131</v>
      </c>
      <c r="C10" s="4" t="s">
        <v>5</v>
      </c>
      <c r="D10" s="4">
        <v>1999</v>
      </c>
      <c r="E10" s="9">
        <f t="shared" si="163"/>
        <v>181.10001300000525</v>
      </c>
      <c r="F10" s="3" t="str">
        <f t="shared" si="0"/>
        <v>P</v>
      </c>
      <c r="G10" s="3" t="str">
        <f t="shared" si="1"/>
        <v>P</v>
      </c>
      <c r="H10" s="37" t="str">
        <f t="shared" si="2"/>
        <v>Worlds Team</v>
      </c>
      <c r="I10" s="3" t="str">
        <f t="shared" si="3"/>
        <v>P</v>
      </c>
      <c r="J10" s="8">
        <f>IF(COUNT(AQ10,BT10,CW10)&gt;0,LARGE((AQ10,BT10,CW10),1),0)</f>
        <v>52.2</v>
      </c>
      <c r="K10" s="8" t="str">
        <f t="shared" si="4"/>
        <v>2023 Nationals</v>
      </c>
      <c r="L10" s="8">
        <f>IF(COUNT(AQ10,BT10,CW10)&gt;1,LARGE((AQ10,BT10,CW10),2),0)</f>
        <v>52</v>
      </c>
      <c r="M10" s="8" t="str">
        <f t="shared" si="5"/>
        <v>2023 Elite Canada</v>
      </c>
      <c r="N10" s="8">
        <f>IF(COUNT(AR10,BU10,CX10)&gt;0,LARGE((AR10,BU10,CX10),1),0)</f>
        <v>25.799999999999997</v>
      </c>
      <c r="O10" s="8" t="str">
        <f t="shared" si="6"/>
        <v>2023 Domestic 3rd Trial</v>
      </c>
      <c r="P10" s="8">
        <f t="shared" si="7"/>
        <v>51.100000000000009</v>
      </c>
      <c r="Q10" s="8" t="str">
        <f t="shared" si="8"/>
        <v>2023 Domestic 3rd Trial</v>
      </c>
      <c r="R10" s="8" t="str">
        <f t="shared" si="9"/>
        <v/>
      </c>
      <c r="S10" s="11" t="str">
        <f t="shared" si="10"/>
        <v/>
      </c>
      <c r="T10" s="8" t="str">
        <f t="shared" si="11"/>
        <v/>
      </c>
      <c r="U10" s="19">
        <v>18.8</v>
      </c>
      <c r="V10" s="19">
        <v>7.2</v>
      </c>
      <c r="W10" s="19">
        <v>0</v>
      </c>
      <c r="X10" s="19">
        <v>0</v>
      </c>
      <c r="Y10" s="19">
        <v>19</v>
      </c>
      <c r="Z10" s="19">
        <v>7.2</v>
      </c>
      <c r="AA10" s="19">
        <v>0.2</v>
      </c>
      <c r="AB10" s="19">
        <v>0</v>
      </c>
      <c r="AC10" s="19">
        <v>18.8</v>
      </c>
      <c r="AD10" s="19">
        <v>6.8</v>
      </c>
      <c r="AE10" s="19">
        <v>0.6</v>
      </c>
      <c r="AF10" s="19">
        <v>0</v>
      </c>
      <c r="AG10" s="19">
        <v>17.3</v>
      </c>
      <c r="AH10" s="19">
        <v>3.6</v>
      </c>
      <c r="AI10" s="19">
        <v>0</v>
      </c>
      <c r="AJ10" s="19">
        <v>0</v>
      </c>
      <c r="AK10" s="19">
        <v>18.899999999999999</v>
      </c>
      <c r="AL10" s="19">
        <v>6.4</v>
      </c>
      <c r="AM10" s="19">
        <v>0</v>
      </c>
      <c r="AN10" s="19">
        <v>0</v>
      </c>
      <c r="AO10" s="28"/>
      <c r="AP10" s="41">
        <f t="shared" si="12"/>
        <v>14.4</v>
      </c>
      <c r="AQ10" s="41">
        <f t="shared" si="13"/>
        <v>52</v>
      </c>
      <c r="AR10" s="41">
        <f t="shared" si="14"/>
        <v>25</v>
      </c>
      <c r="AS10" s="41">
        <f t="shared" si="15"/>
        <v>21.2</v>
      </c>
      <c r="AT10" s="41">
        <f t="shared" si="16"/>
        <v>77</v>
      </c>
      <c r="AU10" s="41">
        <f t="shared" si="17"/>
        <v>10</v>
      </c>
      <c r="AV10" s="41">
        <f t="shared" si="18"/>
        <v>46.199999999999996</v>
      </c>
      <c r="AW10" s="41">
        <f t="shared" si="19"/>
        <v>123.19999999999999</v>
      </c>
      <c r="AX10" s="18">
        <v>19</v>
      </c>
      <c r="AY10" s="18">
        <v>7.6</v>
      </c>
      <c r="AZ10" s="18">
        <v>0</v>
      </c>
      <c r="BA10" s="18">
        <v>0</v>
      </c>
      <c r="BB10" s="18">
        <v>18.600000000000001</v>
      </c>
      <c r="BC10" s="18">
        <v>7.2</v>
      </c>
      <c r="BD10" s="18">
        <v>0.2</v>
      </c>
      <c r="BE10" s="18">
        <v>0</v>
      </c>
      <c r="BF10" s="18">
        <v>19</v>
      </c>
      <c r="BG10" s="18">
        <v>6.8</v>
      </c>
      <c r="BH10" s="18">
        <v>0.6</v>
      </c>
      <c r="BI10" s="18">
        <v>0</v>
      </c>
      <c r="BJ10" s="18">
        <v>18.7</v>
      </c>
      <c r="BK10" s="18">
        <v>7.2</v>
      </c>
      <c r="BL10" s="18">
        <v>0</v>
      </c>
      <c r="BM10" s="18">
        <v>0</v>
      </c>
      <c r="BN10" s="18">
        <v>17.399999999999999</v>
      </c>
      <c r="BO10" s="18">
        <v>2.8</v>
      </c>
      <c r="BP10" s="18">
        <v>0</v>
      </c>
      <c r="BQ10" s="18">
        <v>0</v>
      </c>
      <c r="BR10" s="29"/>
      <c r="BS10" s="11">
        <f t="shared" si="20"/>
        <v>14.8</v>
      </c>
      <c r="BT10" s="11">
        <f t="shared" si="21"/>
        <v>52.2</v>
      </c>
      <c r="BU10" s="11">
        <f t="shared" si="22"/>
        <v>25.2</v>
      </c>
      <c r="BV10" s="11">
        <f t="shared" si="23"/>
        <v>21.6</v>
      </c>
      <c r="BW10" s="11">
        <f t="shared" si="24"/>
        <v>77.400000000000006</v>
      </c>
      <c r="BX10" s="11">
        <f t="shared" si="25"/>
        <v>10</v>
      </c>
      <c r="BY10" s="11">
        <f t="shared" si="26"/>
        <v>46.099999999999994</v>
      </c>
      <c r="BZ10" s="11">
        <f t="shared" si="27"/>
        <v>123.5</v>
      </c>
      <c r="CA10" s="19">
        <v>18.600000000000001</v>
      </c>
      <c r="CB10" s="19">
        <v>7.2</v>
      </c>
      <c r="CC10" s="19">
        <v>0.6</v>
      </c>
      <c r="CD10" s="19">
        <v>0</v>
      </c>
      <c r="CE10" s="19">
        <v>18.899999999999999</v>
      </c>
      <c r="CF10" s="19">
        <v>6.8</v>
      </c>
      <c r="CG10" s="19">
        <v>0</v>
      </c>
      <c r="CH10" s="19">
        <v>0</v>
      </c>
      <c r="CI10" s="19">
        <v>19.2</v>
      </c>
      <c r="CJ10" s="19">
        <v>7.2</v>
      </c>
      <c r="CK10" s="19">
        <v>0.6</v>
      </c>
      <c r="CL10" s="19">
        <v>0</v>
      </c>
      <c r="CM10" s="19">
        <v>18.600000000000001</v>
      </c>
      <c r="CN10" s="19">
        <v>7.2</v>
      </c>
      <c r="CO10" s="19">
        <v>0.2</v>
      </c>
      <c r="CP10" s="19">
        <v>0</v>
      </c>
      <c r="CQ10" s="19">
        <v>18.899999999999999</v>
      </c>
      <c r="CR10" s="19">
        <v>7.2</v>
      </c>
      <c r="CS10" s="19">
        <v>0.6</v>
      </c>
      <c r="CT10" s="19">
        <v>0</v>
      </c>
      <c r="CU10" s="28"/>
      <c r="CV10" s="41">
        <f t="shared" si="28"/>
        <v>14</v>
      </c>
      <c r="CW10" s="41">
        <f t="shared" si="29"/>
        <v>50.9</v>
      </c>
      <c r="CX10" s="41">
        <f t="shared" si="30"/>
        <v>25.799999999999997</v>
      </c>
      <c r="CY10" s="41">
        <f t="shared" si="31"/>
        <v>21.2</v>
      </c>
      <c r="CZ10" s="41">
        <f t="shared" si="32"/>
        <v>76.699999999999989</v>
      </c>
      <c r="DA10" s="41">
        <f t="shared" si="33"/>
        <v>14.4</v>
      </c>
      <c r="DB10" s="41">
        <f t="shared" si="34"/>
        <v>51.100000000000009</v>
      </c>
      <c r="DC10" s="41">
        <f t="shared" si="35"/>
        <v>127.8</v>
      </c>
      <c r="DD10" s="52" t="str">
        <f t="shared" si="36"/>
        <v/>
      </c>
      <c r="DE10" s="52" t="str">
        <f t="shared" si="37"/>
        <v/>
      </c>
      <c r="DF10" s="52" t="str">
        <f t="shared" si="38"/>
        <v/>
      </c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 t="str">
        <f t="shared" si="39"/>
        <v/>
      </c>
      <c r="EB10" s="41" t="str">
        <f t="shared" si="40"/>
        <v/>
      </c>
      <c r="EC10" s="41" t="str">
        <f t="shared" si="41"/>
        <v/>
      </c>
      <c r="ED10" s="41" t="str">
        <f t="shared" si="42"/>
        <v/>
      </c>
      <c r="EE10" s="41" t="str">
        <f t="shared" si="43"/>
        <v/>
      </c>
      <c r="EF10" s="41" t="str">
        <f t="shared" si="44"/>
        <v/>
      </c>
      <c r="EG10" s="41" t="str">
        <f t="shared" si="45"/>
        <v/>
      </c>
      <c r="EH10" s="41" t="str">
        <f t="shared" si="46"/>
        <v/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7"/>
        <v/>
      </c>
      <c r="FD10" s="11" t="str">
        <f t="shared" si="48"/>
        <v/>
      </c>
      <c r="FE10" s="11" t="str">
        <f t="shared" si="49"/>
        <v/>
      </c>
      <c r="FF10" s="11" t="str">
        <f t="shared" si="50"/>
        <v/>
      </c>
      <c r="FG10" s="11" t="str">
        <f t="shared" si="51"/>
        <v/>
      </c>
      <c r="FH10" s="11" t="str">
        <f t="shared" si="52"/>
        <v/>
      </c>
      <c r="FI10" s="11" t="str">
        <f t="shared" si="53"/>
        <v/>
      </c>
      <c r="FJ10" s="11" t="str">
        <f t="shared" si="54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5"/>
        <v/>
      </c>
      <c r="GF10" s="41" t="str">
        <f t="shared" si="56"/>
        <v/>
      </c>
      <c r="GG10" s="41" t="str">
        <f t="shared" si="57"/>
        <v/>
      </c>
      <c r="GH10" s="41" t="str">
        <f t="shared" si="58"/>
        <v/>
      </c>
      <c r="GI10" s="41" t="str">
        <f t="shared" si="59"/>
        <v/>
      </c>
      <c r="GJ10" s="41" t="str">
        <f t="shared" si="60"/>
        <v/>
      </c>
      <c r="GK10" s="41" t="str">
        <f t="shared" si="61"/>
        <v/>
      </c>
      <c r="GL10" s="41" t="str">
        <f t="shared" si="62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3"/>
        <v/>
      </c>
      <c r="HH10" s="11" t="str">
        <f t="shared" si="64"/>
        <v/>
      </c>
      <c r="HI10" s="11" t="str">
        <f t="shared" si="65"/>
        <v/>
      </c>
      <c r="HJ10" s="11" t="str">
        <f t="shared" si="66"/>
        <v/>
      </c>
      <c r="HK10" s="11" t="str">
        <f t="shared" si="67"/>
        <v/>
      </c>
      <c r="HL10" s="11" t="str">
        <f t="shared" si="68"/>
        <v/>
      </c>
      <c r="HM10" s="11" t="str">
        <f t="shared" si="69"/>
        <v/>
      </c>
      <c r="HN10" s="11" t="str">
        <f t="shared" si="70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1"/>
        <v/>
      </c>
      <c r="IJ10" s="41" t="str">
        <f t="shared" si="72"/>
        <v/>
      </c>
      <c r="IK10" s="41" t="str">
        <f t="shared" si="73"/>
        <v/>
      </c>
      <c r="IL10" s="41" t="str">
        <f t="shared" si="74"/>
        <v/>
      </c>
      <c r="IM10" s="41" t="str">
        <f t="shared" si="75"/>
        <v/>
      </c>
      <c r="IN10" s="41" t="str">
        <f t="shared" si="76"/>
        <v/>
      </c>
      <c r="IO10" s="41" t="str">
        <f t="shared" si="77"/>
        <v/>
      </c>
      <c r="IP10" s="41" t="str">
        <f t="shared" si="78"/>
        <v/>
      </c>
      <c r="IQ10" s="18">
        <v>18.5</v>
      </c>
      <c r="IR10" s="18">
        <v>7.2</v>
      </c>
      <c r="IS10" s="18">
        <v>0.8</v>
      </c>
      <c r="IT10" s="18">
        <v>0</v>
      </c>
      <c r="IU10" s="18">
        <v>18.2</v>
      </c>
      <c r="IV10" s="18">
        <v>6.8</v>
      </c>
      <c r="IW10" s="18">
        <v>0.6</v>
      </c>
      <c r="IX10" s="18">
        <v>0</v>
      </c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>
        <f t="shared" si="79"/>
        <v>14</v>
      </c>
      <c r="JL10" s="11">
        <f t="shared" si="80"/>
        <v>49.3</v>
      </c>
      <c r="JM10" s="11" t="str">
        <f t="shared" si="81"/>
        <v/>
      </c>
      <c r="JN10" s="11">
        <f t="shared" si="82"/>
        <v>14</v>
      </c>
      <c r="JO10" s="11">
        <f t="shared" si="83"/>
        <v>49.3</v>
      </c>
      <c r="JP10" s="11" t="str">
        <f t="shared" si="84"/>
        <v/>
      </c>
      <c r="JQ10" s="11" t="str">
        <f t="shared" si="85"/>
        <v/>
      </c>
      <c r="JR10" s="11">
        <f t="shared" si="86"/>
        <v>49.3</v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7"/>
        <v/>
      </c>
      <c r="KN10" s="41" t="str">
        <f t="shared" si="88"/>
        <v/>
      </c>
      <c r="KO10" s="41" t="str">
        <f t="shared" si="89"/>
        <v/>
      </c>
      <c r="KP10" s="41" t="str">
        <f t="shared" si="90"/>
        <v/>
      </c>
      <c r="KQ10" s="41" t="str">
        <f t="shared" si="91"/>
        <v/>
      </c>
      <c r="KR10" s="41" t="str">
        <f t="shared" si="92"/>
        <v/>
      </c>
      <c r="KS10" s="41" t="str">
        <f t="shared" si="93"/>
        <v/>
      </c>
      <c r="KT10" s="41" t="str">
        <f t="shared" si="94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5"/>
        <v/>
      </c>
      <c r="LP10" s="11" t="str">
        <f t="shared" si="96"/>
        <v/>
      </c>
      <c r="LQ10" s="11" t="str">
        <f t="shared" si="97"/>
        <v/>
      </c>
      <c r="LR10" s="11" t="str">
        <f t="shared" si="98"/>
        <v/>
      </c>
      <c r="LS10" s="11" t="str">
        <f t="shared" si="99"/>
        <v/>
      </c>
      <c r="LT10" s="11" t="str">
        <f t="shared" si="100"/>
        <v/>
      </c>
      <c r="LU10" s="11" t="str">
        <f t="shared" si="101"/>
        <v/>
      </c>
      <c r="LV10" s="11" t="str">
        <f t="shared" si="102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3"/>
        <v/>
      </c>
      <c r="MR10" s="41" t="str">
        <f t="shared" si="104"/>
        <v/>
      </c>
      <c r="MS10" s="41" t="str">
        <f t="shared" si="105"/>
        <v/>
      </c>
      <c r="MT10" s="41" t="str">
        <f t="shared" si="106"/>
        <v/>
      </c>
      <c r="MU10" s="41" t="str">
        <f t="shared" si="107"/>
        <v/>
      </c>
      <c r="MV10" s="41" t="str">
        <f t="shared" si="108"/>
        <v/>
      </c>
      <c r="MW10" s="41" t="str">
        <f t="shared" si="109"/>
        <v/>
      </c>
      <c r="MX10" s="41" t="str">
        <f t="shared" si="110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1"/>
        <v/>
      </c>
      <c r="NT10" s="11" t="str">
        <f t="shared" si="112"/>
        <v/>
      </c>
      <c r="NU10" s="11" t="str">
        <f t="shared" si="113"/>
        <v/>
      </c>
      <c r="NV10" s="11" t="str">
        <f t="shared" si="114"/>
        <v/>
      </c>
      <c r="NW10" s="11" t="str">
        <f t="shared" si="115"/>
        <v/>
      </c>
      <c r="NX10" s="11" t="str">
        <f t="shared" si="116"/>
        <v/>
      </c>
      <c r="NY10" s="11" t="str">
        <f t="shared" si="117"/>
        <v/>
      </c>
      <c r="NZ10" s="11" t="str">
        <f t="shared" si="118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19"/>
        <v/>
      </c>
      <c r="OV10" s="41" t="str">
        <f t="shared" si="120"/>
        <v/>
      </c>
      <c r="OW10" s="41" t="str">
        <f t="shared" si="121"/>
        <v/>
      </c>
      <c r="OX10" s="41" t="str">
        <f t="shared" si="122"/>
        <v/>
      </c>
      <c r="OY10" s="41" t="str">
        <f t="shared" si="123"/>
        <v/>
      </c>
      <c r="OZ10" s="41" t="str">
        <f t="shared" si="124"/>
        <v/>
      </c>
      <c r="PA10" s="41" t="str">
        <f t="shared" si="125"/>
        <v/>
      </c>
      <c r="PB10" s="41" t="str">
        <f t="shared" si="126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7"/>
        <v/>
      </c>
      <c r="PX10" s="11" t="str">
        <f t="shared" si="128"/>
        <v/>
      </c>
      <c r="PY10" s="11" t="str">
        <f t="shared" si="129"/>
        <v/>
      </c>
      <c r="PZ10" s="11" t="str">
        <f t="shared" si="130"/>
        <v/>
      </c>
      <c r="QA10" s="11" t="str">
        <f t="shared" si="131"/>
        <v/>
      </c>
      <c r="QB10" s="11" t="str">
        <f t="shared" si="132"/>
        <v/>
      </c>
      <c r="QC10" s="11" t="str">
        <f t="shared" si="133"/>
        <v/>
      </c>
      <c r="QD10" s="11" t="str">
        <f t="shared" si="134"/>
        <v/>
      </c>
      <c r="QE10" s="23">
        <f t="shared" si="135"/>
        <v>18.8</v>
      </c>
      <c r="QF10" s="23">
        <f t="shared" si="136"/>
        <v>7.4</v>
      </c>
      <c r="QG10" s="23">
        <f t="shared" si="137"/>
        <v>0.3</v>
      </c>
      <c r="QH10" s="23">
        <f t="shared" si="138"/>
        <v>0</v>
      </c>
      <c r="QI10" s="23">
        <f t="shared" si="139"/>
        <v>18.75</v>
      </c>
      <c r="QJ10" s="23">
        <f t="shared" si="140"/>
        <v>7</v>
      </c>
      <c r="QK10" s="23">
        <f t="shared" si="141"/>
        <v>0.1</v>
      </c>
      <c r="QL10" s="23">
        <f t="shared" si="142"/>
        <v>0</v>
      </c>
      <c r="QM10" s="23">
        <f t="shared" si="143"/>
        <v>19.100000000000001</v>
      </c>
      <c r="QN10" s="23">
        <f t="shared" si="144"/>
        <v>7</v>
      </c>
      <c r="QO10" s="23">
        <f t="shared" si="145"/>
        <v>0.6</v>
      </c>
      <c r="QP10" s="23">
        <f t="shared" si="146"/>
        <v>0</v>
      </c>
      <c r="QQ10" s="23">
        <f t="shared" si="147"/>
        <v>18.649999999999999</v>
      </c>
      <c r="QR10" s="23">
        <f t="shared" si="148"/>
        <v>7.2</v>
      </c>
      <c r="QS10" s="23">
        <f t="shared" si="149"/>
        <v>0.1</v>
      </c>
      <c r="QT10" s="23">
        <f t="shared" si="150"/>
        <v>0</v>
      </c>
      <c r="QU10" s="23">
        <f t="shared" si="151"/>
        <v>18.149999999999999</v>
      </c>
      <c r="QV10" s="23">
        <f t="shared" si="152"/>
        <v>5</v>
      </c>
      <c r="QW10" s="23">
        <f t="shared" si="153"/>
        <v>0.3</v>
      </c>
      <c r="QX10" s="23">
        <f t="shared" si="154"/>
        <v>0</v>
      </c>
      <c r="QY10" s="28" t="s">
        <v>57</v>
      </c>
      <c r="QZ10" s="41">
        <f t="shared" si="155"/>
        <v>14.4</v>
      </c>
      <c r="RA10" s="41">
        <f t="shared" si="156"/>
        <v>51.550000000000004</v>
      </c>
      <c r="RB10" s="41">
        <f t="shared" si="157"/>
        <v>25.5</v>
      </c>
      <c r="RC10" s="41">
        <f t="shared" si="158"/>
        <v>21.4</v>
      </c>
      <c r="RD10" s="41">
        <f t="shared" si="159"/>
        <v>77.050000000000011</v>
      </c>
      <c r="RE10" s="41">
        <f t="shared" si="160"/>
        <v>12.2</v>
      </c>
      <c r="RF10" s="41">
        <f t="shared" si="161"/>
        <v>48.6</v>
      </c>
      <c r="RG10" s="41">
        <f t="shared" si="162"/>
        <v>125.65</v>
      </c>
    </row>
    <row r="11" spans="1:475" x14ac:dyDescent="0.2">
      <c r="A11" s="4" cm="1">
        <f t="array" ref="A11">IF(AND(H11&lt;&gt;"",H11&lt;&gt;"No DD"),SUMPRODUCT((H$4:H$28&lt;&gt;"")*(H$4:H$28&lt;&gt;"No DD")*(E$4:E$28&gt;E11))+1,IF(H11="No DD",SUMPRODUCT((H$4:H$28="No DD")*(E$4:E$28&gt;E11))+1+SUMPRODUCT((H$4:H$28&lt;&gt;"")*(H$4:H$28&lt;&gt;"No DD")),""))</f>
        <v>8</v>
      </c>
      <c r="B11" s="5" t="s">
        <v>173</v>
      </c>
      <c r="C11" s="4" t="s">
        <v>3</v>
      </c>
      <c r="D11" s="4">
        <v>2002</v>
      </c>
      <c r="E11" s="9">
        <f t="shared" si="163"/>
        <v>179.60001266500515</v>
      </c>
      <c r="F11" s="3" t="str">
        <f t="shared" si="0"/>
        <v>P</v>
      </c>
      <c r="G11" s="3" t="str">
        <f t="shared" si="1"/>
        <v>P</v>
      </c>
      <c r="H11" s="37" t="str">
        <f t="shared" si="2"/>
        <v>National Team</v>
      </c>
      <c r="I11" s="3" t="str">
        <f t="shared" si="3"/>
        <v/>
      </c>
      <c r="J11" s="8">
        <f>IF(COUNT(AQ11,BT11,CW11)&gt;0,LARGE((AQ11,BT11,CW11),1),0)</f>
        <v>51.2</v>
      </c>
      <c r="K11" s="8" t="str">
        <f t="shared" si="4"/>
        <v>2023 Elite Canada</v>
      </c>
      <c r="L11" s="8">
        <f>IF(COUNT(AQ11,BT11,CW11)&gt;1,LARGE((AQ11,BT11,CW11),2),0)</f>
        <v>50.449999999999996</v>
      </c>
      <c r="M11" s="8" t="str">
        <f t="shared" si="5"/>
        <v>2023 Nationals</v>
      </c>
      <c r="N11" s="8">
        <f>IF(COUNT(AR11,BU11,CX11)&gt;0,LARGE((AR11,BU11,CX11),1),0)</f>
        <v>25</v>
      </c>
      <c r="O11" s="8" t="str">
        <f t="shared" si="6"/>
        <v>2023 Nationals</v>
      </c>
      <c r="P11" s="8">
        <f t="shared" si="7"/>
        <v>51</v>
      </c>
      <c r="Q11" s="8" t="str">
        <f t="shared" si="8"/>
        <v>2023 Elite Canada</v>
      </c>
      <c r="R11" s="8">
        <f t="shared" si="9"/>
        <v>1.9500000000000028</v>
      </c>
      <c r="S11" s="11" t="str">
        <f t="shared" si="10"/>
        <v>(Q1)</v>
      </c>
      <c r="T11" s="8" t="str">
        <f t="shared" si="11"/>
        <v>2023 WAGC (Nov 17)</v>
      </c>
      <c r="U11" s="19">
        <v>19</v>
      </c>
      <c r="V11" s="19">
        <v>6.8</v>
      </c>
      <c r="W11" s="19">
        <v>0</v>
      </c>
      <c r="X11" s="19">
        <v>0</v>
      </c>
      <c r="Y11" s="19">
        <v>18.399999999999999</v>
      </c>
      <c r="Z11" s="19">
        <v>7.2</v>
      </c>
      <c r="AA11" s="19">
        <v>0.2</v>
      </c>
      <c r="AB11" s="19">
        <v>0</v>
      </c>
      <c r="AC11" s="19">
        <v>18.100000000000001</v>
      </c>
      <c r="AD11" s="19">
        <v>6.8</v>
      </c>
      <c r="AE11" s="19">
        <v>0</v>
      </c>
      <c r="AF11" s="19">
        <v>0</v>
      </c>
      <c r="AG11" s="19">
        <v>18</v>
      </c>
      <c r="AH11" s="19">
        <v>8.4</v>
      </c>
      <c r="AI11" s="19">
        <v>0.6</v>
      </c>
      <c r="AJ11" s="19">
        <v>0</v>
      </c>
      <c r="AK11" s="19">
        <v>18.600000000000001</v>
      </c>
      <c r="AL11" s="19">
        <v>6.8</v>
      </c>
      <c r="AM11" s="19">
        <v>0.2</v>
      </c>
      <c r="AN11" s="19">
        <v>0</v>
      </c>
      <c r="AO11" s="28"/>
      <c r="AP11" s="41">
        <f t="shared" si="12"/>
        <v>14</v>
      </c>
      <c r="AQ11" s="41">
        <f t="shared" si="13"/>
        <v>51.2</v>
      </c>
      <c r="AR11" s="41">
        <f t="shared" si="14"/>
        <v>24.900000000000002</v>
      </c>
      <c r="AS11" s="41">
        <f t="shared" si="15"/>
        <v>20.8</v>
      </c>
      <c r="AT11" s="41">
        <f t="shared" si="16"/>
        <v>76.100000000000009</v>
      </c>
      <c r="AU11" s="41">
        <f t="shared" si="17"/>
        <v>15.2</v>
      </c>
      <c r="AV11" s="41">
        <f t="shared" si="18"/>
        <v>51</v>
      </c>
      <c r="AW11" s="41">
        <f t="shared" si="19"/>
        <v>127.10000000000001</v>
      </c>
      <c r="AX11" s="18">
        <v>18.7</v>
      </c>
      <c r="AY11" s="18">
        <v>6.8</v>
      </c>
      <c r="AZ11" s="18">
        <v>0.1</v>
      </c>
      <c r="BA11" s="18">
        <v>0</v>
      </c>
      <c r="BB11" s="18">
        <v>18.549999999999997</v>
      </c>
      <c r="BC11" s="18">
        <v>6.6</v>
      </c>
      <c r="BD11" s="18">
        <v>0.1</v>
      </c>
      <c r="BE11" s="18">
        <v>0</v>
      </c>
      <c r="BF11" s="18">
        <v>18.5</v>
      </c>
      <c r="BG11" s="18">
        <v>7</v>
      </c>
      <c r="BH11" s="18">
        <v>0.5</v>
      </c>
      <c r="BI11" s="18">
        <v>0</v>
      </c>
      <c r="BJ11" s="18">
        <v>18.05</v>
      </c>
      <c r="BK11" s="18">
        <v>7.2</v>
      </c>
      <c r="BL11" s="18">
        <v>0.7</v>
      </c>
      <c r="BM11" s="18">
        <v>0</v>
      </c>
      <c r="BN11" s="18">
        <v>18.649999999999999</v>
      </c>
      <c r="BO11" s="18">
        <v>7</v>
      </c>
      <c r="BP11" s="18">
        <v>0.4</v>
      </c>
      <c r="BQ11" s="18">
        <v>0</v>
      </c>
      <c r="BR11" s="29" t="s">
        <v>57</v>
      </c>
      <c r="BS11" s="11">
        <f t="shared" si="20"/>
        <v>13.399999999999999</v>
      </c>
      <c r="BT11" s="11">
        <f t="shared" si="21"/>
        <v>50.449999999999996</v>
      </c>
      <c r="BU11" s="11">
        <f t="shared" si="22"/>
        <v>25</v>
      </c>
      <c r="BV11" s="11">
        <f t="shared" si="23"/>
        <v>20.399999999999999</v>
      </c>
      <c r="BW11" s="11">
        <f t="shared" si="24"/>
        <v>75.449999999999989</v>
      </c>
      <c r="BX11" s="11">
        <f t="shared" si="25"/>
        <v>14.2</v>
      </c>
      <c r="BY11" s="11">
        <f t="shared" si="26"/>
        <v>49.8</v>
      </c>
      <c r="BZ11" s="11">
        <f t="shared" si="27"/>
        <v>125.24999999999999</v>
      </c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28"/>
      <c r="CV11" s="41" t="str">
        <f t="shared" si="28"/>
        <v/>
      </c>
      <c r="CW11" s="41" t="str">
        <f t="shared" si="29"/>
        <v/>
      </c>
      <c r="CX11" s="41" t="str">
        <f t="shared" si="30"/>
        <v/>
      </c>
      <c r="CY11" s="41" t="str">
        <f t="shared" si="31"/>
        <v/>
      </c>
      <c r="CZ11" s="41" t="str">
        <f t="shared" si="32"/>
        <v/>
      </c>
      <c r="DA11" s="41" t="str">
        <f t="shared" si="33"/>
        <v/>
      </c>
      <c r="DB11" s="41" t="str">
        <f t="shared" si="34"/>
        <v/>
      </c>
      <c r="DC11" s="41" t="str">
        <f t="shared" si="35"/>
        <v/>
      </c>
      <c r="DD11" s="52">
        <f t="shared" si="36"/>
        <v>1.9500000000000028</v>
      </c>
      <c r="DE11" s="52" t="str">
        <f t="shared" si="37"/>
        <v/>
      </c>
      <c r="DF11" s="52">
        <f t="shared" si="38"/>
        <v>0.69999999999999574</v>
      </c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 t="str">
        <f t="shared" si="39"/>
        <v/>
      </c>
      <c r="EB11" s="41" t="str">
        <f t="shared" si="40"/>
        <v/>
      </c>
      <c r="EC11" s="41" t="str">
        <f t="shared" si="41"/>
        <v/>
      </c>
      <c r="ED11" s="41" t="str">
        <f t="shared" si="42"/>
        <v/>
      </c>
      <c r="EE11" s="41" t="str">
        <f t="shared" si="43"/>
        <v/>
      </c>
      <c r="EF11" s="41" t="str">
        <f t="shared" si="44"/>
        <v/>
      </c>
      <c r="EG11" s="41" t="str">
        <f t="shared" si="45"/>
        <v/>
      </c>
      <c r="EH11" s="41" t="str">
        <f t="shared" si="46"/>
        <v/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1" t="str">
        <f t="shared" si="47"/>
        <v/>
      </c>
      <c r="FD11" s="11" t="str">
        <f t="shared" si="48"/>
        <v/>
      </c>
      <c r="FE11" s="11" t="str">
        <f t="shared" si="49"/>
        <v/>
      </c>
      <c r="FF11" s="11" t="str">
        <f t="shared" si="50"/>
        <v/>
      </c>
      <c r="FG11" s="11" t="str">
        <f t="shared" si="51"/>
        <v/>
      </c>
      <c r="FH11" s="11" t="str">
        <f t="shared" si="52"/>
        <v/>
      </c>
      <c r="FI11" s="11" t="str">
        <f t="shared" si="53"/>
        <v/>
      </c>
      <c r="FJ11" s="11" t="str">
        <f t="shared" si="54"/>
        <v/>
      </c>
      <c r="FK11" s="17">
        <v>18.399999999999999</v>
      </c>
      <c r="FL11" s="17">
        <v>8.4</v>
      </c>
      <c r="FM11" s="17">
        <v>0.6</v>
      </c>
      <c r="FN11" s="17">
        <v>0</v>
      </c>
      <c r="FO11" s="17">
        <v>18.600000000000001</v>
      </c>
      <c r="FP11" s="17">
        <v>6.8</v>
      </c>
      <c r="FQ11" s="17">
        <v>0.2</v>
      </c>
      <c r="FR11" s="17">
        <v>0</v>
      </c>
      <c r="FS11" s="17"/>
      <c r="FT11" s="17"/>
      <c r="FU11" s="17"/>
      <c r="FV11" s="17"/>
      <c r="FW11" s="17">
        <v>18.600000000000001</v>
      </c>
      <c r="FX11" s="17">
        <v>8.4</v>
      </c>
      <c r="FY11" s="17">
        <v>0.6</v>
      </c>
      <c r="FZ11" s="17">
        <v>0</v>
      </c>
      <c r="GA11" s="17">
        <v>19.100000000000001</v>
      </c>
      <c r="GB11" s="17">
        <v>6.8</v>
      </c>
      <c r="GC11" s="17">
        <v>0.6</v>
      </c>
      <c r="GD11" s="17">
        <v>0</v>
      </c>
      <c r="GE11" s="41">
        <f t="shared" si="55"/>
        <v>15.2</v>
      </c>
      <c r="GF11" s="41">
        <f t="shared" si="56"/>
        <v>51.399999999999991</v>
      </c>
      <c r="GG11" s="41" t="str">
        <f t="shared" si="57"/>
        <v/>
      </c>
      <c r="GH11" s="41">
        <f t="shared" si="58"/>
        <v>15.2</v>
      </c>
      <c r="GI11" s="41">
        <f t="shared" si="59"/>
        <v>51.399999999999991</v>
      </c>
      <c r="GJ11" s="41">
        <f t="shared" si="60"/>
        <v>15.2</v>
      </c>
      <c r="GK11" s="41">
        <f t="shared" si="61"/>
        <v>51.699999999999996</v>
      </c>
      <c r="GL11" s="41">
        <f t="shared" si="62"/>
        <v>103.1</v>
      </c>
      <c r="GM11" s="18">
        <v>18.600000000000001</v>
      </c>
      <c r="GN11" s="18">
        <v>8.4</v>
      </c>
      <c r="GO11" s="18">
        <v>0.6</v>
      </c>
      <c r="GP11" s="18">
        <v>0</v>
      </c>
      <c r="GQ11" s="18">
        <v>18.8</v>
      </c>
      <c r="GR11" s="18">
        <v>6.8</v>
      </c>
      <c r="GS11" s="18">
        <v>0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 t="shared" si="63"/>
        <v>15.2</v>
      </c>
      <c r="HH11" s="11">
        <f t="shared" si="64"/>
        <v>51.999999999999993</v>
      </c>
      <c r="HI11" s="11" t="str">
        <f t="shared" si="65"/>
        <v/>
      </c>
      <c r="HJ11" s="11">
        <f t="shared" si="66"/>
        <v>15.2</v>
      </c>
      <c r="HK11" s="11">
        <f t="shared" si="67"/>
        <v>51.999999999999993</v>
      </c>
      <c r="HL11" s="11" t="str">
        <f t="shared" si="68"/>
        <v/>
      </c>
      <c r="HM11" s="11" t="str">
        <f t="shared" si="69"/>
        <v/>
      </c>
      <c r="HN11" s="11">
        <f t="shared" si="70"/>
        <v>51.999999999999993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1"/>
        <v/>
      </c>
      <c r="IJ11" s="41" t="str">
        <f t="shared" si="72"/>
        <v/>
      </c>
      <c r="IK11" s="41" t="str">
        <f t="shared" si="73"/>
        <v/>
      </c>
      <c r="IL11" s="41" t="str">
        <f t="shared" si="74"/>
        <v/>
      </c>
      <c r="IM11" s="41" t="str">
        <f t="shared" si="75"/>
        <v/>
      </c>
      <c r="IN11" s="41" t="str">
        <f t="shared" si="76"/>
        <v/>
      </c>
      <c r="IO11" s="41" t="str">
        <f t="shared" si="77"/>
        <v/>
      </c>
      <c r="IP11" s="41" t="str">
        <f t="shared" si="78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79"/>
        <v/>
      </c>
      <c r="JL11" s="11" t="str">
        <f t="shared" si="80"/>
        <v/>
      </c>
      <c r="JM11" s="11" t="str">
        <f t="shared" si="81"/>
        <v/>
      </c>
      <c r="JN11" s="11" t="str">
        <f t="shared" si="82"/>
        <v/>
      </c>
      <c r="JO11" s="11" t="str">
        <f t="shared" si="83"/>
        <v/>
      </c>
      <c r="JP11" s="11" t="str">
        <f t="shared" si="84"/>
        <v/>
      </c>
      <c r="JQ11" s="11" t="str">
        <f t="shared" si="85"/>
        <v/>
      </c>
      <c r="JR11" s="11" t="str">
        <f t="shared" si="86"/>
        <v/>
      </c>
      <c r="JS11" s="17"/>
      <c r="JT11" s="17"/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 t="str">
        <f t="shared" si="87"/>
        <v/>
      </c>
      <c r="KN11" s="41" t="str">
        <f t="shared" si="88"/>
        <v/>
      </c>
      <c r="KO11" s="41" t="str">
        <f t="shared" si="89"/>
        <v/>
      </c>
      <c r="KP11" s="41" t="str">
        <f t="shared" si="90"/>
        <v/>
      </c>
      <c r="KQ11" s="41" t="str">
        <f t="shared" si="91"/>
        <v/>
      </c>
      <c r="KR11" s="41" t="str">
        <f t="shared" si="92"/>
        <v/>
      </c>
      <c r="KS11" s="41" t="str">
        <f t="shared" si="93"/>
        <v/>
      </c>
      <c r="KT11" s="41" t="str">
        <f t="shared" si="94"/>
        <v/>
      </c>
      <c r="KU11" s="18">
        <v>18.600000000000001</v>
      </c>
      <c r="KV11" s="18">
        <v>8.4</v>
      </c>
      <c r="KW11" s="18">
        <v>0.6</v>
      </c>
      <c r="KX11" s="18">
        <v>0</v>
      </c>
      <c r="KY11" s="18">
        <v>19.2</v>
      </c>
      <c r="KZ11" s="18">
        <v>6.8</v>
      </c>
      <c r="LA11" s="18">
        <v>0</v>
      </c>
      <c r="LB11" s="18">
        <v>0</v>
      </c>
      <c r="LC11" s="18"/>
      <c r="LD11" s="18"/>
      <c r="LE11" s="18"/>
      <c r="LF11" s="18"/>
      <c r="LG11" s="18">
        <v>19.100000000000001</v>
      </c>
      <c r="LH11" s="18">
        <v>6.8</v>
      </c>
      <c r="LI11" s="18">
        <v>0.6</v>
      </c>
      <c r="LJ11" s="18">
        <v>0</v>
      </c>
      <c r="LK11" s="18">
        <v>18.2</v>
      </c>
      <c r="LL11" s="18">
        <v>6.8</v>
      </c>
      <c r="LM11" s="18">
        <v>1</v>
      </c>
      <c r="LN11" s="18">
        <v>0</v>
      </c>
      <c r="LO11" s="11">
        <f t="shared" si="95"/>
        <v>15.2</v>
      </c>
      <c r="LP11" s="11">
        <f t="shared" si="96"/>
        <v>52.4</v>
      </c>
      <c r="LQ11" s="11" t="str">
        <f t="shared" si="97"/>
        <v/>
      </c>
      <c r="LR11" s="11">
        <f t="shared" si="98"/>
        <v>15.2</v>
      </c>
      <c r="LS11" s="11">
        <f t="shared" si="99"/>
        <v>52.4</v>
      </c>
      <c r="LT11" s="11">
        <f t="shared" si="100"/>
        <v>13.6</v>
      </c>
      <c r="LU11" s="11">
        <f t="shared" si="101"/>
        <v>49.3</v>
      </c>
      <c r="LV11" s="11">
        <f t="shared" si="102"/>
        <v>101.69999999999999</v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3"/>
        <v/>
      </c>
      <c r="MR11" s="41" t="str">
        <f t="shared" si="104"/>
        <v/>
      </c>
      <c r="MS11" s="41" t="str">
        <f t="shared" si="105"/>
        <v/>
      </c>
      <c r="MT11" s="41" t="str">
        <f t="shared" si="106"/>
        <v/>
      </c>
      <c r="MU11" s="41" t="str">
        <f t="shared" si="107"/>
        <v/>
      </c>
      <c r="MV11" s="41" t="str">
        <f t="shared" si="108"/>
        <v/>
      </c>
      <c r="MW11" s="41" t="str">
        <f t="shared" si="109"/>
        <v/>
      </c>
      <c r="MX11" s="41" t="str">
        <f t="shared" si="110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1"/>
        <v/>
      </c>
      <c r="NT11" s="11" t="str">
        <f t="shared" si="112"/>
        <v/>
      </c>
      <c r="NU11" s="11" t="str">
        <f t="shared" si="113"/>
        <v/>
      </c>
      <c r="NV11" s="11" t="str">
        <f t="shared" si="114"/>
        <v/>
      </c>
      <c r="NW11" s="11" t="str">
        <f t="shared" si="115"/>
        <v/>
      </c>
      <c r="NX11" s="11" t="str">
        <f t="shared" si="116"/>
        <v/>
      </c>
      <c r="NY11" s="11" t="str">
        <f t="shared" si="117"/>
        <v/>
      </c>
      <c r="NZ11" s="11" t="str">
        <f t="shared" si="118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19"/>
        <v/>
      </c>
      <c r="OV11" s="41" t="str">
        <f t="shared" si="120"/>
        <v/>
      </c>
      <c r="OW11" s="41" t="str">
        <f t="shared" si="121"/>
        <v/>
      </c>
      <c r="OX11" s="41" t="str">
        <f t="shared" si="122"/>
        <v/>
      </c>
      <c r="OY11" s="41" t="str">
        <f t="shared" si="123"/>
        <v/>
      </c>
      <c r="OZ11" s="41" t="str">
        <f t="shared" si="124"/>
        <v/>
      </c>
      <c r="PA11" s="41" t="str">
        <f t="shared" si="125"/>
        <v/>
      </c>
      <c r="PB11" s="41" t="str">
        <f t="shared" si="126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7"/>
        <v/>
      </c>
      <c r="PX11" s="11" t="str">
        <f t="shared" si="128"/>
        <v/>
      </c>
      <c r="PY11" s="11" t="str">
        <f t="shared" si="129"/>
        <v/>
      </c>
      <c r="PZ11" s="11" t="str">
        <f t="shared" si="130"/>
        <v/>
      </c>
      <c r="QA11" s="11" t="str">
        <f t="shared" si="131"/>
        <v/>
      </c>
      <c r="QB11" s="11" t="str">
        <f t="shared" si="132"/>
        <v/>
      </c>
      <c r="QC11" s="11" t="str">
        <f t="shared" si="133"/>
        <v/>
      </c>
      <c r="QD11" s="11" t="str">
        <f t="shared" si="134"/>
        <v/>
      </c>
      <c r="QE11" s="23">
        <f t="shared" si="135"/>
        <v>9.35</v>
      </c>
      <c r="QF11" s="23">
        <f t="shared" si="136"/>
        <v>3.4</v>
      </c>
      <c r="QG11" s="23">
        <f t="shared" si="137"/>
        <v>0.05</v>
      </c>
      <c r="QH11" s="23">
        <f t="shared" si="138"/>
        <v>0</v>
      </c>
      <c r="QI11" s="23">
        <f t="shared" si="139"/>
        <v>9.2749999999999986</v>
      </c>
      <c r="QJ11" s="23">
        <f t="shared" si="140"/>
        <v>3.3</v>
      </c>
      <c r="QK11" s="23">
        <f t="shared" si="141"/>
        <v>0.05</v>
      </c>
      <c r="QL11" s="23">
        <f t="shared" si="142"/>
        <v>0</v>
      </c>
      <c r="QM11" s="23">
        <f t="shared" si="143"/>
        <v>9.25</v>
      </c>
      <c r="QN11" s="23">
        <f t="shared" si="144"/>
        <v>3.5</v>
      </c>
      <c r="QO11" s="23">
        <f t="shared" si="145"/>
        <v>0.25</v>
      </c>
      <c r="QP11" s="23">
        <f t="shared" si="146"/>
        <v>0</v>
      </c>
      <c r="QQ11" s="23">
        <f t="shared" si="147"/>
        <v>9.0250000000000004</v>
      </c>
      <c r="QR11" s="23">
        <f t="shared" si="148"/>
        <v>3.6</v>
      </c>
      <c r="QS11" s="23">
        <f t="shared" si="149"/>
        <v>0.35</v>
      </c>
      <c r="QT11" s="23">
        <f t="shared" si="150"/>
        <v>0</v>
      </c>
      <c r="QU11" s="23">
        <f t="shared" si="151"/>
        <v>9.3249999999999993</v>
      </c>
      <c r="QV11" s="23">
        <f t="shared" si="152"/>
        <v>3.5</v>
      </c>
      <c r="QW11" s="23">
        <f t="shared" si="153"/>
        <v>0.2</v>
      </c>
      <c r="QX11" s="23">
        <f t="shared" si="154"/>
        <v>0</v>
      </c>
      <c r="QY11" s="28" t="s">
        <v>57</v>
      </c>
      <c r="QZ11" s="41">
        <f t="shared" si="155"/>
        <v>6.6999999999999993</v>
      </c>
      <c r="RA11" s="41">
        <f t="shared" si="156"/>
        <v>25.224999999999998</v>
      </c>
      <c r="RB11" s="41">
        <f t="shared" si="157"/>
        <v>12.5</v>
      </c>
      <c r="RC11" s="41">
        <f t="shared" si="158"/>
        <v>10.199999999999999</v>
      </c>
      <c r="RD11" s="41">
        <f t="shared" si="159"/>
        <v>37.724999999999994</v>
      </c>
      <c r="RE11" s="41">
        <f t="shared" si="160"/>
        <v>7.1</v>
      </c>
      <c r="RF11" s="41">
        <f t="shared" si="161"/>
        <v>24.9</v>
      </c>
      <c r="RG11" s="41">
        <f t="shared" si="162"/>
        <v>62.624999999999993</v>
      </c>
    </row>
    <row r="12" spans="1:475" x14ac:dyDescent="0.2">
      <c r="A12" s="4" cm="1">
        <f t="array" ref="A12">IF(AND(H12&lt;&gt;"",H12&lt;&gt;"No DD"),SUMPRODUCT((H$4:H$28&lt;&gt;"")*(H$4:H$28&lt;&gt;"No DD")*(E$4:E$28&gt;E12))+1,IF(H12="No DD",SUMPRODUCT((H$4:H$28="No DD")*(E$4:E$28&gt;E12))+1+SUMPRODUCT((H$4:H$28&lt;&gt;"")*(H$4:H$28&lt;&gt;"No DD")),""))</f>
        <v>9</v>
      </c>
      <c r="B12" s="5" t="s">
        <v>148</v>
      </c>
      <c r="C12" s="4" t="s">
        <v>5</v>
      </c>
      <c r="D12" s="4">
        <v>2004</v>
      </c>
      <c r="E12" s="9">
        <f t="shared" si="163"/>
        <v>179.00001269000504</v>
      </c>
      <c r="F12" s="3" t="str">
        <f t="shared" si="0"/>
        <v>P</v>
      </c>
      <c r="G12" s="3" t="str">
        <f t="shared" si="1"/>
        <v>P</v>
      </c>
      <c r="H12" s="37" t="str">
        <f t="shared" si="2"/>
        <v>National Team</v>
      </c>
      <c r="I12" s="3" t="str">
        <f t="shared" si="3"/>
        <v/>
      </c>
      <c r="J12" s="8">
        <f>IF(COUNT(AQ12,BT12,CW12)&gt;0,LARGE((AQ12,BT12,CW12),1),0)</f>
        <v>50.4</v>
      </c>
      <c r="K12" s="8" t="str">
        <f t="shared" si="4"/>
        <v>2023 Nationals</v>
      </c>
      <c r="L12" s="8">
        <f>IF(COUNT(AQ12,BT12,CW12)&gt;1,LARGE((AQ12,BT12,CW12),2),0)</f>
        <v>50</v>
      </c>
      <c r="M12" s="8" t="str">
        <f t="shared" si="5"/>
        <v>2023 Elite Canada</v>
      </c>
      <c r="N12" s="8">
        <f>IF(COUNT(AR12,BU12,CX12)&gt;0,LARGE((AR12,BU12,CX12),1),0)</f>
        <v>26.5</v>
      </c>
      <c r="O12" s="8" t="str">
        <f t="shared" si="6"/>
        <v>2023 Elite Canada</v>
      </c>
      <c r="P12" s="8">
        <f t="shared" si="7"/>
        <v>51.3</v>
      </c>
      <c r="Q12" s="8" t="str">
        <f t="shared" si="8"/>
        <v>2023 Elite Canada</v>
      </c>
      <c r="R12" s="8">
        <f t="shared" si="9"/>
        <v>0.79999999999999716</v>
      </c>
      <c r="S12" s="11" t="str">
        <f t="shared" si="10"/>
        <v>(Q1)</v>
      </c>
      <c r="T12" s="8" t="str">
        <f t="shared" si="11"/>
        <v>2022 WAGC (Nov 23)</v>
      </c>
      <c r="U12" s="19">
        <v>16.5</v>
      </c>
      <c r="V12" s="19">
        <v>8.1</v>
      </c>
      <c r="W12" s="19">
        <v>0.2</v>
      </c>
      <c r="X12" s="19">
        <v>0.3</v>
      </c>
      <c r="Y12" s="19">
        <v>18.3</v>
      </c>
      <c r="Z12" s="19">
        <v>7.6</v>
      </c>
      <c r="AA12" s="19">
        <v>0.6</v>
      </c>
      <c r="AB12" s="19">
        <v>0</v>
      </c>
      <c r="AC12" s="19">
        <v>18.5</v>
      </c>
      <c r="AD12" s="19">
        <v>8</v>
      </c>
      <c r="AE12" s="19">
        <v>0</v>
      </c>
      <c r="AF12" s="19">
        <v>0</v>
      </c>
      <c r="AG12" s="19">
        <v>18.3</v>
      </c>
      <c r="AH12" s="19">
        <v>7.3</v>
      </c>
      <c r="AI12" s="19">
        <v>0.2</v>
      </c>
      <c r="AJ12" s="19">
        <v>0.3</v>
      </c>
      <c r="AK12" s="19">
        <v>18.399999999999999</v>
      </c>
      <c r="AL12" s="19">
        <v>8</v>
      </c>
      <c r="AM12" s="19">
        <v>0.8</v>
      </c>
      <c r="AN12" s="19">
        <v>0</v>
      </c>
      <c r="AO12" s="28"/>
      <c r="AP12" s="41">
        <f t="shared" si="12"/>
        <v>15.7</v>
      </c>
      <c r="AQ12" s="41">
        <f t="shared" si="13"/>
        <v>50</v>
      </c>
      <c r="AR12" s="41">
        <f t="shared" si="14"/>
        <v>26.5</v>
      </c>
      <c r="AS12" s="41">
        <f t="shared" si="15"/>
        <v>23.7</v>
      </c>
      <c r="AT12" s="41">
        <f t="shared" si="16"/>
        <v>76.5</v>
      </c>
      <c r="AU12" s="41">
        <f t="shared" si="17"/>
        <v>15.3</v>
      </c>
      <c r="AV12" s="41">
        <f t="shared" si="18"/>
        <v>51.3</v>
      </c>
      <c r="AW12" s="41">
        <f t="shared" si="19"/>
        <v>127.8</v>
      </c>
      <c r="AX12" s="18">
        <v>17.75</v>
      </c>
      <c r="AY12" s="18">
        <v>7.65</v>
      </c>
      <c r="AZ12" s="18">
        <v>0.4</v>
      </c>
      <c r="BA12" s="18">
        <v>0.15</v>
      </c>
      <c r="BB12" s="18">
        <v>18.350000000000001</v>
      </c>
      <c r="BC12" s="18">
        <v>7.6</v>
      </c>
      <c r="BD12" s="18">
        <v>0.7</v>
      </c>
      <c r="BE12" s="18">
        <v>0</v>
      </c>
      <c r="BF12" s="18">
        <v>18.55</v>
      </c>
      <c r="BG12" s="18">
        <v>7.2</v>
      </c>
      <c r="BH12" s="18">
        <v>0.4</v>
      </c>
      <c r="BI12" s="18">
        <v>0</v>
      </c>
      <c r="BJ12" s="18">
        <v>18.600000000000001</v>
      </c>
      <c r="BK12" s="18">
        <v>7.25</v>
      </c>
      <c r="BL12" s="18">
        <v>0.4</v>
      </c>
      <c r="BM12" s="18">
        <v>0.15</v>
      </c>
      <c r="BN12" s="18">
        <v>18.399999999999999</v>
      </c>
      <c r="BO12" s="18">
        <v>7.8</v>
      </c>
      <c r="BP12" s="18">
        <v>0.7</v>
      </c>
      <c r="BQ12" s="18">
        <v>0</v>
      </c>
      <c r="BR12" s="29" t="s">
        <v>57</v>
      </c>
      <c r="BS12" s="11">
        <f t="shared" si="20"/>
        <v>15.25</v>
      </c>
      <c r="BT12" s="11">
        <f t="shared" si="21"/>
        <v>50.4</v>
      </c>
      <c r="BU12" s="11">
        <f t="shared" si="22"/>
        <v>25.35</v>
      </c>
      <c r="BV12" s="11">
        <f t="shared" si="23"/>
        <v>22.45</v>
      </c>
      <c r="BW12" s="11">
        <f t="shared" si="24"/>
        <v>75.75</v>
      </c>
      <c r="BX12" s="11">
        <f t="shared" si="25"/>
        <v>15.05</v>
      </c>
      <c r="BY12" s="11">
        <f t="shared" si="26"/>
        <v>51.099999999999994</v>
      </c>
      <c r="BZ12" s="11">
        <f t="shared" si="27"/>
        <v>126.85</v>
      </c>
      <c r="CA12" s="19">
        <v>17.2</v>
      </c>
      <c r="CB12" s="19">
        <v>3.6</v>
      </c>
      <c r="CC12" s="19">
        <v>0</v>
      </c>
      <c r="CD12" s="19">
        <v>0</v>
      </c>
      <c r="CE12" s="19">
        <v>18.600000000000001</v>
      </c>
      <c r="CF12" s="19">
        <v>7.6</v>
      </c>
      <c r="CG12" s="19">
        <v>1</v>
      </c>
      <c r="CH12" s="19">
        <v>0</v>
      </c>
      <c r="CI12" s="19">
        <v>17.600000000000001</v>
      </c>
      <c r="CJ12" s="19">
        <v>2.8</v>
      </c>
      <c r="CK12" s="19">
        <v>0</v>
      </c>
      <c r="CL12" s="19">
        <v>0</v>
      </c>
      <c r="CM12" s="19"/>
      <c r="CN12" s="19"/>
      <c r="CO12" s="19"/>
      <c r="CP12" s="19"/>
      <c r="CQ12" s="19"/>
      <c r="CR12" s="19"/>
      <c r="CS12" s="19"/>
      <c r="CT12" s="19"/>
      <c r="CU12" s="28"/>
      <c r="CV12" s="41">
        <f t="shared" si="28"/>
        <v>11.2</v>
      </c>
      <c r="CW12" s="41">
        <f t="shared" si="29"/>
        <v>46.000000000000007</v>
      </c>
      <c r="CX12" s="41">
        <f t="shared" si="30"/>
        <v>20.400000000000002</v>
      </c>
      <c r="CY12" s="41">
        <f t="shared" si="31"/>
        <v>14</v>
      </c>
      <c r="CZ12" s="41">
        <f t="shared" si="32"/>
        <v>66.400000000000006</v>
      </c>
      <c r="DA12" s="41" t="str">
        <f t="shared" si="33"/>
        <v/>
      </c>
      <c r="DB12" s="41" t="str">
        <f t="shared" si="34"/>
        <v/>
      </c>
      <c r="DC12" s="41">
        <f t="shared" si="35"/>
        <v>66.400000000000006</v>
      </c>
      <c r="DD12" s="52">
        <f t="shared" si="36"/>
        <v>0.79999999999999716</v>
      </c>
      <c r="DE12" s="52" t="str">
        <f t="shared" si="37"/>
        <v/>
      </c>
      <c r="DF12" s="52" t="str">
        <f t="shared" si="38"/>
        <v/>
      </c>
      <c r="DG12" s="17">
        <v>18.600000000000001</v>
      </c>
      <c r="DH12" s="17">
        <v>7.2</v>
      </c>
      <c r="DI12" s="17">
        <v>0.2</v>
      </c>
      <c r="DJ12" s="17">
        <v>0</v>
      </c>
      <c r="DK12" s="17">
        <v>18.8</v>
      </c>
      <c r="DL12" s="17">
        <v>7.6</v>
      </c>
      <c r="DM12" s="17">
        <v>1.2</v>
      </c>
      <c r="DN12" s="17">
        <v>0</v>
      </c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41">
        <f t="shared" si="39"/>
        <v>14.8</v>
      </c>
      <c r="EB12" s="41">
        <f t="shared" si="40"/>
        <v>50.8</v>
      </c>
      <c r="EC12" s="41" t="str">
        <f t="shared" si="41"/>
        <v/>
      </c>
      <c r="ED12" s="41">
        <f t="shared" si="42"/>
        <v>14.8</v>
      </c>
      <c r="EE12" s="41">
        <f t="shared" si="43"/>
        <v>50.8</v>
      </c>
      <c r="EF12" s="41" t="str">
        <f t="shared" si="44"/>
        <v/>
      </c>
      <c r="EG12" s="41" t="str">
        <f t="shared" si="45"/>
        <v/>
      </c>
      <c r="EH12" s="41">
        <f t="shared" si="46"/>
        <v>50.8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7"/>
        <v/>
      </c>
      <c r="FD12" s="11" t="str">
        <f t="shared" si="48"/>
        <v/>
      </c>
      <c r="FE12" s="11" t="str">
        <f t="shared" si="49"/>
        <v/>
      </c>
      <c r="FF12" s="11" t="str">
        <f t="shared" si="50"/>
        <v/>
      </c>
      <c r="FG12" s="11" t="str">
        <f t="shared" si="51"/>
        <v/>
      </c>
      <c r="FH12" s="11" t="str">
        <f t="shared" si="52"/>
        <v/>
      </c>
      <c r="FI12" s="11" t="str">
        <f t="shared" si="53"/>
        <v/>
      </c>
      <c r="FJ12" s="11" t="str">
        <f t="shared" si="54"/>
        <v/>
      </c>
      <c r="FK12" s="17">
        <v>0</v>
      </c>
      <c r="FL12" s="17">
        <v>0</v>
      </c>
      <c r="FM12" s="17">
        <v>0</v>
      </c>
      <c r="FN12" s="17">
        <v>0</v>
      </c>
      <c r="FO12" s="17">
        <v>18</v>
      </c>
      <c r="FP12" s="17">
        <v>5.2</v>
      </c>
      <c r="FQ12" s="17">
        <v>0.6</v>
      </c>
      <c r="FR12" s="17">
        <v>0</v>
      </c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>
        <f t="shared" si="55"/>
        <v>5.2</v>
      </c>
      <c r="GF12" s="41">
        <f t="shared" si="56"/>
        <v>22.599999999999998</v>
      </c>
      <c r="GG12" s="41" t="str">
        <f t="shared" si="57"/>
        <v/>
      </c>
      <c r="GH12" s="41">
        <f t="shared" si="58"/>
        <v>5.2</v>
      </c>
      <c r="GI12" s="41">
        <f t="shared" si="59"/>
        <v>22.599999999999998</v>
      </c>
      <c r="GJ12" s="41" t="str">
        <f t="shared" si="60"/>
        <v/>
      </c>
      <c r="GK12" s="41" t="str">
        <f t="shared" si="61"/>
        <v/>
      </c>
      <c r="GL12" s="41">
        <f t="shared" si="62"/>
        <v>22.599999999999998</v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3"/>
        <v/>
      </c>
      <c r="HH12" s="11" t="str">
        <f t="shared" si="64"/>
        <v/>
      </c>
      <c r="HI12" s="11" t="str">
        <f t="shared" si="65"/>
        <v/>
      </c>
      <c r="HJ12" s="11" t="str">
        <f t="shared" si="66"/>
        <v/>
      </c>
      <c r="HK12" s="11" t="str">
        <f t="shared" si="67"/>
        <v/>
      </c>
      <c r="HL12" s="11" t="str">
        <f t="shared" si="68"/>
        <v/>
      </c>
      <c r="HM12" s="11" t="str">
        <f t="shared" si="69"/>
        <v/>
      </c>
      <c r="HN12" s="11" t="str">
        <f t="shared" si="70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1"/>
        <v/>
      </c>
      <c r="IJ12" s="41" t="str">
        <f t="shared" si="72"/>
        <v/>
      </c>
      <c r="IK12" s="41" t="str">
        <f t="shared" si="73"/>
        <v/>
      </c>
      <c r="IL12" s="41" t="str">
        <f t="shared" si="74"/>
        <v/>
      </c>
      <c r="IM12" s="41" t="str">
        <f t="shared" si="75"/>
        <v/>
      </c>
      <c r="IN12" s="41" t="str">
        <f t="shared" si="76"/>
        <v/>
      </c>
      <c r="IO12" s="41" t="str">
        <f t="shared" si="77"/>
        <v/>
      </c>
      <c r="IP12" s="41" t="str">
        <f t="shared" si="78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79"/>
        <v/>
      </c>
      <c r="JL12" s="11" t="str">
        <f t="shared" si="80"/>
        <v/>
      </c>
      <c r="JM12" s="11" t="str">
        <f t="shared" si="81"/>
        <v/>
      </c>
      <c r="JN12" s="11" t="str">
        <f t="shared" si="82"/>
        <v/>
      </c>
      <c r="JO12" s="11" t="str">
        <f t="shared" si="83"/>
        <v/>
      </c>
      <c r="JP12" s="11" t="str">
        <f t="shared" si="84"/>
        <v/>
      </c>
      <c r="JQ12" s="11" t="str">
        <f t="shared" si="85"/>
        <v/>
      </c>
      <c r="JR12" s="11" t="str">
        <f t="shared" si="86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7"/>
        <v/>
      </c>
      <c r="KN12" s="41" t="str">
        <f t="shared" si="88"/>
        <v/>
      </c>
      <c r="KO12" s="41" t="str">
        <f t="shared" si="89"/>
        <v/>
      </c>
      <c r="KP12" s="41" t="str">
        <f t="shared" si="90"/>
        <v/>
      </c>
      <c r="KQ12" s="41" t="str">
        <f t="shared" si="91"/>
        <v/>
      </c>
      <c r="KR12" s="41" t="str">
        <f t="shared" si="92"/>
        <v/>
      </c>
      <c r="KS12" s="41" t="str">
        <f t="shared" si="93"/>
        <v/>
      </c>
      <c r="KT12" s="41" t="str">
        <f t="shared" si="94"/>
        <v/>
      </c>
      <c r="KU12" s="18">
        <v>17.3</v>
      </c>
      <c r="KV12" s="18">
        <v>2.8</v>
      </c>
      <c r="KW12" s="18">
        <v>0</v>
      </c>
      <c r="KX12" s="18">
        <v>0</v>
      </c>
      <c r="KY12" s="18">
        <v>18.2</v>
      </c>
      <c r="KZ12" s="18">
        <v>8.4</v>
      </c>
      <c r="LA12" s="18">
        <v>1</v>
      </c>
      <c r="LB12" s="18">
        <v>0</v>
      </c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>
        <f t="shared" si="95"/>
        <v>11.2</v>
      </c>
      <c r="LP12" s="11">
        <f t="shared" si="96"/>
        <v>45.699999999999996</v>
      </c>
      <c r="LQ12" s="11" t="str">
        <f t="shared" si="97"/>
        <v/>
      </c>
      <c r="LR12" s="11">
        <f t="shared" si="98"/>
        <v>11.2</v>
      </c>
      <c r="LS12" s="11">
        <f t="shared" si="99"/>
        <v>45.699999999999996</v>
      </c>
      <c r="LT12" s="11" t="str">
        <f t="shared" si="100"/>
        <v/>
      </c>
      <c r="LU12" s="11" t="str">
        <f t="shared" si="101"/>
        <v/>
      </c>
      <c r="LV12" s="11">
        <f t="shared" si="102"/>
        <v>45.699999999999996</v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3"/>
        <v/>
      </c>
      <c r="MR12" s="41" t="str">
        <f t="shared" si="104"/>
        <v/>
      </c>
      <c r="MS12" s="41" t="str">
        <f t="shared" si="105"/>
        <v/>
      </c>
      <c r="MT12" s="41" t="str">
        <f t="shared" si="106"/>
        <v/>
      </c>
      <c r="MU12" s="41" t="str">
        <f t="shared" si="107"/>
        <v/>
      </c>
      <c r="MV12" s="41" t="str">
        <f t="shared" si="108"/>
        <v/>
      </c>
      <c r="MW12" s="41" t="str">
        <f t="shared" si="109"/>
        <v/>
      </c>
      <c r="MX12" s="41" t="str">
        <f t="shared" si="110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1"/>
        <v/>
      </c>
      <c r="NT12" s="11" t="str">
        <f t="shared" si="112"/>
        <v/>
      </c>
      <c r="NU12" s="11" t="str">
        <f t="shared" si="113"/>
        <v/>
      </c>
      <c r="NV12" s="11" t="str">
        <f t="shared" si="114"/>
        <v/>
      </c>
      <c r="NW12" s="11" t="str">
        <f t="shared" si="115"/>
        <v/>
      </c>
      <c r="NX12" s="11" t="str">
        <f t="shared" si="116"/>
        <v/>
      </c>
      <c r="NY12" s="11" t="str">
        <f t="shared" si="117"/>
        <v/>
      </c>
      <c r="NZ12" s="11" t="str">
        <f t="shared" si="118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19"/>
        <v/>
      </c>
      <c r="OV12" s="41" t="str">
        <f t="shared" si="120"/>
        <v/>
      </c>
      <c r="OW12" s="41" t="str">
        <f t="shared" si="121"/>
        <v/>
      </c>
      <c r="OX12" s="41" t="str">
        <f t="shared" si="122"/>
        <v/>
      </c>
      <c r="OY12" s="41" t="str">
        <f t="shared" si="123"/>
        <v/>
      </c>
      <c r="OZ12" s="41" t="str">
        <f t="shared" si="124"/>
        <v/>
      </c>
      <c r="PA12" s="41" t="str">
        <f t="shared" si="125"/>
        <v/>
      </c>
      <c r="PB12" s="41" t="str">
        <f t="shared" si="126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7"/>
        <v/>
      </c>
      <c r="PX12" s="11" t="str">
        <f t="shared" si="128"/>
        <v/>
      </c>
      <c r="PY12" s="11" t="str">
        <f t="shared" si="129"/>
        <v/>
      </c>
      <c r="PZ12" s="11" t="str">
        <f t="shared" si="130"/>
        <v/>
      </c>
      <c r="QA12" s="11" t="str">
        <f t="shared" si="131"/>
        <v/>
      </c>
      <c r="QB12" s="11" t="str">
        <f t="shared" si="132"/>
        <v/>
      </c>
      <c r="QC12" s="11" t="str">
        <f t="shared" si="133"/>
        <v/>
      </c>
      <c r="QD12" s="11" t="str">
        <f t="shared" si="134"/>
        <v/>
      </c>
      <c r="QE12" s="23">
        <f t="shared" si="135"/>
        <v>17.475000000000001</v>
      </c>
      <c r="QF12" s="23">
        <f t="shared" si="136"/>
        <v>5.625</v>
      </c>
      <c r="QG12" s="23">
        <f t="shared" si="137"/>
        <v>0.2</v>
      </c>
      <c r="QH12" s="23">
        <f t="shared" si="138"/>
        <v>7.4999999999999997E-2</v>
      </c>
      <c r="QI12" s="23">
        <f t="shared" si="139"/>
        <v>18.475000000000001</v>
      </c>
      <c r="QJ12" s="23">
        <f t="shared" si="140"/>
        <v>7.6</v>
      </c>
      <c r="QK12" s="23">
        <f t="shared" si="141"/>
        <v>0.85</v>
      </c>
      <c r="QL12" s="23">
        <f t="shared" si="142"/>
        <v>0</v>
      </c>
      <c r="QM12" s="23">
        <f t="shared" si="143"/>
        <v>18.075000000000003</v>
      </c>
      <c r="QN12" s="23">
        <f t="shared" si="144"/>
        <v>5</v>
      </c>
      <c r="QO12" s="23">
        <f t="shared" si="145"/>
        <v>0.2</v>
      </c>
      <c r="QP12" s="23">
        <f t="shared" si="146"/>
        <v>0</v>
      </c>
      <c r="QQ12" s="23">
        <f t="shared" si="147"/>
        <v>9.3000000000000007</v>
      </c>
      <c r="QR12" s="23">
        <f t="shared" si="148"/>
        <v>3.625</v>
      </c>
      <c r="QS12" s="23">
        <f t="shared" si="149"/>
        <v>0.2</v>
      </c>
      <c r="QT12" s="23">
        <f t="shared" si="150"/>
        <v>7.4999999999999997E-2</v>
      </c>
      <c r="QU12" s="23">
        <f t="shared" si="151"/>
        <v>9.1999999999999993</v>
      </c>
      <c r="QV12" s="23">
        <f t="shared" si="152"/>
        <v>3.9</v>
      </c>
      <c r="QW12" s="23">
        <f t="shared" si="153"/>
        <v>0.35</v>
      </c>
      <c r="QX12" s="23">
        <f t="shared" si="154"/>
        <v>0</v>
      </c>
      <c r="QY12" s="28" t="s">
        <v>57</v>
      </c>
      <c r="QZ12" s="41">
        <f t="shared" si="155"/>
        <v>13.225</v>
      </c>
      <c r="RA12" s="41">
        <f t="shared" si="156"/>
        <v>48.2</v>
      </c>
      <c r="RB12" s="41">
        <f t="shared" si="157"/>
        <v>22.875000000000004</v>
      </c>
      <c r="RC12" s="41">
        <f t="shared" si="158"/>
        <v>18.225000000000001</v>
      </c>
      <c r="RD12" s="41">
        <f t="shared" si="159"/>
        <v>71.075000000000003</v>
      </c>
      <c r="RE12" s="41">
        <f t="shared" si="160"/>
        <v>7.5250000000000004</v>
      </c>
      <c r="RF12" s="41">
        <f t="shared" si="161"/>
        <v>25.549999999999997</v>
      </c>
      <c r="RG12" s="41">
        <f t="shared" si="162"/>
        <v>96.625</v>
      </c>
    </row>
    <row r="13" spans="1:475" x14ac:dyDescent="0.2">
      <c r="A13" s="4" cm="1">
        <f t="array" ref="A13">IF(AND(H13&lt;&gt;"",H13&lt;&gt;"No DD"),SUMPRODUCT((H$4:H$28&lt;&gt;"")*(H$4:H$28&lt;&gt;"No DD")*(E$4:E$28&gt;E13))+1,IF(H13="No DD",SUMPRODUCT((H$4:H$28="No DD")*(E$4:E$28&gt;E13))+1+SUMPRODUCT((H$4:H$28&lt;&gt;"")*(H$4:H$28&lt;&gt;"No DD")),""))</f>
        <v>10</v>
      </c>
      <c r="B13" s="5" t="s">
        <v>230</v>
      </c>
      <c r="C13" s="4" t="s">
        <v>169</v>
      </c>
      <c r="D13" s="4">
        <v>2005</v>
      </c>
      <c r="E13" s="9">
        <f t="shared" si="163"/>
        <v>178.40001268000509</v>
      </c>
      <c r="F13" s="3" t="str">
        <f t="shared" si="0"/>
        <v>P</v>
      </c>
      <c r="G13" s="3" t="str">
        <f t="shared" si="1"/>
        <v>P</v>
      </c>
      <c r="H13" s="37" t="str">
        <f t="shared" si="2"/>
        <v>National Team</v>
      </c>
      <c r="I13" s="3" t="str">
        <f t="shared" si="3"/>
        <v/>
      </c>
      <c r="J13" s="8">
        <f>IF(COUNT(AQ13,BT13,CW13)&gt;0,LARGE((AQ13,BT13,CW13),1),0)</f>
        <v>50.9</v>
      </c>
      <c r="K13" s="8" t="str">
        <f t="shared" si="4"/>
        <v>2023 Nationals</v>
      </c>
      <c r="L13" s="8">
        <f>IF(COUNT(AQ13,BT13,CW13)&gt;1,LARGE((AQ13,BT13,CW13),2),0)</f>
        <v>50.6</v>
      </c>
      <c r="M13" s="8" t="str">
        <f t="shared" si="5"/>
        <v>2023 Domestic 3rd Trial</v>
      </c>
      <c r="N13" s="8">
        <f>IF(COUNT(AR13,BU13,CX13)&gt;0,LARGE((AR13,BU13,CX13),1),0)</f>
        <v>25.3</v>
      </c>
      <c r="O13" s="8" t="str">
        <f t="shared" si="6"/>
        <v>2023 Nationals</v>
      </c>
      <c r="P13" s="8">
        <f t="shared" si="7"/>
        <v>51</v>
      </c>
      <c r="Q13" s="8" t="str">
        <f t="shared" si="8"/>
        <v>2023 Nationals</v>
      </c>
      <c r="R13" s="8">
        <f t="shared" si="9"/>
        <v>0.59999999999999432</v>
      </c>
      <c r="S13" s="11" t="str">
        <f t="shared" si="10"/>
        <v>(Q1)</v>
      </c>
      <c r="T13" s="8" t="str">
        <f t="shared" si="11"/>
        <v>2023 WAGC (Nov 17)</v>
      </c>
      <c r="U13" s="19">
        <v>18.600000000000001</v>
      </c>
      <c r="V13" s="19">
        <v>6</v>
      </c>
      <c r="W13" s="19">
        <v>0.8</v>
      </c>
      <c r="X13" s="19">
        <v>0</v>
      </c>
      <c r="Y13" s="19">
        <v>18.8</v>
      </c>
      <c r="Z13" s="19">
        <v>6.4</v>
      </c>
      <c r="AA13" s="19">
        <v>0.6</v>
      </c>
      <c r="AB13" s="19">
        <v>0</v>
      </c>
      <c r="AC13" s="19">
        <v>18.600000000000001</v>
      </c>
      <c r="AD13" s="19">
        <v>6</v>
      </c>
      <c r="AE13" s="19">
        <v>0</v>
      </c>
      <c r="AF13" s="19">
        <v>0</v>
      </c>
      <c r="AG13" s="19">
        <v>18.7</v>
      </c>
      <c r="AH13" s="19">
        <v>6.8</v>
      </c>
      <c r="AI13" s="19">
        <v>0.6</v>
      </c>
      <c r="AJ13" s="19">
        <v>0</v>
      </c>
      <c r="AK13" s="19">
        <v>18.7</v>
      </c>
      <c r="AL13" s="19">
        <v>6.4</v>
      </c>
      <c r="AM13" s="19">
        <v>0.2</v>
      </c>
      <c r="AN13" s="19">
        <v>0</v>
      </c>
      <c r="AO13" s="28"/>
      <c r="AP13" s="41">
        <f t="shared" si="12"/>
        <v>12.4</v>
      </c>
      <c r="AQ13" s="41">
        <f t="shared" si="13"/>
        <v>48.400000000000006</v>
      </c>
      <c r="AR13" s="41">
        <f t="shared" si="14"/>
        <v>24.6</v>
      </c>
      <c r="AS13" s="41">
        <f t="shared" si="15"/>
        <v>18.399999999999999</v>
      </c>
      <c r="AT13" s="41">
        <f t="shared" si="16"/>
        <v>73</v>
      </c>
      <c r="AU13" s="41">
        <f t="shared" si="17"/>
        <v>13.2</v>
      </c>
      <c r="AV13" s="41">
        <f t="shared" si="18"/>
        <v>49.800000000000004</v>
      </c>
      <c r="AW13" s="41">
        <f t="shared" si="19"/>
        <v>122.80000000000001</v>
      </c>
      <c r="AX13" s="18">
        <v>18.5</v>
      </c>
      <c r="AY13" s="18">
        <v>6.8</v>
      </c>
      <c r="AZ13" s="18">
        <v>0</v>
      </c>
      <c r="BA13" s="18">
        <v>0</v>
      </c>
      <c r="BB13" s="18">
        <v>19</v>
      </c>
      <c r="BC13" s="18">
        <v>7.2</v>
      </c>
      <c r="BD13" s="18">
        <v>0.6</v>
      </c>
      <c r="BE13" s="18">
        <v>0</v>
      </c>
      <c r="BF13" s="18">
        <v>18.600000000000001</v>
      </c>
      <c r="BG13" s="18">
        <v>6.9</v>
      </c>
      <c r="BH13" s="18">
        <v>0.2</v>
      </c>
      <c r="BI13" s="18">
        <v>0</v>
      </c>
      <c r="BJ13" s="18">
        <v>18.7</v>
      </c>
      <c r="BK13" s="18">
        <v>6.8</v>
      </c>
      <c r="BL13" s="18">
        <v>0</v>
      </c>
      <c r="BM13" s="18">
        <v>0</v>
      </c>
      <c r="BN13" s="18">
        <v>18.899999999999999</v>
      </c>
      <c r="BO13" s="18">
        <v>7.2</v>
      </c>
      <c r="BP13" s="18">
        <v>0.6</v>
      </c>
      <c r="BQ13" s="18">
        <v>0</v>
      </c>
      <c r="BR13" s="29"/>
      <c r="BS13" s="11">
        <f t="shared" si="20"/>
        <v>14</v>
      </c>
      <c r="BT13" s="11">
        <f t="shared" si="21"/>
        <v>50.9</v>
      </c>
      <c r="BU13" s="11">
        <f t="shared" si="22"/>
        <v>25.3</v>
      </c>
      <c r="BV13" s="11">
        <f t="shared" si="23"/>
        <v>20.9</v>
      </c>
      <c r="BW13" s="11">
        <f t="shared" si="24"/>
        <v>76.2</v>
      </c>
      <c r="BX13" s="11">
        <f t="shared" si="25"/>
        <v>14</v>
      </c>
      <c r="BY13" s="11">
        <f t="shared" si="26"/>
        <v>51</v>
      </c>
      <c r="BZ13" s="11">
        <f t="shared" si="27"/>
        <v>127.2</v>
      </c>
      <c r="CA13" s="19">
        <v>18.600000000000001</v>
      </c>
      <c r="CB13" s="19">
        <v>6.8000000000000007</v>
      </c>
      <c r="CC13" s="19">
        <v>0</v>
      </c>
      <c r="CD13" s="19">
        <v>0</v>
      </c>
      <c r="CE13" s="19">
        <v>18.600000000000001</v>
      </c>
      <c r="CF13" s="19">
        <v>7.2</v>
      </c>
      <c r="CG13" s="19">
        <v>0.6</v>
      </c>
      <c r="CH13" s="19">
        <v>0</v>
      </c>
      <c r="CI13" s="19">
        <v>17.600000000000001</v>
      </c>
      <c r="CJ13" s="19">
        <v>2.4</v>
      </c>
      <c r="CK13" s="19">
        <v>0</v>
      </c>
      <c r="CL13" s="19">
        <v>0</v>
      </c>
      <c r="CM13" s="19"/>
      <c r="CN13" s="19"/>
      <c r="CO13" s="19"/>
      <c r="CP13" s="19"/>
      <c r="CQ13" s="19"/>
      <c r="CR13" s="19"/>
      <c r="CS13" s="19"/>
      <c r="CT13" s="19"/>
      <c r="CU13" s="28"/>
      <c r="CV13" s="41">
        <f t="shared" si="28"/>
        <v>14</v>
      </c>
      <c r="CW13" s="41">
        <f t="shared" si="29"/>
        <v>50.6</v>
      </c>
      <c r="CX13" s="41">
        <f t="shared" si="30"/>
        <v>20</v>
      </c>
      <c r="CY13" s="41">
        <f t="shared" si="31"/>
        <v>16.399999999999999</v>
      </c>
      <c r="CZ13" s="41">
        <f t="shared" si="32"/>
        <v>70.599999999999994</v>
      </c>
      <c r="DA13" s="41" t="str">
        <f t="shared" si="33"/>
        <v/>
      </c>
      <c r="DB13" s="41" t="str">
        <f t="shared" si="34"/>
        <v/>
      </c>
      <c r="DC13" s="41">
        <f t="shared" si="35"/>
        <v>70.599999999999994</v>
      </c>
      <c r="DD13" s="52">
        <f t="shared" si="36"/>
        <v>0.59999999999999432</v>
      </c>
      <c r="DE13" s="52" t="str">
        <f t="shared" si="37"/>
        <v/>
      </c>
      <c r="DF13" s="52" t="str">
        <f t="shared" si="38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39"/>
        <v/>
      </c>
      <c r="EB13" s="41" t="str">
        <f t="shared" si="40"/>
        <v/>
      </c>
      <c r="EC13" s="41" t="str">
        <f t="shared" si="41"/>
        <v/>
      </c>
      <c r="ED13" s="41" t="str">
        <f t="shared" si="42"/>
        <v/>
      </c>
      <c r="EE13" s="41" t="str">
        <f t="shared" si="43"/>
        <v/>
      </c>
      <c r="EF13" s="41" t="str">
        <f t="shared" si="44"/>
        <v/>
      </c>
      <c r="EG13" s="41" t="str">
        <f t="shared" si="45"/>
        <v/>
      </c>
      <c r="EH13" s="41" t="str">
        <f t="shared" si="46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7"/>
        <v/>
      </c>
      <c r="FD13" s="11" t="str">
        <f t="shared" si="48"/>
        <v/>
      </c>
      <c r="FE13" s="11" t="str">
        <f t="shared" si="49"/>
        <v/>
      </c>
      <c r="FF13" s="11" t="str">
        <f t="shared" si="50"/>
        <v/>
      </c>
      <c r="FG13" s="11" t="str">
        <f t="shared" si="51"/>
        <v/>
      </c>
      <c r="FH13" s="11" t="str">
        <f t="shared" si="52"/>
        <v/>
      </c>
      <c r="FI13" s="11" t="str">
        <f t="shared" si="53"/>
        <v/>
      </c>
      <c r="FJ13" s="11" t="str">
        <f t="shared" si="54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5"/>
        <v/>
      </c>
      <c r="GF13" s="41" t="str">
        <f t="shared" si="56"/>
        <v/>
      </c>
      <c r="GG13" s="41" t="str">
        <f t="shared" si="57"/>
        <v/>
      </c>
      <c r="GH13" s="41" t="str">
        <f t="shared" si="58"/>
        <v/>
      </c>
      <c r="GI13" s="41" t="str">
        <f t="shared" si="59"/>
        <v/>
      </c>
      <c r="GJ13" s="41" t="str">
        <f t="shared" si="60"/>
        <v/>
      </c>
      <c r="GK13" s="41" t="str">
        <f t="shared" si="61"/>
        <v/>
      </c>
      <c r="GL13" s="41" t="str">
        <f t="shared" si="62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3"/>
        <v/>
      </c>
      <c r="HH13" s="11" t="str">
        <f t="shared" si="64"/>
        <v/>
      </c>
      <c r="HI13" s="11" t="str">
        <f t="shared" si="65"/>
        <v/>
      </c>
      <c r="HJ13" s="11" t="str">
        <f t="shared" si="66"/>
        <v/>
      </c>
      <c r="HK13" s="11" t="str">
        <f t="shared" si="67"/>
        <v/>
      </c>
      <c r="HL13" s="11" t="str">
        <f t="shared" si="68"/>
        <v/>
      </c>
      <c r="HM13" s="11" t="str">
        <f t="shared" si="69"/>
        <v/>
      </c>
      <c r="HN13" s="11" t="str">
        <f t="shared" si="70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1"/>
        <v/>
      </c>
      <c r="IJ13" s="41" t="str">
        <f t="shared" si="72"/>
        <v/>
      </c>
      <c r="IK13" s="41" t="str">
        <f t="shared" si="73"/>
        <v/>
      </c>
      <c r="IL13" s="41" t="str">
        <f t="shared" si="74"/>
        <v/>
      </c>
      <c r="IM13" s="41" t="str">
        <f t="shared" si="75"/>
        <v/>
      </c>
      <c r="IN13" s="41" t="str">
        <f t="shared" si="76"/>
        <v/>
      </c>
      <c r="IO13" s="41" t="str">
        <f t="shared" si="77"/>
        <v/>
      </c>
      <c r="IP13" s="41" t="str">
        <f t="shared" si="78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79"/>
        <v/>
      </c>
      <c r="JL13" s="11" t="str">
        <f t="shared" si="80"/>
        <v/>
      </c>
      <c r="JM13" s="11" t="str">
        <f t="shared" si="81"/>
        <v/>
      </c>
      <c r="JN13" s="11" t="str">
        <f t="shared" si="82"/>
        <v/>
      </c>
      <c r="JO13" s="11" t="str">
        <f t="shared" si="83"/>
        <v/>
      </c>
      <c r="JP13" s="11" t="str">
        <f t="shared" si="84"/>
        <v/>
      </c>
      <c r="JQ13" s="11" t="str">
        <f t="shared" si="85"/>
        <v/>
      </c>
      <c r="JR13" s="11" t="str">
        <f t="shared" si="86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7"/>
        <v/>
      </c>
      <c r="KN13" s="41" t="str">
        <f t="shared" si="88"/>
        <v/>
      </c>
      <c r="KO13" s="41" t="str">
        <f t="shared" si="89"/>
        <v/>
      </c>
      <c r="KP13" s="41" t="str">
        <f t="shared" si="90"/>
        <v/>
      </c>
      <c r="KQ13" s="41" t="str">
        <f t="shared" si="91"/>
        <v/>
      </c>
      <c r="KR13" s="41" t="str">
        <f t="shared" si="92"/>
        <v/>
      </c>
      <c r="KS13" s="41" t="str">
        <f t="shared" si="93"/>
        <v/>
      </c>
      <c r="KT13" s="41" t="str">
        <f t="shared" si="94"/>
        <v/>
      </c>
      <c r="KU13" s="18">
        <v>18.7</v>
      </c>
      <c r="KV13" s="18">
        <v>7.6</v>
      </c>
      <c r="KW13" s="18">
        <v>0</v>
      </c>
      <c r="KX13" s="18">
        <v>0</v>
      </c>
      <c r="KY13" s="18">
        <v>18.2</v>
      </c>
      <c r="KZ13" s="18">
        <v>7.3</v>
      </c>
      <c r="LA13" s="18">
        <v>0.6</v>
      </c>
      <c r="LB13" s="18">
        <v>0</v>
      </c>
      <c r="LC13" s="18"/>
      <c r="LD13" s="18"/>
      <c r="LE13" s="18"/>
      <c r="LF13" s="18"/>
      <c r="LG13" s="18">
        <v>18.2</v>
      </c>
      <c r="LH13" s="18">
        <v>6.8</v>
      </c>
      <c r="LI13" s="18">
        <v>0.6</v>
      </c>
      <c r="LJ13" s="18">
        <v>0</v>
      </c>
      <c r="LK13" s="18"/>
      <c r="LL13" s="18"/>
      <c r="LM13" s="18"/>
      <c r="LN13" s="18"/>
      <c r="LO13" s="11">
        <f t="shared" si="95"/>
        <v>14.899999999999999</v>
      </c>
      <c r="LP13" s="11">
        <f t="shared" si="96"/>
        <v>51.199999999999996</v>
      </c>
      <c r="LQ13" s="11" t="str">
        <f t="shared" si="97"/>
        <v/>
      </c>
      <c r="LR13" s="11">
        <f t="shared" si="98"/>
        <v>14.899999999999999</v>
      </c>
      <c r="LS13" s="11">
        <f t="shared" si="99"/>
        <v>51.199999999999996</v>
      </c>
      <c r="LT13" s="11">
        <f t="shared" si="100"/>
        <v>6.8</v>
      </c>
      <c r="LU13" s="11">
        <f t="shared" si="101"/>
        <v>24.4</v>
      </c>
      <c r="LV13" s="11">
        <f t="shared" si="102"/>
        <v>75.599999999999994</v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3"/>
        <v/>
      </c>
      <c r="MR13" s="41" t="str">
        <f t="shared" si="104"/>
        <v/>
      </c>
      <c r="MS13" s="41" t="str">
        <f t="shared" si="105"/>
        <v/>
      </c>
      <c r="MT13" s="41" t="str">
        <f t="shared" si="106"/>
        <v/>
      </c>
      <c r="MU13" s="41" t="str">
        <f t="shared" si="107"/>
        <v/>
      </c>
      <c r="MV13" s="41" t="str">
        <f t="shared" si="108"/>
        <v/>
      </c>
      <c r="MW13" s="41" t="str">
        <f t="shared" si="109"/>
        <v/>
      </c>
      <c r="MX13" s="41" t="str">
        <f t="shared" si="110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1"/>
        <v/>
      </c>
      <c r="NT13" s="11" t="str">
        <f t="shared" si="112"/>
        <v/>
      </c>
      <c r="NU13" s="11" t="str">
        <f t="shared" si="113"/>
        <v/>
      </c>
      <c r="NV13" s="11" t="str">
        <f t="shared" si="114"/>
        <v/>
      </c>
      <c r="NW13" s="11" t="str">
        <f t="shared" si="115"/>
        <v/>
      </c>
      <c r="NX13" s="11" t="str">
        <f t="shared" si="116"/>
        <v/>
      </c>
      <c r="NY13" s="11" t="str">
        <f t="shared" si="117"/>
        <v/>
      </c>
      <c r="NZ13" s="11" t="str">
        <f t="shared" si="118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19"/>
        <v/>
      </c>
      <c r="OV13" s="41" t="str">
        <f t="shared" si="120"/>
        <v/>
      </c>
      <c r="OW13" s="41" t="str">
        <f t="shared" si="121"/>
        <v/>
      </c>
      <c r="OX13" s="41" t="str">
        <f t="shared" si="122"/>
        <v/>
      </c>
      <c r="OY13" s="41" t="str">
        <f t="shared" si="123"/>
        <v/>
      </c>
      <c r="OZ13" s="41" t="str">
        <f t="shared" si="124"/>
        <v/>
      </c>
      <c r="PA13" s="41" t="str">
        <f t="shared" si="125"/>
        <v/>
      </c>
      <c r="PB13" s="41" t="str">
        <f t="shared" si="126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7"/>
        <v/>
      </c>
      <c r="PX13" s="11" t="str">
        <f t="shared" si="128"/>
        <v/>
      </c>
      <c r="PY13" s="11" t="str">
        <f t="shared" si="129"/>
        <v/>
      </c>
      <c r="PZ13" s="11" t="str">
        <f t="shared" si="130"/>
        <v/>
      </c>
      <c r="QA13" s="11" t="str">
        <f t="shared" si="131"/>
        <v/>
      </c>
      <c r="QB13" s="11" t="str">
        <f t="shared" si="132"/>
        <v/>
      </c>
      <c r="QC13" s="11" t="str">
        <f t="shared" si="133"/>
        <v/>
      </c>
      <c r="QD13" s="11" t="str">
        <f t="shared" si="134"/>
        <v/>
      </c>
      <c r="QE13" s="23">
        <f t="shared" si="135"/>
        <v>18.55</v>
      </c>
      <c r="QF13" s="23">
        <f t="shared" si="136"/>
        <v>6.8000000000000007</v>
      </c>
      <c r="QG13" s="23">
        <f t="shared" si="137"/>
        <v>0</v>
      </c>
      <c r="QH13" s="23">
        <f t="shared" si="138"/>
        <v>0</v>
      </c>
      <c r="QI13" s="23">
        <f t="shared" si="139"/>
        <v>18.8</v>
      </c>
      <c r="QJ13" s="23">
        <f t="shared" si="140"/>
        <v>7.2</v>
      </c>
      <c r="QK13" s="23">
        <f t="shared" si="141"/>
        <v>0.6</v>
      </c>
      <c r="QL13" s="23">
        <f t="shared" si="142"/>
        <v>0</v>
      </c>
      <c r="QM13" s="23">
        <f t="shared" si="143"/>
        <v>18.100000000000001</v>
      </c>
      <c r="QN13" s="23">
        <f t="shared" si="144"/>
        <v>4.6500000000000004</v>
      </c>
      <c r="QO13" s="23">
        <f t="shared" si="145"/>
        <v>0.1</v>
      </c>
      <c r="QP13" s="23">
        <f t="shared" si="146"/>
        <v>0</v>
      </c>
      <c r="QQ13" s="23">
        <f t="shared" si="147"/>
        <v>9.35</v>
      </c>
      <c r="QR13" s="23">
        <f t="shared" si="148"/>
        <v>3.4</v>
      </c>
      <c r="QS13" s="23">
        <f t="shared" si="149"/>
        <v>0</v>
      </c>
      <c r="QT13" s="23">
        <f t="shared" si="150"/>
        <v>0</v>
      </c>
      <c r="QU13" s="23">
        <f t="shared" si="151"/>
        <v>9.4499999999999993</v>
      </c>
      <c r="QV13" s="23">
        <f t="shared" si="152"/>
        <v>3.6</v>
      </c>
      <c r="QW13" s="23">
        <f t="shared" si="153"/>
        <v>0.3</v>
      </c>
      <c r="QX13" s="23">
        <f t="shared" si="154"/>
        <v>0</v>
      </c>
      <c r="QY13" s="28" t="s">
        <v>57</v>
      </c>
      <c r="QZ13" s="41">
        <f t="shared" si="155"/>
        <v>14</v>
      </c>
      <c r="RA13" s="41">
        <f t="shared" si="156"/>
        <v>50.750000000000007</v>
      </c>
      <c r="RB13" s="41">
        <f t="shared" si="157"/>
        <v>22.65</v>
      </c>
      <c r="RC13" s="41">
        <f t="shared" si="158"/>
        <v>18.649999999999999</v>
      </c>
      <c r="RD13" s="41">
        <f t="shared" si="159"/>
        <v>73.400000000000006</v>
      </c>
      <c r="RE13" s="41">
        <f t="shared" si="160"/>
        <v>7</v>
      </c>
      <c r="RF13" s="41">
        <f t="shared" si="161"/>
        <v>25.5</v>
      </c>
      <c r="RG13" s="41">
        <f t="shared" si="162"/>
        <v>98.9</v>
      </c>
    </row>
    <row r="14" spans="1:475" x14ac:dyDescent="0.2">
      <c r="A14" s="4" cm="1">
        <f t="array" ref="A14">IF(AND(H14&lt;&gt;"",H14&lt;&gt;"No DD"),SUMPRODUCT((H$4:H$28&lt;&gt;"")*(H$4:H$28&lt;&gt;"No DD")*(E$4:E$28&gt;E14))+1,IF(H14="No DD",SUMPRODUCT((H$4:H$28="No DD")*(E$4:E$28&gt;E14))+1+SUMPRODUCT((H$4:H$28&lt;&gt;"")*(H$4:H$28&lt;&gt;"No DD")),""))</f>
        <v>11</v>
      </c>
      <c r="B14" s="5" t="s">
        <v>84</v>
      </c>
      <c r="C14" s="4" t="s">
        <v>5</v>
      </c>
      <c r="D14" s="4">
        <v>2002</v>
      </c>
      <c r="E14" s="9">
        <f t="shared" si="163"/>
        <v>177.60001268000514</v>
      </c>
      <c r="F14" s="3" t="str">
        <f t="shared" si="0"/>
        <v>P</v>
      </c>
      <c r="G14" s="3" t="str">
        <f t="shared" si="1"/>
        <v>P</v>
      </c>
      <c r="H14" s="37" t="str">
        <f t="shared" si="2"/>
        <v>National Team</v>
      </c>
      <c r="I14" s="3" t="str">
        <f t="shared" si="3"/>
        <v/>
      </c>
      <c r="J14" s="8">
        <f>IF(COUNT(AQ14,BT14,CW14)&gt;0,LARGE((AQ14,BT14,CW14),1),0)</f>
        <v>51.4</v>
      </c>
      <c r="K14" s="8" t="str">
        <f t="shared" si="4"/>
        <v>2023 Domestic 3rd Trial</v>
      </c>
      <c r="L14" s="8">
        <f>IF(COUNT(AQ14,BT14,CW14)&gt;1,LARGE((AQ14,BT14,CW14),2),0)</f>
        <v>48.8</v>
      </c>
      <c r="M14" s="8" t="str">
        <f t="shared" si="5"/>
        <v>2023 Nationals</v>
      </c>
      <c r="N14" s="8">
        <f>IF(COUNT(AR14,BU14,CX14)&gt;0,LARGE((AR14,BU14,CX14),1),0)</f>
        <v>26.6</v>
      </c>
      <c r="O14" s="8" t="str">
        <f t="shared" si="6"/>
        <v>2023 Elite Canada</v>
      </c>
      <c r="P14" s="8">
        <f t="shared" si="7"/>
        <v>50.800000000000004</v>
      </c>
      <c r="Q14" s="8" t="str">
        <f t="shared" si="8"/>
        <v>2023 Domestic 3rd Trial</v>
      </c>
      <c r="R14" s="8" t="str">
        <f t="shared" si="9"/>
        <v/>
      </c>
      <c r="S14" s="11" t="str">
        <f t="shared" si="10"/>
        <v/>
      </c>
      <c r="T14" s="8" t="str">
        <f t="shared" si="11"/>
        <v/>
      </c>
      <c r="U14" s="19">
        <v>19</v>
      </c>
      <c r="V14" s="19">
        <v>6</v>
      </c>
      <c r="W14" s="19">
        <v>0.6</v>
      </c>
      <c r="X14" s="19">
        <v>0</v>
      </c>
      <c r="Y14" s="19">
        <v>0</v>
      </c>
      <c r="Z14" s="19">
        <v>0</v>
      </c>
      <c r="AA14" s="19">
        <v>0</v>
      </c>
      <c r="AB14" s="19">
        <v>0</v>
      </c>
      <c r="AC14" s="19">
        <v>18.600000000000001</v>
      </c>
      <c r="AD14" s="19">
        <v>8</v>
      </c>
      <c r="AE14" s="19">
        <v>0</v>
      </c>
      <c r="AF14" s="19">
        <v>0</v>
      </c>
      <c r="AG14" s="19"/>
      <c r="AH14" s="19"/>
      <c r="AI14" s="19"/>
      <c r="AJ14" s="19"/>
      <c r="AK14" s="19"/>
      <c r="AL14" s="19"/>
      <c r="AM14" s="19"/>
      <c r="AN14" s="19"/>
      <c r="AO14" s="28"/>
      <c r="AP14" s="41">
        <f t="shared" si="12"/>
        <v>6</v>
      </c>
      <c r="AQ14" s="41">
        <f t="shared" si="13"/>
        <v>24.4</v>
      </c>
      <c r="AR14" s="41">
        <f t="shared" si="14"/>
        <v>26.6</v>
      </c>
      <c r="AS14" s="41">
        <f t="shared" si="15"/>
        <v>14</v>
      </c>
      <c r="AT14" s="41">
        <f t="shared" si="16"/>
        <v>51</v>
      </c>
      <c r="AU14" s="41" t="str">
        <f t="shared" si="17"/>
        <v/>
      </c>
      <c r="AV14" s="41" t="str">
        <f t="shared" si="18"/>
        <v/>
      </c>
      <c r="AW14" s="41">
        <f t="shared" si="19"/>
        <v>51</v>
      </c>
      <c r="AX14" s="18">
        <v>18.3</v>
      </c>
      <c r="AY14" s="18">
        <v>5.6</v>
      </c>
      <c r="AZ14" s="18">
        <v>1.4</v>
      </c>
      <c r="BA14" s="18">
        <v>0</v>
      </c>
      <c r="BB14" s="18">
        <v>18.7</v>
      </c>
      <c r="BC14" s="18">
        <v>7.6</v>
      </c>
      <c r="BD14" s="18">
        <v>0</v>
      </c>
      <c r="BE14" s="18">
        <v>0</v>
      </c>
      <c r="BF14" s="18">
        <v>16.600000000000001</v>
      </c>
      <c r="BG14" s="18">
        <v>7.3</v>
      </c>
      <c r="BH14" s="18">
        <v>0.6</v>
      </c>
      <c r="BI14" s="18">
        <v>0</v>
      </c>
      <c r="BJ14" s="18"/>
      <c r="BK14" s="18"/>
      <c r="BL14" s="18"/>
      <c r="BM14" s="18"/>
      <c r="BN14" s="18"/>
      <c r="BO14" s="18"/>
      <c r="BP14" s="18"/>
      <c r="BQ14" s="18"/>
      <c r="BR14" s="29"/>
      <c r="BS14" s="11">
        <f t="shared" si="20"/>
        <v>13.2</v>
      </c>
      <c r="BT14" s="11">
        <f t="shared" si="21"/>
        <v>48.8</v>
      </c>
      <c r="BU14" s="11">
        <f t="shared" si="22"/>
        <v>23.3</v>
      </c>
      <c r="BV14" s="11">
        <f t="shared" si="23"/>
        <v>20.5</v>
      </c>
      <c r="BW14" s="11">
        <f t="shared" si="24"/>
        <v>72.099999999999994</v>
      </c>
      <c r="BX14" s="11" t="str">
        <f t="shared" si="25"/>
        <v/>
      </c>
      <c r="BY14" s="11" t="str">
        <f t="shared" si="26"/>
        <v/>
      </c>
      <c r="BZ14" s="11">
        <f t="shared" si="27"/>
        <v>72.099999999999994</v>
      </c>
      <c r="CA14" s="19">
        <v>18.5</v>
      </c>
      <c r="CB14" s="19">
        <v>7.6</v>
      </c>
      <c r="CC14" s="19">
        <v>0.6</v>
      </c>
      <c r="CD14" s="19">
        <v>0</v>
      </c>
      <c r="CE14" s="19">
        <v>18.5</v>
      </c>
      <c r="CF14" s="19">
        <v>8</v>
      </c>
      <c r="CG14" s="19">
        <v>0.6</v>
      </c>
      <c r="CH14" s="19">
        <v>0</v>
      </c>
      <c r="CI14" s="19">
        <v>16.8</v>
      </c>
      <c r="CJ14" s="19">
        <v>8.1</v>
      </c>
      <c r="CK14" s="19">
        <v>0.2</v>
      </c>
      <c r="CL14" s="19">
        <v>0.3</v>
      </c>
      <c r="CM14" s="19">
        <v>18.5</v>
      </c>
      <c r="CN14" s="19">
        <v>9.3000000000000007</v>
      </c>
      <c r="CO14" s="19">
        <v>0</v>
      </c>
      <c r="CP14" s="19">
        <v>0.3</v>
      </c>
      <c r="CQ14" s="19">
        <v>18.100000000000001</v>
      </c>
      <c r="CR14" s="19">
        <v>5.6</v>
      </c>
      <c r="CS14" s="19">
        <v>1</v>
      </c>
      <c r="CT14" s="19">
        <v>0</v>
      </c>
      <c r="CU14" s="28"/>
      <c r="CV14" s="41">
        <f t="shared" si="28"/>
        <v>15.6</v>
      </c>
      <c r="CW14" s="41">
        <f t="shared" si="29"/>
        <v>51.4</v>
      </c>
      <c r="CX14" s="41">
        <f t="shared" si="30"/>
        <v>25</v>
      </c>
      <c r="CY14" s="41">
        <f t="shared" si="31"/>
        <v>23.7</v>
      </c>
      <c r="CZ14" s="41">
        <f t="shared" si="32"/>
        <v>76.400000000000006</v>
      </c>
      <c r="DA14" s="41">
        <f t="shared" si="33"/>
        <v>14.9</v>
      </c>
      <c r="DB14" s="41">
        <f t="shared" si="34"/>
        <v>50.800000000000004</v>
      </c>
      <c r="DC14" s="41">
        <f t="shared" si="35"/>
        <v>127.20000000000002</v>
      </c>
      <c r="DD14" s="52" t="str">
        <f t="shared" si="36"/>
        <v/>
      </c>
      <c r="DE14" s="52" t="str">
        <f t="shared" si="37"/>
        <v/>
      </c>
      <c r="DF14" s="52" t="str">
        <f t="shared" si="38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 t="shared" si="39"/>
        <v/>
      </c>
      <c r="EB14" s="41" t="str">
        <f t="shared" si="40"/>
        <v/>
      </c>
      <c r="EC14" s="41" t="str">
        <f t="shared" si="41"/>
        <v/>
      </c>
      <c r="ED14" s="41" t="str">
        <f t="shared" si="42"/>
        <v/>
      </c>
      <c r="EE14" s="41" t="str">
        <f t="shared" si="43"/>
        <v/>
      </c>
      <c r="EF14" s="41" t="str">
        <f t="shared" si="44"/>
        <v/>
      </c>
      <c r="EG14" s="41" t="str">
        <f t="shared" si="45"/>
        <v/>
      </c>
      <c r="EH14" s="41" t="str">
        <f t="shared" si="46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7"/>
        <v/>
      </c>
      <c r="FD14" s="11" t="str">
        <f t="shared" si="48"/>
        <v/>
      </c>
      <c r="FE14" s="11" t="str">
        <f t="shared" si="49"/>
        <v/>
      </c>
      <c r="FF14" s="11" t="str">
        <f t="shared" si="50"/>
        <v/>
      </c>
      <c r="FG14" s="11" t="str">
        <f t="shared" si="51"/>
        <v/>
      </c>
      <c r="FH14" s="11" t="str">
        <f t="shared" si="52"/>
        <v/>
      </c>
      <c r="FI14" s="11" t="str">
        <f t="shared" si="53"/>
        <v/>
      </c>
      <c r="FJ14" s="11" t="str">
        <f t="shared" si="54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 t="shared" si="55"/>
        <v/>
      </c>
      <c r="GF14" s="41" t="str">
        <f t="shared" si="56"/>
        <v/>
      </c>
      <c r="GG14" s="41" t="str">
        <f t="shared" si="57"/>
        <v/>
      </c>
      <c r="GH14" s="41" t="str">
        <f t="shared" si="58"/>
        <v/>
      </c>
      <c r="GI14" s="41" t="str">
        <f t="shared" si="59"/>
        <v/>
      </c>
      <c r="GJ14" s="41" t="str">
        <f t="shared" si="60"/>
        <v/>
      </c>
      <c r="GK14" s="41" t="str">
        <f t="shared" si="61"/>
        <v/>
      </c>
      <c r="GL14" s="41" t="str">
        <f t="shared" si="62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3"/>
        <v/>
      </c>
      <c r="HH14" s="11" t="str">
        <f t="shared" si="64"/>
        <v/>
      </c>
      <c r="HI14" s="11" t="str">
        <f t="shared" si="65"/>
        <v/>
      </c>
      <c r="HJ14" s="11" t="str">
        <f t="shared" si="66"/>
        <v/>
      </c>
      <c r="HK14" s="11" t="str">
        <f t="shared" si="67"/>
        <v/>
      </c>
      <c r="HL14" s="11" t="str">
        <f t="shared" si="68"/>
        <v/>
      </c>
      <c r="HM14" s="11" t="str">
        <f t="shared" si="69"/>
        <v/>
      </c>
      <c r="HN14" s="11" t="str">
        <f t="shared" si="70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1"/>
        <v/>
      </c>
      <c r="IJ14" s="41" t="str">
        <f t="shared" si="72"/>
        <v/>
      </c>
      <c r="IK14" s="41" t="str">
        <f t="shared" si="73"/>
        <v/>
      </c>
      <c r="IL14" s="41" t="str">
        <f t="shared" si="74"/>
        <v/>
      </c>
      <c r="IM14" s="41" t="str">
        <f t="shared" si="75"/>
        <v/>
      </c>
      <c r="IN14" s="41" t="str">
        <f t="shared" si="76"/>
        <v/>
      </c>
      <c r="IO14" s="41" t="str">
        <f t="shared" si="77"/>
        <v/>
      </c>
      <c r="IP14" s="41" t="str">
        <f t="shared" si="78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79"/>
        <v/>
      </c>
      <c r="JL14" s="11" t="str">
        <f t="shared" si="80"/>
        <v/>
      </c>
      <c r="JM14" s="11" t="str">
        <f t="shared" si="81"/>
        <v/>
      </c>
      <c r="JN14" s="11" t="str">
        <f t="shared" si="82"/>
        <v/>
      </c>
      <c r="JO14" s="11" t="str">
        <f t="shared" si="83"/>
        <v/>
      </c>
      <c r="JP14" s="11" t="str">
        <f t="shared" si="84"/>
        <v/>
      </c>
      <c r="JQ14" s="11" t="str">
        <f t="shared" si="85"/>
        <v/>
      </c>
      <c r="JR14" s="11" t="str">
        <f t="shared" si="86"/>
        <v/>
      </c>
      <c r="JS14" s="17"/>
      <c r="JT14" s="17"/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 t="str">
        <f t="shared" si="87"/>
        <v/>
      </c>
      <c r="KN14" s="41" t="str">
        <f t="shared" si="88"/>
        <v/>
      </c>
      <c r="KO14" s="41" t="str">
        <f t="shared" si="89"/>
        <v/>
      </c>
      <c r="KP14" s="41" t="str">
        <f t="shared" si="90"/>
        <v/>
      </c>
      <c r="KQ14" s="41" t="str">
        <f t="shared" si="91"/>
        <v/>
      </c>
      <c r="KR14" s="41" t="str">
        <f t="shared" si="92"/>
        <v/>
      </c>
      <c r="KS14" s="41" t="str">
        <f t="shared" si="93"/>
        <v/>
      </c>
      <c r="KT14" s="41" t="str">
        <f t="shared" si="94"/>
        <v/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5"/>
        <v/>
      </c>
      <c r="LP14" s="11" t="str">
        <f t="shared" si="96"/>
        <v/>
      </c>
      <c r="LQ14" s="11" t="str">
        <f t="shared" si="97"/>
        <v/>
      </c>
      <c r="LR14" s="11" t="str">
        <f t="shared" si="98"/>
        <v/>
      </c>
      <c r="LS14" s="11" t="str">
        <f t="shared" si="99"/>
        <v/>
      </c>
      <c r="LT14" s="11" t="str">
        <f t="shared" si="100"/>
        <v/>
      </c>
      <c r="LU14" s="11" t="str">
        <f t="shared" si="101"/>
        <v/>
      </c>
      <c r="LV14" s="11" t="str">
        <f t="shared" si="102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3"/>
        <v/>
      </c>
      <c r="MR14" s="41" t="str">
        <f t="shared" si="104"/>
        <v/>
      </c>
      <c r="MS14" s="41" t="str">
        <f t="shared" si="105"/>
        <v/>
      </c>
      <c r="MT14" s="41" t="str">
        <f t="shared" si="106"/>
        <v/>
      </c>
      <c r="MU14" s="41" t="str">
        <f t="shared" si="107"/>
        <v/>
      </c>
      <c r="MV14" s="41" t="str">
        <f t="shared" si="108"/>
        <v/>
      </c>
      <c r="MW14" s="41" t="str">
        <f t="shared" si="109"/>
        <v/>
      </c>
      <c r="MX14" s="41" t="str">
        <f t="shared" si="110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1"/>
        <v/>
      </c>
      <c r="NT14" s="11" t="str">
        <f t="shared" si="112"/>
        <v/>
      </c>
      <c r="NU14" s="11" t="str">
        <f t="shared" si="113"/>
        <v/>
      </c>
      <c r="NV14" s="11" t="str">
        <f t="shared" si="114"/>
        <v/>
      </c>
      <c r="NW14" s="11" t="str">
        <f t="shared" si="115"/>
        <v/>
      </c>
      <c r="NX14" s="11" t="str">
        <f t="shared" si="116"/>
        <v/>
      </c>
      <c r="NY14" s="11" t="str">
        <f t="shared" si="117"/>
        <v/>
      </c>
      <c r="NZ14" s="11" t="str">
        <f t="shared" si="118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19"/>
        <v/>
      </c>
      <c r="OV14" s="41" t="str">
        <f t="shared" si="120"/>
        <v/>
      </c>
      <c r="OW14" s="41" t="str">
        <f t="shared" si="121"/>
        <v/>
      </c>
      <c r="OX14" s="41" t="str">
        <f t="shared" si="122"/>
        <v/>
      </c>
      <c r="OY14" s="41" t="str">
        <f t="shared" si="123"/>
        <v/>
      </c>
      <c r="OZ14" s="41" t="str">
        <f t="shared" si="124"/>
        <v/>
      </c>
      <c r="PA14" s="41" t="str">
        <f t="shared" si="125"/>
        <v/>
      </c>
      <c r="PB14" s="41" t="str">
        <f t="shared" si="126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7"/>
        <v/>
      </c>
      <c r="PX14" s="11" t="str">
        <f t="shared" si="128"/>
        <v/>
      </c>
      <c r="PY14" s="11" t="str">
        <f t="shared" si="129"/>
        <v/>
      </c>
      <c r="PZ14" s="11" t="str">
        <f t="shared" si="130"/>
        <v/>
      </c>
      <c r="QA14" s="11" t="str">
        <f t="shared" si="131"/>
        <v/>
      </c>
      <c r="QB14" s="11" t="str">
        <f t="shared" si="132"/>
        <v/>
      </c>
      <c r="QC14" s="11" t="str">
        <f t="shared" si="133"/>
        <v/>
      </c>
      <c r="QD14" s="11" t="str">
        <f t="shared" si="134"/>
        <v/>
      </c>
      <c r="QE14" s="23">
        <f t="shared" si="135"/>
        <v>18.399999999999999</v>
      </c>
      <c r="QF14" s="23">
        <f t="shared" si="136"/>
        <v>6.6</v>
      </c>
      <c r="QG14" s="23">
        <f t="shared" si="137"/>
        <v>1</v>
      </c>
      <c r="QH14" s="23">
        <f t="shared" si="138"/>
        <v>0</v>
      </c>
      <c r="QI14" s="23">
        <f t="shared" si="139"/>
        <v>18.600000000000001</v>
      </c>
      <c r="QJ14" s="23">
        <f t="shared" si="140"/>
        <v>7.8</v>
      </c>
      <c r="QK14" s="23">
        <f t="shared" si="141"/>
        <v>0.3</v>
      </c>
      <c r="QL14" s="23">
        <f t="shared" si="142"/>
        <v>0</v>
      </c>
      <c r="QM14" s="23">
        <f t="shared" si="143"/>
        <v>16.700000000000003</v>
      </c>
      <c r="QN14" s="23">
        <f t="shared" si="144"/>
        <v>7.6999999999999993</v>
      </c>
      <c r="QO14" s="23">
        <f t="shared" si="145"/>
        <v>0.4</v>
      </c>
      <c r="QP14" s="23">
        <f t="shared" si="146"/>
        <v>0.15</v>
      </c>
      <c r="QQ14" s="23">
        <f t="shared" si="147"/>
        <v>9.25</v>
      </c>
      <c r="QR14" s="23">
        <f t="shared" si="148"/>
        <v>4.6500000000000004</v>
      </c>
      <c r="QS14" s="23">
        <f t="shared" si="149"/>
        <v>0</v>
      </c>
      <c r="QT14" s="23">
        <f t="shared" si="150"/>
        <v>0.15</v>
      </c>
      <c r="QU14" s="23">
        <f t="shared" si="151"/>
        <v>9.0500000000000007</v>
      </c>
      <c r="QV14" s="23">
        <f t="shared" si="152"/>
        <v>2.8</v>
      </c>
      <c r="QW14" s="23">
        <f t="shared" si="153"/>
        <v>0.5</v>
      </c>
      <c r="QX14" s="23">
        <f t="shared" si="154"/>
        <v>0</v>
      </c>
      <c r="QY14" s="28" t="s">
        <v>57</v>
      </c>
      <c r="QZ14" s="41">
        <f t="shared" si="155"/>
        <v>14.399999999999999</v>
      </c>
      <c r="RA14" s="41">
        <f t="shared" si="156"/>
        <v>50.1</v>
      </c>
      <c r="RB14" s="41">
        <f t="shared" si="157"/>
        <v>24.150000000000002</v>
      </c>
      <c r="RC14" s="41">
        <f t="shared" si="158"/>
        <v>22.099999999999998</v>
      </c>
      <c r="RD14" s="41">
        <f t="shared" si="159"/>
        <v>74.25</v>
      </c>
      <c r="RE14" s="41">
        <f t="shared" si="160"/>
        <v>7.45</v>
      </c>
      <c r="RF14" s="41">
        <f t="shared" si="161"/>
        <v>25.400000000000002</v>
      </c>
      <c r="RG14" s="41">
        <f t="shared" si="162"/>
        <v>99.65</v>
      </c>
    </row>
    <row r="15" spans="1:475" x14ac:dyDescent="0.2">
      <c r="A15" s="4" cm="1">
        <f t="array" ref="A15">IF(AND(H15&lt;&gt;"",H15&lt;&gt;"No DD"),SUMPRODUCT((H$4:H$28&lt;&gt;"")*(H$4:H$28&lt;&gt;"No DD")*(E$4:E$28&gt;E15))+1,IF(H15="No DD",SUMPRODUCT((H$4:H$28="No DD")*(E$4:E$28&gt;E15))+1+SUMPRODUCT((H$4:H$28&lt;&gt;"")*(H$4:H$28&lt;&gt;"No DD")),""))</f>
        <v>12</v>
      </c>
      <c r="B15" s="5" t="s">
        <v>130</v>
      </c>
      <c r="C15" s="4" t="s">
        <v>6</v>
      </c>
      <c r="D15" s="4">
        <v>2003</v>
      </c>
      <c r="E15" s="9">
        <f t="shared" si="163"/>
        <v>177.10001286000514</v>
      </c>
      <c r="F15" s="3" t="str">
        <f t="shared" si="0"/>
        <v>P</v>
      </c>
      <c r="G15" s="3" t="str">
        <f t="shared" si="1"/>
        <v>P</v>
      </c>
      <c r="H15" s="37" t="str">
        <f t="shared" si="2"/>
        <v>Worlds Team</v>
      </c>
      <c r="I15" s="3" t="str">
        <f t="shared" si="3"/>
        <v>P</v>
      </c>
      <c r="J15" s="8">
        <f>IF(COUNT(AQ15,BT15,CW15)&gt;0,LARGE((AQ15,BT15,CW15),1),0)</f>
        <v>51.4</v>
      </c>
      <c r="K15" s="8" t="str">
        <f t="shared" si="4"/>
        <v>2023 Nationals</v>
      </c>
      <c r="L15" s="8">
        <f>IF(COUNT(AQ15,BT15,CW15)&gt;1,LARGE((AQ15,BT15,CW15),2),0)</f>
        <v>51.29999999999999</v>
      </c>
      <c r="M15" s="8" t="str">
        <f t="shared" si="5"/>
        <v>2023 Domestic 3rd Trial</v>
      </c>
      <c r="N15" s="8">
        <f>IF(COUNT(AR15,BU15,CX15)&gt;0,LARGE((AR15,BU15,CX15),1),0)</f>
        <v>25.9</v>
      </c>
      <c r="O15" s="8" t="str">
        <f t="shared" si="6"/>
        <v>2023 Nationals</v>
      </c>
      <c r="P15" s="8">
        <f t="shared" si="7"/>
        <v>48.5</v>
      </c>
      <c r="Q15" s="8" t="str">
        <f t="shared" si="8"/>
        <v>2023 Nationals</v>
      </c>
      <c r="R15" s="8" t="str">
        <f t="shared" si="9"/>
        <v/>
      </c>
      <c r="S15" s="11" t="str">
        <f t="shared" si="10"/>
        <v/>
      </c>
      <c r="T15" s="8" t="str">
        <f t="shared" si="11"/>
        <v/>
      </c>
      <c r="U15" s="19">
        <v>17.399999999999999</v>
      </c>
      <c r="V15" s="19">
        <v>2.4</v>
      </c>
      <c r="W15" s="19">
        <v>0</v>
      </c>
      <c r="X15" s="19">
        <v>0</v>
      </c>
      <c r="Y15" s="19">
        <v>18.399999999999999</v>
      </c>
      <c r="Z15" s="19">
        <v>7.3</v>
      </c>
      <c r="AA15" s="19">
        <v>0</v>
      </c>
      <c r="AB15" s="19">
        <v>0</v>
      </c>
      <c r="AC15" s="19">
        <v>17.399999999999999</v>
      </c>
      <c r="AD15" s="19">
        <v>4.4000000000000004</v>
      </c>
      <c r="AE15" s="19">
        <v>2</v>
      </c>
      <c r="AF15" s="19">
        <v>0</v>
      </c>
      <c r="AG15" s="19"/>
      <c r="AH15" s="19"/>
      <c r="AI15" s="19"/>
      <c r="AJ15" s="19"/>
      <c r="AK15" s="19"/>
      <c r="AL15" s="19"/>
      <c r="AM15" s="19"/>
      <c r="AN15" s="19"/>
      <c r="AO15" s="28"/>
      <c r="AP15" s="41">
        <f t="shared" si="12"/>
        <v>9.6999999999999993</v>
      </c>
      <c r="AQ15" s="41">
        <f t="shared" si="13"/>
        <v>45.499999999999993</v>
      </c>
      <c r="AR15" s="41">
        <f t="shared" si="14"/>
        <v>19.799999999999997</v>
      </c>
      <c r="AS15" s="41">
        <f t="shared" si="15"/>
        <v>14.1</v>
      </c>
      <c r="AT15" s="41">
        <f t="shared" si="16"/>
        <v>65.299999999999983</v>
      </c>
      <c r="AU15" s="41" t="str">
        <f t="shared" si="17"/>
        <v/>
      </c>
      <c r="AV15" s="41" t="str">
        <f t="shared" si="18"/>
        <v/>
      </c>
      <c r="AW15" s="41">
        <f t="shared" si="19"/>
        <v>65.299999999999983</v>
      </c>
      <c r="AX15" s="18">
        <v>18.2</v>
      </c>
      <c r="AY15" s="18">
        <v>6.9</v>
      </c>
      <c r="AZ15" s="18">
        <v>0.6</v>
      </c>
      <c r="BA15" s="18">
        <v>0</v>
      </c>
      <c r="BB15" s="18">
        <v>18.3</v>
      </c>
      <c r="BC15" s="18">
        <v>8.5</v>
      </c>
      <c r="BD15" s="18">
        <v>0.2</v>
      </c>
      <c r="BE15" s="18">
        <v>0.3</v>
      </c>
      <c r="BF15" s="18">
        <v>18.7</v>
      </c>
      <c r="BG15" s="18">
        <v>7.5</v>
      </c>
      <c r="BH15" s="18">
        <v>0.6</v>
      </c>
      <c r="BI15" s="18">
        <v>0.3</v>
      </c>
      <c r="BJ15" s="18">
        <v>18.600000000000001</v>
      </c>
      <c r="BK15" s="18">
        <v>7.3</v>
      </c>
      <c r="BL15" s="18">
        <v>0</v>
      </c>
      <c r="BM15" s="18">
        <v>0</v>
      </c>
      <c r="BN15" s="18">
        <v>17.2</v>
      </c>
      <c r="BO15" s="18">
        <v>5.0999999999999996</v>
      </c>
      <c r="BP15" s="18">
        <v>0</v>
      </c>
      <c r="BQ15" s="18">
        <v>0.3</v>
      </c>
      <c r="BR15" s="29"/>
      <c r="BS15" s="11">
        <f t="shared" si="20"/>
        <v>15.4</v>
      </c>
      <c r="BT15" s="11">
        <f t="shared" si="21"/>
        <v>51.4</v>
      </c>
      <c r="BU15" s="11">
        <f t="shared" si="22"/>
        <v>25.9</v>
      </c>
      <c r="BV15" s="11">
        <f t="shared" si="23"/>
        <v>22.9</v>
      </c>
      <c r="BW15" s="11">
        <f t="shared" si="24"/>
        <v>77.3</v>
      </c>
      <c r="BX15" s="11">
        <f t="shared" si="25"/>
        <v>12.399999999999999</v>
      </c>
      <c r="BY15" s="11">
        <f t="shared" si="26"/>
        <v>48.5</v>
      </c>
      <c r="BZ15" s="11">
        <f t="shared" si="27"/>
        <v>125.8</v>
      </c>
      <c r="CA15" s="19">
        <v>18.3</v>
      </c>
      <c r="CB15" s="19">
        <v>7.7</v>
      </c>
      <c r="CC15" s="19">
        <v>0.2</v>
      </c>
      <c r="CD15" s="19">
        <v>0.3</v>
      </c>
      <c r="CE15" s="19">
        <v>18.5</v>
      </c>
      <c r="CF15" s="19">
        <v>7.3</v>
      </c>
      <c r="CG15" s="19">
        <v>0.6</v>
      </c>
      <c r="CH15" s="19">
        <v>0</v>
      </c>
      <c r="CI15" s="19">
        <v>17.2</v>
      </c>
      <c r="CJ15" s="19">
        <v>5.4</v>
      </c>
      <c r="CK15" s="19">
        <v>0</v>
      </c>
      <c r="CL15" s="19">
        <v>0.3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>
        <f t="shared" si="28"/>
        <v>15</v>
      </c>
      <c r="CW15" s="41">
        <f t="shared" si="29"/>
        <v>51.29999999999999</v>
      </c>
      <c r="CX15" s="41">
        <f t="shared" si="30"/>
        <v>22.900000000000002</v>
      </c>
      <c r="CY15" s="41">
        <f t="shared" si="31"/>
        <v>20.399999999999999</v>
      </c>
      <c r="CZ15" s="41">
        <f t="shared" si="32"/>
        <v>74.199999999999989</v>
      </c>
      <c r="DA15" s="41" t="str">
        <f t="shared" si="33"/>
        <v/>
      </c>
      <c r="DB15" s="41" t="str">
        <f t="shared" si="34"/>
        <v/>
      </c>
      <c r="DC15" s="41">
        <f t="shared" si="35"/>
        <v>74.199999999999989</v>
      </c>
      <c r="DD15" s="52" t="str">
        <f t="shared" si="36"/>
        <v/>
      </c>
      <c r="DE15" s="52" t="str">
        <f t="shared" si="37"/>
        <v/>
      </c>
      <c r="DF15" s="52" t="str">
        <f t="shared" si="38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39"/>
        <v/>
      </c>
      <c r="EB15" s="41" t="str">
        <f t="shared" si="40"/>
        <v/>
      </c>
      <c r="EC15" s="41" t="str">
        <f t="shared" si="41"/>
        <v/>
      </c>
      <c r="ED15" s="41" t="str">
        <f t="shared" si="42"/>
        <v/>
      </c>
      <c r="EE15" s="41" t="str">
        <f t="shared" si="43"/>
        <v/>
      </c>
      <c r="EF15" s="41" t="str">
        <f t="shared" si="44"/>
        <v/>
      </c>
      <c r="EG15" s="41" t="str">
        <f t="shared" si="45"/>
        <v/>
      </c>
      <c r="EH15" s="41" t="str">
        <f t="shared" si="46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7"/>
        <v/>
      </c>
      <c r="FD15" s="11" t="str">
        <f t="shared" si="48"/>
        <v/>
      </c>
      <c r="FE15" s="11" t="str">
        <f t="shared" si="49"/>
        <v/>
      </c>
      <c r="FF15" s="11" t="str">
        <f t="shared" si="50"/>
        <v/>
      </c>
      <c r="FG15" s="11" t="str">
        <f t="shared" si="51"/>
        <v/>
      </c>
      <c r="FH15" s="11" t="str">
        <f t="shared" si="52"/>
        <v/>
      </c>
      <c r="FI15" s="11" t="str">
        <f t="shared" si="53"/>
        <v/>
      </c>
      <c r="FJ15" s="11" t="str">
        <f t="shared" si="54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5"/>
        <v/>
      </c>
      <c r="GF15" s="41" t="str">
        <f t="shared" si="56"/>
        <v/>
      </c>
      <c r="GG15" s="41" t="str">
        <f t="shared" si="57"/>
        <v/>
      </c>
      <c r="GH15" s="41" t="str">
        <f t="shared" si="58"/>
        <v/>
      </c>
      <c r="GI15" s="41" t="str">
        <f t="shared" si="59"/>
        <v/>
      </c>
      <c r="GJ15" s="41" t="str">
        <f t="shared" si="60"/>
        <v/>
      </c>
      <c r="GK15" s="41" t="str">
        <f t="shared" si="61"/>
        <v/>
      </c>
      <c r="GL15" s="41" t="str">
        <f t="shared" si="62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3"/>
        <v/>
      </c>
      <c r="HH15" s="11" t="str">
        <f t="shared" si="64"/>
        <v/>
      </c>
      <c r="HI15" s="11" t="str">
        <f t="shared" si="65"/>
        <v/>
      </c>
      <c r="HJ15" s="11" t="str">
        <f t="shared" si="66"/>
        <v/>
      </c>
      <c r="HK15" s="11" t="str">
        <f t="shared" si="67"/>
        <v/>
      </c>
      <c r="HL15" s="11" t="str">
        <f t="shared" si="68"/>
        <v/>
      </c>
      <c r="HM15" s="11" t="str">
        <f t="shared" si="69"/>
        <v/>
      </c>
      <c r="HN15" s="11" t="str">
        <f t="shared" si="70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1"/>
        <v/>
      </c>
      <c r="IJ15" s="41" t="str">
        <f t="shared" si="72"/>
        <v/>
      </c>
      <c r="IK15" s="41" t="str">
        <f t="shared" si="73"/>
        <v/>
      </c>
      <c r="IL15" s="41" t="str">
        <f t="shared" si="74"/>
        <v/>
      </c>
      <c r="IM15" s="41" t="str">
        <f t="shared" si="75"/>
        <v/>
      </c>
      <c r="IN15" s="41" t="str">
        <f t="shared" si="76"/>
        <v/>
      </c>
      <c r="IO15" s="41" t="str">
        <f t="shared" si="77"/>
        <v/>
      </c>
      <c r="IP15" s="41" t="str">
        <f t="shared" si="78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79"/>
        <v/>
      </c>
      <c r="JL15" s="11" t="str">
        <f t="shared" si="80"/>
        <v/>
      </c>
      <c r="JM15" s="11" t="str">
        <f t="shared" si="81"/>
        <v/>
      </c>
      <c r="JN15" s="11" t="str">
        <f t="shared" si="82"/>
        <v/>
      </c>
      <c r="JO15" s="11" t="str">
        <f t="shared" si="83"/>
        <v/>
      </c>
      <c r="JP15" s="11" t="str">
        <f t="shared" si="84"/>
        <v/>
      </c>
      <c r="JQ15" s="11" t="str">
        <f t="shared" si="85"/>
        <v/>
      </c>
      <c r="JR15" s="11" t="str">
        <f t="shared" si="86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7"/>
        <v/>
      </c>
      <c r="KN15" s="41" t="str">
        <f t="shared" si="88"/>
        <v/>
      </c>
      <c r="KO15" s="41" t="str">
        <f t="shared" si="89"/>
        <v/>
      </c>
      <c r="KP15" s="41" t="str">
        <f t="shared" si="90"/>
        <v/>
      </c>
      <c r="KQ15" s="41" t="str">
        <f t="shared" si="91"/>
        <v/>
      </c>
      <c r="KR15" s="41" t="str">
        <f t="shared" si="92"/>
        <v/>
      </c>
      <c r="KS15" s="41" t="str">
        <f t="shared" si="93"/>
        <v/>
      </c>
      <c r="KT15" s="41" t="str">
        <f t="shared" si="94"/>
        <v/>
      </c>
      <c r="KU15" s="18">
        <v>17.5</v>
      </c>
      <c r="KV15" s="18">
        <v>2.8</v>
      </c>
      <c r="KW15" s="18">
        <v>0</v>
      </c>
      <c r="KX15" s="18">
        <v>0</v>
      </c>
      <c r="KY15" s="18">
        <v>17.2</v>
      </c>
      <c r="KZ15" s="18">
        <v>5.0999999999999996</v>
      </c>
      <c r="LA15" s="18">
        <v>0</v>
      </c>
      <c r="LB15" s="18">
        <v>0</v>
      </c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>
        <f t="shared" si="95"/>
        <v>7.8999999999999995</v>
      </c>
      <c r="LP15" s="11">
        <f t="shared" si="96"/>
        <v>42.6</v>
      </c>
      <c r="LQ15" s="11" t="str">
        <f t="shared" si="97"/>
        <v/>
      </c>
      <c r="LR15" s="11">
        <f t="shared" si="98"/>
        <v>7.8999999999999995</v>
      </c>
      <c r="LS15" s="11">
        <f t="shared" si="99"/>
        <v>42.6</v>
      </c>
      <c r="LT15" s="11" t="str">
        <f t="shared" si="100"/>
        <v/>
      </c>
      <c r="LU15" s="11" t="str">
        <f t="shared" si="101"/>
        <v/>
      </c>
      <c r="LV15" s="11">
        <f t="shared" si="102"/>
        <v>42.6</v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3"/>
        <v/>
      </c>
      <c r="MR15" s="41" t="str">
        <f t="shared" si="104"/>
        <v/>
      </c>
      <c r="MS15" s="41" t="str">
        <f t="shared" si="105"/>
        <v/>
      </c>
      <c r="MT15" s="41" t="str">
        <f t="shared" si="106"/>
        <v/>
      </c>
      <c r="MU15" s="41" t="str">
        <f t="shared" si="107"/>
        <v/>
      </c>
      <c r="MV15" s="41" t="str">
        <f t="shared" si="108"/>
        <v/>
      </c>
      <c r="MW15" s="41" t="str">
        <f t="shared" si="109"/>
        <v/>
      </c>
      <c r="MX15" s="41" t="str">
        <f t="shared" si="110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1"/>
        <v/>
      </c>
      <c r="NT15" s="11" t="str">
        <f t="shared" si="112"/>
        <v/>
      </c>
      <c r="NU15" s="11" t="str">
        <f t="shared" si="113"/>
        <v/>
      </c>
      <c r="NV15" s="11" t="str">
        <f t="shared" si="114"/>
        <v/>
      </c>
      <c r="NW15" s="11" t="str">
        <f t="shared" si="115"/>
        <v/>
      </c>
      <c r="NX15" s="11" t="str">
        <f t="shared" si="116"/>
        <v/>
      </c>
      <c r="NY15" s="11" t="str">
        <f t="shared" si="117"/>
        <v/>
      </c>
      <c r="NZ15" s="11" t="str">
        <f t="shared" si="118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19"/>
        <v/>
      </c>
      <c r="OV15" s="41" t="str">
        <f t="shared" si="120"/>
        <v/>
      </c>
      <c r="OW15" s="41" t="str">
        <f t="shared" si="121"/>
        <v/>
      </c>
      <c r="OX15" s="41" t="str">
        <f t="shared" si="122"/>
        <v/>
      </c>
      <c r="OY15" s="41" t="str">
        <f t="shared" si="123"/>
        <v/>
      </c>
      <c r="OZ15" s="41" t="str">
        <f t="shared" si="124"/>
        <v/>
      </c>
      <c r="PA15" s="41" t="str">
        <f t="shared" si="125"/>
        <v/>
      </c>
      <c r="PB15" s="41" t="str">
        <f t="shared" si="126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7"/>
        <v/>
      </c>
      <c r="PX15" s="11" t="str">
        <f t="shared" si="128"/>
        <v/>
      </c>
      <c r="PY15" s="11" t="str">
        <f t="shared" si="129"/>
        <v/>
      </c>
      <c r="PZ15" s="11" t="str">
        <f t="shared" si="130"/>
        <v/>
      </c>
      <c r="QA15" s="11" t="str">
        <f t="shared" si="131"/>
        <v/>
      </c>
      <c r="QB15" s="11" t="str">
        <f t="shared" si="132"/>
        <v/>
      </c>
      <c r="QC15" s="11" t="str">
        <f t="shared" si="133"/>
        <v/>
      </c>
      <c r="QD15" s="11" t="str">
        <f t="shared" si="134"/>
        <v/>
      </c>
      <c r="QE15" s="23">
        <f t="shared" si="135"/>
        <v>18.25</v>
      </c>
      <c r="QF15" s="23">
        <f t="shared" si="136"/>
        <v>7.3000000000000007</v>
      </c>
      <c r="QG15" s="23">
        <f t="shared" si="137"/>
        <v>0.4</v>
      </c>
      <c r="QH15" s="23">
        <f t="shared" si="138"/>
        <v>0.15</v>
      </c>
      <c r="QI15" s="23">
        <f t="shared" si="139"/>
        <v>18.399999999999999</v>
      </c>
      <c r="QJ15" s="23">
        <f t="shared" si="140"/>
        <v>7.9</v>
      </c>
      <c r="QK15" s="23">
        <f t="shared" si="141"/>
        <v>0.4</v>
      </c>
      <c r="QL15" s="23">
        <f t="shared" si="142"/>
        <v>0.15</v>
      </c>
      <c r="QM15" s="23">
        <f t="shared" si="143"/>
        <v>17.95</v>
      </c>
      <c r="QN15" s="23">
        <f t="shared" si="144"/>
        <v>6.45</v>
      </c>
      <c r="QO15" s="23">
        <f t="shared" si="145"/>
        <v>0.3</v>
      </c>
      <c r="QP15" s="23">
        <f t="shared" si="146"/>
        <v>0.3</v>
      </c>
      <c r="QQ15" s="23">
        <f t="shared" si="147"/>
        <v>9.3000000000000007</v>
      </c>
      <c r="QR15" s="23">
        <f t="shared" si="148"/>
        <v>3.65</v>
      </c>
      <c r="QS15" s="23">
        <f t="shared" si="149"/>
        <v>0</v>
      </c>
      <c r="QT15" s="23">
        <f t="shared" si="150"/>
        <v>0</v>
      </c>
      <c r="QU15" s="23">
        <f t="shared" si="151"/>
        <v>8.6</v>
      </c>
      <c r="QV15" s="23">
        <f t="shared" si="152"/>
        <v>2.5499999999999998</v>
      </c>
      <c r="QW15" s="23">
        <f t="shared" si="153"/>
        <v>0</v>
      </c>
      <c r="QX15" s="23">
        <f t="shared" si="154"/>
        <v>0.15</v>
      </c>
      <c r="QY15" s="28" t="s">
        <v>57</v>
      </c>
      <c r="QZ15" s="41">
        <f t="shared" si="155"/>
        <v>15.200000000000001</v>
      </c>
      <c r="RA15" s="41">
        <f t="shared" si="156"/>
        <v>51.349999999999994</v>
      </c>
      <c r="RB15" s="41">
        <f t="shared" si="157"/>
        <v>24.4</v>
      </c>
      <c r="RC15" s="41">
        <f t="shared" si="158"/>
        <v>21.650000000000002</v>
      </c>
      <c r="RD15" s="41">
        <f t="shared" si="159"/>
        <v>75.75</v>
      </c>
      <c r="RE15" s="41">
        <f t="shared" si="160"/>
        <v>6.1999999999999993</v>
      </c>
      <c r="RF15" s="41">
        <f t="shared" si="161"/>
        <v>24.25</v>
      </c>
      <c r="RG15" s="41">
        <f t="shared" si="162"/>
        <v>100</v>
      </c>
    </row>
    <row r="16" spans="1:475" x14ac:dyDescent="0.2">
      <c r="A16" s="4" cm="1">
        <f t="array" ref="A16">IF(AND(H16&lt;&gt;"",H16&lt;&gt;"No DD"),SUMPRODUCT((H$4:H$28&lt;&gt;"")*(H$4:H$28&lt;&gt;"No DD")*(E$4:E$28&gt;E16))+1,IF(H16="No DD",SUMPRODUCT((H$4:H$28="No DD")*(E$4:E$28&gt;E16))+1+SUMPRODUCT((H$4:H$28&lt;&gt;"")*(H$4:H$28&lt;&gt;"No DD")),""))</f>
        <v>13</v>
      </c>
      <c r="B16" s="5" t="s">
        <v>241</v>
      </c>
      <c r="C16" s="4" t="s">
        <v>5</v>
      </c>
      <c r="D16" s="4">
        <v>2005</v>
      </c>
      <c r="E16" s="9">
        <f t="shared" si="163"/>
        <v>174.30001250000518</v>
      </c>
      <c r="F16" s="3" t="str">
        <f t="shared" si="0"/>
        <v>P</v>
      </c>
      <c r="G16" s="3" t="str">
        <f t="shared" si="1"/>
        <v>P</v>
      </c>
      <c r="H16" s="37" t="str">
        <f t="shared" si="2"/>
        <v>National Team</v>
      </c>
      <c r="I16" s="3" t="str">
        <f t="shared" si="3"/>
        <v/>
      </c>
      <c r="J16" s="8">
        <f>IF(COUNT(AQ16,BT16,CW16)&gt;0,LARGE((AQ16,BT16,CW16),1),0)</f>
        <v>51.800000000000004</v>
      </c>
      <c r="K16" s="8" t="str">
        <f t="shared" si="4"/>
        <v>2023 Domestic 3rd Trial</v>
      </c>
      <c r="L16" s="8">
        <f>IF(COUNT(AQ16,BT16,CW16)&gt;1,LARGE((AQ16,BT16,CW16),2),0)</f>
        <v>49.7</v>
      </c>
      <c r="M16" s="8" t="str">
        <f t="shared" si="5"/>
        <v>2023 Nationals</v>
      </c>
      <c r="N16" s="8">
        <f>IF(COUNT(AR16,BU16,CX16)&gt;0,LARGE((AR16,BU16,CX16),1),0)</f>
        <v>23.5</v>
      </c>
      <c r="O16" s="8" t="str">
        <f t="shared" si="6"/>
        <v>2023 Nationals</v>
      </c>
      <c r="P16" s="8">
        <f t="shared" si="7"/>
        <v>49.300000000000004</v>
      </c>
      <c r="Q16" s="8" t="str">
        <f t="shared" si="8"/>
        <v>2023 Elite Canada</v>
      </c>
      <c r="R16" s="8" t="str">
        <f t="shared" si="9"/>
        <v/>
      </c>
      <c r="S16" s="11" t="str">
        <f t="shared" si="10"/>
        <v/>
      </c>
      <c r="T16" s="8" t="str">
        <f t="shared" si="11"/>
        <v/>
      </c>
      <c r="U16" s="19">
        <v>18.3</v>
      </c>
      <c r="V16" s="19">
        <v>6.9</v>
      </c>
      <c r="W16" s="19">
        <v>0.8</v>
      </c>
      <c r="X16" s="19">
        <v>0</v>
      </c>
      <c r="Y16" s="19">
        <v>18.3</v>
      </c>
      <c r="Z16" s="19">
        <v>6.4</v>
      </c>
      <c r="AA16" s="19">
        <v>0.6</v>
      </c>
      <c r="AB16" s="19">
        <v>0</v>
      </c>
      <c r="AC16" s="19">
        <v>18.8</v>
      </c>
      <c r="AD16" s="19">
        <v>4.3</v>
      </c>
      <c r="AE16" s="19">
        <v>0</v>
      </c>
      <c r="AF16" s="19">
        <v>0</v>
      </c>
      <c r="AG16" s="19">
        <v>18</v>
      </c>
      <c r="AH16" s="19">
        <v>6.9</v>
      </c>
      <c r="AI16" s="19">
        <v>0.2</v>
      </c>
      <c r="AJ16" s="19">
        <v>0</v>
      </c>
      <c r="AK16" s="19">
        <v>18.8</v>
      </c>
      <c r="AL16" s="19">
        <v>6.4</v>
      </c>
      <c r="AM16" s="19">
        <v>0.6</v>
      </c>
      <c r="AN16" s="19">
        <v>0</v>
      </c>
      <c r="AO16" s="28"/>
      <c r="AP16" s="41">
        <f t="shared" si="12"/>
        <v>13.3</v>
      </c>
      <c r="AQ16" s="41">
        <f t="shared" si="13"/>
        <v>48.5</v>
      </c>
      <c r="AR16" s="41">
        <f t="shared" si="14"/>
        <v>23.1</v>
      </c>
      <c r="AS16" s="41">
        <f t="shared" si="15"/>
        <v>17.600000000000001</v>
      </c>
      <c r="AT16" s="41">
        <f t="shared" si="16"/>
        <v>71.599999999999994</v>
      </c>
      <c r="AU16" s="41">
        <f t="shared" si="17"/>
        <v>13.3</v>
      </c>
      <c r="AV16" s="41">
        <f t="shared" si="18"/>
        <v>49.300000000000004</v>
      </c>
      <c r="AW16" s="41">
        <f t="shared" si="19"/>
        <v>120.9</v>
      </c>
      <c r="AX16" s="18">
        <v>18.3</v>
      </c>
      <c r="AY16" s="18">
        <v>6.8</v>
      </c>
      <c r="AZ16" s="18">
        <v>0.2</v>
      </c>
      <c r="BA16" s="18">
        <v>0</v>
      </c>
      <c r="BB16" s="18">
        <v>18.3</v>
      </c>
      <c r="BC16" s="18">
        <v>7.3</v>
      </c>
      <c r="BD16" s="18">
        <v>0.8</v>
      </c>
      <c r="BE16" s="18">
        <v>0</v>
      </c>
      <c r="BF16" s="18">
        <v>19.2</v>
      </c>
      <c r="BG16" s="18">
        <v>4.3</v>
      </c>
      <c r="BH16" s="18">
        <v>0</v>
      </c>
      <c r="BI16" s="18">
        <v>0</v>
      </c>
      <c r="BJ16" s="18">
        <v>18.600000000000001</v>
      </c>
      <c r="BK16" s="18">
        <v>6.8</v>
      </c>
      <c r="BL16" s="18">
        <v>0.6</v>
      </c>
      <c r="BM16" s="18">
        <v>0</v>
      </c>
      <c r="BN16" s="18">
        <v>18</v>
      </c>
      <c r="BO16" s="18">
        <v>7.3</v>
      </c>
      <c r="BP16" s="18">
        <v>1</v>
      </c>
      <c r="BQ16" s="18">
        <v>0</v>
      </c>
      <c r="BR16" s="29"/>
      <c r="BS16" s="11">
        <f t="shared" si="20"/>
        <v>14.1</v>
      </c>
      <c r="BT16" s="11">
        <f t="shared" si="21"/>
        <v>49.7</v>
      </c>
      <c r="BU16" s="11">
        <f t="shared" si="22"/>
        <v>23.5</v>
      </c>
      <c r="BV16" s="11">
        <f t="shared" si="23"/>
        <v>18.399999999999999</v>
      </c>
      <c r="BW16" s="11">
        <f t="shared" si="24"/>
        <v>73.2</v>
      </c>
      <c r="BX16" s="11">
        <f t="shared" si="25"/>
        <v>14.1</v>
      </c>
      <c r="BY16" s="11">
        <f t="shared" si="26"/>
        <v>49.1</v>
      </c>
      <c r="BZ16" s="11">
        <f t="shared" si="27"/>
        <v>122.30000000000001</v>
      </c>
      <c r="CA16" s="19">
        <v>18</v>
      </c>
      <c r="CB16" s="19">
        <v>7.7</v>
      </c>
      <c r="CC16" s="19">
        <v>0</v>
      </c>
      <c r="CD16" s="19">
        <v>0.3</v>
      </c>
      <c r="CE16" s="19">
        <v>18.600000000000001</v>
      </c>
      <c r="CF16" s="19">
        <v>7.2</v>
      </c>
      <c r="CG16" s="19">
        <v>0</v>
      </c>
      <c r="CH16" s="19">
        <v>0</v>
      </c>
      <c r="CI16" s="19">
        <v>17</v>
      </c>
      <c r="CJ16" s="19">
        <v>3.6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 t="shared" si="28"/>
        <v>14.9</v>
      </c>
      <c r="CW16" s="41">
        <f t="shared" si="29"/>
        <v>51.800000000000004</v>
      </c>
      <c r="CX16" s="41">
        <f t="shared" si="30"/>
        <v>20.6</v>
      </c>
      <c r="CY16" s="41">
        <f t="shared" si="31"/>
        <v>18.5</v>
      </c>
      <c r="CZ16" s="41">
        <f t="shared" si="32"/>
        <v>72.400000000000006</v>
      </c>
      <c r="DA16" s="41" t="str">
        <f t="shared" si="33"/>
        <v/>
      </c>
      <c r="DB16" s="41" t="str">
        <f t="shared" si="34"/>
        <v/>
      </c>
      <c r="DC16" s="41">
        <f t="shared" si="35"/>
        <v>72.400000000000006</v>
      </c>
      <c r="DD16" s="52" t="str">
        <f t="shared" si="36"/>
        <v/>
      </c>
      <c r="DE16" s="52" t="str">
        <f t="shared" si="37"/>
        <v/>
      </c>
      <c r="DF16" s="52" t="str">
        <f t="shared" si="38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39"/>
        <v/>
      </c>
      <c r="EB16" s="41" t="str">
        <f t="shared" si="40"/>
        <v/>
      </c>
      <c r="EC16" s="41" t="str">
        <f t="shared" si="41"/>
        <v/>
      </c>
      <c r="ED16" s="41" t="str">
        <f t="shared" si="42"/>
        <v/>
      </c>
      <c r="EE16" s="41" t="str">
        <f t="shared" si="43"/>
        <v/>
      </c>
      <c r="EF16" s="41" t="str">
        <f t="shared" si="44"/>
        <v/>
      </c>
      <c r="EG16" s="41" t="str">
        <f t="shared" si="45"/>
        <v/>
      </c>
      <c r="EH16" s="41" t="str">
        <f t="shared" si="46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7"/>
        <v/>
      </c>
      <c r="FD16" s="11" t="str">
        <f t="shared" si="48"/>
        <v/>
      </c>
      <c r="FE16" s="11" t="str">
        <f t="shared" si="49"/>
        <v/>
      </c>
      <c r="FF16" s="11" t="str">
        <f t="shared" si="50"/>
        <v/>
      </c>
      <c r="FG16" s="11" t="str">
        <f t="shared" si="51"/>
        <v/>
      </c>
      <c r="FH16" s="11" t="str">
        <f t="shared" si="52"/>
        <v/>
      </c>
      <c r="FI16" s="11" t="str">
        <f t="shared" si="53"/>
        <v/>
      </c>
      <c r="FJ16" s="11" t="str">
        <f t="shared" si="54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5"/>
        <v/>
      </c>
      <c r="GF16" s="41" t="str">
        <f t="shared" si="56"/>
        <v/>
      </c>
      <c r="GG16" s="41" t="str">
        <f t="shared" si="57"/>
        <v/>
      </c>
      <c r="GH16" s="41" t="str">
        <f t="shared" si="58"/>
        <v/>
      </c>
      <c r="GI16" s="41" t="str">
        <f t="shared" si="59"/>
        <v/>
      </c>
      <c r="GJ16" s="41" t="str">
        <f t="shared" si="60"/>
        <v/>
      </c>
      <c r="GK16" s="41" t="str">
        <f t="shared" si="61"/>
        <v/>
      </c>
      <c r="GL16" s="41" t="str">
        <f t="shared" si="62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3"/>
        <v/>
      </c>
      <c r="HH16" s="11" t="str">
        <f t="shared" si="64"/>
        <v/>
      </c>
      <c r="HI16" s="11" t="str">
        <f t="shared" si="65"/>
        <v/>
      </c>
      <c r="HJ16" s="11" t="str">
        <f t="shared" si="66"/>
        <v/>
      </c>
      <c r="HK16" s="11" t="str">
        <f t="shared" si="67"/>
        <v/>
      </c>
      <c r="HL16" s="11" t="str">
        <f t="shared" si="68"/>
        <v/>
      </c>
      <c r="HM16" s="11" t="str">
        <f t="shared" si="69"/>
        <v/>
      </c>
      <c r="HN16" s="11" t="str">
        <f t="shared" si="70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1"/>
        <v/>
      </c>
      <c r="IJ16" s="41" t="str">
        <f t="shared" si="72"/>
        <v/>
      </c>
      <c r="IK16" s="41" t="str">
        <f t="shared" si="73"/>
        <v/>
      </c>
      <c r="IL16" s="41" t="str">
        <f t="shared" si="74"/>
        <v/>
      </c>
      <c r="IM16" s="41" t="str">
        <f t="shared" si="75"/>
        <v/>
      </c>
      <c r="IN16" s="41" t="str">
        <f t="shared" si="76"/>
        <v/>
      </c>
      <c r="IO16" s="41" t="str">
        <f t="shared" si="77"/>
        <v/>
      </c>
      <c r="IP16" s="41" t="str">
        <f t="shared" si="78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79"/>
        <v/>
      </c>
      <c r="JL16" s="11" t="str">
        <f t="shared" si="80"/>
        <v/>
      </c>
      <c r="JM16" s="11" t="str">
        <f t="shared" si="81"/>
        <v/>
      </c>
      <c r="JN16" s="11" t="str">
        <f t="shared" si="82"/>
        <v/>
      </c>
      <c r="JO16" s="11" t="str">
        <f t="shared" si="83"/>
        <v/>
      </c>
      <c r="JP16" s="11" t="str">
        <f t="shared" si="84"/>
        <v/>
      </c>
      <c r="JQ16" s="11" t="str">
        <f t="shared" si="85"/>
        <v/>
      </c>
      <c r="JR16" s="11" t="str">
        <f t="shared" si="86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7"/>
        <v/>
      </c>
      <c r="KN16" s="41" t="str">
        <f t="shared" si="88"/>
        <v/>
      </c>
      <c r="KO16" s="41" t="str">
        <f t="shared" si="89"/>
        <v/>
      </c>
      <c r="KP16" s="41" t="str">
        <f t="shared" si="90"/>
        <v/>
      </c>
      <c r="KQ16" s="41" t="str">
        <f t="shared" si="91"/>
        <v/>
      </c>
      <c r="KR16" s="41" t="str">
        <f t="shared" si="92"/>
        <v/>
      </c>
      <c r="KS16" s="41" t="str">
        <f t="shared" si="93"/>
        <v/>
      </c>
      <c r="KT16" s="41" t="str">
        <f t="shared" si="94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5"/>
        <v/>
      </c>
      <c r="LP16" s="11" t="str">
        <f t="shared" si="96"/>
        <v/>
      </c>
      <c r="LQ16" s="11" t="str">
        <f t="shared" si="97"/>
        <v/>
      </c>
      <c r="LR16" s="11" t="str">
        <f t="shared" si="98"/>
        <v/>
      </c>
      <c r="LS16" s="11" t="str">
        <f t="shared" si="99"/>
        <v/>
      </c>
      <c r="LT16" s="11" t="str">
        <f t="shared" si="100"/>
        <v/>
      </c>
      <c r="LU16" s="11" t="str">
        <f t="shared" si="101"/>
        <v/>
      </c>
      <c r="LV16" s="11" t="str">
        <f t="shared" si="102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3"/>
        <v/>
      </c>
      <c r="MR16" s="41" t="str">
        <f t="shared" si="104"/>
        <v/>
      </c>
      <c r="MS16" s="41" t="str">
        <f t="shared" si="105"/>
        <v/>
      </c>
      <c r="MT16" s="41" t="str">
        <f t="shared" si="106"/>
        <v/>
      </c>
      <c r="MU16" s="41" t="str">
        <f t="shared" si="107"/>
        <v/>
      </c>
      <c r="MV16" s="41" t="str">
        <f t="shared" si="108"/>
        <v/>
      </c>
      <c r="MW16" s="41" t="str">
        <f t="shared" si="109"/>
        <v/>
      </c>
      <c r="MX16" s="41" t="str">
        <f t="shared" si="110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1"/>
        <v/>
      </c>
      <c r="NT16" s="11" t="str">
        <f t="shared" si="112"/>
        <v/>
      </c>
      <c r="NU16" s="11" t="str">
        <f t="shared" si="113"/>
        <v/>
      </c>
      <c r="NV16" s="11" t="str">
        <f t="shared" si="114"/>
        <v/>
      </c>
      <c r="NW16" s="11" t="str">
        <f t="shared" si="115"/>
        <v/>
      </c>
      <c r="NX16" s="11" t="str">
        <f t="shared" si="116"/>
        <v/>
      </c>
      <c r="NY16" s="11" t="str">
        <f t="shared" si="117"/>
        <v/>
      </c>
      <c r="NZ16" s="11" t="str">
        <f t="shared" si="118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19"/>
        <v/>
      </c>
      <c r="OV16" s="41" t="str">
        <f t="shared" si="120"/>
        <v/>
      </c>
      <c r="OW16" s="41" t="str">
        <f t="shared" si="121"/>
        <v/>
      </c>
      <c r="OX16" s="41" t="str">
        <f t="shared" si="122"/>
        <v/>
      </c>
      <c r="OY16" s="41" t="str">
        <f t="shared" si="123"/>
        <v/>
      </c>
      <c r="OZ16" s="41" t="str">
        <f t="shared" si="124"/>
        <v/>
      </c>
      <c r="PA16" s="41" t="str">
        <f t="shared" si="125"/>
        <v/>
      </c>
      <c r="PB16" s="41" t="str">
        <f t="shared" si="126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7"/>
        <v/>
      </c>
      <c r="PX16" s="11" t="str">
        <f t="shared" si="128"/>
        <v/>
      </c>
      <c r="PY16" s="11" t="str">
        <f t="shared" si="129"/>
        <v/>
      </c>
      <c r="PZ16" s="11" t="str">
        <f t="shared" si="130"/>
        <v/>
      </c>
      <c r="QA16" s="11" t="str">
        <f t="shared" si="131"/>
        <v/>
      </c>
      <c r="QB16" s="11" t="str">
        <f t="shared" si="132"/>
        <v/>
      </c>
      <c r="QC16" s="11" t="str">
        <f t="shared" si="133"/>
        <v/>
      </c>
      <c r="QD16" s="11" t="str">
        <f t="shared" si="134"/>
        <v/>
      </c>
      <c r="QE16" s="23">
        <f t="shared" si="135"/>
        <v>18.149999999999999</v>
      </c>
      <c r="QF16" s="23">
        <f t="shared" si="136"/>
        <v>7.25</v>
      </c>
      <c r="QG16" s="23">
        <f t="shared" si="137"/>
        <v>0.1</v>
      </c>
      <c r="QH16" s="23">
        <f t="shared" si="138"/>
        <v>0.15</v>
      </c>
      <c r="QI16" s="23">
        <f t="shared" si="139"/>
        <v>18.450000000000003</v>
      </c>
      <c r="QJ16" s="23">
        <f t="shared" si="140"/>
        <v>7.25</v>
      </c>
      <c r="QK16" s="23">
        <f t="shared" si="141"/>
        <v>0.4</v>
      </c>
      <c r="QL16" s="23">
        <f t="shared" si="142"/>
        <v>0</v>
      </c>
      <c r="QM16" s="23">
        <f t="shared" si="143"/>
        <v>18.100000000000001</v>
      </c>
      <c r="QN16" s="23">
        <f t="shared" si="144"/>
        <v>3.95</v>
      </c>
      <c r="QO16" s="23">
        <f t="shared" si="145"/>
        <v>0</v>
      </c>
      <c r="QP16" s="23">
        <f t="shared" si="146"/>
        <v>0</v>
      </c>
      <c r="QQ16" s="23">
        <f t="shared" si="147"/>
        <v>9.3000000000000007</v>
      </c>
      <c r="QR16" s="23">
        <f t="shared" si="148"/>
        <v>3.4</v>
      </c>
      <c r="QS16" s="23">
        <f t="shared" si="149"/>
        <v>0.3</v>
      </c>
      <c r="QT16" s="23">
        <f t="shared" si="150"/>
        <v>0</v>
      </c>
      <c r="QU16" s="23">
        <f t="shared" si="151"/>
        <v>9</v>
      </c>
      <c r="QV16" s="23">
        <f t="shared" si="152"/>
        <v>3.65</v>
      </c>
      <c r="QW16" s="23">
        <f t="shared" si="153"/>
        <v>0.5</v>
      </c>
      <c r="QX16" s="23">
        <f t="shared" si="154"/>
        <v>0</v>
      </c>
      <c r="QY16" s="28" t="s">
        <v>57</v>
      </c>
      <c r="QZ16" s="41">
        <f t="shared" si="155"/>
        <v>14.5</v>
      </c>
      <c r="RA16" s="41">
        <f t="shared" si="156"/>
        <v>50.75</v>
      </c>
      <c r="RB16" s="41">
        <f t="shared" si="157"/>
        <v>22.05</v>
      </c>
      <c r="RC16" s="41">
        <f t="shared" si="158"/>
        <v>18.45</v>
      </c>
      <c r="RD16" s="41">
        <f t="shared" si="159"/>
        <v>72.8</v>
      </c>
      <c r="RE16" s="41">
        <f t="shared" si="160"/>
        <v>7.05</v>
      </c>
      <c r="RF16" s="41">
        <f t="shared" si="161"/>
        <v>24.55</v>
      </c>
      <c r="RG16" s="41">
        <f t="shared" si="162"/>
        <v>97.35</v>
      </c>
    </row>
    <row r="17" spans="1:475" x14ac:dyDescent="0.2">
      <c r="A17" s="4" cm="1">
        <f t="array" ref="A17">IF(AND(H17&lt;&gt;"",H17&lt;&gt;"No DD"),SUMPRODUCT((H$4:H$28&lt;&gt;"")*(H$4:H$28&lt;&gt;"No DD")*(E$4:E$28&gt;E17))+1,IF(H17="No DD",SUMPRODUCT((H$4:H$28="No DD")*(E$4:E$28&gt;E17))+1+SUMPRODUCT((H$4:H$28&lt;&gt;"")*(H$4:H$28&lt;&gt;"No DD")),""))</f>
        <v>14</v>
      </c>
      <c r="B17" s="5" t="s">
        <v>171</v>
      </c>
      <c r="C17" s="4" t="s">
        <v>5</v>
      </c>
      <c r="D17" s="4">
        <v>1999</v>
      </c>
      <c r="E17" s="9">
        <f t="shared" si="163"/>
        <v>174.25001224500502</v>
      </c>
      <c r="F17" s="3" t="str">
        <f t="shared" si="0"/>
        <v>P</v>
      </c>
      <c r="G17" s="3" t="str">
        <f t="shared" si="1"/>
        <v>P</v>
      </c>
      <c r="H17" s="37" t="str">
        <f t="shared" si="2"/>
        <v>National Team</v>
      </c>
      <c r="I17" s="3" t="str">
        <f t="shared" si="3"/>
        <v/>
      </c>
      <c r="J17" s="8">
        <f>IF(COUNT(AQ17,BT17,CW17)&gt;0,LARGE((AQ17,BT17,CW17),1),0)</f>
        <v>50.300000000000004</v>
      </c>
      <c r="K17" s="8" t="str">
        <f t="shared" si="4"/>
        <v>2023 Nationals</v>
      </c>
      <c r="L17" s="8">
        <f>IF(COUNT(AQ17,BT17,CW17)&gt;1,LARGE((AQ17,BT17,CW17),2),0)</f>
        <v>48.1</v>
      </c>
      <c r="M17" s="8" t="str">
        <f t="shared" si="5"/>
        <v>2023 Elite Canada</v>
      </c>
      <c r="N17" s="8">
        <f>IF(COUNT(AR17,BU17,CX17)&gt;0,LARGE((AR17,BU17,CX17),1),0)</f>
        <v>24.05</v>
      </c>
      <c r="O17" s="8" t="str">
        <f t="shared" si="6"/>
        <v>2023 Nationals</v>
      </c>
      <c r="P17" s="8">
        <f t="shared" si="7"/>
        <v>26.4</v>
      </c>
      <c r="Q17" s="8" t="str">
        <f t="shared" si="8"/>
        <v>2023 Nationals</v>
      </c>
      <c r="R17" s="8">
        <f t="shared" si="9"/>
        <v>25.400000000000006</v>
      </c>
      <c r="S17" s="11" t="str">
        <f t="shared" si="10"/>
        <v>(Final)</v>
      </c>
      <c r="T17" s="8" t="str">
        <f t="shared" si="11"/>
        <v>2023 Pan Am Championships (May 14)</v>
      </c>
      <c r="U17" s="19">
        <v>18.399999999999999</v>
      </c>
      <c r="V17" s="19">
        <v>7.6</v>
      </c>
      <c r="W17" s="19">
        <v>0.6</v>
      </c>
      <c r="X17" s="19">
        <v>0</v>
      </c>
      <c r="Y17" s="19">
        <v>16.5</v>
      </c>
      <c r="Z17" s="19">
        <v>7.2</v>
      </c>
      <c r="AA17" s="19">
        <v>1</v>
      </c>
      <c r="AB17" s="19">
        <v>0</v>
      </c>
      <c r="AC17" s="19">
        <v>18.3</v>
      </c>
      <c r="AD17" s="19">
        <v>5.2</v>
      </c>
      <c r="AE17" s="19">
        <v>1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 t="shared" si="12"/>
        <v>14.8</v>
      </c>
      <c r="AQ17" s="41">
        <f t="shared" si="13"/>
        <v>48.1</v>
      </c>
      <c r="AR17" s="41">
        <f t="shared" si="14"/>
        <v>22.5</v>
      </c>
      <c r="AS17" s="41">
        <f t="shared" si="15"/>
        <v>20</v>
      </c>
      <c r="AT17" s="41">
        <f t="shared" si="16"/>
        <v>70.599999999999994</v>
      </c>
      <c r="AU17" s="41" t="str">
        <f t="shared" si="17"/>
        <v/>
      </c>
      <c r="AV17" s="41" t="str">
        <f t="shared" si="18"/>
        <v/>
      </c>
      <c r="AW17" s="41">
        <f t="shared" si="19"/>
        <v>70.599999999999994</v>
      </c>
      <c r="AX17" s="18">
        <v>18.600000000000001</v>
      </c>
      <c r="AY17" s="18">
        <v>7.6</v>
      </c>
      <c r="AZ17" s="18">
        <v>0.7</v>
      </c>
      <c r="BA17" s="18">
        <v>0</v>
      </c>
      <c r="BB17" s="18">
        <v>17.7</v>
      </c>
      <c r="BC17" s="18">
        <v>7.6</v>
      </c>
      <c r="BD17" s="18">
        <v>0.5</v>
      </c>
      <c r="BE17" s="18">
        <v>0</v>
      </c>
      <c r="BF17" s="18">
        <v>18.55</v>
      </c>
      <c r="BG17" s="18">
        <v>6</v>
      </c>
      <c r="BH17" s="18">
        <v>0.5</v>
      </c>
      <c r="BI17" s="18">
        <v>0</v>
      </c>
      <c r="BJ17" s="18">
        <v>9.4</v>
      </c>
      <c r="BK17" s="18">
        <v>3.8</v>
      </c>
      <c r="BL17" s="18">
        <v>0</v>
      </c>
      <c r="BM17" s="18">
        <v>0</v>
      </c>
      <c r="BN17" s="18">
        <v>9.3000000000000007</v>
      </c>
      <c r="BO17" s="18">
        <v>4</v>
      </c>
      <c r="BP17" s="18">
        <v>0.1</v>
      </c>
      <c r="BQ17" s="18">
        <v>0</v>
      </c>
      <c r="BR17" s="29" t="s">
        <v>57</v>
      </c>
      <c r="BS17" s="11">
        <f t="shared" si="20"/>
        <v>15.2</v>
      </c>
      <c r="BT17" s="11">
        <f t="shared" si="21"/>
        <v>50.300000000000004</v>
      </c>
      <c r="BU17" s="11">
        <f t="shared" si="22"/>
        <v>24.05</v>
      </c>
      <c r="BV17" s="11">
        <f t="shared" si="23"/>
        <v>21.2</v>
      </c>
      <c r="BW17" s="11">
        <f t="shared" si="24"/>
        <v>74.350000000000009</v>
      </c>
      <c r="BX17" s="11">
        <f t="shared" si="25"/>
        <v>7.8</v>
      </c>
      <c r="BY17" s="11">
        <f t="shared" si="26"/>
        <v>26.4</v>
      </c>
      <c r="BZ17" s="11">
        <f t="shared" si="27"/>
        <v>100.75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8"/>
      <c r="CV17" s="41" t="str">
        <f t="shared" si="28"/>
        <v/>
      </c>
      <c r="CW17" s="41" t="str">
        <f t="shared" si="29"/>
        <v/>
      </c>
      <c r="CX17" s="41" t="str">
        <f t="shared" si="30"/>
        <v/>
      </c>
      <c r="CY17" s="41" t="str">
        <f t="shared" si="31"/>
        <v/>
      </c>
      <c r="CZ17" s="41" t="str">
        <f t="shared" si="32"/>
        <v/>
      </c>
      <c r="DA17" s="41" t="str">
        <f t="shared" si="33"/>
        <v/>
      </c>
      <c r="DB17" s="41" t="str">
        <f t="shared" si="34"/>
        <v/>
      </c>
      <c r="DC17" s="41" t="str">
        <f t="shared" si="35"/>
        <v/>
      </c>
      <c r="DD17" s="52">
        <f t="shared" si="36"/>
        <v>3.2999999999999972</v>
      </c>
      <c r="DE17" s="52" t="str">
        <f t="shared" si="37"/>
        <v/>
      </c>
      <c r="DF17" s="52">
        <f t="shared" si="38"/>
        <v>25.400000000000006</v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 t="shared" si="39"/>
        <v/>
      </c>
      <c r="EB17" s="41" t="str">
        <f t="shared" si="40"/>
        <v/>
      </c>
      <c r="EC17" s="41" t="str">
        <f t="shared" si="41"/>
        <v/>
      </c>
      <c r="ED17" s="41" t="str">
        <f t="shared" si="42"/>
        <v/>
      </c>
      <c r="EE17" s="41" t="str">
        <f t="shared" si="43"/>
        <v/>
      </c>
      <c r="EF17" s="41" t="str">
        <f t="shared" si="44"/>
        <v/>
      </c>
      <c r="EG17" s="41" t="str">
        <f t="shared" si="45"/>
        <v/>
      </c>
      <c r="EH17" s="41" t="str">
        <f t="shared" si="46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7"/>
        <v/>
      </c>
      <c r="FD17" s="11" t="str">
        <f t="shared" si="48"/>
        <v/>
      </c>
      <c r="FE17" s="11" t="str">
        <f t="shared" si="49"/>
        <v/>
      </c>
      <c r="FF17" s="11" t="str">
        <f t="shared" si="50"/>
        <v/>
      </c>
      <c r="FG17" s="11" t="str">
        <f t="shared" si="51"/>
        <v/>
      </c>
      <c r="FH17" s="11" t="str">
        <f t="shared" si="52"/>
        <v/>
      </c>
      <c r="FI17" s="11" t="str">
        <f t="shared" si="53"/>
        <v/>
      </c>
      <c r="FJ17" s="11" t="str">
        <f t="shared" si="54"/>
        <v/>
      </c>
      <c r="FK17" s="17">
        <v>18.5</v>
      </c>
      <c r="FL17" s="17">
        <v>7.2</v>
      </c>
      <c r="FM17" s="17">
        <v>0.6</v>
      </c>
      <c r="FN17" s="17">
        <v>0</v>
      </c>
      <c r="FO17" s="17">
        <v>18.8</v>
      </c>
      <c r="FP17" s="17">
        <v>6.8</v>
      </c>
      <c r="FQ17" s="17">
        <v>0</v>
      </c>
      <c r="FR17" s="17">
        <v>0</v>
      </c>
      <c r="FS17" s="17"/>
      <c r="FT17" s="17"/>
      <c r="FU17" s="17"/>
      <c r="FV17" s="17"/>
      <c r="FW17" s="17">
        <v>18.8</v>
      </c>
      <c r="FX17" s="17">
        <v>7.6</v>
      </c>
      <c r="FY17" s="17">
        <v>0</v>
      </c>
      <c r="FZ17" s="17">
        <v>0</v>
      </c>
      <c r="GA17" s="17">
        <v>18.8</v>
      </c>
      <c r="GB17" s="17">
        <v>7.2</v>
      </c>
      <c r="GC17" s="17">
        <v>0.6</v>
      </c>
      <c r="GD17" s="17">
        <v>0</v>
      </c>
      <c r="GE17" s="41">
        <f t="shared" si="55"/>
        <v>14</v>
      </c>
      <c r="GF17" s="41">
        <f t="shared" si="56"/>
        <v>50.699999999999996</v>
      </c>
      <c r="GG17" s="41" t="str">
        <f t="shared" si="57"/>
        <v/>
      </c>
      <c r="GH17" s="41">
        <f t="shared" si="58"/>
        <v>14</v>
      </c>
      <c r="GI17" s="41">
        <f t="shared" si="59"/>
        <v>50.699999999999996</v>
      </c>
      <c r="GJ17" s="41">
        <f t="shared" si="60"/>
        <v>14.8</v>
      </c>
      <c r="GK17" s="41">
        <f t="shared" si="61"/>
        <v>51.800000000000004</v>
      </c>
      <c r="GL17" s="41">
        <f t="shared" si="62"/>
        <v>102.5</v>
      </c>
      <c r="GM17" s="18">
        <v>18.5</v>
      </c>
      <c r="GN17" s="18">
        <v>6.8</v>
      </c>
      <c r="GO17" s="18">
        <v>0.6</v>
      </c>
      <c r="GP17" s="18">
        <v>0</v>
      </c>
      <c r="GQ17" s="18">
        <v>18.399999999999999</v>
      </c>
      <c r="GR17" s="18">
        <v>8.5</v>
      </c>
      <c r="GS17" s="18">
        <v>0.2</v>
      </c>
      <c r="GT17" s="18">
        <v>0</v>
      </c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>
        <f t="shared" si="63"/>
        <v>15.3</v>
      </c>
      <c r="HH17" s="11">
        <f t="shared" si="64"/>
        <v>51.4</v>
      </c>
      <c r="HI17" s="11" t="str">
        <f t="shared" si="65"/>
        <v/>
      </c>
      <c r="HJ17" s="11">
        <f t="shared" si="66"/>
        <v>15.3</v>
      </c>
      <c r="HK17" s="11">
        <f t="shared" si="67"/>
        <v>51.4</v>
      </c>
      <c r="HL17" s="11" t="str">
        <f t="shared" si="68"/>
        <v/>
      </c>
      <c r="HM17" s="11" t="str">
        <f t="shared" si="69"/>
        <v/>
      </c>
      <c r="HN17" s="11">
        <f t="shared" si="70"/>
        <v>51.4</v>
      </c>
      <c r="HO17" s="17">
        <v>16.7</v>
      </c>
      <c r="HP17" s="17">
        <v>8.4</v>
      </c>
      <c r="HQ17" s="17">
        <v>1</v>
      </c>
      <c r="HR17" s="17">
        <v>0</v>
      </c>
      <c r="HS17" s="17">
        <v>17.399999999999999</v>
      </c>
      <c r="HT17" s="17">
        <v>3.6</v>
      </c>
      <c r="HU17" s="17">
        <v>0</v>
      </c>
      <c r="HV17" s="17">
        <v>0</v>
      </c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>
        <f t="shared" si="71"/>
        <v>12</v>
      </c>
      <c r="IJ17" s="41">
        <f t="shared" si="72"/>
        <v>45.1</v>
      </c>
      <c r="IK17" s="41" t="str">
        <f t="shared" si="73"/>
        <v/>
      </c>
      <c r="IL17" s="41">
        <f t="shared" si="74"/>
        <v>12</v>
      </c>
      <c r="IM17" s="41">
        <f t="shared" si="75"/>
        <v>45.1</v>
      </c>
      <c r="IN17" s="41" t="str">
        <f t="shared" si="76"/>
        <v/>
      </c>
      <c r="IO17" s="41" t="str">
        <f t="shared" si="77"/>
        <v/>
      </c>
      <c r="IP17" s="41">
        <f t="shared" si="78"/>
        <v>45.1</v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79"/>
        <v/>
      </c>
      <c r="JL17" s="11" t="str">
        <f t="shared" si="80"/>
        <v/>
      </c>
      <c r="JM17" s="11" t="str">
        <f t="shared" si="81"/>
        <v/>
      </c>
      <c r="JN17" s="11" t="str">
        <f t="shared" si="82"/>
        <v/>
      </c>
      <c r="JO17" s="11" t="str">
        <f t="shared" si="83"/>
        <v/>
      </c>
      <c r="JP17" s="11" t="str">
        <f t="shared" si="84"/>
        <v/>
      </c>
      <c r="JQ17" s="11" t="str">
        <f t="shared" si="85"/>
        <v/>
      </c>
      <c r="JR17" s="11" t="str">
        <f t="shared" si="86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 t="shared" si="87"/>
        <v/>
      </c>
      <c r="KN17" s="41" t="str">
        <f t="shared" si="88"/>
        <v/>
      </c>
      <c r="KO17" s="41" t="str">
        <f t="shared" si="89"/>
        <v/>
      </c>
      <c r="KP17" s="41" t="str">
        <f t="shared" si="90"/>
        <v/>
      </c>
      <c r="KQ17" s="41" t="str">
        <f t="shared" si="91"/>
        <v/>
      </c>
      <c r="KR17" s="41" t="str">
        <f t="shared" si="92"/>
        <v/>
      </c>
      <c r="KS17" s="41" t="str">
        <f t="shared" si="93"/>
        <v/>
      </c>
      <c r="KT17" s="41" t="str">
        <f t="shared" si="94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5"/>
        <v/>
      </c>
      <c r="LP17" s="11" t="str">
        <f t="shared" si="96"/>
        <v/>
      </c>
      <c r="LQ17" s="11" t="str">
        <f t="shared" si="97"/>
        <v/>
      </c>
      <c r="LR17" s="11" t="str">
        <f t="shared" si="98"/>
        <v/>
      </c>
      <c r="LS17" s="11" t="str">
        <f t="shared" si="99"/>
        <v/>
      </c>
      <c r="LT17" s="11" t="str">
        <f t="shared" si="100"/>
        <v/>
      </c>
      <c r="LU17" s="11" t="str">
        <f t="shared" si="101"/>
        <v/>
      </c>
      <c r="LV17" s="11" t="str">
        <f t="shared" si="102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3"/>
        <v/>
      </c>
      <c r="MR17" s="41" t="str">
        <f t="shared" si="104"/>
        <v/>
      </c>
      <c r="MS17" s="41" t="str">
        <f t="shared" si="105"/>
        <v/>
      </c>
      <c r="MT17" s="41" t="str">
        <f t="shared" si="106"/>
        <v/>
      </c>
      <c r="MU17" s="41" t="str">
        <f t="shared" si="107"/>
        <v/>
      </c>
      <c r="MV17" s="41" t="str">
        <f t="shared" si="108"/>
        <v/>
      </c>
      <c r="MW17" s="41" t="str">
        <f t="shared" si="109"/>
        <v/>
      </c>
      <c r="MX17" s="41" t="str">
        <f t="shared" si="110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1"/>
        <v/>
      </c>
      <c r="NT17" s="11" t="str">
        <f t="shared" si="112"/>
        <v/>
      </c>
      <c r="NU17" s="11" t="str">
        <f t="shared" si="113"/>
        <v/>
      </c>
      <c r="NV17" s="11" t="str">
        <f t="shared" si="114"/>
        <v/>
      </c>
      <c r="NW17" s="11" t="str">
        <f t="shared" si="115"/>
        <v/>
      </c>
      <c r="NX17" s="11" t="str">
        <f t="shared" si="116"/>
        <v/>
      </c>
      <c r="NY17" s="11" t="str">
        <f t="shared" si="117"/>
        <v/>
      </c>
      <c r="NZ17" s="11" t="str">
        <f t="shared" si="118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19"/>
        <v/>
      </c>
      <c r="OV17" s="41" t="str">
        <f t="shared" si="120"/>
        <v/>
      </c>
      <c r="OW17" s="41" t="str">
        <f t="shared" si="121"/>
        <v/>
      </c>
      <c r="OX17" s="41" t="str">
        <f t="shared" si="122"/>
        <v/>
      </c>
      <c r="OY17" s="41" t="str">
        <f t="shared" si="123"/>
        <v/>
      </c>
      <c r="OZ17" s="41" t="str">
        <f t="shared" si="124"/>
        <v/>
      </c>
      <c r="PA17" s="41" t="str">
        <f t="shared" si="125"/>
        <v/>
      </c>
      <c r="PB17" s="41" t="str">
        <f t="shared" si="126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7"/>
        <v/>
      </c>
      <c r="PX17" s="11" t="str">
        <f t="shared" si="128"/>
        <v/>
      </c>
      <c r="PY17" s="11" t="str">
        <f t="shared" si="129"/>
        <v/>
      </c>
      <c r="PZ17" s="11" t="str">
        <f t="shared" si="130"/>
        <v/>
      </c>
      <c r="QA17" s="11" t="str">
        <f t="shared" si="131"/>
        <v/>
      </c>
      <c r="QB17" s="11" t="str">
        <f t="shared" si="132"/>
        <v/>
      </c>
      <c r="QC17" s="11" t="str">
        <f t="shared" si="133"/>
        <v/>
      </c>
      <c r="QD17" s="11" t="str">
        <f t="shared" si="134"/>
        <v/>
      </c>
      <c r="QE17" s="23">
        <f t="shared" si="135"/>
        <v>9.3000000000000007</v>
      </c>
      <c r="QF17" s="23">
        <f t="shared" si="136"/>
        <v>3.8</v>
      </c>
      <c r="QG17" s="23">
        <f t="shared" si="137"/>
        <v>0.35</v>
      </c>
      <c r="QH17" s="23">
        <f t="shared" si="138"/>
        <v>0</v>
      </c>
      <c r="QI17" s="23">
        <f t="shared" si="139"/>
        <v>8.85</v>
      </c>
      <c r="QJ17" s="23">
        <f t="shared" si="140"/>
        <v>3.8</v>
      </c>
      <c r="QK17" s="23">
        <f t="shared" si="141"/>
        <v>0.25</v>
      </c>
      <c r="QL17" s="23">
        <f t="shared" si="142"/>
        <v>0</v>
      </c>
      <c r="QM17" s="23">
        <f t="shared" si="143"/>
        <v>9.2750000000000004</v>
      </c>
      <c r="QN17" s="23">
        <f t="shared" si="144"/>
        <v>3</v>
      </c>
      <c r="QO17" s="23">
        <f t="shared" si="145"/>
        <v>0.25</v>
      </c>
      <c r="QP17" s="23">
        <f t="shared" si="146"/>
        <v>0</v>
      </c>
      <c r="QQ17" s="23">
        <f t="shared" si="147"/>
        <v>4.7</v>
      </c>
      <c r="QR17" s="23">
        <f t="shared" si="148"/>
        <v>1.9</v>
      </c>
      <c r="QS17" s="23">
        <f t="shared" si="149"/>
        <v>0</v>
      </c>
      <c r="QT17" s="23">
        <f t="shared" si="150"/>
        <v>0</v>
      </c>
      <c r="QU17" s="23">
        <f t="shared" si="151"/>
        <v>4.6500000000000004</v>
      </c>
      <c r="QV17" s="23">
        <f t="shared" si="152"/>
        <v>2</v>
      </c>
      <c r="QW17" s="23">
        <f t="shared" si="153"/>
        <v>0.05</v>
      </c>
      <c r="QX17" s="23">
        <f t="shared" si="154"/>
        <v>0</v>
      </c>
      <c r="QY17" s="28" t="s">
        <v>57</v>
      </c>
      <c r="QZ17" s="41">
        <f t="shared" si="155"/>
        <v>7.6</v>
      </c>
      <c r="RA17" s="41">
        <f t="shared" si="156"/>
        <v>25.150000000000002</v>
      </c>
      <c r="RB17" s="41">
        <f t="shared" si="157"/>
        <v>12.025</v>
      </c>
      <c r="RC17" s="41">
        <f t="shared" si="158"/>
        <v>10.6</v>
      </c>
      <c r="RD17" s="41">
        <f t="shared" si="159"/>
        <v>37.175000000000004</v>
      </c>
      <c r="RE17" s="41">
        <f t="shared" si="160"/>
        <v>3.9</v>
      </c>
      <c r="RF17" s="41">
        <f t="shared" si="161"/>
        <v>13.2</v>
      </c>
      <c r="RG17" s="41">
        <f t="shared" si="162"/>
        <v>50.375</v>
      </c>
    </row>
    <row r="18" spans="1:475" x14ac:dyDescent="0.2">
      <c r="A18" s="4" cm="1">
        <f t="array" ref="A18">IF(AND(H18&lt;&gt;"",H18&lt;&gt;"No DD"),SUMPRODUCT((H$4:H$28&lt;&gt;"")*(H$4:H$28&lt;&gt;"No DD")*(E$4:E$28&gt;E18))+1,IF(H18="No DD",SUMPRODUCT((H$4:H$28="No DD")*(E$4:E$28&gt;E18))+1+SUMPRODUCT((H$4:H$28&lt;&gt;"")*(H$4:H$28&lt;&gt;"No DD")),""))</f>
        <v>15</v>
      </c>
      <c r="B18" s="5" t="s">
        <v>77</v>
      </c>
      <c r="C18" s="4" t="s">
        <v>76</v>
      </c>
      <c r="D18" s="4">
        <v>2001</v>
      </c>
      <c r="E18" s="9">
        <f t="shared" si="163"/>
        <v>156.15001310500523</v>
      </c>
      <c r="F18" s="3" t="str">
        <f t="shared" si="0"/>
        <v>P</v>
      </c>
      <c r="G18" s="3" t="str">
        <f t="shared" si="1"/>
        <v>P</v>
      </c>
      <c r="H18" s="37" t="str">
        <f t="shared" si="2"/>
        <v>Worlds Team</v>
      </c>
      <c r="I18" s="3" t="str">
        <f t="shared" si="3"/>
        <v>P</v>
      </c>
      <c r="J18" s="8">
        <f>IF(COUNT(AQ18,BT18,CW18)&gt;0,LARGE((AQ18,BT18,CW18),1),0)</f>
        <v>52.599999999999994</v>
      </c>
      <c r="K18" s="8" t="str">
        <f t="shared" si="4"/>
        <v>2023 Nationals</v>
      </c>
      <c r="L18" s="8">
        <f>IF(COUNT(AQ18,BT18,CW18)&gt;1,LARGE((AQ18,BT18,CW18),2),0)</f>
        <v>51.649999999999991</v>
      </c>
      <c r="M18" s="8" t="str">
        <f t="shared" si="5"/>
        <v>2023 Domestic 3rd Trial</v>
      </c>
      <c r="N18" s="8">
        <f>IF(COUNT(AR18,BU18,CX18)&gt;0,LARGE((AR18,BU18,CX18),1),0)</f>
        <v>26.8</v>
      </c>
      <c r="O18" s="8" t="str">
        <f t="shared" si="6"/>
        <v>2023 Nationals</v>
      </c>
      <c r="P18" s="8">
        <f t="shared" si="7"/>
        <v>25.1</v>
      </c>
      <c r="Q18" s="8" t="str">
        <f t="shared" si="8"/>
        <v>2023 Nationals</v>
      </c>
      <c r="R18" s="8" t="str">
        <f t="shared" si="9"/>
        <v/>
      </c>
      <c r="S18" s="11" t="str">
        <f t="shared" si="10"/>
        <v/>
      </c>
      <c r="T18" s="8" t="str">
        <f t="shared" si="11"/>
        <v/>
      </c>
      <c r="U18" s="19">
        <v>16.8</v>
      </c>
      <c r="V18" s="19">
        <v>7.2</v>
      </c>
      <c r="W18" s="19">
        <v>0.2</v>
      </c>
      <c r="X18" s="19">
        <v>0</v>
      </c>
      <c r="Y18" s="19">
        <v>19</v>
      </c>
      <c r="Z18" s="19">
        <v>7.6</v>
      </c>
      <c r="AA18" s="19">
        <v>0</v>
      </c>
      <c r="AB18" s="19">
        <v>0.3</v>
      </c>
      <c r="AC18" s="19">
        <v>17.399999999999999</v>
      </c>
      <c r="AD18" s="19">
        <v>2.8</v>
      </c>
      <c r="AE18" s="19">
        <v>0</v>
      </c>
      <c r="AF18" s="19">
        <v>0</v>
      </c>
      <c r="AG18" s="19"/>
      <c r="AH18" s="19"/>
      <c r="AI18" s="19"/>
      <c r="AJ18" s="19"/>
      <c r="AK18" s="19"/>
      <c r="AL18" s="19"/>
      <c r="AM18" s="19"/>
      <c r="AN18" s="19"/>
      <c r="AO18" s="28"/>
      <c r="AP18" s="41">
        <f t="shared" si="12"/>
        <v>14.8</v>
      </c>
      <c r="AQ18" s="41">
        <f t="shared" si="13"/>
        <v>50.699999999999996</v>
      </c>
      <c r="AR18" s="41">
        <f t="shared" si="14"/>
        <v>20.2</v>
      </c>
      <c r="AS18" s="41">
        <f t="shared" si="15"/>
        <v>17.600000000000001</v>
      </c>
      <c r="AT18" s="41">
        <f t="shared" si="16"/>
        <v>70.899999999999991</v>
      </c>
      <c r="AU18" s="41" t="str">
        <f t="shared" si="17"/>
        <v/>
      </c>
      <c r="AV18" s="41" t="str">
        <f t="shared" si="18"/>
        <v/>
      </c>
      <c r="AW18" s="41">
        <f t="shared" si="19"/>
        <v>70.899999999999991</v>
      </c>
      <c r="AX18" s="18">
        <v>18.7</v>
      </c>
      <c r="AY18" s="18">
        <v>8.4</v>
      </c>
      <c r="AZ18" s="18">
        <v>0.2</v>
      </c>
      <c r="BA18" s="18">
        <v>0</v>
      </c>
      <c r="BB18" s="18">
        <v>18.600000000000001</v>
      </c>
      <c r="BC18" s="18">
        <v>6.8</v>
      </c>
      <c r="BD18" s="18">
        <v>0</v>
      </c>
      <c r="BE18" s="18">
        <v>0.3</v>
      </c>
      <c r="BF18" s="18">
        <v>19.100000000000001</v>
      </c>
      <c r="BG18" s="18">
        <v>8</v>
      </c>
      <c r="BH18" s="18">
        <v>0.6</v>
      </c>
      <c r="BI18" s="18">
        <v>0.3</v>
      </c>
      <c r="BJ18" s="18">
        <v>18.5</v>
      </c>
      <c r="BK18" s="18">
        <v>6.8</v>
      </c>
      <c r="BL18" s="18">
        <v>0.2</v>
      </c>
      <c r="BM18" s="18">
        <v>0</v>
      </c>
      <c r="BN18" s="18"/>
      <c r="BO18" s="18"/>
      <c r="BP18" s="18"/>
      <c r="BQ18" s="18"/>
      <c r="BR18" s="29"/>
      <c r="BS18" s="11">
        <f t="shared" si="20"/>
        <v>15.2</v>
      </c>
      <c r="BT18" s="11">
        <f t="shared" si="21"/>
        <v>52.599999999999994</v>
      </c>
      <c r="BU18" s="11">
        <f t="shared" si="22"/>
        <v>26.8</v>
      </c>
      <c r="BV18" s="11">
        <f t="shared" si="23"/>
        <v>23.2</v>
      </c>
      <c r="BW18" s="11">
        <f t="shared" si="24"/>
        <v>79.399999999999991</v>
      </c>
      <c r="BX18" s="11">
        <f t="shared" si="25"/>
        <v>6.8</v>
      </c>
      <c r="BY18" s="11">
        <f t="shared" si="26"/>
        <v>25.1</v>
      </c>
      <c r="BZ18" s="11">
        <f t="shared" si="27"/>
        <v>104.5</v>
      </c>
      <c r="CA18" s="19">
        <v>17.75</v>
      </c>
      <c r="CB18" s="19">
        <v>7.8000000000000007</v>
      </c>
      <c r="CC18" s="19">
        <v>0.2</v>
      </c>
      <c r="CD18" s="19">
        <v>0</v>
      </c>
      <c r="CE18" s="19">
        <v>18.8</v>
      </c>
      <c r="CF18" s="19">
        <v>7.1999999999999993</v>
      </c>
      <c r="CG18" s="19">
        <v>0</v>
      </c>
      <c r="CH18" s="19">
        <v>0.3</v>
      </c>
      <c r="CI18" s="19">
        <v>18.25</v>
      </c>
      <c r="CJ18" s="19">
        <v>5.4</v>
      </c>
      <c r="CK18" s="19">
        <v>0.3</v>
      </c>
      <c r="CL18" s="19">
        <v>0.15</v>
      </c>
      <c r="CM18" s="19">
        <v>9.25</v>
      </c>
      <c r="CN18" s="19">
        <v>3.4</v>
      </c>
      <c r="CO18" s="19">
        <v>0.1</v>
      </c>
      <c r="CP18" s="19">
        <v>0</v>
      </c>
      <c r="CQ18" s="19">
        <v>0</v>
      </c>
      <c r="CR18" s="19">
        <v>0</v>
      </c>
      <c r="CS18" s="19">
        <v>0</v>
      </c>
      <c r="CT18" s="19">
        <v>0</v>
      </c>
      <c r="CU18" s="28" t="s">
        <v>57</v>
      </c>
      <c r="CV18" s="41">
        <f t="shared" si="28"/>
        <v>15</v>
      </c>
      <c r="CW18" s="41">
        <f t="shared" si="29"/>
        <v>51.649999999999991</v>
      </c>
      <c r="CX18" s="41">
        <f t="shared" si="30"/>
        <v>23.499999999999996</v>
      </c>
      <c r="CY18" s="41">
        <f t="shared" si="31"/>
        <v>20.399999999999999</v>
      </c>
      <c r="CZ18" s="41">
        <f t="shared" si="32"/>
        <v>75.149999999999991</v>
      </c>
      <c r="DA18" s="41">
        <f t="shared" si="33"/>
        <v>3.4</v>
      </c>
      <c r="DB18" s="41">
        <f t="shared" si="34"/>
        <v>12.55</v>
      </c>
      <c r="DC18" s="41">
        <f t="shared" si="35"/>
        <v>87.699999999999989</v>
      </c>
      <c r="DD18" s="52" t="str">
        <f t="shared" si="36"/>
        <v/>
      </c>
      <c r="DE18" s="52" t="str">
        <f t="shared" si="37"/>
        <v/>
      </c>
      <c r="DF18" s="52" t="str">
        <f t="shared" si="38"/>
        <v/>
      </c>
      <c r="DG18" s="17">
        <v>18.600000000000001</v>
      </c>
      <c r="DH18" s="17">
        <v>8.4</v>
      </c>
      <c r="DI18" s="17">
        <v>0.8</v>
      </c>
      <c r="DJ18" s="17">
        <v>0</v>
      </c>
      <c r="DK18" s="17">
        <v>0</v>
      </c>
      <c r="DL18" s="17">
        <v>0</v>
      </c>
      <c r="DM18" s="17">
        <v>0</v>
      </c>
      <c r="DN18" s="17">
        <v>0</v>
      </c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>
        <f t="shared" si="39"/>
        <v>8.4</v>
      </c>
      <c r="EB18" s="41">
        <f t="shared" si="40"/>
        <v>26.2</v>
      </c>
      <c r="EC18" s="41" t="str">
        <f t="shared" si="41"/>
        <v/>
      </c>
      <c r="ED18" s="41">
        <f t="shared" si="42"/>
        <v>8.4</v>
      </c>
      <c r="EE18" s="41">
        <f t="shared" si="43"/>
        <v>26.2</v>
      </c>
      <c r="EF18" s="41" t="str">
        <f t="shared" si="44"/>
        <v/>
      </c>
      <c r="EG18" s="41" t="str">
        <f t="shared" si="45"/>
        <v/>
      </c>
      <c r="EH18" s="41">
        <f t="shared" si="46"/>
        <v>26.2</v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7"/>
        <v/>
      </c>
      <c r="FD18" s="11" t="str">
        <f t="shared" si="48"/>
        <v/>
      </c>
      <c r="FE18" s="11" t="str">
        <f t="shared" si="49"/>
        <v/>
      </c>
      <c r="FF18" s="11" t="str">
        <f t="shared" si="50"/>
        <v/>
      </c>
      <c r="FG18" s="11" t="str">
        <f t="shared" si="51"/>
        <v/>
      </c>
      <c r="FH18" s="11" t="str">
        <f t="shared" si="52"/>
        <v/>
      </c>
      <c r="FI18" s="11" t="str">
        <f t="shared" si="53"/>
        <v/>
      </c>
      <c r="FJ18" s="11" t="str">
        <f t="shared" si="54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 t="shared" si="55"/>
        <v/>
      </c>
      <c r="GF18" s="41" t="str">
        <f t="shared" si="56"/>
        <v/>
      </c>
      <c r="GG18" s="41" t="str">
        <f t="shared" si="57"/>
        <v/>
      </c>
      <c r="GH18" s="41" t="str">
        <f t="shared" si="58"/>
        <v/>
      </c>
      <c r="GI18" s="41" t="str">
        <f t="shared" si="59"/>
        <v/>
      </c>
      <c r="GJ18" s="41" t="str">
        <f t="shared" si="60"/>
        <v/>
      </c>
      <c r="GK18" s="41" t="str">
        <f t="shared" si="61"/>
        <v/>
      </c>
      <c r="GL18" s="41" t="str">
        <f t="shared" si="62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3"/>
        <v/>
      </c>
      <c r="HH18" s="11" t="str">
        <f t="shared" si="64"/>
        <v/>
      </c>
      <c r="HI18" s="11" t="str">
        <f t="shared" si="65"/>
        <v/>
      </c>
      <c r="HJ18" s="11" t="str">
        <f t="shared" si="66"/>
        <v/>
      </c>
      <c r="HK18" s="11" t="str">
        <f t="shared" si="67"/>
        <v/>
      </c>
      <c r="HL18" s="11" t="str">
        <f t="shared" si="68"/>
        <v/>
      </c>
      <c r="HM18" s="11" t="str">
        <f t="shared" si="69"/>
        <v/>
      </c>
      <c r="HN18" s="11" t="str">
        <f t="shared" si="70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 t="shared" si="71"/>
        <v/>
      </c>
      <c r="IJ18" s="41" t="str">
        <f t="shared" si="72"/>
        <v/>
      </c>
      <c r="IK18" s="41" t="str">
        <f t="shared" si="73"/>
        <v/>
      </c>
      <c r="IL18" s="41" t="str">
        <f t="shared" si="74"/>
        <v/>
      </c>
      <c r="IM18" s="41" t="str">
        <f t="shared" si="75"/>
        <v/>
      </c>
      <c r="IN18" s="41" t="str">
        <f t="shared" si="76"/>
        <v/>
      </c>
      <c r="IO18" s="41" t="str">
        <f t="shared" si="77"/>
        <v/>
      </c>
      <c r="IP18" s="41" t="str">
        <f t="shared" si="78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79"/>
        <v/>
      </c>
      <c r="JL18" s="11" t="str">
        <f t="shared" si="80"/>
        <v/>
      </c>
      <c r="JM18" s="11" t="str">
        <f t="shared" si="81"/>
        <v/>
      </c>
      <c r="JN18" s="11" t="str">
        <f t="shared" si="82"/>
        <v/>
      </c>
      <c r="JO18" s="11" t="str">
        <f t="shared" si="83"/>
        <v/>
      </c>
      <c r="JP18" s="11" t="str">
        <f t="shared" si="84"/>
        <v/>
      </c>
      <c r="JQ18" s="11" t="str">
        <f t="shared" si="85"/>
        <v/>
      </c>
      <c r="JR18" s="11" t="str">
        <f t="shared" si="86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 t="shared" si="87"/>
        <v/>
      </c>
      <c r="KN18" s="41" t="str">
        <f t="shared" si="88"/>
        <v/>
      </c>
      <c r="KO18" s="41" t="str">
        <f t="shared" si="89"/>
        <v/>
      </c>
      <c r="KP18" s="41" t="str">
        <f t="shared" si="90"/>
        <v/>
      </c>
      <c r="KQ18" s="41" t="str">
        <f t="shared" si="91"/>
        <v/>
      </c>
      <c r="KR18" s="41" t="str">
        <f t="shared" si="92"/>
        <v/>
      </c>
      <c r="KS18" s="41" t="str">
        <f t="shared" si="93"/>
        <v/>
      </c>
      <c r="KT18" s="41" t="str">
        <f t="shared" si="94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5"/>
        <v/>
      </c>
      <c r="LP18" s="11" t="str">
        <f t="shared" si="96"/>
        <v/>
      </c>
      <c r="LQ18" s="11" t="str">
        <f t="shared" si="97"/>
        <v/>
      </c>
      <c r="LR18" s="11" t="str">
        <f t="shared" si="98"/>
        <v/>
      </c>
      <c r="LS18" s="11" t="str">
        <f t="shared" si="99"/>
        <v/>
      </c>
      <c r="LT18" s="11" t="str">
        <f t="shared" si="100"/>
        <v/>
      </c>
      <c r="LU18" s="11" t="str">
        <f t="shared" si="101"/>
        <v/>
      </c>
      <c r="LV18" s="11" t="str">
        <f t="shared" si="102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 t="shared" si="103"/>
        <v/>
      </c>
      <c r="MR18" s="41" t="str">
        <f t="shared" si="104"/>
        <v/>
      </c>
      <c r="MS18" s="41" t="str">
        <f t="shared" si="105"/>
        <v/>
      </c>
      <c r="MT18" s="41" t="str">
        <f t="shared" si="106"/>
        <v/>
      </c>
      <c r="MU18" s="41" t="str">
        <f t="shared" si="107"/>
        <v/>
      </c>
      <c r="MV18" s="41" t="str">
        <f t="shared" si="108"/>
        <v/>
      </c>
      <c r="MW18" s="41" t="str">
        <f t="shared" si="109"/>
        <v/>
      </c>
      <c r="MX18" s="41" t="str">
        <f t="shared" si="110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1"/>
        <v/>
      </c>
      <c r="NT18" s="11" t="str">
        <f t="shared" si="112"/>
        <v/>
      </c>
      <c r="NU18" s="11" t="str">
        <f t="shared" si="113"/>
        <v/>
      </c>
      <c r="NV18" s="11" t="str">
        <f t="shared" si="114"/>
        <v/>
      </c>
      <c r="NW18" s="11" t="str">
        <f t="shared" si="115"/>
        <v/>
      </c>
      <c r="NX18" s="11" t="str">
        <f t="shared" si="116"/>
        <v/>
      </c>
      <c r="NY18" s="11" t="str">
        <f t="shared" si="117"/>
        <v/>
      </c>
      <c r="NZ18" s="11" t="str">
        <f t="shared" si="118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 t="shared" si="119"/>
        <v/>
      </c>
      <c r="OV18" s="41" t="str">
        <f t="shared" si="120"/>
        <v/>
      </c>
      <c r="OW18" s="41" t="str">
        <f t="shared" si="121"/>
        <v/>
      </c>
      <c r="OX18" s="41" t="str">
        <f t="shared" si="122"/>
        <v/>
      </c>
      <c r="OY18" s="41" t="str">
        <f t="shared" si="123"/>
        <v/>
      </c>
      <c r="OZ18" s="41" t="str">
        <f t="shared" si="124"/>
        <v/>
      </c>
      <c r="PA18" s="41" t="str">
        <f t="shared" si="125"/>
        <v/>
      </c>
      <c r="PB18" s="41" t="str">
        <f t="shared" si="126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7"/>
        <v/>
      </c>
      <c r="PX18" s="11" t="str">
        <f t="shared" si="128"/>
        <v/>
      </c>
      <c r="PY18" s="11" t="str">
        <f t="shared" si="129"/>
        <v/>
      </c>
      <c r="PZ18" s="11" t="str">
        <f t="shared" si="130"/>
        <v/>
      </c>
      <c r="QA18" s="11" t="str">
        <f t="shared" si="131"/>
        <v/>
      </c>
      <c r="QB18" s="11" t="str">
        <f t="shared" si="132"/>
        <v/>
      </c>
      <c r="QC18" s="11" t="str">
        <f t="shared" si="133"/>
        <v/>
      </c>
      <c r="QD18" s="11" t="str">
        <f t="shared" si="134"/>
        <v/>
      </c>
      <c r="QE18" s="23">
        <f t="shared" si="135"/>
        <v>17.75</v>
      </c>
      <c r="QF18" s="23">
        <f t="shared" si="136"/>
        <v>7.8000000000000007</v>
      </c>
      <c r="QG18" s="23">
        <f t="shared" si="137"/>
        <v>0.2</v>
      </c>
      <c r="QH18" s="23">
        <f t="shared" si="138"/>
        <v>0</v>
      </c>
      <c r="QI18" s="23">
        <f t="shared" si="139"/>
        <v>18.8</v>
      </c>
      <c r="QJ18" s="23">
        <f t="shared" si="140"/>
        <v>7.1999999999999993</v>
      </c>
      <c r="QK18" s="23">
        <f t="shared" si="141"/>
        <v>0</v>
      </c>
      <c r="QL18" s="23">
        <f t="shared" si="142"/>
        <v>0.3</v>
      </c>
      <c r="QM18" s="23">
        <f t="shared" si="143"/>
        <v>18.25</v>
      </c>
      <c r="QN18" s="23">
        <f t="shared" si="144"/>
        <v>5.4</v>
      </c>
      <c r="QO18" s="23">
        <f t="shared" si="145"/>
        <v>0.3</v>
      </c>
      <c r="QP18" s="23">
        <f t="shared" si="146"/>
        <v>0.15</v>
      </c>
      <c r="QQ18" s="23">
        <f t="shared" si="147"/>
        <v>9.25</v>
      </c>
      <c r="QR18" s="23">
        <f t="shared" si="148"/>
        <v>3.4</v>
      </c>
      <c r="QS18" s="23">
        <f t="shared" si="149"/>
        <v>0.1</v>
      </c>
      <c r="QT18" s="23">
        <f t="shared" si="150"/>
        <v>0</v>
      </c>
      <c r="QU18" s="23">
        <f t="shared" si="151"/>
        <v>0</v>
      </c>
      <c r="QV18" s="23">
        <f t="shared" si="152"/>
        <v>0</v>
      </c>
      <c r="QW18" s="23">
        <f t="shared" si="153"/>
        <v>0</v>
      </c>
      <c r="QX18" s="23">
        <f t="shared" si="154"/>
        <v>0</v>
      </c>
      <c r="QY18" s="28" t="s">
        <v>57</v>
      </c>
      <c r="QZ18" s="41">
        <f t="shared" si="155"/>
        <v>15</v>
      </c>
      <c r="RA18" s="41">
        <f t="shared" si="156"/>
        <v>51.649999999999991</v>
      </c>
      <c r="RB18" s="41">
        <f t="shared" si="157"/>
        <v>23.499999999999996</v>
      </c>
      <c r="RC18" s="41">
        <f t="shared" si="158"/>
        <v>20.399999999999999</v>
      </c>
      <c r="RD18" s="41">
        <f t="shared" si="159"/>
        <v>75.149999999999991</v>
      </c>
      <c r="RE18" s="41">
        <f t="shared" si="160"/>
        <v>3.4</v>
      </c>
      <c r="RF18" s="41">
        <f t="shared" si="161"/>
        <v>12.55</v>
      </c>
      <c r="RG18" s="41">
        <f t="shared" si="162"/>
        <v>87.699999999999989</v>
      </c>
    </row>
    <row r="19" spans="1:475" x14ac:dyDescent="0.2">
      <c r="A19" s="4" t="str" cm="1">
        <f t="array" ref="A19">IF(AND(H19&lt;&gt;"",H19&lt;&gt;"No DD"),SUMPRODUCT((H$4:H$28&lt;&gt;"")*(H$4:H$28&lt;&gt;"No DD")*(E$4:E$28&gt;E19))+1,IF(H19="No DD",SUMPRODUCT((H$4:H$28="No DD")*(E$4:E$28&gt;E19))+1+SUMPRODUCT((H$4:H$28&lt;&gt;"")*(H$4:H$28&lt;&gt;"No DD")),""))</f>
        <v/>
      </c>
      <c r="B19" s="5" t="s">
        <v>189</v>
      </c>
      <c r="C19" s="4" t="s">
        <v>3</v>
      </c>
      <c r="D19" s="4">
        <v>2005</v>
      </c>
      <c r="E19" s="9">
        <f t="shared" si="163"/>
        <v>176.20001258000505</v>
      </c>
      <c r="F19" s="3" t="str">
        <f t="shared" si="0"/>
        <v/>
      </c>
      <c r="G19" s="3" t="str">
        <f t="shared" si="1"/>
        <v/>
      </c>
      <c r="H19" s="37" t="str">
        <f t="shared" si="2"/>
        <v/>
      </c>
      <c r="I19" s="3" t="str">
        <f t="shared" si="3"/>
        <v/>
      </c>
      <c r="J19" s="8">
        <f>IF(COUNT(AQ19,BT19,CW19)&gt;0,LARGE((AQ19,BT19,CW19),1),0)</f>
        <v>50.599999999999994</v>
      </c>
      <c r="K19" s="8" t="str">
        <f t="shared" si="4"/>
        <v>2023 Domestic 3rd Trial</v>
      </c>
      <c r="L19" s="8">
        <f>IF(COUNT(AQ19,BT19,CW19)&gt;1,LARGE((AQ19,BT19,CW19),2),0)</f>
        <v>49.499999999999993</v>
      </c>
      <c r="M19" s="8" t="str">
        <f t="shared" si="5"/>
        <v>2023 Nationals</v>
      </c>
      <c r="N19" s="8">
        <f>IF(COUNT(AR19,BU19,CX19)&gt;0,LARGE((AR19,BU19,CX19),1),0)</f>
        <v>25.7</v>
      </c>
      <c r="O19" s="8" t="str">
        <f t="shared" si="6"/>
        <v>2023 Elite Canada</v>
      </c>
      <c r="P19" s="8">
        <f t="shared" si="7"/>
        <v>50.4</v>
      </c>
      <c r="Q19" s="8" t="str">
        <f t="shared" si="8"/>
        <v>2023 Nationals</v>
      </c>
      <c r="R19" s="8" t="str">
        <f t="shared" si="9"/>
        <v/>
      </c>
      <c r="S19" s="11" t="str">
        <f t="shared" si="10"/>
        <v/>
      </c>
      <c r="T19" s="8" t="str">
        <f t="shared" si="11"/>
        <v/>
      </c>
      <c r="U19" s="19">
        <v>18.8</v>
      </c>
      <c r="V19" s="19">
        <v>6</v>
      </c>
      <c r="W19" s="19">
        <v>0.6</v>
      </c>
      <c r="X19" s="19">
        <v>0</v>
      </c>
      <c r="Y19" s="19">
        <v>0</v>
      </c>
      <c r="Z19" s="19">
        <v>0</v>
      </c>
      <c r="AA19" s="19">
        <v>0</v>
      </c>
      <c r="AB19" s="19">
        <v>0</v>
      </c>
      <c r="AC19" s="19">
        <v>18.5</v>
      </c>
      <c r="AD19" s="19">
        <v>7.2</v>
      </c>
      <c r="AE19" s="19">
        <v>0</v>
      </c>
      <c r="AF19" s="19">
        <v>0</v>
      </c>
      <c r="AG19" s="19"/>
      <c r="AH19" s="19"/>
      <c r="AI19" s="19"/>
      <c r="AJ19" s="19"/>
      <c r="AK19" s="19"/>
      <c r="AL19" s="19"/>
      <c r="AM19" s="19"/>
      <c r="AN19" s="19"/>
      <c r="AO19" s="28"/>
      <c r="AP19" s="41">
        <f t="shared" si="12"/>
        <v>6</v>
      </c>
      <c r="AQ19" s="41">
        <f t="shared" si="13"/>
        <v>24.2</v>
      </c>
      <c r="AR19" s="41">
        <f t="shared" si="14"/>
        <v>25.7</v>
      </c>
      <c r="AS19" s="41">
        <f t="shared" si="15"/>
        <v>13.2</v>
      </c>
      <c r="AT19" s="41">
        <f t="shared" si="16"/>
        <v>49.9</v>
      </c>
      <c r="AU19" s="41" t="str">
        <f t="shared" si="17"/>
        <v/>
      </c>
      <c r="AV19" s="41" t="str">
        <f t="shared" si="18"/>
        <v/>
      </c>
      <c r="AW19" s="41">
        <f t="shared" si="19"/>
        <v>49.9</v>
      </c>
      <c r="AX19" s="18">
        <v>18.7</v>
      </c>
      <c r="AY19" s="18">
        <v>6</v>
      </c>
      <c r="AZ19" s="18">
        <v>0</v>
      </c>
      <c r="BA19" s="18">
        <v>0</v>
      </c>
      <c r="BB19" s="18">
        <v>18.399999999999999</v>
      </c>
      <c r="BC19" s="18">
        <v>6.4</v>
      </c>
      <c r="BD19" s="18">
        <v>0</v>
      </c>
      <c r="BE19" s="18">
        <v>0</v>
      </c>
      <c r="BF19" s="18">
        <v>18.399999999999999</v>
      </c>
      <c r="BG19" s="18">
        <v>6.4</v>
      </c>
      <c r="BH19" s="18">
        <v>0</v>
      </c>
      <c r="BI19" s="18">
        <v>0</v>
      </c>
      <c r="BJ19" s="18">
        <v>18.8</v>
      </c>
      <c r="BK19" s="18">
        <v>6.4</v>
      </c>
      <c r="BL19" s="18">
        <v>0</v>
      </c>
      <c r="BM19" s="18">
        <v>0</v>
      </c>
      <c r="BN19" s="18">
        <v>18.399999999999999</v>
      </c>
      <c r="BO19" s="18">
        <v>6.8</v>
      </c>
      <c r="BP19" s="18">
        <v>0</v>
      </c>
      <c r="BQ19" s="18">
        <v>0</v>
      </c>
      <c r="BR19" s="29"/>
      <c r="BS19" s="11">
        <f t="shared" si="20"/>
        <v>12.4</v>
      </c>
      <c r="BT19" s="11">
        <f t="shared" si="21"/>
        <v>49.499999999999993</v>
      </c>
      <c r="BU19" s="11">
        <f t="shared" si="22"/>
        <v>24.799999999999997</v>
      </c>
      <c r="BV19" s="11">
        <f t="shared" si="23"/>
        <v>18.8</v>
      </c>
      <c r="BW19" s="11">
        <f t="shared" si="24"/>
        <v>74.299999999999983</v>
      </c>
      <c r="BX19" s="11">
        <f t="shared" si="25"/>
        <v>13.2</v>
      </c>
      <c r="BY19" s="11">
        <f t="shared" si="26"/>
        <v>50.4</v>
      </c>
      <c r="BZ19" s="11">
        <f t="shared" si="27"/>
        <v>124.69999999999999</v>
      </c>
      <c r="CA19" s="19">
        <v>18.8</v>
      </c>
      <c r="CB19" s="19">
        <v>7.2</v>
      </c>
      <c r="CC19" s="19">
        <v>0.6</v>
      </c>
      <c r="CD19" s="19">
        <v>0</v>
      </c>
      <c r="CE19" s="19">
        <v>18.399999999999999</v>
      </c>
      <c r="CF19" s="19">
        <v>6.8</v>
      </c>
      <c r="CG19" s="19">
        <v>0</v>
      </c>
      <c r="CH19" s="19">
        <v>0</v>
      </c>
      <c r="CI19" s="19">
        <v>18.600000000000001</v>
      </c>
      <c r="CJ19" s="19">
        <v>6</v>
      </c>
      <c r="CK19" s="19">
        <v>0.6</v>
      </c>
      <c r="CL19" s="19">
        <v>0</v>
      </c>
      <c r="CM19" s="19">
        <v>18.600000000000001</v>
      </c>
      <c r="CN19" s="19">
        <v>6.4</v>
      </c>
      <c r="CO19" s="19">
        <v>0</v>
      </c>
      <c r="CP19" s="19">
        <v>0</v>
      </c>
      <c r="CQ19" s="19">
        <v>17.2</v>
      </c>
      <c r="CR19" s="19">
        <v>3.2</v>
      </c>
      <c r="CS19" s="19">
        <v>0</v>
      </c>
      <c r="CT19" s="19">
        <v>0</v>
      </c>
      <c r="CU19" s="28"/>
      <c r="CV19" s="41">
        <f t="shared" si="28"/>
        <v>14</v>
      </c>
      <c r="CW19" s="41">
        <f t="shared" si="29"/>
        <v>50.599999999999994</v>
      </c>
      <c r="CX19" s="41">
        <f t="shared" si="30"/>
        <v>24</v>
      </c>
      <c r="CY19" s="41">
        <f t="shared" si="31"/>
        <v>20</v>
      </c>
      <c r="CZ19" s="41">
        <f t="shared" si="32"/>
        <v>74.599999999999994</v>
      </c>
      <c r="DA19" s="41">
        <f t="shared" si="33"/>
        <v>9.6000000000000014</v>
      </c>
      <c r="DB19" s="41">
        <f t="shared" si="34"/>
        <v>45.400000000000006</v>
      </c>
      <c r="DC19" s="41">
        <f t="shared" si="35"/>
        <v>120</v>
      </c>
      <c r="DD19" s="52" t="str">
        <f t="shared" si="36"/>
        <v/>
      </c>
      <c r="DE19" s="52" t="str">
        <f t="shared" si="37"/>
        <v/>
      </c>
      <c r="DF19" s="52" t="str">
        <f t="shared" si="38"/>
        <v/>
      </c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41" t="str">
        <f t="shared" si="39"/>
        <v/>
      </c>
      <c r="EB19" s="41" t="str">
        <f t="shared" si="40"/>
        <v/>
      </c>
      <c r="EC19" s="41" t="str">
        <f t="shared" si="41"/>
        <v/>
      </c>
      <c r="ED19" s="41" t="str">
        <f t="shared" si="42"/>
        <v/>
      </c>
      <c r="EE19" s="41" t="str">
        <f t="shared" si="43"/>
        <v/>
      </c>
      <c r="EF19" s="41" t="str">
        <f t="shared" si="44"/>
        <v/>
      </c>
      <c r="EG19" s="41" t="str">
        <f t="shared" si="45"/>
        <v/>
      </c>
      <c r="EH19" s="41" t="str">
        <f t="shared" si="46"/>
        <v/>
      </c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1" t="str">
        <f t="shared" si="47"/>
        <v/>
      </c>
      <c r="FD19" s="11" t="str">
        <f t="shared" si="48"/>
        <v/>
      </c>
      <c r="FE19" s="11" t="str">
        <f t="shared" si="49"/>
        <v/>
      </c>
      <c r="FF19" s="11" t="str">
        <f t="shared" si="50"/>
        <v/>
      </c>
      <c r="FG19" s="11" t="str">
        <f t="shared" si="51"/>
        <v/>
      </c>
      <c r="FH19" s="11" t="str">
        <f t="shared" si="52"/>
        <v/>
      </c>
      <c r="FI19" s="11" t="str">
        <f t="shared" si="53"/>
        <v/>
      </c>
      <c r="FJ19" s="11" t="str">
        <f t="shared" si="54"/>
        <v/>
      </c>
      <c r="FK19" s="17"/>
      <c r="FL19" s="17"/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41" t="str">
        <f t="shared" si="55"/>
        <v/>
      </c>
      <c r="GF19" s="41" t="str">
        <f t="shared" si="56"/>
        <v/>
      </c>
      <c r="GG19" s="41" t="str">
        <f t="shared" si="57"/>
        <v/>
      </c>
      <c r="GH19" s="41" t="str">
        <f t="shared" si="58"/>
        <v/>
      </c>
      <c r="GI19" s="41" t="str">
        <f t="shared" si="59"/>
        <v/>
      </c>
      <c r="GJ19" s="41" t="str">
        <f t="shared" si="60"/>
        <v/>
      </c>
      <c r="GK19" s="41" t="str">
        <f t="shared" si="61"/>
        <v/>
      </c>
      <c r="GL19" s="41" t="str">
        <f t="shared" si="62"/>
        <v/>
      </c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1" t="str">
        <f t="shared" si="63"/>
        <v/>
      </c>
      <c r="HH19" s="11" t="str">
        <f t="shared" si="64"/>
        <v/>
      </c>
      <c r="HI19" s="11" t="str">
        <f t="shared" si="65"/>
        <v/>
      </c>
      <c r="HJ19" s="11" t="str">
        <f t="shared" si="66"/>
        <v/>
      </c>
      <c r="HK19" s="11" t="str">
        <f t="shared" si="67"/>
        <v/>
      </c>
      <c r="HL19" s="11" t="str">
        <f t="shared" si="68"/>
        <v/>
      </c>
      <c r="HM19" s="11" t="str">
        <f t="shared" si="69"/>
        <v/>
      </c>
      <c r="HN19" s="11" t="str">
        <f t="shared" si="70"/>
        <v/>
      </c>
      <c r="HO19" s="17"/>
      <c r="HP19" s="17"/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41" t="str">
        <f t="shared" si="71"/>
        <v/>
      </c>
      <c r="IJ19" s="41" t="str">
        <f t="shared" si="72"/>
        <v/>
      </c>
      <c r="IK19" s="41" t="str">
        <f t="shared" si="73"/>
        <v/>
      </c>
      <c r="IL19" s="41" t="str">
        <f t="shared" si="74"/>
        <v/>
      </c>
      <c r="IM19" s="41" t="str">
        <f t="shared" si="75"/>
        <v/>
      </c>
      <c r="IN19" s="41" t="str">
        <f t="shared" si="76"/>
        <v/>
      </c>
      <c r="IO19" s="41" t="str">
        <f t="shared" si="77"/>
        <v/>
      </c>
      <c r="IP19" s="41" t="str">
        <f t="shared" si="78"/>
        <v/>
      </c>
      <c r="IQ19" s="18"/>
      <c r="IR19" s="18"/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1" t="str">
        <f t="shared" si="79"/>
        <v/>
      </c>
      <c r="JL19" s="11" t="str">
        <f t="shared" si="80"/>
        <v/>
      </c>
      <c r="JM19" s="11" t="str">
        <f t="shared" si="81"/>
        <v/>
      </c>
      <c r="JN19" s="11" t="str">
        <f t="shared" si="82"/>
        <v/>
      </c>
      <c r="JO19" s="11" t="str">
        <f t="shared" si="83"/>
        <v/>
      </c>
      <c r="JP19" s="11" t="str">
        <f t="shared" si="84"/>
        <v/>
      </c>
      <c r="JQ19" s="11" t="str">
        <f t="shared" si="85"/>
        <v/>
      </c>
      <c r="JR19" s="11" t="str">
        <f t="shared" si="86"/>
        <v/>
      </c>
      <c r="JS19" s="17"/>
      <c r="JT19" s="17"/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41" t="str">
        <f t="shared" si="87"/>
        <v/>
      </c>
      <c r="KN19" s="41" t="str">
        <f t="shared" si="88"/>
        <v/>
      </c>
      <c r="KO19" s="41" t="str">
        <f t="shared" si="89"/>
        <v/>
      </c>
      <c r="KP19" s="41" t="str">
        <f t="shared" si="90"/>
        <v/>
      </c>
      <c r="KQ19" s="41" t="str">
        <f t="shared" si="91"/>
        <v/>
      </c>
      <c r="KR19" s="41" t="str">
        <f t="shared" si="92"/>
        <v/>
      </c>
      <c r="KS19" s="41" t="str">
        <f t="shared" si="93"/>
        <v/>
      </c>
      <c r="KT19" s="41" t="str">
        <f t="shared" si="94"/>
        <v/>
      </c>
      <c r="KU19" s="18"/>
      <c r="KV19" s="18"/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1" t="str">
        <f t="shared" si="95"/>
        <v/>
      </c>
      <c r="LP19" s="11" t="str">
        <f t="shared" si="96"/>
        <v/>
      </c>
      <c r="LQ19" s="11" t="str">
        <f t="shared" si="97"/>
        <v/>
      </c>
      <c r="LR19" s="11" t="str">
        <f t="shared" si="98"/>
        <v/>
      </c>
      <c r="LS19" s="11" t="str">
        <f t="shared" si="99"/>
        <v/>
      </c>
      <c r="LT19" s="11" t="str">
        <f t="shared" si="100"/>
        <v/>
      </c>
      <c r="LU19" s="11" t="str">
        <f t="shared" si="101"/>
        <v/>
      </c>
      <c r="LV19" s="11" t="str">
        <f t="shared" si="102"/>
        <v/>
      </c>
      <c r="LW19" s="17"/>
      <c r="LX19" s="17"/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41" t="str">
        <f t="shared" si="103"/>
        <v/>
      </c>
      <c r="MR19" s="41" t="str">
        <f t="shared" si="104"/>
        <v/>
      </c>
      <c r="MS19" s="41" t="str">
        <f t="shared" si="105"/>
        <v/>
      </c>
      <c r="MT19" s="41" t="str">
        <f t="shared" si="106"/>
        <v/>
      </c>
      <c r="MU19" s="41" t="str">
        <f t="shared" si="107"/>
        <v/>
      </c>
      <c r="MV19" s="41" t="str">
        <f t="shared" si="108"/>
        <v/>
      </c>
      <c r="MW19" s="41" t="str">
        <f t="shared" si="109"/>
        <v/>
      </c>
      <c r="MX19" s="41" t="str">
        <f t="shared" si="110"/>
        <v/>
      </c>
      <c r="MY19" s="18"/>
      <c r="MZ19" s="18"/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1" t="str">
        <f t="shared" si="111"/>
        <v/>
      </c>
      <c r="NT19" s="11" t="str">
        <f t="shared" si="112"/>
        <v/>
      </c>
      <c r="NU19" s="11" t="str">
        <f t="shared" si="113"/>
        <v/>
      </c>
      <c r="NV19" s="11" t="str">
        <f t="shared" si="114"/>
        <v/>
      </c>
      <c r="NW19" s="11" t="str">
        <f t="shared" si="115"/>
        <v/>
      </c>
      <c r="NX19" s="11" t="str">
        <f t="shared" si="116"/>
        <v/>
      </c>
      <c r="NY19" s="11" t="str">
        <f t="shared" si="117"/>
        <v/>
      </c>
      <c r="NZ19" s="11" t="str">
        <f t="shared" si="118"/>
        <v/>
      </c>
      <c r="OA19" s="17"/>
      <c r="OB19" s="17"/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41" t="str">
        <f t="shared" si="119"/>
        <v/>
      </c>
      <c r="OV19" s="41" t="str">
        <f t="shared" si="120"/>
        <v/>
      </c>
      <c r="OW19" s="41" t="str">
        <f t="shared" si="121"/>
        <v/>
      </c>
      <c r="OX19" s="41" t="str">
        <f t="shared" si="122"/>
        <v/>
      </c>
      <c r="OY19" s="41" t="str">
        <f t="shared" si="123"/>
        <v/>
      </c>
      <c r="OZ19" s="41" t="str">
        <f t="shared" si="124"/>
        <v/>
      </c>
      <c r="PA19" s="41" t="str">
        <f t="shared" si="125"/>
        <v/>
      </c>
      <c r="PB19" s="41" t="str">
        <f t="shared" si="126"/>
        <v/>
      </c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1" t="str">
        <f t="shared" si="127"/>
        <v/>
      </c>
      <c r="PX19" s="11" t="str">
        <f t="shared" si="128"/>
        <v/>
      </c>
      <c r="PY19" s="11" t="str">
        <f t="shared" si="129"/>
        <v/>
      </c>
      <c r="PZ19" s="11" t="str">
        <f t="shared" si="130"/>
        <v/>
      </c>
      <c r="QA19" s="11" t="str">
        <f t="shared" si="131"/>
        <v/>
      </c>
      <c r="QB19" s="11" t="str">
        <f t="shared" si="132"/>
        <v/>
      </c>
      <c r="QC19" s="11" t="str">
        <f t="shared" si="133"/>
        <v/>
      </c>
      <c r="QD19" s="11" t="str">
        <f t="shared" si="134"/>
        <v/>
      </c>
      <c r="QE19" s="23">
        <f t="shared" si="135"/>
        <v>18.75</v>
      </c>
      <c r="QF19" s="23">
        <f t="shared" si="136"/>
        <v>6.6</v>
      </c>
      <c r="QG19" s="23">
        <f t="shared" si="137"/>
        <v>0.3</v>
      </c>
      <c r="QH19" s="23">
        <f t="shared" si="138"/>
        <v>0</v>
      </c>
      <c r="QI19" s="23">
        <f t="shared" si="139"/>
        <v>18.399999999999999</v>
      </c>
      <c r="QJ19" s="23">
        <f t="shared" si="140"/>
        <v>6.6</v>
      </c>
      <c r="QK19" s="23">
        <f t="shared" si="141"/>
        <v>0</v>
      </c>
      <c r="QL19" s="23">
        <f t="shared" si="142"/>
        <v>0</v>
      </c>
      <c r="QM19" s="23">
        <f t="shared" si="143"/>
        <v>18.5</v>
      </c>
      <c r="QN19" s="23">
        <f t="shared" si="144"/>
        <v>6.2</v>
      </c>
      <c r="QO19" s="23">
        <f t="shared" si="145"/>
        <v>0.3</v>
      </c>
      <c r="QP19" s="23">
        <f t="shared" si="146"/>
        <v>0</v>
      </c>
      <c r="QQ19" s="23">
        <f t="shared" si="147"/>
        <v>18.700000000000003</v>
      </c>
      <c r="QR19" s="23">
        <f t="shared" si="148"/>
        <v>6.4</v>
      </c>
      <c r="QS19" s="23">
        <f t="shared" si="149"/>
        <v>0</v>
      </c>
      <c r="QT19" s="23">
        <f t="shared" si="150"/>
        <v>0</v>
      </c>
      <c r="QU19" s="23">
        <f t="shared" si="151"/>
        <v>17.799999999999997</v>
      </c>
      <c r="QV19" s="23">
        <f t="shared" si="152"/>
        <v>5</v>
      </c>
      <c r="QW19" s="23">
        <f t="shared" si="153"/>
        <v>0</v>
      </c>
      <c r="QX19" s="23">
        <f t="shared" si="154"/>
        <v>0</v>
      </c>
      <c r="QY19" s="28" t="s">
        <v>57</v>
      </c>
      <c r="QZ19" s="41">
        <f t="shared" si="155"/>
        <v>13.2</v>
      </c>
      <c r="RA19" s="41">
        <f t="shared" si="156"/>
        <v>50.050000000000004</v>
      </c>
      <c r="RB19" s="41">
        <f t="shared" si="157"/>
        <v>24.4</v>
      </c>
      <c r="RC19" s="41">
        <f t="shared" si="158"/>
        <v>19.399999999999999</v>
      </c>
      <c r="RD19" s="41">
        <f t="shared" si="159"/>
        <v>74.45</v>
      </c>
      <c r="RE19" s="41">
        <f t="shared" si="160"/>
        <v>11.4</v>
      </c>
      <c r="RF19" s="41">
        <f t="shared" si="161"/>
        <v>47.9</v>
      </c>
      <c r="RG19" s="41">
        <f t="shared" si="162"/>
        <v>122.35</v>
      </c>
    </row>
    <row r="20" spans="1:475" x14ac:dyDescent="0.2">
      <c r="A20" s="4" t="str" cm="1">
        <f t="array" ref="A20">IF(AND(H20&lt;&gt;"",H20&lt;&gt;"No DD"),SUMPRODUCT((H$4:H$28&lt;&gt;"")*(H$4:H$28&lt;&gt;"No DD")*(E$4:E$28&gt;E20))+1,IF(H20="No DD",SUMPRODUCT((H$4:H$28="No DD")*(E$4:E$28&gt;E20))+1+SUMPRODUCT((H$4:H$28&lt;&gt;"")*(H$4:H$28&lt;&gt;"No DD")),""))</f>
        <v/>
      </c>
      <c r="B20" s="5" t="s">
        <v>172</v>
      </c>
      <c r="C20" s="4" t="s">
        <v>3</v>
      </c>
      <c r="D20" s="4">
        <v>2000</v>
      </c>
      <c r="E20" s="9">
        <f t="shared" si="163"/>
        <v>174.900012490005</v>
      </c>
      <c r="F20" s="3" t="str">
        <f t="shared" si="0"/>
        <v/>
      </c>
      <c r="G20" s="3" t="str">
        <f t="shared" si="1"/>
        <v/>
      </c>
      <c r="H20" s="37" t="str">
        <f t="shared" si="2"/>
        <v/>
      </c>
      <c r="I20" s="3" t="str">
        <f t="shared" si="3"/>
        <v/>
      </c>
      <c r="J20" s="8">
        <f>IF(COUNT(AQ20,BT20,CW20)&gt;0,LARGE((AQ20,BT20,CW20),1),0)</f>
        <v>50</v>
      </c>
      <c r="K20" s="8" t="str">
        <f t="shared" si="4"/>
        <v>2023 Domestic 3rd Trial</v>
      </c>
      <c r="L20" s="8">
        <f>IF(COUNT(AQ20,BT20,CW20)&gt;1,LARGE((AQ20,BT20,CW20),2),0)</f>
        <v>49.7</v>
      </c>
      <c r="M20" s="8" t="str">
        <f t="shared" si="5"/>
        <v>2023 Nationals</v>
      </c>
      <c r="N20" s="8">
        <f>IF(COUNT(AR20,BU20,CX20)&gt;0,LARGE((AR20,BU20,CX20),1),0)</f>
        <v>25.2</v>
      </c>
      <c r="O20" s="8" t="str">
        <f t="shared" si="6"/>
        <v>2023 Domestic 3rd Trial</v>
      </c>
      <c r="P20" s="8">
        <f t="shared" si="7"/>
        <v>50</v>
      </c>
      <c r="Q20" s="8" t="str">
        <f t="shared" si="8"/>
        <v>2023 Domestic 3rd Trial</v>
      </c>
      <c r="R20" s="8" t="str">
        <f t="shared" si="9"/>
        <v/>
      </c>
      <c r="S20" s="11" t="str">
        <f t="shared" si="10"/>
        <v/>
      </c>
      <c r="T20" s="8" t="str">
        <f t="shared" si="11"/>
        <v/>
      </c>
      <c r="U20" s="19">
        <v>18.2</v>
      </c>
      <c r="V20" s="19">
        <v>7.2</v>
      </c>
      <c r="W20" s="19">
        <v>0</v>
      </c>
      <c r="X20" s="19">
        <v>0</v>
      </c>
      <c r="Y20" s="19">
        <v>16.8</v>
      </c>
      <c r="Z20" s="19">
        <v>6.9</v>
      </c>
      <c r="AA20" s="19">
        <v>0.2</v>
      </c>
      <c r="AB20" s="19">
        <v>0</v>
      </c>
      <c r="AC20" s="19">
        <v>18.399999999999999</v>
      </c>
      <c r="AD20" s="19">
        <v>6.8</v>
      </c>
      <c r="AE20" s="19">
        <v>0</v>
      </c>
      <c r="AF20" s="19">
        <v>0</v>
      </c>
      <c r="AG20" s="19">
        <v>17.399999999999999</v>
      </c>
      <c r="AH20" s="19">
        <v>2.4</v>
      </c>
      <c r="AI20" s="19">
        <v>0</v>
      </c>
      <c r="AJ20" s="19">
        <v>0</v>
      </c>
      <c r="AK20" s="19">
        <v>18.399999999999999</v>
      </c>
      <c r="AL20" s="19">
        <v>6.4</v>
      </c>
      <c r="AM20" s="19">
        <v>1</v>
      </c>
      <c r="AN20" s="19">
        <v>0</v>
      </c>
      <c r="AO20" s="28"/>
      <c r="AP20" s="41">
        <f t="shared" si="12"/>
        <v>14.100000000000001</v>
      </c>
      <c r="AQ20" s="41">
        <f t="shared" si="13"/>
        <v>48.9</v>
      </c>
      <c r="AR20" s="41">
        <f t="shared" si="14"/>
        <v>25.2</v>
      </c>
      <c r="AS20" s="41">
        <f t="shared" si="15"/>
        <v>20.900000000000002</v>
      </c>
      <c r="AT20" s="41">
        <f t="shared" si="16"/>
        <v>74.099999999999994</v>
      </c>
      <c r="AU20" s="41">
        <f t="shared" si="17"/>
        <v>8.8000000000000007</v>
      </c>
      <c r="AV20" s="41">
        <f t="shared" si="18"/>
        <v>43.599999999999994</v>
      </c>
      <c r="AW20" s="41">
        <f t="shared" si="19"/>
        <v>117.69999999999999</v>
      </c>
      <c r="AX20" s="18">
        <v>18.7</v>
      </c>
      <c r="AY20" s="18">
        <v>6.8</v>
      </c>
      <c r="AZ20" s="18">
        <v>0</v>
      </c>
      <c r="BA20" s="18">
        <v>0</v>
      </c>
      <c r="BB20" s="18">
        <v>18.2</v>
      </c>
      <c r="BC20" s="18">
        <v>6.8</v>
      </c>
      <c r="BD20" s="18">
        <v>0.8</v>
      </c>
      <c r="BE20" s="18">
        <v>0</v>
      </c>
      <c r="BF20" s="18">
        <v>17.2</v>
      </c>
      <c r="BG20" s="18">
        <v>2.8</v>
      </c>
      <c r="BH20" s="18">
        <v>0</v>
      </c>
      <c r="BI20" s="18">
        <v>0</v>
      </c>
      <c r="BJ20" s="18"/>
      <c r="BK20" s="18"/>
      <c r="BL20" s="18"/>
      <c r="BM20" s="18"/>
      <c r="BN20" s="18"/>
      <c r="BO20" s="18"/>
      <c r="BP20" s="18"/>
      <c r="BQ20" s="18"/>
      <c r="BR20" s="29"/>
      <c r="BS20" s="11">
        <f t="shared" si="20"/>
        <v>13.6</v>
      </c>
      <c r="BT20" s="11">
        <f t="shared" si="21"/>
        <v>49.7</v>
      </c>
      <c r="BU20" s="11">
        <f t="shared" si="22"/>
        <v>20</v>
      </c>
      <c r="BV20" s="11">
        <f t="shared" si="23"/>
        <v>16.399999999999999</v>
      </c>
      <c r="BW20" s="11">
        <f t="shared" si="24"/>
        <v>69.7</v>
      </c>
      <c r="BX20" s="11" t="str">
        <f t="shared" si="25"/>
        <v/>
      </c>
      <c r="BY20" s="11" t="str">
        <f t="shared" si="26"/>
        <v/>
      </c>
      <c r="BZ20" s="11">
        <f t="shared" si="27"/>
        <v>69.7</v>
      </c>
      <c r="CA20" s="19">
        <v>18.8</v>
      </c>
      <c r="CB20" s="19">
        <v>6</v>
      </c>
      <c r="CC20" s="19">
        <v>0.2</v>
      </c>
      <c r="CD20" s="19">
        <v>0</v>
      </c>
      <c r="CE20" s="19">
        <v>18.600000000000001</v>
      </c>
      <c r="CF20" s="19">
        <v>6.8</v>
      </c>
      <c r="CG20" s="19">
        <v>0</v>
      </c>
      <c r="CH20" s="19">
        <v>0</v>
      </c>
      <c r="CI20" s="19">
        <v>18.600000000000001</v>
      </c>
      <c r="CJ20" s="19">
        <v>7.2</v>
      </c>
      <c r="CK20" s="19">
        <v>0.6</v>
      </c>
      <c r="CL20" s="19">
        <v>0</v>
      </c>
      <c r="CM20" s="19">
        <v>18.600000000000001</v>
      </c>
      <c r="CN20" s="19">
        <v>6.8</v>
      </c>
      <c r="CO20" s="19">
        <v>0.2</v>
      </c>
      <c r="CP20" s="19">
        <v>0</v>
      </c>
      <c r="CQ20" s="19">
        <v>18.2</v>
      </c>
      <c r="CR20" s="19">
        <v>6.8</v>
      </c>
      <c r="CS20" s="19">
        <v>0.2</v>
      </c>
      <c r="CT20" s="19">
        <v>0</v>
      </c>
      <c r="CU20" s="28"/>
      <c r="CV20" s="41">
        <f t="shared" si="28"/>
        <v>12.8</v>
      </c>
      <c r="CW20" s="41">
        <f t="shared" si="29"/>
        <v>50</v>
      </c>
      <c r="CX20" s="41">
        <f t="shared" si="30"/>
        <v>25.2</v>
      </c>
      <c r="CY20" s="41">
        <f t="shared" si="31"/>
        <v>20</v>
      </c>
      <c r="CZ20" s="41">
        <f t="shared" si="32"/>
        <v>75.2</v>
      </c>
      <c r="DA20" s="41">
        <f t="shared" si="33"/>
        <v>13.6</v>
      </c>
      <c r="DB20" s="41">
        <f t="shared" si="34"/>
        <v>50</v>
      </c>
      <c r="DC20" s="41">
        <f t="shared" si="35"/>
        <v>125.2</v>
      </c>
      <c r="DD20" s="52" t="str">
        <f t="shared" si="36"/>
        <v/>
      </c>
      <c r="DE20" s="52" t="str">
        <f t="shared" si="37"/>
        <v/>
      </c>
      <c r="DF20" s="52" t="str">
        <f t="shared" si="38"/>
        <v/>
      </c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41" t="str">
        <f t="shared" si="39"/>
        <v/>
      </c>
      <c r="EB20" s="41" t="str">
        <f t="shared" si="40"/>
        <v/>
      </c>
      <c r="EC20" s="41" t="str">
        <f t="shared" si="41"/>
        <v/>
      </c>
      <c r="ED20" s="41" t="str">
        <f t="shared" si="42"/>
        <v/>
      </c>
      <c r="EE20" s="41" t="str">
        <f t="shared" si="43"/>
        <v/>
      </c>
      <c r="EF20" s="41" t="str">
        <f t="shared" si="44"/>
        <v/>
      </c>
      <c r="EG20" s="41" t="str">
        <f t="shared" si="45"/>
        <v/>
      </c>
      <c r="EH20" s="41" t="str">
        <f t="shared" si="46"/>
        <v/>
      </c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1" t="str">
        <f t="shared" si="47"/>
        <v/>
      </c>
      <c r="FD20" s="11" t="str">
        <f t="shared" si="48"/>
        <v/>
      </c>
      <c r="FE20" s="11" t="str">
        <f t="shared" si="49"/>
        <v/>
      </c>
      <c r="FF20" s="11" t="str">
        <f t="shared" si="50"/>
        <v/>
      </c>
      <c r="FG20" s="11" t="str">
        <f t="shared" si="51"/>
        <v/>
      </c>
      <c r="FH20" s="11" t="str">
        <f t="shared" si="52"/>
        <v/>
      </c>
      <c r="FI20" s="11" t="str">
        <f t="shared" si="53"/>
        <v/>
      </c>
      <c r="FJ20" s="11" t="str">
        <f t="shared" si="54"/>
        <v/>
      </c>
      <c r="FK20" s="17"/>
      <c r="FL20" s="17"/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41" t="str">
        <f t="shared" si="55"/>
        <v/>
      </c>
      <c r="GF20" s="41" t="str">
        <f t="shared" si="56"/>
        <v/>
      </c>
      <c r="GG20" s="41" t="str">
        <f t="shared" si="57"/>
        <v/>
      </c>
      <c r="GH20" s="41" t="str">
        <f t="shared" si="58"/>
        <v/>
      </c>
      <c r="GI20" s="41" t="str">
        <f t="shared" si="59"/>
        <v/>
      </c>
      <c r="GJ20" s="41" t="str">
        <f t="shared" si="60"/>
        <v/>
      </c>
      <c r="GK20" s="41" t="str">
        <f t="shared" si="61"/>
        <v/>
      </c>
      <c r="GL20" s="41" t="str">
        <f t="shared" si="62"/>
        <v/>
      </c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1" t="str">
        <f t="shared" si="63"/>
        <v/>
      </c>
      <c r="HH20" s="11" t="str">
        <f t="shared" si="64"/>
        <v/>
      </c>
      <c r="HI20" s="11" t="str">
        <f t="shared" si="65"/>
        <v/>
      </c>
      <c r="HJ20" s="11" t="str">
        <f t="shared" si="66"/>
        <v/>
      </c>
      <c r="HK20" s="11" t="str">
        <f t="shared" si="67"/>
        <v/>
      </c>
      <c r="HL20" s="11" t="str">
        <f t="shared" si="68"/>
        <v/>
      </c>
      <c r="HM20" s="11" t="str">
        <f t="shared" si="69"/>
        <v/>
      </c>
      <c r="HN20" s="11" t="str">
        <f t="shared" si="70"/>
        <v/>
      </c>
      <c r="HO20" s="17"/>
      <c r="HP20" s="17"/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41" t="str">
        <f t="shared" si="71"/>
        <v/>
      </c>
      <c r="IJ20" s="41" t="str">
        <f t="shared" si="72"/>
        <v/>
      </c>
      <c r="IK20" s="41" t="str">
        <f t="shared" si="73"/>
        <v/>
      </c>
      <c r="IL20" s="41" t="str">
        <f t="shared" si="74"/>
        <v/>
      </c>
      <c r="IM20" s="41" t="str">
        <f t="shared" si="75"/>
        <v/>
      </c>
      <c r="IN20" s="41" t="str">
        <f t="shared" si="76"/>
        <v/>
      </c>
      <c r="IO20" s="41" t="str">
        <f t="shared" si="77"/>
        <v/>
      </c>
      <c r="IP20" s="41" t="str">
        <f t="shared" si="78"/>
        <v/>
      </c>
      <c r="IQ20" s="18"/>
      <c r="IR20" s="18"/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1" t="str">
        <f t="shared" si="79"/>
        <v/>
      </c>
      <c r="JL20" s="11" t="str">
        <f t="shared" si="80"/>
        <v/>
      </c>
      <c r="JM20" s="11" t="str">
        <f t="shared" si="81"/>
        <v/>
      </c>
      <c r="JN20" s="11" t="str">
        <f t="shared" si="82"/>
        <v/>
      </c>
      <c r="JO20" s="11" t="str">
        <f t="shared" si="83"/>
        <v/>
      </c>
      <c r="JP20" s="11" t="str">
        <f t="shared" si="84"/>
        <v/>
      </c>
      <c r="JQ20" s="11" t="str">
        <f t="shared" si="85"/>
        <v/>
      </c>
      <c r="JR20" s="11" t="str">
        <f t="shared" si="86"/>
        <v/>
      </c>
      <c r="JS20" s="17"/>
      <c r="JT20" s="17"/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41" t="str">
        <f t="shared" si="87"/>
        <v/>
      </c>
      <c r="KN20" s="41" t="str">
        <f t="shared" si="88"/>
        <v/>
      </c>
      <c r="KO20" s="41" t="str">
        <f t="shared" si="89"/>
        <v/>
      </c>
      <c r="KP20" s="41" t="str">
        <f t="shared" si="90"/>
        <v/>
      </c>
      <c r="KQ20" s="41" t="str">
        <f t="shared" si="91"/>
        <v/>
      </c>
      <c r="KR20" s="41" t="str">
        <f t="shared" si="92"/>
        <v/>
      </c>
      <c r="KS20" s="41" t="str">
        <f t="shared" si="93"/>
        <v/>
      </c>
      <c r="KT20" s="41" t="str">
        <f t="shared" si="94"/>
        <v/>
      </c>
      <c r="KU20" s="18"/>
      <c r="KV20" s="18"/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1" t="str">
        <f t="shared" si="95"/>
        <v/>
      </c>
      <c r="LP20" s="11" t="str">
        <f t="shared" si="96"/>
        <v/>
      </c>
      <c r="LQ20" s="11" t="str">
        <f t="shared" si="97"/>
        <v/>
      </c>
      <c r="LR20" s="11" t="str">
        <f t="shared" si="98"/>
        <v/>
      </c>
      <c r="LS20" s="11" t="str">
        <f t="shared" si="99"/>
        <v/>
      </c>
      <c r="LT20" s="11" t="str">
        <f t="shared" si="100"/>
        <v/>
      </c>
      <c r="LU20" s="11" t="str">
        <f t="shared" si="101"/>
        <v/>
      </c>
      <c r="LV20" s="11" t="str">
        <f t="shared" si="102"/>
        <v/>
      </c>
      <c r="LW20" s="17"/>
      <c r="LX20" s="17"/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41" t="str">
        <f t="shared" si="103"/>
        <v/>
      </c>
      <c r="MR20" s="41" t="str">
        <f t="shared" si="104"/>
        <v/>
      </c>
      <c r="MS20" s="41" t="str">
        <f t="shared" si="105"/>
        <v/>
      </c>
      <c r="MT20" s="41" t="str">
        <f t="shared" si="106"/>
        <v/>
      </c>
      <c r="MU20" s="41" t="str">
        <f t="shared" si="107"/>
        <v/>
      </c>
      <c r="MV20" s="41" t="str">
        <f t="shared" si="108"/>
        <v/>
      </c>
      <c r="MW20" s="41" t="str">
        <f t="shared" si="109"/>
        <v/>
      </c>
      <c r="MX20" s="41" t="str">
        <f t="shared" si="110"/>
        <v/>
      </c>
      <c r="MY20" s="18"/>
      <c r="MZ20" s="18"/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1" t="str">
        <f t="shared" si="111"/>
        <v/>
      </c>
      <c r="NT20" s="11" t="str">
        <f t="shared" si="112"/>
        <v/>
      </c>
      <c r="NU20" s="11" t="str">
        <f t="shared" si="113"/>
        <v/>
      </c>
      <c r="NV20" s="11" t="str">
        <f t="shared" si="114"/>
        <v/>
      </c>
      <c r="NW20" s="11" t="str">
        <f t="shared" si="115"/>
        <v/>
      </c>
      <c r="NX20" s="11" t="str">
        <f t="shared" si="116"/>
        <v/>
      </c>
      <c r="NY20" s="11" t="str">
        <f t="shared" si="117"/>
        <v/>
      </c>
      <c r="NZ20" s="11" t="str">
        <f t="shared" si="118"/>
        <v/>
      </c>
      <c r="OA20" s="17"/>
      <c r="OB20" s="17"/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41" t="str">
        <f t="shared" si="119"/>
        <v/>
      </c>
      <c r="OV20" s="41" t="str">
        <f t="shared" si="120"/>
        <v/>
      </c>
      <c r="OW20" s="41" t="str">
        <f t="shared" si="121"/>
        <v/>
      </c>
      <c r="OX20" s="41" t="str">
        <f t="shared" si="122"/>
        <v/>
      </c>
      <c r="OY20" s="41" t="str">
        <f t="shared" si="123"/>
        <v/>
      </c>
      <c r="OZ20" s="41" t="str">
        <f t="shared" si="124"/>
        <v/>
      </c>
      <c r="PA20" s="41" t="str">
        <f t="shared" si="125"/>
        <v/>
      </c>
      <c r="PB20" s="41" t="str">
        <f t="shared" si="126"/>
        <v/>
      </c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1" t="str">
        <f t="shared" si="127"/>
        <v/>
      </c>
      <c r="PX20" s="11" t="str">
        <f t="shared" si="128"/>
        <v/>
      </c>
      <c r="PY20" s="11" t="str">
        <f t="shared" si="129"/>
        <v/>
      </c>
      <c r="PZ20" s="11" t="str">
        <f t="shared" si="130"/>
        <v/>
      </c>
      <c r="QA20" s="11" t="str">
        <f t="shared" si="131"/>
        <v/>
      </c>
      <c r="QB20" s="11" t="str">
        <f t="shared" si="132"/>
        <v/>
      </c>
      <c r="QC20" s="11" t="str">
        <f t="shared" si="133"/>
        <v/>
      </c>
      <c r="QD20" s="11" t="str">
        <f t="shared" si="134"/>
        <v/>
      </c>
      <c r="QE20" s="23">
        <f t="shared" si="135"/>
        <v>18.75</v>
      </c>
      <c r="QF20" s="23">
        <f t="shared" si="136"/>
        <v>6.4</v>
      </c>
      <c r="QG20" s="23">
        <f t="shared" si="137"/>
        <v>0.1</v>
      </c>
      <c r="QH20" s="23">
        <f t="shared" si="138"/>
        <v>0</v>
      </c>
      <c r="QI20" s="23">
        <f t="shared" si="139"/>
        <v>18.399999999999999</v>
      </c>
      <c r="QJ20" s="23">
        <f t="shared" si="140"/>
        <v>6.8</v>
      </c>
      <c r="QK20" s="23">
        <f t="shared" si="141"/>
        <v>0.4</v>
      </c>
      <c r="QL20" s="23">
        <f t="shared" si="142"/>
        <v>0</v>
      </c>
      <c r="QM20" s="23">
        <f t="shared" si="143"/>
        <v>17.899999999999999</v>
      </c>
      <c r="QN20" s="23">
        <f t="shared" si="144"/>
        <v>5</v>
      </c>
      <c r="QO20" s="23">
        <f t="shared" si="145"/>
        <v>0.3</v>
      </c>
      <c r="QP20" s="23">
        <f t="shared" si="146"/>
        <v>0</v>
      </c>
      <c r="QQ20" s="23">
        <f t="shared" si="147"/>
        <v>9.3000000000000007</v>
      </c>
      <c r="QR20" s="23">
        <f t="shared" si="148"/>
        <v>3.4</v>
      </c>
      <c r="QS20" s="23">
        <f t="shared" si="149"/>
        <v>0.1</v>
      </c>
      <c r="QT20" s="23">
        <f t="shared" si="150"/>
        <v>0</v>
      </c>
      <c r="QU20" s="23">
        <f t="shared" si="151"/>
        <v>9.1</v>
      </c>
      <c r="QV20" s="23">
        <f t="shared" si="152"/>
        <v>3.4</v>
      </c>
      <c r="QW20" s="23">
        <f t="shared" si="153"/>
        <v>0.1</v>
      </c>
      <c r="QX20" s="23">
        <f t="shared" si="154"/>
        <v>0</v>
      </c>
      <c r="QY20" s="28" t="s">
        <v>57</v>
      </c>
      <c r="QZ20" s="41">
        <f t="shared" si="155"/>
        <v>13.2</v>
      </c>
      <c r="RA20" s="41">
        <f t="shared" si="156"/>
        <v>49.849999999999994</v>
      </c>
      <c r="RB20" s="41">
        <f t="shared" si="157"/>
        <v>22.599999999999998</v>
      </c>
      <c r="RC20" s="41">
        <f t="shared" si="158"/>
        <v>18.2</v>
      </c>
      <c r="RD20" s="41">
        <f t="shared" si="159"/>
        <v>72.449999999999989</v>
      </c>
      <c r="RE20" s="41">
        <f t="shared" si="160"/>
        <v>6.8</v>
      </c>
      <c r="RF20" s="41">
        <f t="shared" si="161"/>
        <v>25</v>
      </c>
      <c r="RG20" s="41">
        <f t="shared" si="162"/>
        <v>97.449999999999989</v>
      </c>
    </row>
    <row r="21" spans="1:475" x14ac:dyDescent="0.2">
      <c r="A21" s="4" t="str" cm="1">
        <f t="array" ref="A21">IF(AND(H21&lt;&gt;"",H21&lt;&gt;"No DD"),SUMPRODUCT((H$4:H$28&lt;&gt;"")*(H$4:H$28&lt;&gt;"No DD")*(E$4:E$28&gt;E21))+1,IF(H21="No DD",SUMPRODUCT((H$4:H$28="No DD")*(E$4:E$28&gt;E21))+1+SUMPRODUCT((H$4:H$28&lt;&gt;"")*(H$4:H$28&lt;&gt;"No DD")),""))</f>
        <v/>
      </c>
      <c r="B21" s="5" t="s">
        <v>191</v>
      </c>
      <c r="C21" s="4" t="s">
        <v>8</v>
      </c>
      <c r="D21" s="4">
        <v>2006</v>
      </c>
      <c r="E21" s="9">
        <f t="shared" si="163"/>
        <v>173.20001222000508</v>
      </c>
      <c r="F21" s="3" t="str">
        <f t="shared" si="0"/>
        <v/>
      </c>
      <c r="G21" s="3" t="str">
        <f t="shared" si="1"/>
        <v/>
      </c>
      <c r="H21" s="37" t="str">
        <f t="shared" si="2"/>
        <v/>
      </c>
      <c r="I21" s="3" t="str">
        <f t="shared" si="3"/>
        <v/>
      </c>
      <c r="J21" s="8">
        <f>IF(COUNT(AQ21,BT21,CW21)&gt;0,LARGE((AQ21,BT21,CW21),1),0)</f>
        <v>51</v>
      </c>
      <c r="K21" s="8" t="str">
        <f t="shared" si="4"/>
        <v>2023 Elite Canada</v>
      </c>
      <c r="L21" s="8">
        <f>IF(COUNT(AQ21,BT21,CW21)&gt;1,LARGE((AQ21,BT21,CW21),2),0)</f>
        <v>46</v>
      </c>
      <c r="M21" s="8" t="str">
        <f t="shared" si="5"/>
        <v>2023 Domestic 3rd Trial</v>
      </c>
      <c r="N21" s="8">
        <f>IF(COUNT(AR21,BU21,CX21)&gt;0,LARGE((AR21,BU21,CX21),1),0)</f>
        <v>25.2</v>
      </c>
      <c r="O21" s="8" t="str">
        <f t="shared" si="6"/>
        <v>2023 Nationals</v>
      </c>
      <c r="P21" s="8">
        <f t="shared" si="7"/>
        <v>50.999999999999993</v>
      </c>
      <c r="Q21" s="8" t="str">
        <f t="shared" si="8"/>
        <v>2023 Elite Canada</v>
      </c>
      <c r="R21" s="8" t="str">
        <f t="shared" si="9"/>
        <v/>
      </c>
      <c r="S21" s="11" t="str">
        <f t="shared" si="10"/>
        <v/>
      </c>
      <c r="T21" s="8" t="str">
        <f t="shared" si="11"/>
        <v/>
      </c>
      <c r="U21" s="19">
        <v>18.399999999999999</v>
      </c>
      <c r="V21" s="19">
        <v>7.6</v>
      </c>
      <c r="W21" s="19">
        <v>0.2</v>
      </c>
      <c r="X21" s="19">
        <v>0</v>
      </c>
      <c r="Y21" s="19">
        <v>18.2</v>
      </c>
      <c r="Z21" s="19">
        <v>7.6</v>
      </c>
      <c r="AA21" s="19">
        <v>0.6</v>
      </c>
      <c r="AB21" s="19">
        <v>0</v>
      </c>
      <c r="AC21" s="19">
        <v>18.8</v>
      </c>
      <c r="AD21" s="19">
        <v>5.6</v>
      </c>
      <c r="AE21" s="19">
        <v>1</v>
      </c>
      <c r="AF21" s="19">
        <v>0</v>
      </c>
      <c r="AG21" s="19">
        <v>17.8</v>
      </c>
      <c r="AH21" s="19">
        <v>7.6</v>
      </c>
      <c r="AI21" s="19">
        <v>0.2</v>
      </c>
      <c r="AJ21" s="19">
        <v>0</v>
      </c>
      <c r="AK21" s="19">
        <v>18.2</v>
      </c>
      <c r="AL21" s="19">
        <v>7.6</v>
      </c>
      <c r="AM21" s="19">
        <v>0</v>
      </c>
      <c r="AN21" s="19">
        <v>0</v>
      </c>
      <c r="AO21" s="28"/>
      <c r="AP21" s="41">
        <f t="shared" si="12"/>
        <v>15.2</v>
      </c>
      <c r="AQ21" s="41">
        <f t="shared" si="13"/>
        <v>51</v>
      </c>
      <c r="AR21" s="41">
        <f t="shared" si="14"/>
        <v>23.4</v>
      </c>
      <c r="AS21" s="41">
        <f t="shared" si="15"/>
        <v>20.799999999999997</v>
      </c>
      <c r="AT21" s="41">
        <f t="shared" si="16"/>
        <v>74.400000000000006</v>
      </c>
      <c r="AU21" s="41">
        <f t="shared" si="17"/>
        <v>15.2</v>
      </c>
      <c r="AV21" s="41">
        <f t="shared" si="18"/>
        <v>50.999999999999993</v>
      </c>
      <c r="AW21" s="41">
        <f t="shared" si="19"/>
        <v>125.4</v>
      </c>
      <c r="AX21" s="18">
        <v>0</v>
      </c>
      <c r="AY21" s="18">
        <v>0</v>
      </c>
      <c r="AZ21" s="18">
        <v>0</v>
      </c>
      <c r="BA21" s="18">
        <v>0</v>
      </c>
      <c r="BB21" s="18">
        <v>18.2</v>
      </c>
      <c r="BC21" s="18">
        <v>7.6</v>
      </c>
      <c r="BD21" s="18">
        <v>0.6</v>
      </c>
      <c r="BE21" s="18">
        <v>0</v>
      </c>
      <c r="BF21" s="18">
        <v>18.5</v>
      </c>
      <c r="BG21" s="18">
        <v>7.3</v>
      </c>
      <c r="BH21" s="18">
        <v>0.6</v>
      </c>
      <c r="BI21" s="18">
        <v>0</v>
      </c>
      <c r="BJ21" s="18"/>
      <c r="BK21" s="18"/>
      <c r="BL21" s="18"/>
      <c r="BM21" s="18"/>
      <c r="BN21" s="18"/>
      <c r="BO21" s="18"/>
      <c r="BP21" s="18"/>
      <c r="BQ21" s="18"/>
      <c r="BR21" s="29"/>
      <c r="BS21" s="11">
        <f t="shared" si="20"/>
        <v>7.6</v>
      </c>
      <c r="BT21" s="11">
        <f t="shared" si="21"/>
        <v>25.199999999999996</v>
      </c>
      <c r="BU21" s="11">
        <f t="shared" si="22"/>
        <v>25.2</v>
      </c>
      <c r="BV21" s="11">
        <f t="shared" si="23"/>
        <v>14.899999999999999</v>
      </c>
      <c r="BW21" s="11">
        <f t="shared" si="24"/>
        <v>50.399999999999991</v>
      </c>
      <c r="BX21" s="11" t="str">
        <f t="shared" si="25"/>
        <v/>
      </c>
      <c r="BY21" s="11" t="str">
        <f t="shared" si="26"/>
        <v/>
      </c>
      <c r="BZ21" s="11">
        <f t="shared" si="27"/>
        <v>50.399999999999991</v>
      </c>
      <c r="CA21" s="19">
        <v>18.600000000000001</v>
      </c>
      <c r="CB21" s="19">
        <v>7.6</v>
      </c>
      <c r="CC21" s="19">
        <v>0</v>
      </c>
      <c r="CD21" s="19">
        <v>0</v>
      </c>
      <c r="CE21" s="19">
        <v>17.8</v>
      </c>
      <c r="CF21" s="19">
        <v>3.2</v>
      </c>
      <c r="CG21" s="19">
        <v>1.2</v>
      </c>
      <c r="CH21" s="19">
        <v>0</v>
      </c>
      <c r="CI21" s="19">
        <v>0</v>
      </c>
      <c r="CJ21" s="19">
        <v>0</v>
      </c>
      <c r="CK21" s="19">
        <v>0</v>
      </c>
      <c r="CL21" s="19">
        <v>0</v>
      </c>
      <c r="CM21" s="19"/>
      <c r="CN21" s="19"/>
      <c r="CO21" s="19"/>
      <c r="CP21" s="19"/>
      <c r="CQ21" s="19"/>
      <c r="CR21" s="19"/>
      <c r="CS21" s="19"/>
      <c r="CT21" s="19"/>
      <c r="CU21" s="28"/>
      <c r="CV21" s="41">
        <f t="shared" si="28"/>
        <v>10.8</v>
      </c>
      <c r="CW21" s="41">
        <f t="shared" si="29"/>
        <v>46</v>
      </c>
      <c r="CX21" s="41" t="str">
        <f t="shared" si="30"/>
        <v/>
      </c>
      <c r="CY21" s="41">
        <f t="shared" si="31"/>
        <v>10.8</v>
      </c>
      <c r="CZ21" s="41">
        <f t="shared" si="32"/>
        <v>46</v>
      </c>
      <c r="DA21" s="41" t="str">
        <f t="shared" si="33"/>
        <v/>
      </c>
      <c r="DB21" s="41" t="str">
        <f t="shared" si="34"/>
        <v/>
      </c>
      <c r="DC21" s="41">
        <f t="shared" si="35"/>
        <v>46</v>
      </c>
      <c r="DD21" s="52" t="str">
        <f t="shared" si="36"/>
        <v/>
      </c>
      <c r="DE21" s="52" t="str">
        <f t="shared" si="37"/>
        <v/>
      </c>
      <c r="DF21" s="52" t="str">
        <f t="shared" si="38"/>
        <v/>
      </c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41" t="str">
        <f t="shared" si="39"/>
        <v/>
      </c>
      <c r="EB21" s="41" t="str">
        <f t="shared" si="40"/>
        <v/>
      </c>
      <c r="EC21" s="41" t="str">
        <f t="shared" si="41"/>
        <v/>
      </c>
      <c r="ED21" s="41" t="str">
        <f t="shared" si="42"/>
        <v/>
      </c>
      <c r="EE21" s="41" t="str">
        <f t="shared" si="43"/>
        <v/>
      </c>
      <c r="EF21" s="41" t="str">
        <f t="shared" si="44"/>
        <v/>
      </c>
      <c r="EG21" s="41" t="str">
        <f t="shared" si="45"/>
        <v/>
      </c>
      <c r="EH21" s="41" t="str">
        <f t="shared" si="46"/>
        <v/>
      </c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1" t="str">
        <f t="shared" si="47"/>
        <v/>
      </c>
      <c r="FD21" s="11" t="str">
        <f t="shared" si="48"/>
        <v/>
      </c>
      <c r="FE21" s="11" t="str">
        <f t="shared" si="49"/>
        <v/>
      </c>
      <c r="FF21" s="11" t="str">
        <f t="shared" si="50"/>
        <v/>
      </c>
      <c r="FG21" s="11" t="str">
        <f t="shared" si="51"/>
        <v/>
      </c>
      <c r="FH21" s="11" t="str">
        <f t="shared" si="52"/>
        <v/>
      </c>
      <c r="FI21" s="11" t="str">
        <f t="shared" si="53"/>
        <v/>
      </c>
      <c r="FJ21" s="11" t="str">
        <f t="shared" si="54"/>
        <v/>
      </c>
      <c r="FK21" s="17"/>
      <c r="FL21" s="17"/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41" t="str">
        <f t="shared" si="55"/>
        <v/>
      </c>
      <c r="GF21" s="41" t="str">
        <f t="shared" si="56"/>
        <v/>
      </c>
      <c r="GG21" s="41" t="str">
        <f t="shared" si="57"/>
        <v/>
      </c>
      <c r="GH21" s="41" t="str">
        <f t="shared" si="58"/>
        <v/>
      </c>
      <c r="GI21" s="41" t="str">
        <f t="shared" si="59"/>
        <v/>
      </c>
      <c r="GJ21" s="41" t="str">
        <f t="shared" si="60"/>
        <v/>
      </c>
      <c r="GK21" s="41" t="str">
        <f t="shared" si="61"/>
        <v/>
      </c>
      <c r="GL21" s="41" t="str">
        <f t="shared" si="62"/>
        <v/>
      </c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1" t="str">
        <f t="shared" si="63"/>
        <v/>
      </c>
      <c r="HH21" s="11" t="str">
        <f t="shared" si="64"/>
        <v/>
      </c>
      <c r="HI21" s="11" t="str">
        <f t="shared" si="65"/>
        <v/>
      </c>
      <c r="HJ21" s="11" t="str">
        <f t="shared" si="66"/>
        <v/>
      </c>
      <c r="HK21" s="11" t="str">
        <f t="shared" si="67"/>
        <v/>
      </c>
      <c r="HL21" s="11" t="str">
        <f t="shared" si="68"/>
        <v/>
      </c>
      <c r="HM21" s="11" t="str">
        <f t="shared" si="69"/>
        <v/>
      </c>
      <c r="HN21" s="11" t="str">
        <f t="shared" si="70"/>
        <v/>
      </c>
      <c r="HO21" s="17"/>
      <c r="HP21" s="17"/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41" t="str">
        <f t="shared" si="71"/>
        <v/>
      </c>
      <c r="IJ21" s="41" t="str">
        <f t="shared" si="72"/>
        <v/>
      </c>
      <c r="IK21" s="41" t="str">
        <f t="shared" si="73"/>
        <v/>
      </c>
      <c r="IL21" s="41" t="str">
        <f t="shared" si="74"/>
        <v/>
      </c>
      <c r="IM21" s="41" t="str">
        <f t="shared" si="75"/>
        <v/>
      </c>
      <c r="IN21" s="41" t="str">
        <f t="shared" si="76"/>
        <v/>
      </c>
      <c r="IO21" s="41" t="str">
        <f t="shared" si="77"/>
        <v/>
      </c>
      <c r="IP21" s="41" t="str">
        <f t="shared" si="78"/>
        <v/>
      </c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1" t="str">
        <f t="shared" si="79"/>
        <v/>
      </c>
      <c r="JL21" s="11" t="str">
        <f t="shared" si="80"/>
        <v/>
      </c>
      <c r="JM21" s="11" t="str">
        <f t="shared" si="81"/>
        <v/>
      </c>
      <c r="JN21" s="11" t="str">
        <f t="shared" si="82"/>
        <v/>
      </c>
      <c r="JO21" s="11" t="str">
        <f t="shared" si="83"/>
        <v/>
      </c>
      <c r="JP21" s="11" t="str">
        <f t="shared" si="84"/>
        <v/>
      </c>
      <c r="JQ21" s="11" t="str">
        <f t="shared" si="85"/>
        <v/>
      </c>
      <c r="JR21" s="11" t="str">
        <f t="shared" si="86"/>
        <v/>
      </c>
      <c r="JS21" s="17"/>
      <c r="JT21" s="17"/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41" t="str">
        <f t="shared" si="87"/>
        <v/>
      </c>
      <c r="KN21" s="41" t="str">
        <f t="shared" si="88"/>
        <v/>
      </c>
      <c r="KO21" s="41" t="str">
        <f t="shared" si="89"/>
        <v/>
      </c>
      <c r="KP21" s="41" t="str">
        <f t="shared" si="90"/>
        <v/>
      </c>
      <c r="KQ21" s="41" t="str">
        <f t="shared" si="91"/>
        <v/>
      </c>
      <c r="KR21" s="41" t="str">
        <f t="shared" si="92"/>
        <v/>
      </c>
      <c r="KS21" s="41" t="str">
        <f t="shared" si="93"/>
        <v/>
      </c>
      <c r="KT21" s="41" t="str">
        <f t="shared" si="94"/>
        <v/>
      </c>
      <c r="KU21" s="18"/>
      <c r="KV21" s="18"/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1" t="str">
        <f t="shared" si="95"/>
        <v/>
      </c>
      <c r="LP21" s="11" t="str">
        <f t="shared" si="96"/>
        <v/>
      </c>
      <c r="LQ21" s="11" t="str">
        <f t="shared" si="97"/>
        <v/>
      </c>
      <c r="LR21" s="11" t="str">
        <f t="shared" si="98"/>
        <v/>
      </c>
      <c r="LS21" s="11" t="str">
        <f t="shared" si="99"/>
        <v/>
      </c>
      <c r="LT21" s="11" t="str">
        <f t="shared" si="100"/>
        <v/>
      </c>
      <c r="LU21" s="11" t="str">
        <f t="shared" si="101"/>
        <v/>
      </c>
      <c r="LV21" s="11" t="str">
        <f t="shared" si="102"/>
        <v/>
      </c>
      <c r="LW21" s="17"/>
      <c r="LX21" s="17"/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41" t="str">
        <f t="shared" si="103"/>
        <v/>
      </c>
      <c r="MR21" s="41" t="str">
        <f t="shared" si="104"/>
        <v/>
      </c>
      <c r="MS21" s="41" t="str">
        <f t="shared" si="105"/>
        <v/>
      </c>
      <c r="MT21" s="41" t="str">
        <f t="shared" si="106"/>
        <v/>
      </c>
      <c r="MU21" s="41" t="str">
        <f t="shared" si="107"/>
        <v/>
      </c>
      <c r="MV21" s="41" t="str">
        <f t="shared" si="108"/>
        <v/>
      </c>
      <c r="MW21" s="41" t="str">
        <f t="shared" si="109"/>
        <v/>
      </c>
      <c r="MX21" s="41" t="str">
        <f t="shared" si="110"/>
        <v/>
      </c>
      <c r="MY21" s="18"/>
      <c r="MZ21" s="18"/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1" t="str">
        <f t="shared" si="111"/>
        <v/>
      </c>
      <c r="NT21" s="11" t="str">
        <f t="shared" si="112"/>
        <v/>
      </c>
      <c r="NU21" s="11" t="str">
        <f t="shared" si="113"/>
        <v/>
      </c>
      <c r="NV21" s="11" t="str">
        <f t="shared" si="114"/>
        <v/>
      </c>
      <c r="NW21" s="11" t="str">
        <f t="shared" si="115"/>
        <v/>
      </c>
      <c r="NX21" s="11" t="str">
        <f t="shared" si="116"/>
        <v/>
      </c>
      <c r="NY21" s="11" t="str">
        <f t="shared" si="117"/>
        <v/>
      </c>
      <c r="NZ21" s="11" t="str">
        <f t="shared" si="118"/>
        <v/>
      </c>
      <c r="OA21" s="17"/>
      <c r="OB21" s="17"/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41" t="str">
        <f t="shared" si="119"/>
        <v/>
      </c>
      <c r="OV21" s="41" t="str">
        <f t="shared" si="120"/>
        <v/>
      </c>
      <c r="OW21" s="41" t="str">
        <f t="shared" si="121"/>
        <v/>
      </c>
      <c r="OX21" s="41" t="str">
        <f t="shared" si="122"/>
        <v/>
      </c>
      <c r="OY21" s="41" t="str">
        <f t="shared" si="123"/>
        <v/>
      </c>
      <c r="OZ21" s="41" t="str">
        <f t="shared" si="124"/>
        <v/>
      </c>
      <c r="PA21" s="41" t="str">
        <f t="shared" si="125"/>
        <v/>
      </c>
      <c r="PB21" s="41" t="str">
        <f t="shared" si="126"/>
        <v/>
      </c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1" t="str">
        <f t="shared" si="127"/>
        <v/>
      </c>
      <c r="PX21" s="11" t="str">
        <f t="shared" si="128"/>
        <v/>
      </c>
      <c r="PY21" s="11" t="str">
        <f t="shared" si="129"/>
        <v/>
      </c>
      <c r="PZ21" s="11" t="str">
        <f t="shared" si="130"/>
        <v/>
      </c>
      <c r="QA21" s="11" t="str">
        <f t="shared" si="131"/>
        <v/>
      </c>
      <c r="QB21" s="11" t="str">
        <f t="shared" si="132"/>
        <v/>
      </c>
      <c r="QC21" s="11" t="str">
        <f t="shared" si="133"/>
        <v/>
      </c>
      <c r="QD21" s="11" t="str">
        <f t="shared" si="134"/>
        <v/>
      </c>
      <c r="QE21" s="23">
        <f t="shared" si="135"/>
        <v>9.3000000000000007</v>
      </c>
      <c r="QF21" s="23">
        <f t="shared" si="136"/>
        <v>3.8</v>
      </c>
      <c r="QG21" s="23">
        <f t="shared" si="137"/>
        <v>0</v>
      </c>
      <c r="QH21" s="23">
        <f t="shared" si="138"/>
        <v>0</v>
      </c>
      <c r="QI21" s="23">
        <f t="shared" si="139"/>
        <v>18</v>
      </c>
      <c r="QJ21" s="23">
        <f t="shared" si="140"/>
        <v>5.4</v>
      </c>
      <c r="QK21" s="23">
        <f t="shared" si="141"/>
        <v>0.89999999999999991</v>
      </c>
      <c r="QL21" s="23">
        <f t="shared" si="142"/>
        <v>0</v>
      </c>
      <c r="QM21" s="23">
        <f t="shared" si="143"/>
        <v>9.25</v>
      </c>
      <c r="QN21" s="23">
        <f t="shared" si="144"/>
        <v>3.65</v>
      </c>
      <c r="QO21" s="23">
        <f t="shared" si="145"/>
        <v>0.3</v>
      </c>
      <c r="QP21" s="23">
        <f t="shared" si="146"/>
        <v>0</v>
      </c>
      <c r="QQ21" s="23">
        <f t="shared" si="147"/>
        <v>0</v>
      </c>
      <c r="QR21" s="23">
        <f t="shared" si="148"/>
        <v>0</v>
      </c>
      <c r="QS21" s="23">
        <f t="shared" si="149"/>
        <v>0</v>
      </c>
      <c r="QT21" s="23">
        <f t="shared" si="150"/>
        <v>0</v>
      </c>
      <c r="QU21" s="23">
        <f t="shared" si="151"/>
        <v>0</v>
      </c>
      <c r="QV21" s="23">
        <f t="shared" si="152"/>
        <v>0</v>
      </c>
      <c r="QW21" s="23">
        <f t="shared" si="153"/>
        <v>0</v>
      </c>
      <c r="QX21" s="23">
        <f t="shared" si="154"/>
        <v>0</v>
      </c>
      <c r="QY21" s="28" t="s">
        <v>57</v>
      </c>
      <c r="QZ21" s="41">
        <f t="shared" si="155"/>
        <v>9.1999999999999993</v>
      </c>
      <c r="RA21" s="41">
        <f t="shared" si="156"/>
        <v>35.6</v>
      </c>
      <c r="RB21" s="41">
        <f t="shared" si="157"/>
        <v>12.6</v>
      </c>
      <c r="RC21" s="41">
        <f t="shared" si="158"/>
        <v>12.85</v>
      </c>
      <c r="RD21" s="41">
        <f t="shared" si="159"/>
        <v>48.2</v>
      </c>
      <c r="RE21" s="41" t="str">
        <f t="shared" si="160"/>
        <v/>
      </c>
      <c r="RF21" s="41" t="str">
        <f t="shared" si="161"/>
        <v/>
      </c>
      <c r="RG21" s="41">
        <f t="shared" si="162"/>
        <v>48.2</v>
      </c>
    </row>
    <row r="22" spans="1:475" x14ac:dyDescent="0.2">
      <c r="A22" s="4" t="str" cm="1">
        <f t="array" ref="A22">IF(AND(H22&lt;&gt;"",H22&lt;&gt;"No DD"),SUMPRODUCT((H$4:H$28&lt;&gt;"")*(H$4:H$28&lt;&gt;"No DD")*(E$4:E$28&gt;E22))+1,IF(H22="No DD",SUMPRODUCT((H$4:H$28="No DD")*(E$4:E$28&gt;E22))+1+SUMPRODUCT((H$4:H$28&lt;&gt;"")*(H$4:H$28&lt;&gt;"No DD")),""))</f>
        <v/>
      </c>
      <c r="B22" s="5" t="s">
        <v>190</v>
      </c>
      <c r="C22" s="4" t="s">
        <v>6</v>
      </c>
      <c r="D22" s="4">
        <v>1998</v>
      </c>
      <c r="E22" s="9">
        <f t="shared" si="163"/>
        <v>168.80001212000491</v>
      </c>
      <c r="F22" s="3" t="str">
        <f t="shared" si="0"/>
        <v/>
      </c>
      <c r="G22" s="3" t="str">
        <f t="shared" si="1"/>
        <v/>
      </c>
      <c r="H22" s="37" t="str">
        <f t="shared" si="2"/>
        <v/>
      </c>
      <c r="I22" s="3" t="str">
        <f t="shared" si="3"/>
        <v/>
      </c>
      <c r="J22" s="8">
        <f>IF(COUNT(AQ22,BT22,CW22)&gt;0,LARGE((AQ22,BT22,CW22),1),0)</f>
        <v>48.899999999999991</v>
      </c>
      <c r="K22" s="8" t="str">
        <f t="shared" si="4"/>
        <v>2023 Elite Canada</v>
      </c>
      <c r="L22" s="8">
        <f>IF(COUNT(AQ22,BT22,CW22)&gt;1,LARGE((AQ22,BT22,CW22),2),0)</f>
        <v>46.500000000000007</v>
      </c>
      <c r="M22" s="8" t="str">
        <f t="shared" si="5"/>
        <v>2023 Nationals</v>
      </c>
      <c r="N22" s="8">
        <f>IF(COUNT(AR22,BU22,CX22)&gt;0,LARGE((AR22,BU22,CX22),1),0)</f>
        <v>25.8</v>
      </c>
      <c r="O22" s="8" t="str">
        <f t="shared" si="6"/>
        <v>2023 Nationals</v>
      </c>
      <c r="P22" s="8">
        <f t="shared" si="7"/>
        <v>47.600000000000009</v>
      </c>
      <c r="Q22" s="8" t="str">
        <f t="shared" si="8"/>
        <v>2023 Nationals</v>
      </c>
      <c r="R22" s="8" t="str">
        <f t="shared" si="9"/>
        <v/>
      </c>
      <c r="S22" s="11" t="str">
        <f t="shared" si="10"/>
        <v/>
      </c>
      <c r="T22" s="8" t="str">
        <f t="shared" si="11"/>
        <v/>
      </c>
      <c r="U22" s="19">
        <v>18.8</v>
      </c>
      <c r="V22" s="19">
        <v>7.6</v>
      </c>
      <c r="W22" s="19">
        <v>0.2</v>
      </c>
      <c r="X22" s="19">
        <v>0</v>
      </c>
      <c r="Y22" s="19">
        <v>16.7</v>
      </c>
      <c r="Z22" s="19">
        <v>6.8</v>
      </c>
      <c r="AA22" s="19">
        <v>0.8</v>
      </c>
      <c r="AB22" s="19">
        <v>0</v>
      </c>
      <c r="AC22" s="19">
        <v>16.8</v>
      </c>
      <c r="AD22" s="19">
        <v>7.3</v>
      </c>
      <c r="AE22" s="19">
        <v>0.2</v>
      </c>
      <c r="AF22" s="19">
        <v>0</v>
      </c>
      <c r="AG22" s="19">
        <v>0</v>
      </c>
      <c r="AH22" s="19">
        <v>0</v>
      </c>
      <c r="AI22" s="19">
        <v>0</v>
      </c>
      <c r="AJ22" s="19">
        <v>0</v>
      </c>
      <c r="AK22" s="19">
        <v>18.5</v>
      </c>
      <c r="AL22" s="19">
        <v>8.4</v>
      </c>
      <c r="AM22" s="19">
        <v>0.2</v>
      </c>
      <c r="AN22" s="19">
        <v>0</v>
      </c>
      <c r="AO22" s="28"/>
      <c r="AP22" s="41">
        <f t="shared" si="12"/>
        <v>14.399999999999999</v>
      </c>
      <c r="AQ22" s="41">
        <f t="shared" si="13"/>
        <v>48.899999999999991</v>
      </c>
      <c r="AR22" s="41">
        <f t="shared" si="14"/>
        <v>23.900000000000002</v>
      </c>
      <c r="AS22" s="41">
        <f t="shared" si="15"/>
        <v>21.7</v>
      </c>
      <c r="AT22" s="41">
        <f t="shared" si="16"/>
        <v>72.8</v>
      </c>
      <c r="AU22" s="41">
        <f t="shared" si="17"/>
        <v>8.4</v>
      </c>
      <c r="AV22" s="41">
        <f t="shared" si="18"/>
        <v>26.7</v>
      </c>
      <c r="AW22" s="41">
        <f t="shared" si="19"/>
        <v>99.5</v>
      </c>
      <c r="AX22" s="18">
        <v>17.600000000000001</v>
      </c>
      <c r="AY22" s="18">
        <v>2.8</v>
      </c>
      <c r="AZ22" s="18">
        <v>0</v>
      </c>
      <c r="BA22" s="18">
        <v>0</v>
      </c>
      <c r="BB22" s="18">
        <v>18.5</v>
      </c>
      <c r="BC22" s="18">
        <v>8.4</v>
      </c>
      <c r="BD22" s="18">
        <v>0.8</v>
      </c>
      <c r="BE22" s="18">
        <v>0</v>
      </c>
      <c r="BF22" s="18">
        <v>18.399999999999999</v>
      </c>
      <c r="BG22" s="18">
        <v>7.6</v>
      </c>
      <c r="BH22" s="18">
        <v>0.2</v>
      </c>
      <c r="BI22" s="18">
        <v>0</v>
      </c>
      <c r="BJ22" s="18">
        <v>17.5</v>
      </c>
      <c r="BK22" s="18">
        <v>4.8</v>
      </c>
      <c r="BL22" s="18">
        <v>0</v>
      </c>
      <c r="BM22" s="18">
        <v>0.3</v>
      </c>
      <c r="BN22" s="18">
        <v>18.8</v>
      </c>
      <c r="BO22" s="18">
        <v>7.2</v>
      </c>
      <c r="BP22" s="18">
        <v>1</v>
      </c>
      <c r="BQ22" s="18">
        <v>0</v>
      </c>
      <c r="BR22" s="29"/>
      <c r="BS22" s="11">
        <f t="shared" si="20"/>
        <v>11.2</v>
      </c>
      <c r="BT22" s="11">
        <f t="shared" si="21"/>
        <v>46.500000000000007</v>
      </c>
      <c r="BU22" s="11">
        <f t="shared" si="22"/>
        <v>25.8</v>
      </c>
      <c r="BV22" s="11">
        <f t="shared" si="23"/>
        <v>18.799999999999997</v>
      </c>
      <c r="BW22" s="11">
        <f t="shared" si="24"/>
        <v>72.300000000000011</v>
      </c>
      <c r="BX22" s="11">
        <f t="shared" si="25"/>
        <v>12</v>
      </c>
      <c r="BY22" s="11">
        <f t="shared" si="26"/>
        <v>47.600000000000009</v>
      </c>
      <c r="BZ22" s="11">
        <f t="shared" si="27"/>
        <v>119.90000000000002</v>
      </c>
      <c r="CA22" s="19">
        <v>18.600000000000001</v>
      </c>
      <c r="CB22" s="19">
        <v>8.4</v>
      </c>
      <c r="CC22" s="19">
        <v>0.6</v>
      </c>
      <c r="CD22" s="19">
        <v>0</v>
      </c>
      <c r="CE22" s="19">
        <v>0</v>
      </c>
      <c r="CF22" s="19">
        <v>0</v>
      </c>
      <c r="CG22" s="19">
        <v>0</v>
      </c>
      <c r="CH22" s="19">
        <v>0</v>
      </c>
      <c r="CI22" s="19">
        <v>17</v>
      </c>
      <c r="CJ22" s="19">
        <v>4.8</v>
      </c>
      <c r="CK22" s="19">
        <v>1.2</v>
      </c>
      <c r="CL22" s="19">
        <v>0</v>
      </c>
      <c r="CM22" s="19"/>
      <c r="CN22" s="19"/>
      <c r="CO22" s="19"/>
      <c r="CP22" s="19"/>
      <c r="CQ22" s="19"/>
      <c r="CR22" s="19"/>
      <c r="CS22" s="19"/>
      <c r="CT22" s="19"/>
      <c r="CU22" s="28"/>
      <c r="CV22" s="41">
        <f t="shared" si="28"/>
        <v>8.4</v>
      </c>
      <c r="CW22" s="41">
        <f t="shared" si="29"/>
        <v>26.4</v>
      </c>
      <c r="CX22" s="41">
        <f t="shared" si="30"/>
        <v>20.6</v>
      </c>
      <c r="CY22" s="41">
        <f t="shared" si="31"/>
        <v>13.2</v>
      </c>
      <c r="CZ22" s="41">
        <f t="shared" si="32"/>
        <v>47</v>
      </c>
      <c r="DA22" s="41" t="str">
        <f t="shared" si="33"/>
        <v/>
      </c>
      <c r="DB22" s="41" t="str">
        <f t="shared" si="34"/>
        <v/>
      </c>
      <c r="DC22" s="41">
        <f t="shared" si="35"/>
        <v>47</v>
      </c>
      <c r="DD22" s="52" t="str">
        <f t="shared" si="36"/>
        <v/>
      </c>
      <c r="DE22" s="52" t="str">
        <f t="shared" si="37"/>
        <v/>
      </c>
      <c r="DF22" s="52" t="str">
        <f t="shared" si="38"/>
        <v/>
      </c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41" t="str">
        <f t="shared" si="39"/>
        <v/>
      </c>
      <c r="EB22" s="41" t="str">
        <f t="shared" si="40"/>
        <v/>
      </c>
      <c r="EC22" s="41" t="str">
        <f t="shared" si="41"/>
        <v/>
      </c>
      <c r="ED22" s="41" t="str">
        <f t="shared" si="42"/>
        <v/>
      </c>
      <c r="EE22" s="41" t="str">
        <f t="shared" si="43"/>
        <v/>
      </c>
      <c r="EF22" s="41" t="str">
        <f t="shared" si="44"/>
        <v/>
      </c>
      <c r="EG22" s="41" t="str">
        <f t="shared" si="45"/>
        <v/>
      </c>
      <c r="EH22" s="41" t="str">
        <f t="shared" si="46"/>
        <v/>
      </c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1" t="str">
        <f t="shared" si="47"/>
        <v/>
      </c>
      <c r="FD22" s="11" t="str">
        <f t="shared" si="48"/>
        <v/>
      </c>
      <c r="FE22" s="11" t="str">
        <f t="shared" si="49"/>
        <v/>
      </c>
      <c r="FF22" s="11" t="str">
        <f t="shared" si="50"/>
        <v/>
      </c>
      <c r="FG22" s="11" t="str">
        <f t="shared" si="51"/>
        <v/>
      </c>
      <c r="FH22" s="11" t="str">
        <f t="shared" si="52"/>
        <v/>
      </c>
      <c r="FI22" s="11" t="str">
        <f t="shared" si="53"/>
        <v/>
      </c>
      <c r="FJ22" s="11" t="str">
        <f t="shared" si="54"/>
        <v/>
      </c>
      <c r="FK22" s="17"/>
      <c r="FL22" s="17"/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41" t="str">
        <f t="shared" si="55"/>
        <v/>
      </c>
      <c r="GF22" s="41" t="str">
        <f t="shared" si="56"/>
        <v/>
      </c>
      <c r="GG22" s="41" t="str">
        <f t="shared" si="57"/>
        <v/>
      </c>
      <c r="GH22" s="41" t="str">
        <f t="shared" si="58"/>
        <v/>
      </c>
      <c r="GI22" s="41" t="str">
        <f t="shared" si="59"/>
        <v/>
      </c>
      <c r="GJ22" s="41" t="str">
        <f t="shared" si="60"/>
        <v/>
      </c>
      <c r="GK22" s="41" t="str">
        <f t="shared" si="61"/>
        <v/>
      </c>
      <c r="GL22" s="41" t="str">
        <f t="shared" si="62"/>
        <v/>
      </c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1" t="str">
        <f t="shared" si="63"/>
        <v/>
      </c>
      <c r="HH22" s="11" t="str">
        <f t="shared" si="64"/>
        <v/>
      </c>
      <c r="HI22" s="11" t="str">
        <f t="shared" si="65"/>
        <v/>
      </c>
      <c r="HJ22" s="11" t="str">
        <f t="shared" si="66"/>
        <v/>
      </c>
      <c r="HK22" s="11" t="str">
        <f t="shared" si="67"/>
        <v/>
      </c>
      <c r="HL22" s="11" t="str">
        <f t="shared" si="68"/>
        <v/>
      </c>
      <c r="HM22" s="11" t="str">
        <f t="shared" si="69"/>
        <v/>
      </c>
      <c r="HN22" s="11" t="str">
        <f t="shared" si="70"/>
        <v/>
      </c>
      <c r="HO22" s="17"/>
      <c r="HP22" s="17"/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41" t="str">
        <f t="shared" si="71"/>
        <v/>
      </c>
      <c r="IJ22" s="41" t="str">
        <f t="shared" si="72"/>
        <v/>
      </c>
      <c r="IK22" s="41" t="str">
        <f t="shared" si="73"/>
        <v/>
      </c>
      <c r="IL22" s="41" t="str">
        <f t="shared" si="74"/>
        <v/>
      </c>
      <c r="IM22" s="41" t="str">
        <f t="shared" si="75"/>
        <v/>
      </c>
      <c r="IN22" s="41" t="str">
        <f t="shared" si="76"/>
        <v/>
      </c>
      <c r="IO22" s="41" t="str">
        <f t="shared" si="77"/>
        <v/>
      </c>
      <c r="IP22" s="41" t="str">
        <f t="shared" si="78"/>
        <v/>
      </c>
      <c r="IQ22" s="18"/>
      <c r="IR22" s="18"/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1" t="str">
        <f t="shared" si="79"/>
        <v/>
      </c>
      <c r="JL22" s="11" t="str">
        <f t="shared" si="80"/>
        <v/>
      </c>
      <c r="JM22" s="11" t="str">
        <f t="shared" si="81"/>
        <v/>
      </c>
      <c r="JN22" s="11" t="str">
        <f t="shared" si="82"/>
        <v/>
      </c>
      <c r="JO22" s="11" t="str">
        <f t="shared" si="83"/>
        <v/>
      </c>
      <c r="JP22" s="11" t="str">
        <f t="shared" si="84"/>
        <v/>
      </c>
      <c r="JQ22" s="11" t="str">
        <f t="shared" si="85"/>
        <v/>
      </c>
      <c r="JR22" s="11" t="str">
        <f t="shared" si="86"/>
        <v/>
      </c>
      <c r="JS22" s="17"/>
      <c r="JT22" s="17"/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41" t="str">
        <f t="shared" si="87"/>
        <v/>
      </c>
      <c r="KN22" s="41" t="str">
        <f t="shared" si="88"/>
        <v/>
      </c>
      <c r="KO22" s="41" t="str">
        <f t="shared" si="89"/>
        <v/>
      </c>
      <c r="KP22" s="41" t="str">
        <f t="shared" si="90"/>
        <v/>
      </c>
      <c r="KQ22" s="41" t="str">
        <f t="shared" si="91"/>
        <v/>
      </c>
      <c r="KR22" s="41" t="str">
        <f t="shared" si="92"/>
        <v/>
      </c>
      <c r="KS22" s="41" t="str">
        <f t="shared" si="93"/>
        <v/>
      </c>
      <c r="KT22" s="41" t="str">
        <f t="shared" si="94"/>
        <v/>
      </c>
      <c r="KU22" s="18"/>
      <c r="KV22" s="18"/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1" t="str">
        <f t="shared" si="95"/>
        <v/>
      </c>
      <c r="LP22" s="11" t="str">
        <f t="shared" si="96"/>
        <v/>
      </c>
      <c r="LQ22" s="11" t="str">
        <f t="shared" si="97"/>
        <v/>
      </c>
      <c r="LR22" s="11" t="str">
        <f t="shared" si="98"/>
        <v/>
      </c>
      <c r="LS22" s="11" t="str">
        <f t="shared" si="99"/>
        <v/>
      </c>
      <c r="LT22" s="11" t="str">
        <f t="shared" si="100"/>
        <v/>
      </c>
      <c r="LU22" s="11" t="str">
        <f t="shared" si="101"/>
        <v/>
      </c>
      <c r="LV22" s="11" t="str">
        <f t="shared" si="102"/>
        <v/>
      </c>
      <c r="LW22" s="17"/>
      <c r="LX22" s="17"/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41" t="str">
        <f t="shared" si="103"/>
        <v/>
      </c>
      <c r="MR22" s="41" t="str">
        <f t="shared" si="104"/>
        <v/>
      </c>
      <c r="MS22" s="41" t="str">
        <f t="shared" si="105"/>
        <v/>
      </c>
      <c r="MT22" s="41" t="str">
        <f t="shared" si="106"/>
        <v/>
      </c>
      <c r="MU22" s="41" t="str">
        <f t="shared" si="107"/>
        <v/>
      </c>
      <c r="MV22" s="41" t="str">
        <f t="shared" si="108"/>
        <v/>
      </c>
      <c r="MW22" s="41" t="str">
        <f t="shared" si="109"/>
        <v/>
      </c>
      <c r="MX22" s="41" t="str">
        <f t="shared" si="110"/>
        <v/>
      </c>
      <c r="MY22" s="18"/>
      <c r="MZ22" s="18"/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1" t="str">
        <f t="shared" si="111"/>
        <v/>
      </c>
      <c r="NT22" s="11" t="str">
        <f t="shared" si="112"/>
        <v/>
      </c>
      <c r="NU22" s="11" t="str">
        <f t="shared" si="113"/>
        <v/>
      </c>
      <c r="NV22" s="11" t="str">
        <f t="shared" si="114"/>
        <v/>
      </c>
      <c r="NW22" s="11" t="str">
        <f t="shared" si="115"/>
        <v/>
      </c>
      <c r="NX22" s="11" t="str">
        <f t="shared" si="116"/>
        <v/>
      </c>
      <c r="NY22" s="11" t="str">
        <f t="shared" si="117"/>
        <v/>
      </c>
      <c r="NZ22" s="11" t="str">
        <f t="shared" si="118"/>
        <v/>
      </c>
      <c r="OA22" s="17"/>
      <c r="OB22" s="17"/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41" t="str">
        <f t="shared" si="119"/>
        <v/>
      </c>
      <c r="OV22" s="41" t="str">
        <f t="shared" si="120"/>
        <v/>
      </c>
      <c r="OW22" s="41" t="str">
        <f t="shared" si="121"/>
        <v/>
      </c>
      <c r="OX22" s="41" t="str">
        <f t="shared" si="122"/>
        <v/>
      </c>
      <c r="OY22" s="41" t="str">
        <f t="shared" si="123"/>
        <v/>
      </c>
      <c r="OZ22" s="41" t="str">
        <f t="shared" si="124"/>
        <v/>
      </c>
      <c r="PA22" s="41" t="str">
        <f t="shared" si="125"/>
        <v/>
      </c>
      <c r="PB22" s="41" t="str">
        <f t="shared" si="126"/>
        <v/>
      </c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1" t="str">
        <f t="shared" si="127"/>
        <v/>
      </c>
      <c r="PX22" s="11" t="str">
        <f t="shared" si="128"/>
        <v/>
      </c>
      <c r="PY22" s="11" t="str">
        <f t="shared" si="129"/>
        <v/>
      </c>
      <c r="PZ22" s="11" t="str">
        <f t="shared" si="130"/>
        <v/>
      </c>
      <c r="QA22" s="11" t="str">
        <f t="shared" si="131"/>
        <v/>
      </c>
      <c r="QB22" s="11" t="str">
        <f t="shared" si="132"/>
        <v/>
      </c>
      <c r="QC22" s="11" t="str">
        <f t="shared" si="133"/>
        <v/>
      </c>
      <c r="QD22" s="11" t="str">
        <f t="shared" si="134"/>
        <v/>
      </c>
      <c r="QE22" s="23">
        <f t="shared" si="135"/>
        <v>18.100000000000001</v>
      </c>
      <c r="QF22" s="23">
        <f t="shared" si="136"/>
        <v>5.6</v>
      </c>
      <c r="QG22" s="23">
        <f t="shared" si="137"/>
        <v>0.3</v>
      </c>
      <c r="QH22" s="23">
        <f t="shared" si="138"/>
        <v>0</v>
      </c>
      <c r="QI22" s="23">
        <f t="shared" si="139"/>
        <v>9.25</v>
      </c>
      <c r="QJ22" s="23">
        <f t="shared" si="140"/>
        <v>4.2</v>
      </c>
      <c r="QK22" s="23">
        <f t="shared" si="141"/>
        <v>0.4</v>
      </c>
      <c r="QL22" s="23">
        <f t="shared" si="142"/>
        <v>0</v>
      </c>
      <c r="QM22" s="23">
        <f t="shared" si="143"/>
        <v>17.7</v>
      </c>
      <c r="QN22" s="23">
        <f t="shared" si="144"/>
        <v>6.1999999999999993</v>
      </c>
      <c r="QO22" s="23">
        <f t="shared" si="145"/>
        <v>0.7</v>
      </c>
      <c r="QP22" s="23">
        <f t="shared" si="146"/>
        <v>0</v>
      </c>
      <c r="QQ22" s="23">
        <f t="shared" si="147"/>
        <v>8.75</v>
      </c>
      <c r="QR22" s="23">
        <f t="shared" si="148"/>
        <v>2.4</v>
      </c>
      <c r="QS22" s="23">
        <f t="shared" si="149"/>
        <v>0</v>
      </c>
      <c r="QT22" s="23">
        <f t="shared" si="150"/>
        <v>0.15</v>
      </c>
      <c r="QU22" s="23">
        <f t="shared" si="151"/>
        <v>9.4</v>
      </c>
      <c r="QV22" s="23">
        <f t="shared" si="152"/>
        <v>3.6</v>
      </c>
      <c r="QW22" s="23">
        <f t="shared" si="153"/>
        <v>0.5</v>
      </c>
      <c r="QX22" s="23">
        <f t="shared" si="154"/>
        <v>0</v>
      </c>
      <c r="QY22" s="28" t="s">
        <v>57</v>
      </c>
      <c r="QZ22" s="41">
        <f t="shared" si="155"/>
        <v>9.8000000000000007</v>
      </c>
      <c r="RA22" s="41">
        <f t="shared" si="156"/>
        <v>36.45000000000001</v>
      </c>
      <c r="RB22" s="41">
        <f t="shared" si="157"/>
        <v>23.2</v>
      </c>
      <c r="RC22" s="41">
        <f t="shared" si="158"/>
        <v>16</v>
      </c>
      <c r="RD22" s="41">
        <f t="shared" si="159"/>
        <v>59.650000000000006</v>
      </c>
      <c r="RE22" s="41">
        <f t="shared" si="160"/>
        <v>6</v>
      </c>
      <c r="RF22" s="41">
        <f t="shared" si="161"/>
        <v>23.800000000000004</v>
      </c>
      <c r="RG22" s="41">
        <f t="shared" si="162"/>
        <v>83.450000000000017</v>
      </c>
    </row>
    <row r="23" spans="1:475" x14ac:dyDescent="0.2">
      <c r="A23" s="4" t="str" cm="1">
        <f t="array" ref="A23">IF(AND(H23&lt;&gt;"",H23&lt;&gt;"No DD"),SUMPRODUCT((H$4:H$28&lt;&gt;"")*(H$4:H$28&lt;&gt;"No DD")*(E$4:E$28&gt;E23))+1,IF(H23="No DD",SUMPRODUCT((H$4:H$28="No DD")*(E$4:E$28&gt;E23))+1+SUMPRODUCT((H$4:H$28&lt;&gt;"")*(H$4:H$28&lt;&gt;"No DD")),""))</f>
        <v/>
      </c>
      <c r="B23" s="5" t="s">
        <v>133</v>
      </c>
      <c r="C23" s="4" t="s">
        <v>8</v>
      </c>
      <c r="D23" s="4">
        <v>2005</v>
      </c>
      <c r="E23" s="9">
        <f t="shared" si="163"/>
        <v>120.40000745000495</v>
      </c>
      <c r="F23" s="3" t="str">
        <f t="shared" si="0"/>
        <v/>
      </c>
      <c r="G23" s="3" t="str">
        <f t="shared" si="1"/>
        <v/>
      </c>
      <c r="H23" s="37" t="str">
        <f t="shared" si="2"/>
        <v/>
      </c>
      <c r="I23" s="3" t="str">
        <f t="shared" si="3"/>
        <v/>
      </c>
      <c r="J23" s="8">
        <f>IF(COUNT(AQ23,BT23,CW23)&gt;0,LARGE((AQ23,BT23,CW23),1),0)</f>
        <v>49.500000000000007</v>
      </c>
      <c r="K23" s="8" t="str">
        <f t="shared" si="4"/>
        <v>2023 Elite Canada</v>
      </c>
      <c r="L23" s="8">
        <f>IF(COUNT(AQ23,BT23,CW23)&gt;1,LARGE((AQ23,BT23,CW23),2),0)</f>
        <v>0</v>
      </c>
      <c r="M23" s="8" t="str">
        <f t="shared" si="5"/>
        <v/>
      </c>
      <c r="N23" s="8">
        <f>IF(COUNT(AR23,BU23,CX23)&gt;0,LARGE((AR23,BU23,CX23),1),0)</f>
        <v>25</v>
      </c>
      <c r="O23" s="8" t="str">
        <f t="shared" si="6"/>
        <v>2023 Elite Canada</v>
      </c>
      <c r="P23" s="8">
        <f t="shared" si="7"/>
        <v>45.9</v>
      </c>
      <c r="Q23" s="8" t="str">
        <f t="shared" si="8"/>
        <v>2023 Elite Canada</v>
      </c>
      <c r="R23" s="8" t="str">
        <f t="shared" si="9"/>
        <v/>
      </c>
      <c r="S23" s="11" t="str">
        <f t="shared" si="10"/>
        <v/>
      </c>
      <c r="T23" s="8" t="str">
        <f t="shared" si="11"/>
        <v/>
      </c>
      <c r="U23" s="19">
        <v>19.3</v>
      </c>
      <c r="V23" s="19">
        <v>6.8</v>
      </c>
      <c r="W23" s="19">
        <v>0.6</v>
      </c>
      <c r="X23" s="19">
        <v>0</v>
      </c>
      <c r="Y23" s="19">
        <v>18.8</v>
      </c>
      <c r="Z23" s="19">
        <v>5.6</v>
      </c>
      <c r="AA23" s="19">
        <v>0.4</v>
      </c>
      <c r="AB23" s="19">
        <v>0</v>
      </c>
      <c r="AC23" s="19">
        <v>18.8</v>
      </c>
      <c r="AD23" s="19">
        <v>6.8</v>
      </c>
      <c r="AE23" s="19">
        <v>0.6</v>
      </c>
      <c r="AF23" s="19">
        <v>0</v>
      </c>
      <c r="AG23" s="19">
        <v>19</v>
      </c>
      <c r="AH23" s="19">
        <v>5.2</v>
      </c>
      <c r="AI23" s="19">
        <v>1.6</v>
      </c>
      <c r="AJ23" s="19">
        <v>0</v>
      </c>
      <c r="AK23" s="19">
        <v>18.7</v>
      </c>
      <c r="AL23" s="19">
        <v>5.6</v>
      </c>
      <c r="AM23" s="19">
        <v>1</v>
      </c>
      <c r="AN23" s="19">
        <v>0</v>
      </c>
      <c r="AO23" s="28"/>
      <c r="AP23" s="41">
        <f t="shared" si="12"/>
        <v>12.399999999999999</v>
      </c>
      <c r="AQ23" s="41">
        <f t="shared" si="13"/>
        <v>49.500000000000007</v>
      </c>
      <c r="AR23" s="41">
        <f t="shared" si="14"/>
        <v>25</v>
      </c>
      <c r="AS23" s="41">
        <f t="shared" si="15"/>
        <v>19.2</v>
      </c>
      <c r="AT23" s="41">
        <f t="shared" si="16"/>
        <v>74.5</v>
      </c>
      <c r="AU23" s="41">
        <f t="shared" si="17"/>
        <v>10.8</v>
      </c>
      <c r="AV23" s="41">
        <f t="shared" si="18"/>
        <v>45.9</v>
      </c>
      <c r="AW23" s="41">
        <f t="shared" si="19"/>
        <v>120.4</v>
      </c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29"/>
      <c r="BS23" s="11" t="str">
        <f t="shared" si="20"/>
        <v/>
      </c>
      <c r="BT23" s="11" t="str">
        <f t="shared" si="21"/>
        <v/>
      </c>
      <c r="BU23" s="11" t="str">
        <f t="shared" si="22"/>
        <v/>
      </c>
      <c r="BV23" s="11" t="str">
        <f t="shared" si="23"/>
        <v/>
      </c>
      <c r="BW23" s="11" t="str">
        <f t="shared" si="24"/>
        <v/>
      </c>
      <c r="BX23" s="11" t="str">
        <f t="shared" si="25"/>
        <v/>
      </c>
      <c r="BY23" s="11" t="str">
        <f t="shared" si="26"/>
        <v/>
      </c>
      <c r="BZ23" s="11" t="str">
        <f t="shared" si="27"/>
        <v/>
      </c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28"/>
      <c r="CV23" s="41" t="str">
        <f t="shared" si="28"/>
        <v/>
      </c>
      <c r="CW23" s="41" t="str">
        <f t="shared" si="29"/>
        <v/>
      </c>
      <c r="CX23" s="41" t="str">
        <f t="shared" si="30"/>
        <v/>
      </c>
      <c r="CY23" s="41" t="str">
        <f t="shared" si="31"/>
        <v/>
      </c>
      <c r="CZ23" s="41" t="str">
        <f t="shared" si="32"/>
        <v/>
      </c>
      <c r="DA23" s="41" t="str">
        <f t="shared" si="33"/>
        <v/>
      </c>
      <c r="DB23" s="41" t="str">
        <f t="shared" si="34"/>
        <v/>
      </c>
      <c r="DC23" s="41" t="str">
        <f t="shared" si="35"/>
        <v/>
      </c>
      <c r="DD23" s="52" t="str">
        <f t="shared" si="36"/>
        <v/>
      </c>
      <c r="DE23" s="52" t="str">
        <f t="shared" si="37"/>
        <v/>
      </c>
      <c r="DF23" s="52" t="str">
        <f t="shared" si="38"/>
        <v/>
      </c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41" t="str">
        <f t="shared" si="39"/>
        <v/>
      </c>
      <c r="EB23" s="41" t="str">
        <f t="shared" si="40"/>
        <v/>
      </c>
      <c r="EC23" s="41" t="str">
        <f t="shared" si="41"/>
        <v/>
      </c>
      <c r="ED23" s="41" t="str">
        <f t="shared" si="42"/>
        <v/>
      </c>
      <c r="EE23" s="41" t="str">
        <f t="shared" si="43"/>
        <v/>
      </c>
      <c r="EF23" s="41" t="str">
        <f t="shared" si="44"/>
        <v/>
      </c>
      <c r="EG23" s="41" t="str">
        <f t="shared" si="45"/>
        <v/>
      </c>
      <c r="EH23" s="41" t="str">
        <f t="shared" si="46"/>
        <v/>
      </c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1" t="str">
        <f t="shared" si="47"/>
        <v/>
      </c>
      <c r="FD23" s="11" t="str">
        <f t="shared" si="48"/>
        <v/>
      </c>
      <c r="FE23" s="11" t="str">
        <f t="shared" si="49"/>
        <v/>
      </c>
      <c r="FF23" s="11" t="str">
        <f t="shared" si="50"/>
        <v/>
      </c>
      <c r="FG23" s="11" t="str">
        <f t="shared" si="51"/>
        <v/>
      </c>
      <c r="FH23" s="11" t="str">
        <f t="shared" si="52"/>
        <v/>
      </c>
      <c r="FI23" s="11" t="str">
        <f t="shared" si="53"/>
        <v/>
      </c>
      <c r="FJ23" s="11" t="str">
        <f t="shared" si="54"/>
        <v/>
      </c>
      <c r="FK23" s="17"/>
      <c r="FL23" s="17"/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41" t="str">
        <f t="shared" si="55"/>
        <v/>
      </c>
      <c r="GF23" s="41" t="str">
        <f t="shared" si="56"/>
        <v/>
      </c>
      <c r="GG23" s="41" t="str">
        <f t="shared" si="57"/>
        <v/>
      </c>
      <c r="GH23" s="41" t="str">
        <f t="shared" si="58"/>
        <v/>
      </c>
      <c r="GI23" s="41" t="str">
        <f t="shared" si="59"/>
        <v/>
      </c>
      <c r="GJ23" s="41" t="str">
        <f t="shared" si="60"/>
        <v/>
      </c>
      <c r="GK23" s="41" t="str">
        <f t="shared" si="61"/>
        <v/>
      </c>
      <c r="GL23" s="41" t="str">
        <f t="shared" si="62"/>
        <v/>
      </c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1" t="str">
        <f t="shared" si="63"/>
        <v/>
      </c>
      <c r="HH23" s="11" t="str">
        <f t="shared" si="64"/>
        <v/>
      </c>
      <c r="HI23" s="11" t="str">
        <f t="shared" si="65"/>
        <v/>
      </c>
      <c r="HJ23" s="11" t="str">
        <f t="shared" si="66"/>
        <v/>
      </c>
      <c r="HK23" s="11" t="str">
        <f t="shared" si="67"/>
        <v/>
      </c>
      <c r="HL23" s="11" t="str">
        <f t="shared" si="68"/>
        <v/>
      </c>
      <c r="HM23" s="11" t="str">
        <f t="shared" si="69"/>
        <v/>
      </c>
      <c r="HN23" s="11" t="str">
        <f t="shared" si="70"/>
        <v/>
      </c>
      <c r="HO23" s="17"/>
      <c r="HP23" s="17"/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41" t="str">
        <f t="shared" si="71"/>
        <v/>
      </c>
      <c r="IJ23" s="41" t="str">
        <f t="shared" si="72"/>
        <v/>
      </c>
      <c r="IK23" s="41" t="str">
        <f t="shared" si="73"/>
        <v/>
      </c>
      <c r="IL23" s="41" t="str">
        <f t="shared" si="74"/>
        <v/>
      </c>
      <c r="IM23" s="41" t="str">
        <f t="shared" si="75"/>
        <v/>
      </c>
      <c r="IN23" s="41" t="str">
        <f t="shared" si="76"/>
        <v/>
      </c>
      <c r="IO23" s="41" t="str">
        <f t="shared" si="77"/>
        <v/>
      </c>
      <c r="IP23" s="41" t="str">
        <f t="shared" si="78"/>
        <v/>
      </c>
      <c r="IQ23" s="18"/>
      <c r="IR23" s="18"/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1" t="str">
        <f t="shared" si="79"/>
        <v/>
      </c>
      <c r="JL23" s="11" t="str">
        <f t="shared" si="80"/>
        <v/>
      </c>
      <c r="JM23" s="11" t="str">
        <f t="shared" si="81"/>
        <v/>
      </c>
      <c r="JN23" s="11" t="str">
        <f t="shared" si="82"/>
        <v/>
      </c>
      <c r="JO23" s="11" t="str">
        <f t="shared" si="83"/>
        <v/>
      </c>
      <c r="JP23" s="11" t="str">
        <f t="shared" si="84"/>
        <v/>
      </c>
      <c r="JQ23" s="11" t="str">
        <f t="shared" si="85"/>
        <v/>
      </c>
      <c r="JR23" s="11" t="str">
        <f t="shared" si="86"/>
        <v/>
      </c>
      <c r="JS23" s="17"/>
      <c r="JT23" s="17"/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41" t="str">
        <f t="shared" si="87"/>
        <v/>
      </c>
      <c r="KN23" s="41" t="str">
        <f t="shared" si="88"/>
        <v/>
      </c>
      <c r="KO23" s="41" t="str">
        <f t="shared" si="89"/>
        <v/>
      </c>
      <c r="KP23" s="41" t="str">
        <f t="shared" si="90"/>
        <v/>
      </c>
      <c r="KQ23" s="41" t="str">
        <f t="shared" si="91"/>
        <v/>
      </c>
      <c r="KR23" s="41" t="str">
        <f t="shared" si="92"/>
        <v/>
      </c>
      <c r="KS23" s="41" t="str">
        <f t="shared" si="93"/>
        <v/>
      </c>
      <c r="KT23" s="41" t="str">
        <f t="shared" si="94"/>
        <v/>
      </c>
      <c r="KU23" s="18"/>
      <c r="KV23" s="18"/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1" t="str">
        <f t="shared" si="95"/>
        <v/>
      </c>
      <c r="LP23" s="11" t="str">
        <f t="shared" si="96"/>
        <v/>
      </c>
      <c r="LQ23" s="11" t="str">
        <f t="shared" si="97"/>
        <v/>
      </c>
      <c r="LR23" s="11" t="str">
        <f t="shared" si="98"/>
        <v/>
      </c>
      <c r="LS23" s="11" t="str">
        <f t="shared" si="99"/>
        <v/>
      </c>
      <c r="LT23" s="11" t="str">
        <f t="shared" si="100"/>
        <v/>
      </c>
      <c r="LU23" s="11" t="str">
        <f t="shared" si="101"/>
        <v/>
      </c>
      <c r="LV23" s="11" t="str">
        <f t="shared" si="102"/>
        <v/>
      </c>
      <c r="LW23" s="17"/>
      <c r="LX23" s="17"/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41" t="str">
        <f t="shared" si="103"/>
        <v/>
      </c>
      <c r="MR23" s="41" t="str">
        <f t="shared" si="104"/>
        <v/>
      </c>
      <c r="MS23" s="41" t="str">
        <f t="shared" si="105"/>
        <v/>
      </c>
      <c r="MT23" s="41" t="str">
        <f t="shared" si="106"/>
        <v/>
      </c>
      <c r="MU23" s="41" t="str">
        <f t="shared" si="107"/>
        <v/>
      </c>
      <c r="MV23" s="41" t="str">
        <f t="shared" si="108"/>
        <v/>
      </c>
      <c r="MW23" s="41" t="str">
        <f t="shared" si="109"/>
        <v/>
      </c>
      <c r="MX23" s="41" t="str">
        <f t="shared" si="110"/>
        <v/>
      </c>
      <c r="MY23" s="18"/>
      <c r="MZ23" s="18"/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1" t="str">
        <f t="shared" si="111"/>
        <v/>
      </c>
      <c r="NT23" s="11" t="str">
        <f t="shared" si="112"/>
        <v/>
      </c>
      <c r="NU23" s="11" t="str">
        <f t="shared" si="113"/>
        <v/>
      </c>
      <c r="NV23" s="11" t="str">
        <f t="shared" si="114"/>
        <v/>
      </c>
      <c r="NW23" s="11" t="str">
        <f t="shared" si="115"/>
        <v/>
      </c>
      <c r="NX23" s="11" t="str">
        <f t="shared" si="116"/>
        <v/>
      </c>
      <c r="NY23" s="11" t="str">
        <f t="shared" si="117"/>
        <v/>
      </c>
      <c r="NZ23" s="11" t="str">
        <f t="shared" si="118"/>
        <v/>
      </c>
      <c r="OA23" s="17"/>
      <c r="OB23" s="17"/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41" t="str">
        <f t="shared" si="119"/>
        <v/>
      </c>
      <c r="OV23" s="41" t="str">
        <f t="shared" si="120"/>
        <v/>
      </c>
      <c r="OW23" s="41" t="str">
        <f t="shared" si="121"/>
        <v/>
      </c>
      <c r="OX23" s="41" t="str">
        <f t="shared" si="122"/>
        <v/>
      </c>
      <c r="OY23" s="41" t="str">
        <f t="shared" si="123"/>
        <v/>
      </c>
      <c r="OZ23" s="41" t="str">
        <f t="shared" si="124"/>
        <v/>
      </c>
      <c r="PA23" s="41" t="str">
        <f t="shared" si="125"/>
        <v/>
      </c>
      <c r="PB23" s="41" t="str">
        <f t="shared" si="126"/>
        <v/>
      </c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1" t="str">
        <f t="shared" si="127"/>
        <v/>
      </c>
      <c r="PX23" s="11" t="str">
        <f t="shared" si="128"/>
        <v/>
      </c>
      <c r="PY23" s="11" t="str">
        <f t="shared" si="129"/>
        <v/>
      </c>
      <c r="PZ23" s="11" t="str">
        <f t="shared" si="130"/>
        <v/>
      </c>
      <c r="QA23" s="11" t="str">
        <f t="shared" si="131"/>
        <v/>
      </c>
      <c r="QB23" s="11" t="str">
        <f t="shared" si="132"/>
        <v/>
      </c>
      <c r="QC23" s="11" t="str">
        <f t="shared" si="133"/>
        <v/>
      </c>
      <c r="QD23" s="11" t="str">
        <f t="shared" si="134"/>
        <v/>
      </c>
      <c r="QE23" s="23">
        <f t="shared" si="135"/>
        <v>0</v>
      </c>
      <c r="QF23" s="23">
        <f t="shared" si="136"/>
        <v>0</v>
      </c>
      <c r="QG23" s="23">
        <f t="shared" si="137"/>
        <v>0</v>
      </c>
      <c r="QH23" s="23">
        <f t="shared" si="138"/>
        <v>0</v>
      </c>
      <c r="QI23" s="23">
        <f t="shared" si="139"/>
        <v>0</v>
      </c>
      <c r="QJ23" s="23">
        <f t="shared" si="140"/>
        <v>0</v>
      </c>
      <c r="QK23" s="23">
        <f t="shared" si="141"/>
        <v>0</v>
      </c>
      <c r="QL23" s="23">
        <f t="shared" si="142"/>
        <v>0</v>
      </c>
      <c r="QM23" s="23">
        <f t="shared" si="143"/>
        <v>0</v>
      </c>
      <c r="QN23" s="23">
        <f t="shared" si="144"/>
        <v>0</v>
      </c>
      <c r="QO23" s="23">
        <f t="shared" si="145"/>
        <v>0</v>
      </c>
      <c r="QP23" s="23">
        <f t="shared" si="146"/>
        <v>0</v>
      </c>
      <c r="QQ23" s="23">
        <f t="shared" si="147"/>
        <v>0</v>
      </c>
      <c r="QR23" s="23">
        <f t="shared" si="148"/>
        <v>0</v>
      </c>
      <c r="QS23" s="23">
        <f t="shared" si="149"/>
        <v>0</v>
      </c>
      <c r="QT23" s="23">
        <f t="shared" si="150"/>
        <v>0</v>
      </c>
      <c r="QU23" s="23">
        <f t="shared" si="151"/>
        <v>0</v>
      </c>
      <c r="QV23" s="23">
        <f t="shared" si="152"/>
        <v>0</v>
      </c>
      <c r="QW23" s="23">
        <f t="shared" si="153"/>
        <v>0</v>
      </c>
      <c r="QX23" s="23">
        <f t="shared" si="154"/>
        <v>0</v>
      </c>
      <c r="QY23" s="28" t="s">
        <v>57</v>
      </c>
      <c r="QZ23" s="41" t="str">
        <f t="shared" si="155"/>
        <v/>
      </c>
      <c r="RA23" s="41" t="str">
        <f t="shared" si="156"/>
        <v/>
      </c>
      <c r="RB23" s="41" t="str">
        <f t="shared" si="157"/>
        <v/>
      </c>
      <c r="RC23" s="41" t="str">
        <f t="shared" si="158"/>
        <v/>
      </c>
      <c r="RD23" s="41" t="str">
        <f t="shared" si="159"/>
        <v/>
      </c>
      <c r="RE23" s="41" t="str">
        <f t="shared" si="160"/>
        <v/>
      </c>
      <c r="RF23" s="41" t="str">
        <f t="shared" si="161"/>
        <v/>
      </c>
      <c r="RG23" s="41" t="str">
        <f t="shared" si="162"/>
        <v/>
      </c>
    </row>
    <row r="24" spans="1:475" x14ac:dyDescent="0.2">
      <c r="A24" s="4" t="str" cm="1">
        <f t="array" ref="A24">IF(AND(H24&lt;&gt;"",H24&lt;&gt;"No DD"),SUMPRODUCT((H$4:H$28&lt;&gt;"")*(H$4:H$28&lt;&gt;"No DD")*(E$4:E$28&gt;E24))+1,IF(H24="No DD",SUMPRODUCT((H$4:H$28="No DD")*(E$4:E$28&gt;E24))+1+SUMPRODUCT((H$4:H$28&lt;&gt;"")*(H$4:H$28&lt;&gt;"No DD")),""))</f>
        <v/>
      </c>
      <c r="B24" s="5" t="s">
        <v>192</v>
      </c>
      <c r="C24" s="4" t="s">
        <v>6</v>
      </c>
      <c r="D24" s="4">
        <v>2005</v>
      </c>
      <c r="E24" s="9">
        <f t="shared" si="163"/>
        <v>120.30001203000496</v>
      </c>
      <c r="F24" s="3" t="str">
        <f t="shared" si="0"/>
        <v/>
      </c>
      <c r="G24" s="3" t="str">
        <f t="shared" si="1"/>
        <v/>
      </c>
      <c r="H24" s="37" t="str">
        <f t="shared" si="2"/>
        <v/>
      </c>
      <c r="I24" s="3" t="str">
        <f t="shared" si="3"/>
        <v/>
      </c>
      <c r="J24" s="8">
        <f>IF(COUNT(AQ24,BT24,CW24)&gt;0,LARGE((AQ24,BT24,CW24),1),0)</f>
        <v>49.7</v>
      </c>
      <c r="K24" s="8" t="str">
        <f t="shared" si="4"/>
        <v>2023 Elite Canada</v>
      </c>
      <c r="L24" s="8">
        <f>IF(COUNT(AQ24,BT24,CW24)&gt;1,LARGE((AQ24,BT24,CW24),2),0)</f>
        <v>44.300000000000004</v>
      </c>
      <c r="M24" s="8" t="str">
        <f t="shared" si="5"/>
        <v>2023 Domestic 3rd Trial</v>
      </c>
      <c r="N24" s="8">
        <f>IF(COUNT(AR24,BU24,CX24)&gt;0,LARGE((AR24,BU24,CX24),1),0)</f>
        <v>26.299999999999997</v>
      </c>
      <c r="O24" s="8" t="str">
        <f t="shared" si="6"/>
        <v>2023 Domestic 3rd Trial</v>
      </c>
      <c r="P24" s="8">
        <f t="shared" si="7"/>
        <v>0</v>
      </c>
      <c r="Q24" s="8" t="str">
        <f t="shared" si="8"/>
        <v/>
      </c>
      <c r="R24" s="8" t="str">
        <f t="shared" si="9"/>
        <v/>
      </c>
      <c r="S24" s="11" t="str">
        <f t="shared" si="10"/>
        <v/>
      </c>
      <c r="T24" s="8" t="str">
        <f t="shared" si="11"/>
        <v/>
      </c>
      <c r="U24" s="19">
        <v>18.5</v>
      </c>
      <c r="V24" s="19">
        <v>7.2</v>
      </c>
      <c r="W24" s="19">
        <v>0</v>
      </c>
      <c r="X24" s="19">
        <v>0</v>
      </c>
      <c r="Y24" s="19">
        <v>18</v>
      </c>
      <c r="Z24" s="19">
        <v>6.8</v>
      </c>
      <c r="AA24" s="19">
        <v>0.8</v>
      </c>
      <c r="AB24" s="19">
        <v>0</v>
      </c>
      <c r="AC24" s="19">
        <v>17.600000000000001</v>
      </c>
      <c r="AD24" s="19">
        <v>4.4000000000000004</v>
      </c>
      <c r="AE24" s="19">
        <v>1.2</v>
      </c>
      <c r="AF24" s="19">
        <v>0</v>
      </c>
      <c r="AG24" s="19"/>
      <c r="AH24" s="19"/>
      <c r="AI24" s="19"/>
      <c r="AJ24" s="19"/>
      <c r="AK24" s="19"/>
      <c r="AL24" s="19"/>
      <c r="AM24" s="19"/>
      <c r="AN24" s="19"/>
      <c r="AO24" s="28"/>
      <c r="AP24" s="41">
        <f t="shared" si="12"/>
        <v>14</v>
      </c>
      <c r="AQ24" s="41">
        <f t="shared" si="13"/>
        <v>49.7</v>
      </c>
      <c r="AR24" s="41">
        <f t="shared" si="14"/>
        <v>20.8</v>
      </c>
      <c r="AS24" s="41">
        <f t="shared" si="15"/>
        <v>18.399999999999999</v>
      </c>
      <c r="AT24" s="41">
        <f t="shared" si="16"/>
        <v>70.5</v>
      </c>
      <c r="AU24" s="41" t="str">
        <f t="shared" si="17"/>
        <v/>
      </c>
      <c r="AV24" s="41" t="str">
        <f t="shared" si="18"/>
        <v/>
      </c>
      <c r="AW24" s="41">
        <f t="shared" si="19"/>
        <v>70.5</v>
      </c>
      <c r="AX24" s="18">
        <v>16.8</v>
      </c>
      <c r="AY24" s="18">
        <v>3.4</v>
      </c>
      <c r="AZ24" s="18">
        <v>1.8</v>
      </c>
      <c r="BA24" s="18">
        <v>0</v>
      </c>
      <c r="BB24" s="18">
        <v>0</v>
      </c>
      <c r="BC24" s="18">
        <v>0</v>
      </c>
      <c r="BD24" s="18">
        <v>0</v>
      </c>
      <c r="BE24" s="18">
        <v>0</v>
      </c>
      <c r="BF24" s="18">
        <v>0</v>
      </c>
      <c r="BG24" s="18">
        <v>0</v>
      </c>
      <c r="BH24" s="18">
        <v>0</v>
      </c>
      <c r="BI24" s="18">
        <v>0</v>
      </c>
      <c r="BJ24" s="18"/>
      <c r="BK24" s="18"/>
      <c r="BL24" s="18"/>
      <c r="BM24" s="18"/>
      <c r="BN24" s="18"/>
      <c r="BO24" s="18"/>
      <c r="BP24" s="18"/>
      <c r="BQ24" s="18"/>
      <c r="BR24" s="29"/>
      <c r="BS24" s="11">
        <f t="shared" si="20"/>
        <v>3.4</v>
      </c>
      <c r="BT24" s="11">
        <f t="shared" si="21"/>
        <v>18.399999999999999</v>
      </c>
      <c r="BU24" s="11" t="str">
        <f t="shared" si="22"/>
        <v/>
      </c>
      <c r="BV24" s="11">
        <f t="shared" si="23"/>
        <v>3.4</v>
      </c>
      <c r="BW24" s="11">
        <f t="shared" si="24"/>
        <v>18.399999999999999</v>
      </c>
      <c r="BX24" s="11" t="str">
        <f t="shared" si="25"/>
        <v/>
      </c>
      <c r="BY24" s="11" t="str">
        <f t="shared" si="26"/>
        <v/>
      </c>
      <c r="BZ24" s="11">
        <f t="shared" si="27"/>
        <v>18.399999999999999</v>
      </c>
      <c r="CA24" s="19">
        <v>18.100000000000001</v>
      </c>
      <c r="CB24" s="19">
        <v>6.8</v>
      </c>
      <c r="CC24" s="19">
        <v>0</v>
      </c>
      <c r="CD24" s="19">
        <v>0</v>
      </c>
      <c r="CE24" s="19">
        <v>17</v>
      </c>
      <c r="CF24" s="19">
        <v>2.4</v>
      </c>
      <c r="CG24" s="19">
        <v>0</v>
      </c>
      <c r="CH24" s="19">
        <v>0</v>
      </c>
      <c r="CI24" s="19">
        <v>18.2</v>
      </c>
      <c r="CJ24" s="19">
        <v>8.1</v>
      </c>
      <c r="CK24" s="19">
        <v>0</v>
      </c>
      <c r="CL24" s="19">
        <v>0</v>
      </c>
      <c r="CM24" s="19"/>
      <c r="CN24" s="19"/>
      <c r="CO24" s="19"/>
      <c r="CP24" s="19"/>
      <c r="CQ24" s="19"/>
      <c r="CR24" s="19"/>
      <c r="CS24" s="19"/>
      <c r="CT24" s="19"/>
      <c r="CU24" s="28"/>
      <c r="CV24" s="41">
        <f t="shared" si="28"/>
        <v>9.1999999999999993</v>
      </c>
      <c r="CW24" s="41">
        <f t="shared" si="29"/>
        <v>44.300000000000004</v>
      </c>
      <c r="CX24" s="41">
        <f t="shared" si="30"/>
        <v>26.299999999999997</v>
      </c>
      <c r="CY24" s="41">
        <f t="shared" si="31"/>
        <v>17.299999999999997</v>
      </c>
      <c r="CZ24" s="41">
        <f t="shared" si="32"/>
        <v>70.599999999999994</v>
      </c>
      <c r="DA24" s="41" t="str">
        <f t="shared" si="33"/>
        <v/>
      </c>
      <c r="DB24" s="41" t="str">
        <f t="shared" si="34"/>
        <v/>
      </c>
      <c r="DC24" s="41">
        <f t="shared" si="35"/>
        <v>70.599999999999994</v>
      </c>
      <c r="DD24" s="52" t="str">
        <f t="shared" si="36"/>
        <v/>
      </c>
      <c r="DE24" s="52" t="str">
        <f t="shared" si="37"/>
        <v/>
      </c>
      <c r="DF24" s="52" t="str">
        <f t="shared" si="38"/>
        <v/>
      </c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41" t="str">
        <f t="shared" si="39"/>
        <v/>
      </c>
      <c r="EB24" s="41" t="str">
        <f t="shared" si="40"/>
        <v/>
      </c>
      <c r="EC24" s="41" t="str">
        <f t="shared" si="41"/>
        <v/>
      </c>
      <c r="ED24" s="41" t="str">
        <f t="shared" si="42"/>
        <v/>
      </c>
      <c r="EE24" s="41" t="str">
        <f t="shared" si="43"/>
        <v/>
      </c>
      <c r="EF24" s="41" t="str">
        <f t="shared" si="44"/>
        <v/>
      </c>
      <c r="EG24" s="41" t="str">
        <f t="shared" si="45"/>
        <v/>
      </c>
      <c r="EH24" s="41" t="str">
        <f t="shared" si="46"/>
        <v/>
      </c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1" t="str">
        <f t="shared" si="47"/>
        <v/>
      </c>
      <c r="FD24" s="11" t="str">
        <f t="shared" si="48"/>
        <v/>
      </c>
      <c r="FE24" s="11" t="str">
        <f t="shared" si="49"/>
        <v/>
      </c>
      <c r="FF24" s="11" t="str">
        <f t="shared" si="50"/>
        <v/>
      </c>
      <c r="FG24" s="11" t="str">
        <f t="shared" si="51"/>
        <v/>
      </c>
      <c r="FH24" s="11" t="str">
        <f t="shared" si="52"/>
        <v/>
      </c>
      <c r="FI24" s="11" t="str">
        <f t="shared" si="53"/>
        <v/>
      </c>
      <c r="FJ24" s="11" t="str">
        <f t="shared" si="54"/>
        <v/>
      </c>
      <c r="FK24" s="17"/>
      <c r="FL24" s="17"/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41" t="str">
        <f t="shared" si="55"/>
        <v/>
      </c>
      <c r="GF24" s="41" t="str">
        <f t="shared" si="56"/>
        <v/>
      </c>
      <c r="GG24" s="41" t="str">
        <f t="shared" si="57"/>
        <v/>
      </c>
      <c r="GH24" s="41" t="str">
        <f t="shared" si="58"/>
        <v/>
      </c>
      <c r="GI24" s="41" t="str">
        <f t="shared" si="59"/>
        <v/>
      </c>
      <c r="GJ24" s="41" t="str">
        <f t="shared" si="60"/>
        <v/>
      </c>
      <c r="GK24" s="41" t="str">
        <f t="shared" si="61"/>
        <v/>
      </c>
      <c r="GL24" s="41" t="str">
        <f t="shared" si="62"/>
        <v/>
      </c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1" t="str">
        <f t="shared" si="63"/>
        <v/>
      </c>
      <c r="HH24" s="11" t="str">
        <f t="shared" si="64"/>
        <v/>
      </c>
      <c r="HI24" s="11" t="str">
        <f t="shared" si="65"/>
        <v/>
      </c>
      <c r="HJ24" s="11" t="str">
        <f t="shared" si="66"/>
        <v/>
      </c>
      <c r="HK24" s="11" t="str">
        <f t="shared" si="67"/>
        <v/>
      </c>
      <c r="HL24" s="11" t="str">
        <f t="shared" si="68"/>
        <v/>
      </c>
      <c r="HM24" s="11" t="str">
        <f t="shared" si="69"/>
        <v/>
      </c>
      <c r="HN24" s="11" t="str">
        <f t="shared" si="70"/>
        <v/>
      </c>
      <c r="HO24" s="17"/>
      <c r="HP24" s="17"/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41" t="str">
        <f t="shared" si="71"/>
        <v/>
      </c>
      <c r="IJ24" s="41" t="str">
        <f t="shared" si="72"/>
        <v/>
      </c>
      <c r="IK24" s="41" t="str">
        <f t="shared" si="73"/>
        <v/>
      </c>
      <c r="IL24" s="41" t="str">
        <f t="shared" si="74"/>
        <v/>
      </c>
      <c r="IM24" s="41" t="str">
        <f t="shared" si="75"/>
        <v/>
      </c>
      <c r="IN24" s="41" t="str">
        <f t="shared" si="76"/>
        <v/>
      </c>
      <c r="IO24" s="41" t="str">
        <f t="shared" si="77"/>
        <v/>
      </c>
      <c r="IP24" s="41" t="str">
        <f t="shared" si="78"/>
        <v/>
      </c>
      <c r="IQ24" s="18"/>
      <c r="IR24" s="18"/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1" t="str">
        <f t="shared" si="79"/>
        <v/>
      </c>
      <c r="JL24" s="11" t="str">
        <f t="shared" si="80"/>
        <v/>
      </c>
      <c r="JM24" s="11" t="str">
        <f t="shared" si="81"/>
        <v/>
      </c>
      <c r="JN24" s="11" t="str">
        <f t="shared" si="82"/>
        <v/>
      </c>
      <c r="JO24" s="11" t="str">
        <f t="shared" si="83"/>
        <v/>
      </c>
      <c r="JP24" s="11" t="str">
        <f t="shared" si="84"/>
        <v/>
      </c>
      <c r="JQ24" s="11" t="str">
        <f t="shared" si="85"/>
        <v/>
      </c>
      <c r="JR24" s="11" t="str">
        <f t="shared" si="86"/>
        <v/>
      </c>
      <c r="JS24" s="17"/>
      <c r="JT24" s="17"/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41" t="str">
        <f t="shared" si="87"/>
        <v/>
      </c>
      <c r="KN24" s="41" t="str">
        <f t="shared" si="88"/>
        <v/>
      </c>
      <c r="KO24" s="41" t="str">
        <f t="shared" si="89"/>
        <v/>
      </c>
      <c r="KP24" s="41" t="str">
        <f t="shared" si="90"/>
        <v/>
      </c>
      <c r="KQ24" s="41" t="str">
        <f t="shared" si="91"/>
        <v/>
      </c>
      <c r="KR24" s="41" t="str">
        <f t="shared" si="92"/>
        <v/>
      </c>
      <c r="KS24" s="41" t="str">
        <f t="shared" si="93"/>
        <v/>
      </c>
      <c r="KT24" s="41" t="str">
        <f t="shared" si="94"/>
        <v/>
      </c>
      <c r="KU24" s="18"/>
      <c r="KV24" s="18"/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1" t="str">
        <f t="shared" si="95"/>
        <v/>
      </c>
      <c r="LP24" s="11" t="str">
        <f t="shared" si="96"/>
        <v/>
      </c>
      <c r="LQ24" s="11" t="str">
        <f t="shared" si="97"/>
        <v/>
      </c>
      <c r="LR24" s="11" t="str">
        <f t="shared" si="98"/>
        <v/>
      </c>
      <c r="LS24" s="11" t="str">
        <f t="shared" si="99"/>
        <v/>
      </c>
      <c r="LT24" s="11" t="str">
        <f t="shared" si="100"/>
        <v/>
      </c>
      <c r="LU24" s="11" t="str">
        <f t="shared" si="101"/>
        <v/>
      </c>
      <c r="LV24" s="11" t="str">
        <f t="shared" si="102"/>
        <v/>
      </c>
      <c r="LW24" s="17"/>
      <c r="LX24" s="17"/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41" t="str">
        <f t="shared" si="103"/>
        <v/>
      </c>
      <c r="MR24" s="41" t="str">
        <f t="shared" si="104"/>
        <v/>
      </c>
      <c r="MS24" s="41" t="str">
        <f t="shared" si="105"/>
        <v/>
      </c>
      <c r="MT24" s="41" t="str">
        <f t="shared" si="106"/>
        <v/>
      </c>
      <c r="MU24" s="41" t="str">
        <f t="shared" si="107"/>
        <v/>
      </c>
      <c r="MV24" s="41" t="str">
        <f t="shared" si="108"/>
        <v/>
      </c>
      <c r="MW24" s="41" t="str">
        <f t="shared" si="109"/>
        <v/>
      </c>
      <c r="MX24" s="41" t="str">
        <f t="shared" si="110"/>
        <v/>
      </c>
      <c r="MY24" s="18"/>
      <c r="MZ24" s="18"/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1" t="str">
        <f t="shared" si="111"/>
        <v/>
      </c>
      <c r="NT24" s="11" t="str">
        <f t="shared" si="112"/>
        <v/>
      </c>
      <c r="NU24" s="11" t="str">
        <f t="shared" si="113"/>
        <v/>
      </c>
      <c r="NV24" s="11" t="str">
        <f t="shared" si="114"/>
        <v/>
      </c>
      <c r="NW24" s="11" t="str">
        <f t="shared" si="115"/>
        <v/>
      </c>
      <c r="NX24" s="11" t="str">
        <f t="shared" si="116"/>
        <v/>
      </c>
      <c r="NY24" s="11" t="str">
        <f t="shared" si="117"/>
        <v/>
      </c>
      <c r="NZ24" s="11" t="str">
        <f t="shared" si="118"/>
        <v/>
      </c>
      <c r="OA24" s="17"/>
      <c r="OB24" s="17"/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41" t="str">
        <f t="shared" si="119"/>
        <v/>
      </c>
      <c r="OV24" s="41" t="str">
        <f t="shared" si="120"/>
        <v/>
      </c>
      <c r="OW24" s="41" t="str">
        <f t="shared" si="121"/>
        <v/>
      </c>
      <c r="OX24" s="41" t="str">
        <f t="shared" si="122"/>
        <v/>
      </c>
      <c r="OY24" s="41" t="str">
        <f t="shared" si="123"/>
        <v/>
      </c>
      <c r="OZ24" s="41" t="str">
        <f t="shared" si="124"/>
        <v/>
      </c>
      <c r="PA24" s="41" t="str">
        <f t="shared" si="125"/>
        <v/>
      </c>
      <c r="PB24" s="41" t="str">
        <f t="shared" si="126"/>
        <v/>
      </c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1" t="str">
        <f t="shared" si="127"/>
        <v/>
      </c>
      <c r="PX24" s="11" t="str">
        <f t="shared" si="128"/>
        <v/>
      </c>
      <c r="PY24" s="11" t="str">
        <f t="shared" si="129"/>
        <v/>
      </c>
      <c r="PZ24" s="11" t="str">
        <f t="shared" si="130"/>
        <v/>
      </c>
      <c r="QA24" s="11" t="str">
        <f t="shared" si="131"/>
        <v/>
      </c>
      <c r="QB24" s="11" t="str">
        <f t="shared" si="132"/>
        <v/>
      </c>
      <c r="QC24" s="11" t="str">
        <f t="shared" si="133"/>
        <v/>
      </c>
      <c r="QD24" s="11" t="str">
        <f t="shared" si="134"/>
        <v/>
      </c>
      <c r="QE24" s="23">
        <f t="shared" si="135"/>
        <v>17.450000000000003</v>
      </c>
      <c r="QF24" s="23">
        <f t="shared" si="136"/>
        <v>5.0999999999999996</v>
      </c>
      <c r="QG24" s="23">
        <f t="shared" si="137"/>
        <v>0.9</v>
      </c>
      <c r="QH24" s="23">
        <f t="shared" si="138"/>
        <v>0</v>
      </c>
      <c r="QI24" s="23">
        <f t="shared" si="139"/>
        <v>8.5</v>
      </c>
      <c r="QJ24" s="23">
        <f t="shared" si="140"/>
        <v>1.2</v>
      </c>
      <c r="QK24" s="23">
        <f t="shared" si="141"/>
        <v>0</v>
      </c>
      <c r="QL24" s="23">
        <f t="shared" si="142"/>
        <v>0</v>
      </c>
      <c r="QM24" s="23">
        <f t="shared" si="143"/>
        <v>9.1</v>
      </c>
      <c r="QN24" s="23">
        <f t="shared" si="144"/>
        <v>4.05</v>
      </c>
      <c r="QO24" s="23">
        <f t="shared" si="145"/>
        <v>0</v>
      </c>
      <c r="QP24" s="23">
        <f t="shared" si="146"/>
        <v>0</v>
      </c>
      <c r="QQ24" s="23">
        <f t="shared" si="147"/>
        <v>0</v>
      </c>
      <c r="QR24" s="23">
        <f t="shared" si="148"/>
        <v>0</v>
      </c>
      <c r="QS24" s="23">
        <f t="shared" si="149"/>
        <v>0</v>
      </c>
      <c r="QT24" s="23">
        <f t="shared" si="150"/>
        <v>0</v>
      </c>
      <c r="QU24" s="23">
        <f t="shared" si="151"/>
        <v>0</v>
      </c>
      <c r="QV24" s="23">
        <f t="shared" si="152"/>
        <v>0</v>
      </c>
      <c r="QW24" s="23">
        <f t="shared" si="153"/>
        <v>0</v>
      </c>
      <c r="QX24" s="23">
        <f t="shared" si="154"/>
        <v>0</v>
      </c>
      <c r="QY24" s="28" t="s">
        <v>57</v>
      </c>
      <c r="QZ24" s="41">
        <f t="shared" si="155"/>
        <v>6.3</v>
      </c>
      <c r="RA24" s="41">
        <f t="shared" si="156"/>
        <v>31.350000000000009</v>
      </c>
      <c r="RB24" s="41">
        <f t="shared" si="157"/>
        <v>13.149999999999999</v>
      </c>
      <c r="RC24" s="41">
        <f t="shared" si="158"/>
        <v>10.35</v>
      </c>
      <c r="RD24" s="41">
        <f t="shared" si="159"/>
        <v>44.500000000000007</v>
      </c>
      <c r="RE24" s="41" t="str">
        <f t="shared" si="160"/>
        <v/>
      </c>
      <c r="RF24" s="41" t="str">
        <f t="shared" si="161"/>
        <v/>
      </c>
      <c r="RG24" s="41">
        <f t="shared" si="162"/>
        <v>44.500000000000007</v>
      </c>
    </row>
    <row r="25" spans="1:475" x14ac:dyDescent="0.2">
      <c r="A25" s="4" t="str" cm="1">
        <f t="array" ref="A25">IF(AND(H25&lt;&gt;"",H25&lt;&gt;"No DD"),SUMPRODUCT((H$4:H$28&lt;&gt;"")*(H$4:H$28&lt;&gt;"No DD")*(E$4:E$28&gt;E25))+1,IF(H25="No DD",SUMPRODUCT((H$4:H$28="No DD")*(E$4:E$28&gt;E25))+1+SUMPRODUCT((H$4:H$28&lt;&gt;"")*(H$4:H$28&lt;&gt;"No DD")),""))</f>
        <v/>
      </c>
      <c r="B25" s="5" t="s">
        <v>135</v>
      </c>
      <c r="C25" s="4" t="s">
        <v>6</v>
      </c>
      <c r="D25" s="4">
        <v>2001</v>
      </c>
      <c r="E25" s="9">
        <f t="shared" si="163"/>
        <v>70.10000701000493</v>
      </c>
      <c r="F25" s="3" t="str">
        <f t="shared" si="0"/>
        <v/>
      </c>
      <c r="G25" s="3" t="str">
        <f t="shared" si="1"/>
        <v/>
      </c>
      <c r="H25" s="37" t="str">
        <f t="shared" si="2"/>
        <v/>
      </c>
      <c r="I25" s="3" t="str">
        <f t="shared" si="3"/>
        <v/>
      </c>
      <c r="J25" s="8">
        <f>IF(COUNT(AQ25,BT25,CW25)&gt;0,LARGE((AQ25,BT25,CW25),1),0)</f>
        <v>49.2</v>
      </c>
      <c r="K25" s="8" t="str">
        <f t="shared" si="4"/>
        <v>2023 Elite Canada</v>
      </c>
      <c r="L25" s="8">
        <f>IF(COUNT(AQ25,BT25,CW25)&gt;1,LARGE((AQ25,BT25,CW25),2),0)</f>
        <v>0</v>
      </c>
      <c r="M25" s="8" t="str">
        <f t="shared" si="5"/>
        <v/>
      </c>
      <c r="N25" s="8">
        <f>IF(COUNT(AR25,BU25,CX25)&gt;0,LARGE((AR25,BU25,CX25),1),0)</f>
        <v>20.900000000000002</v>
      </c>
      <c r="O25" s="8" t="str">
        <f t="shared" si="6"/>
        <v>2023 Elite Canada</v>
      </c>
      <c r="P25" s="8">
        <f t="shared" si="7"/>
        <v>0</v>
      </c>
      <c r="Q25" s="8" t="str">
        <f t="shared" si="8"/>
        <v/>
      </c>
      <c r="R25" s="8" t="str">
        <f t="shared" si="9"/>
        <v/>
      </c>
      <c r="S25" s="11" t="str">
        <f t="shared" si="10"/>
        <v/>
      </c>
      <c r="T25" s="8" t="str">
        <f t="shared" si="11"/>
        <v/>
      </c>
      <c r="U25" s="19">
        <v>18.8</v>
      </c>
      <c r="V25" s="19">
        <v>7.2</v>
      </c>
      <c r="W25" s="19">
        <v>0.6</v>
      </c>
      <c r="X25" s="19">
        <v>0</v>
      </c>
      <c r="Y25" s="19">
        <v>18.600000000000001</v>
      </c>
      <c r="Z25" s="19">
        <v>6</v>
      </c>
      <c r="AA25" s="19">
        <v>0.8</v>
      </c>
      <c r="AB25" s="19">
        <v>0</v>
      </c>
      <c r="AC25" s="19">
        <v>16.5</v>
      </c>
      <c r="AD25" s="19">
        <v>5.0999999999999996</v>
      </c>
      <c r="AE25" s="19">
        <v>1</v>
      </c>
      <c r="AF25" s="19">
        <v>0.3</v>
      </c>
      <c r="AG25" s="19"/>
      <c r="AH25" s="19"/>
      <c r="AI25" s="19"/>
      <c r="AJ25" s="19"/>
      <c r="AK25" s="19"/>
      <c r="AL25" s="19"/>
      <c r="AM25" s="19"/>
      <c r="AN25" s="19"/>
      <c r="AO25" s="28"/>
      <c r="AP25" s="41">
        <f t="shared" si="12"/>
        <v>13.2</v>
      </c>
      <c r="AQ25" s="41">
        <f t="shared" si="13"/>
        <v>49.2</v>
      </c>
      <c r="AR25" s="41">
        <f t="shared" si="14"/>
        <v>20.900000000000002</v>
      </c>
      <c r="AS25" s="41">
        <f t="shared" si="15"/>
        <v>18.299999999999997</v>
      </c>
      <c r="AT25" s="41">
        <f t="shared" si="16"/>
        <v>70.100000000000009</v>
      </c>
      <c r="AU25" s="41" t="str">
        <f t="shared" si="17"/>
        <v/>
      </c>
      <c r="AV25" s="41" t="str">
        <f t="shared" si="18"/>
        <v/>
      </c>
      <c r="AW25" s="41">
        <f t="shared" si="19"/>
        <v>70.100000000000009</v>
      </c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29"/>
      <c r="BS25" s="11" t="str">
        <f t="shared" si="20"/>
        <v/>
      </c>
      <c r="BT25" s="11" t="str">
        <f t="shared" si="21"/>
        <v/>
      </c>
      <c r="BU25" s="11" t="str">
        <f t="shared" si="22"/>
        <v/>
      </c>
      <c r="BV25" s="11" t="str">
        <f t="shared" si="23"/>
        <v/>
      </c>
      <c r="BW25" s="11" t="str">
        <f t="shared" si="24"/>
        <v/>
      </c>
      <c r="BX25" s="11" t="str">
        <f t="shared" si="25"/>
        <v/>
      </c>
      <c r="BY25" s="11" t="str">
        <f t="shared" si="26"/>
        <v/>
      </c>
      <c r="BZ25" s="11" t="str">
        <f t="shared" si="27"/>
        <v/>
      </c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28"/>
      <c r="CV25" s="41" t="str">
        <f t="shared" si="28"/>
        <v/>
      </c>
      <c r="CW25" s="41" t="str">
        <f t="shared" si="29"/>
        <v/>
      </c>
      <c r="CX25" s="41" t="str">
        <f t="shared" si="30"/>
        <v/>
      </c>
      <c r="CY25" s="41" t="str">
        <f t="shared" si="31"/>
        <v/>
      </c>
      <c r="CZ25" s="41" t="str">
        <f t="shared" si="32"/>
        <v/>
      </c>
      <c r="DA25" s="41" t="str">
        <f t="shared" si="33"/>
        <v/>
      </c>
      <c r="DB25" s="41" t="str">
        <f t="shared" si="34"/>
        <v/>
      </c>
      <c r="DC25" s="41" t="str">
        <f t="shared" si="35"/>
        <v/>
      </c>
      <c r="DD25" s="52" t="str">
        <f t="shared" si="36"/>
        <v/>
      </c>
      <c r="DE25" s="52" t="str">
        <f t="shared" si="37"/>
        <v/>
      </c>
      <c r="DF25" s="52" t="str">
        <f t="shared" si="38"/>
        <v/>
      </c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41" t="str">
        <f t="shared" si="39"/>
        <v/>
      </c>
      <c r="EB25" s="41" t="str">
        <f t="shared" si="40"/>
        <v/>
      </c>
      <c r="EC25" s="41" t="str">
        <f t="shared" si="41"/>
        <v/>
      </c>
      <c r="ED25" s="41" t="str">
        <f t="shared" si="42"/>
        <v/>
      </c>
      <c r="EE25" s="41" t="str">
        <f t="shared" si="43"/>
        <v/>
      </c>
      <c r="EF25" s="41" t="str">
        <f t="shared" si="44"/>
        <v/>
      </c>
      <c r="EG25" s="41" t="str">
        <f t="shared" si="45"/>
        <v/>
      </c>
      <c r="EH25" s="41" t="str">
        <f t="shared" si="46"/>
        <v/>
      </c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1" t="str">
        <f t="shared" si="47"/>
        <v/>
      </c>
      <c r="FD25" s="11" t="str">
        <f t="shared" si="48"/>
        <v/>
      </c>
      <c r="FE25" s="11" t="str">
        <f t="shared" si="49"/>
        <v/>
      </c>
      <c r="FF25" s="11" t="str">
        <f t="shared" si="50"/>
        <v/>
      </c>
      <c r="FG25" s="11" t="str">
        <f t="shared" si="51"/>
        <v/>
      </c>
      <c r="FH25" s="11" t="str">
        <f t="shared" si="52"/>
        <v/>
      </c>
      <c r="FI25" s="11" t="str">
        <f t="shared" si="53"/>
        <v/>
      </c>
      <c r="FJ25" s="11" t="str">
        <f t="shared" si="54"/>
        <v/>
      </c>
      <c r="FK25" s="17"/>
      <c r="FL25" s="17"/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41" t="str">
        <f t="shared" si="55"/>
        <v/>
      </c>
      <c r="GF25" s="41" t="str">
        <f t="shared" si="56"/>
        <v/>
      </c>
      <c r="GG25" s="41" t="str">
        <f t="shared" si="57"/>
        <v/>
      </c>
      <c r="GH25" s="41" t="str">
        <f t="shared" si="58"/>
        <v/>
      </c>
      <c r="GI25" s="41" t="str">
        <f t="shared" si="59"/>
        <v/>
      </c>
      <c r="GJ25" s="41" t="str">
        <f t="shared" si="60"/>
        <v/>
      </c>
      <c r="GK25" s="41" t="str">
        <f t="shared" si="61"/>
        <v/>
      </c>
      <c r="GL25" s="41" t="str">
        <f t="shared" si="62"/>
        <v/>
      </c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1" t="str">
        <f t="shared" si="63"/>
        <v/>
      </c>
      <c r="HH25" s="11" t="str">
        <f t="shared" si="64"/>
        <v/>
      </c>
      <c r="HI25" s="11" t="str">
        <f t="shared" si="65"/>
        <v/>
      </c>
      <c r="HJ25" s="11" t="str">
        <f t="shared" si="66"/>
        <v/>
      </c>
      <c r="HK25" s="11" t="str">
        <f t="shared" si="67"/>
        <v/>
      </c>
      <c r="HL25" s="11" t="str">
        <f t="shared" si="68"/>
        <v/>
      </c>
      <c r="HM25" s="11" t="str">
        <f t="shared" si="69"/>
        <v/>
      </c>
      <c r="HN25" s="11" t="str">
        <f t="shared" si="70"/>
        <v/>
      </c>
      <c r="HO25" s="17"/>
      <c r="HP25" s="17"/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41" t="str">
        <f t="shared" si="71"/>
        <v/>
      </c>
      <c r="IJ25" s="41" t="str">
        <f t="shared" si="72"/>
        <v/>
      </c>
      <c r="IK25" s="41" t="str">
        <f t="shared" si="73"/>
        <v/>
      </c>
      <c r="IL25" s="41" t="str">
        <f t="shared" si="74"/>
        <v/>
      </c>
      <c r="IM25" s="41" t="str">
        <f t="shared" si="75"/>
        <v/>
      </c>
      <c r="IN25" s="41" t="str">
        <f t="shared" si="76"/>
        <v/>
      </c>
      <c r="IO25" s="41" t="str">
        <f t="shared" si="77"/>
        <v/>
      </c>
      <c r="IP25" s="41" t="str">
        <f t="shared" si="78"/>
        <v/>
      </c>
      <c r="IQ25" s="18"/>
      <c r="IR25" s="18"/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1" t="str">
        <f t="shared" si="79"/>
        <v/>
      </c>
      <c r="JL25" s="11" t="str">
        <f t="shared" si="80"/>
        <v/>
      </c>
      <c r="JM25" s="11" t="str">
        <f t="shared" si="81"/>
        <v/>
      </c>
      <c r="JN25" s="11" t="str">
        <f t="shared" si="82"/>
        <v/>
      </c>
      <c r="JO25" s="11" t="str">
        <f t="shared" si="83"/>
        <v/>
      </c>
      <c r="JP25" s="11" t="str">
        <f t="shared" si="84"/>
        <v/>
      </c>
      <c r="JQ25" s="11" t="str">
        <f t="shared" si="85"/>
        <v/>
      </c>
      <c r="JR25" s="11" t="str">
        <f t="shared" si="86"/>
        <v/>
      </c>
      <c r="JS25" s="17"/>
      <c r="JT25" s="17"/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41" t="str">
        <f t="shared" si="87"/>
        <v/>
      </c>
      <c r="KN25" s="41" t="str">
        <f t="shared" si="88"/>
        <v/>
      </c>
      <c r="KO25" s="41" t="str">
        <f t="shared" si="89"/>
        <v/>
      </c>
      <c r="KP25" s="41" t="str">
        <f t="shared" si="90"/>
        <v/>
      </c>
      <c r="KQ25" s="41" t="str">
        <f t="shared" si="91"/>
        <v/>
      </c>
      <c r="KR25" s="41" t="str">
        <f t="shared" si="92"/>
        <v/>
      </c>
      <c r="KS25" s="41" t="str">
        <f t="shared" si="93"/>
        <v/>
      </c>
      <c r="KT25" s="41" t="str">
        <f t="shared" si="94"/>
        <v/>
      </c>
      <c r="KU25" s="18"/>
      <c r="KV25" s="18"/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1" t="str">
        <f t="shared" si="95"/>
        <v/>
      </c>
      <c r="LP25" s="11" t="str">
        <f t="shared" si="96"/>
        <v/>
      </c>
      <c r="LQ25" s="11" t="str">
        <f t="shared" si="97"/>
        <v/>
      </c>
      <c r="LR25" s="11" t="str">
        <f t="shared" si="98"/>
        <v/>
      </c>
      <c r="LS25" s="11" t="str">
        <f t="shared" si="99"/>
        <v/>
      </c>
      <c r="LT25" s="11" t="str">
        <f t="shared" si="100"/>
        <v/>
      </c>
      <c r="LU25" s="11" t="str">
        <f t="shared" si="101"/>
        <v/>
      </c>
      <c r="LV25" s="11" t="str">
        <f t="shared" si="102"/>
        <v/>
      </c>
      <c r="LW25" s="17"/>
      <c r="LX25" s="17"/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41" t="str">
        <f t="shared" si="103"/>
        <v/>
      </c>
      <c r="MR25" s="41" t="str">
        <f t="shared" si="104"/>
        <v/>
      </c>
      <c r="MS25" s="41" t="str">
        <f t="shared" si="105"/>
        <v/>
      </c>
      <c r="MT25" s="41" t="str">
        <f t="shared" si="106"/>
        <v/>
      </c>
      <c r="MU25" s="41" t="str">
        <f t="shared" si="107"/>
        <v/>
      </c>
      <c r="MV25" s="41" t="str">
        <f t="shared" si="108"/>
        <v/>
      </c>
      <c r="MW25" s="41" t="str">
        <f t="shared" si="109"/>
        <v/>
      </c>
      <c r="MX25" s="41" t="str">
        <f t="shared" si="110"/>
        <v/>
      </c>
      <c r="MY25" s="18"/>
      <c r="MZ25" s="18"/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1" t="str">
        <f t="shared" si="111"/>
        <v/>
      </c>
      <c r="NT25" s="11" t="str">
        <f t="shared" si="112"/>
        <v/>
      </c>
      <c r="NU25" s="11" t="str">
        <f t="shared" si="113"/>
        <v/>
      </c>
      <c r="NV25" s="11" t="str">
        <f t="shared" si="114"/>
        <v/>
      </c>
      <c r="NW25" s="11" t="str">
        <f t="shared" si="115"/>
        <v/>
      </c>
      <c r="NX25" s="11" t="str">
        <f t="shared" si="116"/>
        <v/>
      </c>
      <c r="NY25" s="11" t="str">
        <f t="shared" si="117"/>
        <v/>
      </c>
      <c r="NZ25" s="11" t="str">
        <f t="shared" si="118"/>
        <v/>
      </c>
      <c r="OA25" s="17"/>
      <c r="OB25" s="17"/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41" t="str">
        <f t="shared" si="119"/>
        <v/>
      </c>
      <c r="OV25" s="41" t="str">
        <f t="shared" si="120"/>
        <v/>
      </c>
      <c r="OW25" s="41" t="str">
        <f t="shared" si="121"/>
        <v/>
      </c>
      <c r="OX25" s="41" t="str">
        <f t="shared" si="122"/>
        <v/>
      </c>
      <c r="OY25" s="41" t="str">
        <f t="shared" si="123"/>
        <v/>
      </c>
      <c r="OZ25" s="41" t="str">
        <f t="shared" si="124"/>
        <v/>
      </c>
      <c r="PA25" s="41" t="str">
        <f t="shared" si="125"/>
        <v/>
      </c>
      <c r="PB25" s="41" t="str">
        <f t="shared" si="126"/>
        <v/>
      </c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1" t="str">
        <f t="shared" si="127"/>
        <v/>
      </c>
      <c r="PX25" s="11" t="str">
        <f t="shared" si="128"/>
        <v/>
      </c>
      <c r="PY25" s="11" t="str">
        <f t="shared" si="129"/>
        <v/>
      </c>
      <c r="PZ25" s="11" t="str">
        <f t="shared" si="130"/>
        <v/>
      </c>
      <c r="QA25" s="11" t="str">
        <f t="shared" si="131"/>
        <v/>
      </c>
      <c r="QB25" s="11" t="str">
        <f t="shared" si="132"/>
        <v/>
      </c>
      <c r="QC25" s="11" t="str">
        <f t="shared" si="133"/>
        <v/>
      </c>
      <c r="QD25" s="11" t="str">
        <f t="shared" si="134"/>
        <v/>
      </c>
      <c r="QE25" s="23">
        <f t="shared" si="135"/>
        <v>0</v>
      </c>
      <c r="QF25" s="23">
        <f t="shared" si="136"/>
        <v>0</v>
      </c>
      <c r="QG25" s="23">
        <f t="shared" si="137"/>
        <v>0</v>
      </c>
      <c r="QH25" s="23">
        <f t="shared" si="138"/>
        <v>0</v>
      </c>
      <c r="QI25" s="23">
        <f t="shared" si="139"/>
        <v>0</v>
      </c>
      <c r="QJ25" s="23">
        <f t="shared" si="140"/>
        <v>0</v>
      </c>
      <c r="QK25" s="23">
        <f t="shared" si="141"/>
        <v>0</v>
      </c>
      <c r="QL25" s="23">
        <f t="shared" si="142"/>
        <v>0</v>
      </c>
      <c r="QM25" s="23">
        <f t="shared" si="143"/>
        <v>0</v>
      </c>
      <c r="QN25" s="23">
        <f t="shared" si="144"/>
        <v>0</v>
      </c>
      <c r="QO25" s="23">
        <f t="shared" si="145"/>
        <v>0</v>
      </c>
      <c r="QP25" s="23">
        <f t="shared" si="146"/>
        <v>0</v>
      </c>
      <c r="QQ25" s="23">
        <f t="shared" si="147"/>
        <v>0</v>
      </c>
      <c r="QR25" s="23">
        <f t="shared" si="148"/>
        <v>0</v>
      </c>
      <c r="QS25" s="23">
        <f t="shared" si="149"/>
        <v>0</v>
      </c>
      <c r="QT25" s="23">
        <f t="shared" si="150"/>
        <v>0</v>
      </c>
      <c r="QU25" s="23">
        <f t="shared" si="151"/>
        <v>0</v>
      </c>
      <c r="QV25" s="23">
        <f t="shared" si="152"/>
        <v>0</v>
      </c>
      <c r="QW25" s="23">
        <f t="shared" si="153"/>
        <v>0</v>
      </c>
      <c r="QX25" s="23">
        <f t="shared" si="154"/>
        <v>0</v>
      </c>
      <c r="QY25" s="28" t="s">
        <v>57</v>
      </c>
      <c r="QZ25" s="41" t="str">
        <f t="shared" si="155"/>
        <v/>
      </c>
      <c r="RA25" s="41" t="str">
        <f t="shared" si="156"/>
        <v/>
      </c>
      <c r="RB25" s="41" t="str">
        <f t="shared" si="157"/>
        <v/>
      </c>
      <c r="RC25" s="41" t="str">
        <f t="shared" si="158"/>
        <v/>
      </c>
      <c r="RD25" s="41" t="str">
        <f t="shared" si="159"/>
        <v/>
      </c>
      <c r="RE25" s="41" t="str">
        <f t="shared" si="160"/>
        <v/>
      </c>
      <c r="RF25" s="41" t="str">
        <f t="shared" si="161"/>
        <v/>
      </c>
      <c r="RG25" s="41" t="str">
        <f t="shared" si="162"/>
        <v/>
      </c>
    </row>
    <row r="26" spans="1:475" x14ac:dyDescent="0.2">
      <c r="A26" s="4" t="str" cm="1">
        <f t="array" ref="A26">IF(AND(H26&lt;&gt;"",H26&lt;&gt;"No DD"),SUMPRODUCT((H$4:H$28&lt;&gt;"")*(H$4:H$28&lt;&gt;"No DD")*(E$4:E$28&gt;E26))+1,IF(H26="No DD",SUMPRODUCT((H$4:H$28="No DD")*(E$4:E$28&gt;E26))+1+SUMPRODUCT((H$4:H$28&lt;&gt;"")*(H$4:H$28&lt;&gt;"No DD")),""))</f>
        <v/>
      </c>
      <c r="B26" s="5" t="s">
        <v>188</v>
      </c>
      <c r="C26" s="4" t="s">
        <v>5</v>
      </c>
      <c r="D26" s="4">
        <v>1993</v>
      </c>
      <c r="E26" s="9">
        <f t="shared" si="163"/>
        <v>60.900006090004133</v>
      </c>
      <c r="F26" s="3" t="str">
        <f t="shared" si="0"/>
        <v/>
      </c>
      <c r="G26" s="3" t="str">
        <f t="shared" si="1"/>
        <v/>
      </c>
      <c r="H26" s="37" t="str">
        <f t="shared" si="2"/>
        <v/>
      </c>
      <c r="I26" s="3" t="str">
        <f t="shared" si="3"/>
        <v/>
      </c>
      <c r="J26" s="8">
        <f>IF(COUNT(AQ26,BT26,CW26)&gt;0,LARGE((AQ26,BT26,CW26),1),0)</f>
        <v>41.399999999999991</v>
      </c>
      <c r="K26" s="8" t="str">
        <f t="shared" si="4"/>
        <v>2023 Elite Canada</v>
      </c>
      <c r="L26" s="8">
        <f>IF(COUNT(AQ26,BT26,CW26)&gt;1,LARGE((AQ26,BT26,CW26),2),0)</f>
        <v>0</v>
      </c>
      <c r="M26" s="8" t="str">
        <f t="shared" si="5"/>
        <v/>
      </c>
      <c r="N26" s="8">
        <f>IF(COUNT(AR26,BU26,CX26)&gt;0,LARGE((AR26,BU26,CX26),1),0)</f>
        <v>19.5</v>
      </c>
      <c r="O26" s="8" t="str">
        <f t="shared" si="6"/>
        <v>2023 Elite Canada</v>
      </c>
      <c r="P26" s="8">
        <f t="shared" si="7"/>
        <v>0</v>
      </c>
      <c r="Q26" s="8" t="str">
        <f t="shared" si="8"/>
        <v/>
      </c>
      <c r="R26" s="8" t="str">
        <f t="shared" si="9"/>
        <v/>
      </c>
      <c r="S26" s="11" t="str">
        <f t="shared" si="10"/>
        <v/>
      </c>
      <c r="T26" s="8" t="str">
        <f t="shared" si="11"/>
        <v/>
      </c>
      <c r="U26" s="19">
        <v>17.8</v>
      </c>
      <c r="V26" s="19">
        <v>3</v>
      </c>
      <c r="W26" s="19">
        <v>1.2</v>
      </c>
      <c r="X26" s="19">
        <v>0</v>
      </c>
      <c r="Y26" s="19">
        <v>18.2</v>
      </c>
      <c r="Z26" s="19">
        <v>4.8</v>
      </c>
      <c r="AA26" s="19">
        <v>1.2</v>
      </c>
      <c r="AB26" s="19">
        <v>0</v>
      </c>
      <c r="AC26" s="19">
        <v>18.3</v>
      </c>
      <c r="AD26" s="19">
        <v>3.2</v>
      </c>
      <c r="AE26" s="19">
        <v>2</v>
      </c>
      <c r="AF26" s="19">
        <v>0</v>
      </c>
      <c r="AG26" s="19"/>
      <c r="AH26" s="19"/>
      <c r="AI26" s="19"/>
      <c r="AJ26" s="19"/>
      <c r="AK26" s="19"/>
      <c r="AL26" s="19"/>
      <c r="AM26" s="19"/>
      <c r="AN26" s="19"/>
      <c r="AO26" s="28"/>
      <c r="AP26" s="41">
        <f t="shared" si="12"/>
        <v>7.8</v>
      </c>
      <c r="AQ26" s="41">
        <f t="shared" si="13"/>
        <v>41.399999999999991</v>
      </c>
      <c r="AR26" s="41">
        <f t="shared" si="14"/>
        <v>19.5</v>
      </c>
      <c r="AS26" s="41">
        <f t="shared" si="15"/>
        <v>11</v>
      </c>
      <c r="AT26" s="41">
        <f t="shared" si="16"/>
        <v>60.899999999999991</v>
      </c>
      <c r="AU26" s="41" t="str">
        <f t="shared" si="17"/>
        <v/>
      </c>
      <c r="AV26" s="41" t="str">
        <f t="shared" si="18"/>
        <v/>
      </c>
      <c r="AW26" s="41">
        <f t="shared" si="19"/>
        <v>60.899999999999991</v>
      </c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29"/>
      <c r="BS26" s="11" t="str">
        <f t="shared" si="20"/>
        <v/>
      </c>
      <c r="BT26" s="11" t="str">
        <f t="shared" si="21"/>
        <v/>
      </c>
      <c r="BU26" s="11" t="str">
        <f t="shared" si="22"/>
        <v/>
      </c>
      <c r="BV26" s="11" t="str">
        <f t="shared" si="23"/>
        <v/>
      </c>
      <c r="BW26" s="11" t="str">
        <f t="shared" si="24"/>
        <v/>
      </c>
      <c r="BX26" s="11" t="str">
        <f t="shared" si="25"/>
        <v/>
      </c>
      <c r="BY26" s="11" t="str">
        <f t="shared" si="26"/>
        <v/>
      </c>
      <c r="BZ26" s="11" t="str">
        <f t="shared" si="27"/>
        <v/>
      </c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28"/>
      <c r="CV26" s="41" t="str">
        <f t="shared" si="28"/>
        <v/>
      </c>
      <c r="CW26" s="41" t="str">
        <f t="shared" si="29"/>
        <v/>
      </c>
      <c r="CX26" s="41" t="str">
        <f t="shared" si="30"/>
        <v/>
      </c>
      <c r="CY26" s="41" t="str">
        <f t="shared" si="31"/>
        <v/>
      </c>
      <c r="CZ26" s="41" t="str">
        <f t="shared" si="32"/>
        <v/>
      </c>
      <c r="DA26" s="41" t="str">
        <f t="shared" si="33"/>
        <v/>
      </c>
      <c r="DB26" s="41" t="str">
        <f t="shared" si="34"/>
        <v/>
      </c>
      <c r="DC26" s="41" t="str">
        <f t="shared" si="35"/>
        <v/>
      </c>
      <c r="DD26" s="52" t="str">
        <f t="shared" si="36"/>
        <v/>
      </c>
      <c r="DE26" s="52" t="str">
        <f t="shared" si="37"/>
        <v/>
      </c>
      <c r="DF26" s="52" t="str">
        <f t="shared" si="38"/>
        <v/>
      </c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41" t="str">
        <f t="shared" si="39"/>
        <v/>
      </c>
      <c r="EB26" s="41" t="str">
        <f t="shared" si="40"/>
        <v/>
      </c>
      <c r="EC26" s="41" t="str">
        <f t="shared" si="41"/>
        <v/>
      </c>
      <c r="ED26" s="41" t="str">
        <f t="shared" si="42"/>
        <v/>
      </c>
      <c r="EE26" s="41" t="str">
        <f t="shared" si="43"/>
        <v/>
      </c>
      <c r="EF26" s="41" t="str">
        <f t="shared" si="44"/>
        <v/>
      </c>
      <c r="EG26" s="41" t="str">
        <f t="shared" si="45"/>
        <v/>
      </c>
      <c r="EH26" s="41" t="str">
        <f t="shared" si="46"/>
        <v/>
      </c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1" t="str">
        <f t="shared" si="47"/>
        <v/>
      </c>
      <c r="FD26" s="11" t="str">
        <f t="shared" si="48"/>
        <v/>
      </c>
      <c r="FE26" s="11" t="str">
        <f t="shared" si="49"/>
        <v/>
      </c>
      <c r="FF26" s="11" t="str">
        <f t="shared" si="50"/>
        <v/>
      </c>
      <c r="FG26" s="11" t="str">
        <f t="shared" si="51"/>
        <v/>
      </c>
      <c r="FH26" s="11" t="str">
        <f t="shared" si="52"/>
        <v/>
      </c>
      <c r="FI26" s="11" t="str">
        <f t="shared" si="53"/>
        <v/>
      </c>
      <c r="FJ26" s="11" t="str">
        <f t="shared" si="54"/>
        <v/>
      </c>
      <c r="FK26" s="17"/>
      <c r="FL26" s="17"/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41" t="str">
        <f t="shared" si="55"/>
        <v/>
      </c>
      <c r="GF26" s="41" t="str">
        <f t="shared" si="56"/>
        <v/>
      </c>
      <c r="GG26" s="41" t="str">
        <f t="shared" si="57"/>
        <v/>
      </c>
      <c r="GH26" s="41" t="str">
        <f t="shared" si="58"/>
        <v/>
      </c>
      <c r="GI26" s="41" t="str">
        <f t="shared" si="59"/>
        <v/>
      </c>
      <c r="GJ26" s="41" t="str">
        <f t="shared" si="60"/>
        <v/>
      </c>
      <c r="GK26" s="41" t="str">
        <f t="shared" si="61"/>
        <v/>
      </c>
      <c r="GL26" s="41" t="str">
        <f t="shared" si="62"/>
        <v/>
      </c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1" t="str">
        <f t="shared" si="63"/>
        <v/>
      </c>
      <c r="HH26" s="11" t="str">
        <f t="shared" si="64"/>
        <v/>
      </c>
      <c r="HI26" s="11" t="str">
        <f t="shared" si="65"/>
        <v/>
      </c>
      <c r="HJ26" s="11" t="str">
        <f t="shared" si="66"/>
        <v/>
      </c>
      <c r="HK26" s="11" t="str">
        <f t="shared" si="67"/>
        <v/>
      </c>
      <c r="HL26" s="11" t="str">
        <f t="shared" si="68"/>
        <v/>
      </c>
      <c r="HM26" s="11" t="str">
        <f t="shared" si="69"/>
        <v/>
      </c>
      <c r="HN26" s="11" t="str">
        <f t="shared" si="70"/>
        <v/>
      </c>
      <c r="HO26" s="17"/>
      <c r="HP26" s="17"/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41" t="str">
        <f t="shared" si="71"/>
        <v/>
      </c>
      <c r="IJ26" s="41" t="str">
        <f t="shared" si="72"/>
        <v/>
      </c>
      <c r="IK26" s="41" t="str">
        <f t="shared" si="73"/>
        <v/>
      </c>
      <c r="IL26" s="41" t="str">
        <f t="shared" si="74"/>
        <v/>
      </c>
      <c r="IM26" s="41" t="str">
        <f t="shared" si="75"/>
        <v/>
      </c>
      <c r="IN26" s="41" t="str">
        <f t="shared" si="76"/>
        <v/>
      </c>
      <c r="IO26" s="41" t="str">
        <f t="shared" si="77"/>
        <v/>
      </c>
      <c r="IP26" s="41" t="str">
        <f t="shared" si="78"/>
        <v/>
      </c>
      <c r="IQ26" s="18"/>
      <c r="IR26" s="18"/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1" t="str">
        <f t="shared" si="79"/>
        <v/>
      </c>
      <c r="JL26" s="11" t="str">
        <f t="shared" si="80"/>
        <v/>
      </c>
      <c r="JM26" s="11" t="str">
        <f t="shared" si="81"/>
        <v/>
      </c>
      <c r="JN26" s="11" t="str">
        <f t="shared" si="82"/>
        <v/>
      </c>
      <c r="JO26" s="11" t="str">
        <f t="shared" si="83"/>
        <v/>
      </c>
      <c r="JP26" s="11" t="str">
        <f t="shared" si="84"/>
        <v/>
      </c>
      <c r="JQ26" s="11" t="str">
        <f t="shared" si="85"/>
        <v/>
      </c>
      <c r="JR26" s="11" t="str">
        <f t="shared" si="86"/>
        <v/>
      </c>
      <c r="JS26" s="17"/>
      <c r="JT26" s="17"/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41" t="str">
        <f t="shared" si="87"/>
        <v/>
      </c>
      <c r="KN26" s="41" t="str">
        <f t="shared" si="88"/>
        <v/>
      </c>
      <c r="KO26" s="41" t="str">
        <f t="shared" si="89"/>
        <v/>
      </c>
      <c r="KP26" s="41" t="str">
        <f t="shared" si="90"/>
        <v/>
      </c>
      <c r="KQ26" s="41" t="str">
        <f t="shared" si="91"/>
        <v/>
      </c>
      <c r="KR26" s="41" t="str">
        <f t="shared" si="92"/>
        <v/>
      </c>
      <c r="KS26" s="41" t="str">
        <f t="shared" si="93"/>
        <v/>
      </c>
      <c r="KT26" s="41" t="str">
        <f t="shared" si="94"/>
        <v/>
      </c>
      <c r="KU26" s="18"/>
      <c r="KV26" s="18"/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1" t="str">
        <f t="shared" si="95"/>
        <v/>
      </c>
      <c r="LP26" s="11" t="str">
        <f t="shared" si="96"/>
        <v/>
      </c>
      <c r="LQ26" s="11" t="str">
        <f t="shared" si="97"/>
        <v/>
      </c>
      <c r="LR26" s="11" t="str">
        <f t="shared" si="98"/>
        <v/>
      </c>
      <c r="LS26" s="11" t="str">
        <f t="shared" si="99"/>
        <v/>
      </c>
      <c r="LT26" s="11" t="str">
        <f t="shared" si="100"/>
        <v/>
      </c>
      <c r="LU26" s="11" t="str">
        <f t="shared" si="101"/>
        <v/>
      </c>
      <c r="LV26" s="11" t="str">
        <f t="shared" si="102"/>
        <v/>
      </c>
      <c r="LW26" s="17"/>
      <c r="LX26" s="17"/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41" t="str">
        <f t="shared" si="103"/>
        <v/>
      </c>
      <c r="MR26" s="41" t="str">
        <f t="shared" si="104"/>
        <v/>
      </c>
      <c r="MS26" s="41" t="str">
        <f t="shared" si="105"/>
        <v/>
      </c>
      <c r="MT26" s="41" t="str">
        <f t="shared" si="106"/>
        <v/>
      </c>
      <c r="MU26" s="41" t="str">
        <f t="shared" si="107"/>
        <v/>
      </c>
      <c r="MV26" s="41" t="str">
        <f t="shared" si="108"/>
        <v/>
      </c>
      <c r="MW26" s="41" t="str">
        <f t="shared" si="109"/>
        <v/>
      </c>
      <c r="MX26" s="41" t="str">
        <f t="shared" si="110"/>
        <v/>
      </c>
      <c r="MY26" s="18"/>
      <c r="MZ26" s="18"/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1" t="str">
        <f t="shared" si="111"/>
        <v/>
      </c>
      <c r="NT26" s="11" t="str">
        <f t="shared" si="112"/>
        <v/>
      </c>
      <c r="NU26" s="11" t="str">
        <f t="shared" si="113"/>
        <v/>
      </c>
      <c r="NV26" s="11" t="str">
        <f t="shared" si="114"/>
        <v/>
      </c>
      <c r="NW26" s="11" t="str">
        <f t="shared" si="115"/>
        <v/>
      </c>
      <c r="NX26" s="11" t="str">
        <f t="shared" si="116"/>
        <v/>
      </c>
      <c r="NY26" s="11" t="str">
        <f t="shared" si="117"/>
        <v/>
      </c>
      <c r="NZ26" s="11" t="str">
        <f t="shared" si="118"/>
        <v/>
      </c>
      <c r="OA26" s="17"/>
      <c r="OB26" s="17"/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41" t="str">
        <f t="shared" si="119"/>
        <v/>
      </c>
      <c r="OV26" s="41" t="str">
        <f t="shared" si="120"/>
        <v/>
      </c>
      <c r="OW26" s="41" t="str">
        <f t="shared" si="121"/>
        <v/>
      </c>
      <c r="OX26" s="41" t="str">
        <f t="shared" si="122"/>
        <v/>
      </c>
      <c r="OY26" s="41" t="str">
        <f t="shared" si="123"/>
        <v/>
      </c>
      <c r="OZ26" s="41" t="str">
        <f t="shared" si="124"/>
        <v/>
      </c>
      <c r="PA26" s="41" t="str">
        <f t="shared" si="125"/>
        <v/>
      </c>
      <c r="PB26" s="41" t="str">
        <f t="shared" si="126"/>
        <v/>
      </c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1" t="str">
        <f t="shared" si="127"/>
        <v/>
      </c>
      <c r="PX26" s="11" t="str">
        <f t="shared" si="128"/>
        <v/>
      </c>
      <c r="PY26" s="11" t="str">
        <f t="shared" si="129"/>
        <v/>
      </c>
      <c r="PZ26" s="11" t="str">
        <f t="shared" si="130"/>
        <v/>
      </c>
      <c r="QA26" s="11" t="str">
        <f t="shared" si="131"/>
        <v/>
      </c>
      <c r="QB26" s="11" t="str">
        <f t="shared" si="132"/>
        <v/>
      </c>
      <c r="QC26" s="11" t="str">
        <f t="shared" si="133"/>
        <v/>
      </c>
      <c r="QD26" s="11" t="str">
        <f t="shared" si="134"/>
        <v/>
      </c>
      <c r="QE26" s="23">
        <f t="shared" si="135"/>
        <v>0</v>
      </c>
      <c r="QF26" s="23">
        <f t="shared" si="136"/>
        <v>0</v>
      </c>
      <c r="QG26" s="23">
        <f t="shared" si="137"/>
        <v>0</v>
      </c>
      <c r="QH26" s="23">
        <f t="shared" si="138"/>
        <v>0</v>
      </c>
      <c r="QI26" s="23">
        <f t="shared" si="139"/>
        <v>0</v>
      </c>
      <c r="QJ26" s="23">
        <f t="shared" si="140"/>
        <v>0</v>
      </c>
      <c r="QK26" s="23">
        <f t="shared" si="141"/>
        <v>0</v>
      </c>
      <c r="QL26" s="23">
        <f t="shared" si="142"/>
        <v>0</v>
      </c>
      <c r="QM26" s="23">
        <f t="shared" si="143"/>
        <v>0</v>
      </c>
      <c r="QN26" s="23">
        <f t="shared" si="144"/>
        <v>0</v>
      </c>
      <c r="QO26" s="23">
        <f t="shared" si="145"/>
        <v>0</v>
      </c>
      <c r="QP26" s="23">
        <f t="shared" si="146"/>
        <v>0</v>
      </c>
      <c r="QQ26" s="23">
        <f t="shared" si="147"/>
        <v>0</v>
      </c>
      <c r="QR26" s="23">
        <f t="shared" si="148"/>
        <v>0</v>
      </c>
      <c r="QS26" s="23">
        <f t="shared" si="149"/>
        <v>0</v>
      </c>
      <c r="QT26" s="23">
        <f t="shared" si="150"/>
        <v>0</v>
      </c>
      <c r="QU26" s="23">
        <f t="shared" si="151"/>
        <v>0</v>
      </c>
      <c r="QV26" s="23">
        <f t="shared" si="152"/>
        <v>0</v>
      </c>
      <c r="QW26" s="23">
        <f t="shared" si="153"/>
        <v>0</v>
      </c>
      <c r="QX26" s="23">
        <f t="shared" si="154"/>
        <v>0</v>
      </c>
      <c r="QY26" s="28" t="s">
        <v>57</v>
      </c>
      <c r="QZ26" s="41" t="str">
        <f t="shared" si="155"/>
        <v/>
      </c>
      <c r="RA26" s="41" t="str">
        <f t="shared" si="156"/>
        <v/>
      </c>
      <c r="RB26" s="41" t="str">
        <f t="shared" si="157"/>
        <v/>
      </c>
      <c r="RC26" s="41" t="str">
        <f t="shared" si="158"/>
        <v/>
      </c>
      <c r="RD26" s="41" t="str">
        <f t="shared" si="159"/>
        <v/>
      </c>
      <c r="RE26" s="41" t="str">
        <f t="shared" si="160"/>
        <v/>
      </c>
      <c r="RF26" s="41" t="str">
        <f t="shared" si="161"/>
        <v/>
      </c>
      <c r="RG26" s="41" t="str">
        <f t="shared" si="162"/>
        <v/>
      </c>
    </row>
    <row r="27" spans="1:475" x14ac:dyDescent="0.2">
      <c r="A27" s="4" t="str" cm="1">
        <f t="array" ref="A27">IF(AND(H27&lt;&gt;"",H27&lt;&gt;"No DD"),SUMPRODUCT((H$4:H$28&lt;&gt;"")*(H$4:H$28&lt;&gt;"No DD")*(E$4:E$28&gt;E27))+1,IF(H27="No DD",SUMPRODUCT((H$4:H$28="No DD")*(E$4:E$28&gt;E27))+1+SUMPRODUCT((H$4:H$28&lt;&gt;"")*(H$4:H$28&lt;&gt;"No DD")),""))</f>
        <v/>
      </c>
      <c r="B27" s="5" t="s">
        <v>88</v>
      </c>
      <c r="C27" s="4" t="s">
        <v>6</v>
      </c>
      <c r="D27" s="4">
        <v>2002</v>
      </c>
      <c r="E27" s="9">
        <f t="shared" si="163"/>
        <v>46.000004600004594</v>
      </c>
      <c r="F27" s="3" t="str">
        <f t="shared" si="0"/>
        <v/>
      </c>
      <c r="G27" s="3" t="str">
        <f t="shared" si="1"/>
        <v/>
      </c>
      <c r="H27" s="37" t="str">
        <f t="shared" si="2"/>
        <v/>
      </c>
      <c r="I27" s="3" t="str">
        <f t="shared" si="3"/>
        <v/>
      </c>
      <c r="J27" s="8">
        <f>IF(COUNT(AQ27,BT27,CW27)&gt;0,LARGE((AQ27,BT27,CW27),1),0)</f>
        <v>46</v>
      </c>
      <c r="K27" s="8" t="str">
        <f t="shared" si="4"/>
        <v>2023 Nationals</v>
      </c>
      <c r="L27" s="8">
        <f>IF(COUNT(AQ27,BT27,CW27)&gt;1,LARGE((AQ27,BT27,CW27),2),0)</f>
        <v>0</v>
      </c>
      <c r="M27" s="8" t="str">
        <f t="shared" si="5"/>
        <v/>
      </c>
      <c r="N27" s="8">
        <f>IF(COUNT(AR27,BU27,CX27)&gt;0,LARGE((AR27,BU27,CX27),1),0)</f>
        <v>0</v>
      </c>
      <c r="O27" s="8" t="str">
        <f t="shared" si="6"/>
        <v/>
      </c>
      <c r="P27" s="8">
        <f t="shared" si="7"/>
        <v>0</v>
      </c>
      <c r="Q27" s="8" t="str">
        <f t="shared" si="8"/>
        <v/>
      </c>
      <c r="R27" s="8" t="str">
        <f t="shared" si="9"/>
        <v/>
      </c>
      <c r="S27" s="11" t="str">
        <f t="shared" si="10"/>
        <v/>
      </c>
      <c r="T27" s="8" t="str">
        <f t="shared" si="11"/>
        <v/>
      </c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28"/>
      <c r="AP27" s="41" t="str">
        <f t="shared" si="12"/>
        <v/>
      </c>
      <c r="AQ27" s="41" t="str">
        <f t="shared" si="13"/>
        <v/>
      </c>
      <c r="AR27" s="41" t="str">
        <f t="shared" si="14"/>
        <v/>
      </c>
      <c r="AS27" s="41" t="str">
        <f t="shared" si="15"/>
        <v/>
      </c>
      <c r="AT27" s="41" t="str">
        <f t="shared" si="16"/>
        <v/>
      </c>
      <c r="AU27" s="41" t="str">
        <f t="shared" si="17"/>
        <v/>
      </c>
      <c r="AV27" s="41" t="str">
        <f t="shared" si="18"/>
        <v/>
      </c>
      <c r="AW27" s="41" t="str">
        <f t="shared" si="19"/>
        <v/>
      </c>
      <c r="AX27" s="18">
        <v>16.600000000000001</v>
      </c>
      <c r="AY27" s="18">
        <v>6</v>
      </c>
      <c r="AZ27" s="18">
        <v>1</v>
      </c>
      <c r="BA27" s="18">
        <v>0</v>
      </c>
      <c r="BB27" s="18">
        <v>18.600000000000001</v>
      </c>
      <c r="BC27" s="18">
        <v>6.4</v>
      </c>
      <c r="BD27" s="18">
        <v>0.6</v>
      </c>
      <c r="BE27" s="18">
        <v>0</v>
      </c>
      <c r="BF27" s="18">
        <v>0</v>
      </c>
      <c r="BG27" s="18">
        <v>0</v>
      </c>
      <c r="BH27" s="18">
        <v>0</v>
      </c>
      <c r="BI27" s="18">
        <v>0</v>
      </c>
      <c r="BJ27" s="18"/>
      <c r="BK27" s="18"/>
      <c r="BL27" s="18"/>
      <c r="BM27" s="18"/>
      <c r="BN27" s="18"/>
      <c r="BO27" s="18"/>
      <c r="BP27" s="18"/>
      <c r="BQ27" s="18"/>
      <c r="BR27" s="29"/>
      <c r="BS27" s="11">
        <f t="shared" si="20"/>
        <v>12.4</v>
      </c>
      <c r="BT27" s="11">
        <f t="shared" si="21"/>
        <v>46</v>
      </c>
      <c r="BU27" s="11" t="str">
        <f t="shared" si="22"/>
        <v/>
      </c>
      <c r="BV27" s="11">
        <f t="shared" si="23"/>
        <v>12.4</v>
      </c>
      <c r="BW27" s="11">
        <f t="shared" si="24"/>
        <v>46</v>
      </c>
      <c r="BX27" s="11" t="str">
        <f t="shared" si="25"/>
        <v/>
      </c>
      <c r="BY27" s="11" t="str">
        <f t="shared" si="26"/>
        <v/>
      </c>
      <c r="BZ27" s="11">
        <f t="shared" si="27"/>
        <v>46</v>
      </c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28"/>
      <c r="CV27" s="41" t="str">
        <f t="shared" si="28"/>
        <v/>
      </c>
      <c r="CW27" s="41" t="str">
        <f t="shared" si="29"/>
        <v/>
      </c>
      <c r="CX27" s="41" t="str">
        <f t="shared" si="30"/>
        <v/>
      </c>
      <c r="CY27" s="41" t="str">
        <f t="shared" si="31"/>
        <v/>
      </c>
      <c r="CZ27" s="41" t="str">
        <f t="shared" si="32"/>
        <v/>
      </c>
      <c r="DA27" s="41" t="str">
        <f t="shared" si="33"/>
        <v/>
      </c>
      <c r="DB27" s="41" t="str">
        <f t="shared" si="34"/>
        <v/>
      </c>
      <c r="DC27" s="41" t="str">
        <f t="shared" si="35"/>
        <v/>
      </c>
      <c r="DD27" s="52" t="str">
        <f t="shared" si="36"/>
        <v/>
      </c>
      <c r="DE27" s="52" t="str">
        <f t="shared" si="37"/>
        <v/>
      </c>
      <c r="DF27" s="52" t="str">
        <f t="shared" si="38"/>
        <v/>
      </c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41" t="str">
        <f t="shared" si="39"/>
        <v/>
      </c>
      <c r="EB27" s="41" t="str">
        <f t="shared" si="40"/>
        <v/>
      </c>
      <c r="EC27" s="41" t="str">
        <f t="shared" si="41"/>
        <v/>
      </c>
      <c r="ED27" s="41" t="str">
        <f t="shared" si="42"/>
        <v/>
      </c>
      <c r="EE27" s="41" t="str">
        <f t="shared" si="43"/>
        <v/>
      </c>
      <c r="EF27" s="41" t="str">
        <f t="shared" si="44"/>
        <v/>
      </c>
      <c r="EG27" s="41" t="str">
        <f t="shared" si="45"/>
        <v/>
      </c>
      <c r="EH27" s="41" t="str">
        <f t="shared" si="46"/>
        <v/>
      </c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1" t="str">
        <f t="shared" si="47"/>
        <v/>
      </c>
      <c r="FD27" s="11" t="str">
        <f t="shared" si="48"/>
        <v/>
      </c>
      <c r="FE27" s="11" t="str">
        <f t="shared" si="49"/>
        <v/>
      </c>
      <c r="FF27" s="11" t="str">
        <f t="shared" si="50"/>
        <v/>
      </c>
      <c r="FG27" s="11" t="str">
        <f t="shared" si="51"/>
        <v/>
      </c>
      <c r="FH27" s="11" t="str">
        <f t="shared" si="52"/>
        <v/>
      </c>
      <c r="FI27" s="11" t="str">
        <f t="shared" si="53"/>
        <v/>
      </c>
      <c r="FJ27" s="11" t="str">
        <f t="shared" si="54"/>
        <v/>
      </c>
      <c r="FK27" s="17"/>
      <c r="FL27" s="17"/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41" t="str">
        <f t="shared" si="55"/>
        <v/>
      </c>
      <c r="GF27" s="41" t="str">
        <f t="shared" si="56"/>
        <v/>
      </c>
      <c r="GG27" s="41" t="str">
        <f t="shared" si="57"/>
        <v/>
      </c>
      <c r="GH27" s="41" t="str">
        <f t="shared" si="58"/>
        <v/>
      </c>
      <c r="GI27" s="41" t="str">
        <f t="shared" si="59"/>
        <v/>
      </c>
      <c r="GJ27" s="41" t="str">
        <f t="shared" si="60"/>
        <v/>
      </c>
      <c r="GK27" s="41" t="str">
        <f t="shared" si="61"/>
        <v/>
      </c>
      <c r="GL27" s="41" t="str">
        <f t="shared" si="62"/>
        <v/>
      </c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1" t="str">
        <f t="shared" si="63"/>
        <v/>
      </c>
      <c r="HH27" s="11" t="str">
        <f t="shared" si="64"/>
        <v/>
      </c>
      <c r="HI27" s="11" t="str">
        <f t="shared" si="65"/>
        <v/>
      </c>
      <c r="HJ27" s="11" t="str">
        <f t="shared" si="66"/>
        <v/>
      </c>
      <c r="HK27" s="11" t="str">
        <f t="shared" si="67"/>
        <v/>
      </c>
      <c r="HL27" s="11" t="str">
        <f t="shared" si="68"/>
        <v/>
      </c>
      <c r="HM27" s="11" t="str">
        <f t="shared" si="69"/>
        <v/>
      </c>
      <c r="HN27" s="11" t="str">
        <f t="shared" si="70"/>
        <v/>
      </c>
      <c r="HO27" s="17"/>
      <c r="HP27" s="17"/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41" t="str">
        <f t="shared" si="71"/>
        <v/>
      </c>
      <c r="IJ27" s="41" t="str">
        <f t="shared" si="72"/>
        <v/>
      </c>
      <c r="IK27" s="41" t="str">
        <f t="shared" si="73"/>
        <v/>
      </c>
      <c r="IL27" s="41" t="str">
        <f t="shared" si="74"/>
        <v/>
      </c>
      <c r="IM27" s="41" t="str">
        <f t="shared" si="75"/>
        <v/>
      </c>
      <c r="IN27" s="41" t="str">
        <f t="shared" si="76"/>
        <v/>
      </c>
      <c r="IO27" s="41" t="str">
        <f t="shared" si="77"/>
        <v/>
      </c>
      <c r="IP27" s="41" t="str">
        <f t="shared" si="78"/>
        <v/>
      </c>
      <c r="IQ27" s="18"/>
      <c r="IR27" s="18"/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1" t="str">
        <f t="shared" si="79"/>
        <v/>
      </c>
      <c r="JL27" s="11" t="str">
        <f t="shared" si="80"/>
        <v/>
      </c>
      <c r="JM27" s="11" t="str">
        <f t="shared" si="81"/>
        <v/>
      </c>
      <c r="JN27" s="11" t="str">
        <f t="shared" si="82"/>
        <v/>
      </c>
      <c r="JO27" s="11" t="str">
        <f t="shared" si="83"/>
        <v/>
      </c>
      <c r="JP27" s="11" t="str">
        <f t="shared" si="84"/>
        <v/>
      </c>
      <c r="JQ27" s="11" t="str">
        <f t="shared" si="85"/>
        <v/>
      </c>
      <c r="JR27" s="11" t="str">
        <f t="shared" si="86"/>
        <v/>
      </c>
      <c r="JS27" s="17"/>
      <c r="JT27" s="17"/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41" t="str">
        <f t="shared" si="87"/>
        <v/>
      </c>
      <c r="KN27" s="41" t="str">
        <f t="shared" si="88"/>
        <v/>
      </c>
      <c r="KO27" s="41" t="str">
        <f t="shared" si="89"/>
        <v/>
      </c>
      <c r="KP27" s="41" t="str">
        <f t="shared" si="90"/>
        <v/>
      </c>
      <c r="KQ27" s="41" t="str">
        <f t="shared" si="91"/>
        <v/>
      </c>
      <c r="KR27" s="41" t="str">
        <f t="shared" si="92"/>
        <v/>
      </c>
      <c r="KS27" s="41" t="str">
        <f t="shared" si="93"/>
        <v/>
      </c>
      <c r="KT27" s="41" t="str">
        <f t="shared" si="94"/>
        <v/>
      </c>
      <c r="KU27" s="18"/>
      <c r="KV27" s="18"/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1" t="str">
        <f t="shared" si="95"/>
        <v/>
      </c>
      <c r="LP27" s="11" t="str">
        <f t="shared" si="96"/>
        <v/>
      </c>
      <c r="LQ27" s="11" t="str">
        <f t="shared" si="97"/>
        <v/>
      </c>
      <c r="LR27" s="11" t="str">
        <f t="shared" si="98"/>
        <v/>
      </c>
      <c r="LS27" s="11" t="str">
        <f t="shared" si="99"/>
        <v/>
      </c>
      <c r="LT27" s="11" t="str">
        <f t="shared" si="100"/>
        <v/>
      </c>
      <c r="LU27" s="11" t="str">
        <f t="shared" si="101"/>
        <v/>
      </c>
      <c r="LV27" s="11" t="str">
        <f t="shared" si="102"/>
        <v/>
      </c>
      <c r="LW27" s="17"/>
      <c r="LX27" s="17"/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41" t="str">
        <f t="shared" si="103"/>
        <v/>
      </c>
      <c r="MR27" s="41" t="str">
        <f t="shared" si="104"/>
        <v/>
      </c>
      <c r="MS27" s="41" t="str">
        <f t="shared" si="105"/>
        <v/>
      </c>
      <c r="MT27" s="41" t="str">
        <f t="shared" si="106"/>
        <v/>
      </c>
      <c r="MU27" s="41" t="str">
        <f t="shared" si="107"/>
        <v/>
      </c>
      <c r="MV27" s="41" t="str">
        <f t="shared" si="108"/>
        <v/>
      </c>
      <c r="MW27" s="41" t="str">
        <f t="shared" si="109"/>
        <v/>
      </c>
      <c r="MX27" s="41" t="str">
        <f t="shared" si="110"/>
        <v/>
      </c>
      <c r="MY27" s="18"/>
      <c r="MZ27" s="18"/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1" t="str">
        <f t="shared" si="111"/>
        <v/>
      </c>
      <c r="NT27" s="11" t="str">
        <f t="shared" si="112"/>
        <v/>
      </c>
      <c r="NU27" s="11" t="str">
        <f t="shared" si="113"/>
        <v/>
      </c>
      <c r="NV27" s="11" t="str">
        <f t="shared" si="114"/>
        <v/>
      </c>
      <c r="NW27" s="11" t="str">
        <f t="shared" si="115"/>
        <v/>
      </c>
      <c r="NX27" s="11" t="str">
        <f t="shared" si="116"/>
        <v/>
      </c>
      <c r="NY27" s="11" t="str">
        <f t="shared" si="117"/>
        <v/>
      </c>
      <c r="NZ27" s="11" t="str">
        <f t="shared" si="118"/>
        <v/>
      </c>
      <c r="OA27" s="17"/>
      <c r="OB27" s="17"/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41" t="str">
        <f t="shared" si="119"/>
        <v/>
      </c>
      <c r="OV27" s="41" t="str">
        <f t="shared" si="120"/>
        <v/>
      </c>
      <c r="OW27" s="41" t="str">
        <f t="shared" si="121"/>
        <v/>
      </c>
      <c r="OX27" s="41" t="str">
        <f t="shared" si="122"/>
        <v/>
      </c>
      <c r="OY27" s="41" t="str">
        <f t="shared" si="123"/>
        <v/>
      </c>
      <c r="OZ27" s="41" t="str">
        <f t="shared" si="124"/>
        <v/>
      </c>
      <c r="PA27" s="41" t="str">
        <f t="shared" si="125"/>
        <v/>
      </c>
      <c r="PB27" s="41" t="str">
        <f t="shared" si="126"/>
        <v/>
      </c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1" t="str">
        <f t="shared" si="127"/>
        <v/>
      </c>
      <c r="PX27" s="11" t="str">
        <f t="shared" si="128"/>
        <v/>
      </c>
      <c r="PY27" s="11" t="str">
        <f t="shared" si="129"/>
        <v/>
      </c>
      <c r="PZ27" s="11" t="str">
        <f t="shared" si="130"/>
        <v/>
      </c>
      <c r="QA27" s="11" t="str">
        <f t="shared" si="131"/>
        <v/>
      </c>
      <c r="QB27" s="11" t="str">
        <f t="shared" si="132"/>
        <v/>
      </c>
      <c r="QC27" s="11" t="str">
        <f t="shared" si="133"/>
        <v/>
      </c>
      <c r="QD27" s="11" t="str">
        <f t="shared" si="134"/>
        <v/>
      </c>
      <c r="QE27" s="23">
        <f t="shared" si="135"/>
        <v>8.3000000000000007</v>
      </c>
      <c r="QF27" s="23">
        <f t="shared" si="136"/>
        <v>3</v>
      </c>
      <c r="QG27" s="23">
        <f t="shared" si="137"/>
        <v>0.5</v>
      </c>
      <c r="QH27" s="23">
        <f t="shared" si="138"/>
        <v>0</v>
      </c>
      <c r="QI27" s="23">
        <f t="shared" si="139"/>
        <v>9.3000000000000007</v>
      </c>
      <c r="QJ27" s="23">
        <f t="shared" si="140"/>
        <v>3.2</v>
      </c>
      <c r="QK27" s="23">
        <f t="shared" si="141"/>
        <v>0.3</v>
      </c>
      <c r="QL27" s="23">
        <f t="shared" si="142"/>
        <v>0</v>
      </c>
      <c r="QM27" s="23">
        <f t="shared" si="143"/>
        <v>0</v>
      </c>
      <c r="QN27" s="23">
        <f t="shared" si="144"/>
        <v>0</v>
      </c>
      <c r="QO27" s="23">
        <f t="shared" si="145"/>
        <v>0</v>
      </c>
      <c r="QP27" s="23">
        <f t="shared" si="146"/>
        <v>0</v>
      </c>
      <c r="QQ27" s="23">
        <f t="shared" si="147"/>
        <v>0</v>
      </c>
      <c r="QR27" s="23">
        <f t="shared" si="148"/>
        <v>0</v>
      </c>
      <c r="QS27" s="23">
        <f t="shared" si="149"/>
        <v>0</v>
      </c>
      <c r="QT27" s="23">
        <f t="shared" si="150"/>
        <v>0</v>
      </c>
      <c r="QU27" s="23">
        <f t="shared" si="151"/>
        <v>0</v>
      </c>
      <c r="QV27" s="23">
        <f t="shared" si="152"/>
        <v>0</v>
      </c>
      <c r="QW27" s="23">
        <f t="shared" si="153"/>
        <v>0</v>
      </c>
      <c r="QX27" s="23">
        <f t="shared" si="154"/>
        <v>0</v>
      </c>
      <c r="QY27" s="28" t="s">
        <v>57</v>
      </c>
      <c r="QZ27" s="41">
        <f t="shared" si="155"/>
        <v>6.2</v>
      </c>
      <c r="RA27" s="41">
        <f t="shared" si="156"/>
        <v>23</v>
      </c>
      <c r="RB27" s="41" t="str">
        <f t="shared" si="157"/>
        <v/>
      </c>
      <c r="RC27" s="41">
        <f t="shared" si="158"/>
        <v>6.2</v>
      </c>
      <c r="RD27" s="41">
        <f t="shared" si="159"/>
        <v>23</v>
      </c>
      <c r="RE27" s="41" t="str">
        <f t="shared" si="160"/>
        <v/>
      </c>
      <c r="RF27" s="41" t="str">
        <f t="shared" si="161"/>
        <v/>
      </c>
      <c r="RG27" s="41">
        <f t="shared" si="162"/>
        <v>23</v>
      </c>
    </row>
    <row r="28" spans="1:475" ht="17" x14ac:dyDescent="0.2">
      <c r="R28" s="10"/>
      <c r="S28" s="10"/>
      <c r="T28" s="10"/>
    </row>
    <row r="29" spans="1:475" ht="17" x14ac:dyDescent="0.2">
      <c r="R29" s="10"/>
      <c r="S29" s="10"/>
      <c r="T29" s="10"/>
    </row>
    <row r="30" spans="1:475" ht="17" x14ac:dyDescent="0.2">
      <c r="B30" s="24" t="s">
        <v>54</v>
      </c>
      <c r="R30" s="10"/>
      <c r="S30" s="10"/>
      <c r="T30" s="10"/>
      <c r="AP30" s="4"/>
      <c r="AW30" s="43">
        <v>14.4</v>
      </c>
      <c r="BS30" s="4"/>
      <c r="BZ30" s="43">
        <v>14.4</v>
      </c>
      <c r="CV30" s="4"/>
      <c r="DC30" s="43">
        <v>14.4</v>
      </c>
      <c r="EA30" s="4"/>
      <c r="EH30" s="43">
        <v>14.4</v>
      </c>
      <c r="FC30" s="4"/>
      <c r="FJ30" s="43">
        <v>14.4</v>
      </c>
      <c r="GE30" s="4"/>
      <c r="GL30" s="43">
        <v>14.4</v>
      </c>
      <c r="HG30" s="4"/>
      <c r="HN30" s="43">
        <v>14.4</v>
      </c>
      <c r="II30" s="4"/>
      <c r="IP30" s="43">
        <v>14.4</v>
      </c>
      <c r="JK30" s="4"/>
      <c r="JR30" s="43">
        <v>14.4</v>
      </c>
      <c r="KM30" s="4"/>
      <c r="KT30" s="43">
        <v>14.4</v>
      </c>
      <c r="LO30" s="4"/>
      <c r="LV30" s="43">
        <v>14.4</v>
      </c>
      <c r="MQ30" s="4"/>
      <c r="MX30" s="43">
        <v>14.4</v>
      </c>
      <c r="NS30" s="4"/>
      <c r="NZ30" s="43">
        <v>14.4</v>
      </c>
      <c r="OU30" s="4"/>
      <c r="PB30" s="43">
        <v>14.4</v>
      </c>
      <c r="PW30" s="4"/>
      <c r="QD30" s="43">
        <v>14.4</v>
      </c>
    </row>
    <row r="31" spans="1:475" ht="17" x14ac:dyDescent="0.2">
      <c r="B31" s="31" t="s">
        <v>53</v>
      </c>
      <c r="R31" s="10"/>
      <c r="S31" s="10"/>
      <c r="T31" s="10"/>
      <c r="AP31" s="4"/>
      <c r="AW31" s="53">
        <v>21.6</v>
      </c>
      <c r="BS31" s="4"/>
      <c r="BZ31" s="53">
        <v>21.6</v>
      </c>
      <c r="CV31" s="4"/>
      <c r="DC31" s="53">
        <v>21.6</v>
      </c>
      <c r="EA31" s="4"/>
      <c r="EH31" s="53">
        <v>21.6</v>
      </c>
      <c r="FC31" s="4"/>
      <c r="FJ31" s="53">
        <v>21.6</v>
      </c>
      <c r="GE31" s="4"/>
      <c r="GL31" s="53">
        <v>21.6</v>
      </c>
      <c r="HG31" s="4"/>
      <c r="HN31" s="53">
        <v>21.6</v>
      </c>
      <c r="II31" s="4"/>
      <c r="IP31" s="53">
        <v>21.6</v>
      </c>
      <c r="JK31" s="4"/>
      <c r="JR31" s="53">
        <v>21.6</v>
      </c>
      <c r="KM31" s="4"/>
      <c r="KT31" s="53">
        <v>21.6</v>
      </c>
      <c r="LO31" s="4"/>
      <c r="LV31" s="53">
        <v>21.6</v>
      </c>
      <c r="MQ31" s="4"/>
      <c r="MX31" s="53">
        <v>21.6</v>
      </c>
      <c r="NS31" s="4"/>
      <c r="NZ31" s="53">
        <v>21.6</v>
      </c>
      <c r="OU31" s="4"/>
      <c r="PB31" s="53">
        <v>21.6</v>
      </c>
      <c r="PW31" s="4"/>
      <c r="QD31" s="53">
        <v>21.6</v>
      </c>
    </row>
    <row r="32" spans="1:475" ht="17" x14ac:dyDescent="0.2">
      <c r="A32" s="5"/>
      <c r="B32" s="32" t="s">
        <v>67</v>
      </c>
      <c r="C32" s="20"/>
      <c r="R32" s="10"/>
      <c r="S32" s="10"/>
      <c r="T32" s="10"/>
      <c r="AP32" s="4"/>
      <c r="AW32" s="45">
        <v>23.2</v>
      </c>
      <c r="BS32" s="4"/>
      <c r="BZ32" s="45">
        <v>23.2</v>
      </c>
      <c r="CV32" s="4"/>
      <c r="DC32" s="45">
        <v>23.2</v>
      </c>
      <c r="EA32" s="4"/>
      <c r="EH32" s="45">
        <v>23.2</v>
      </c>
      <c r="FC32" s="4"/>
      <c r="FJ32" s="45">
        <v>23.2</v>
      </c>
      <c r="GE32" s="4"/>
      <c r="GL32" s="45">
        <v>23.2</v>
      </c>
      <c r="HG32" s="4"/>
      <c r="HN32" s="45">
        <v>23.2</v>
      </c>
      <c r="II32" s="4"/>
      <c r="IP32" s="45">
        <v>23.2</v>
      </c>
      <c r="JK32" s="4"/>
      <c r="JR32" s="45">
        <v>23.2</v>
      </c>
      <c r="KM32" s="4"/>
      <c r="KT32" s="45">
        <v>23.2</v>
      </c>
      <c r="LO32" s="4"/>
      <c r="LV32" s="45">
        <v>23.2</v>
      </c>
      <c r="MQ32" s="4"/>
      <c r="MX32" s="45">
        <v>23.2</v>
      </c>
      <c r="NS32" s="4"/>
      <c r="NZ32" s="45">
        <v>23.2</v>
      </c>
      <c r="OU32" s="4"/>
      <c r="PB32" s="45">
        <v>23.2</v>
      </c>
      <c r="PW32" s="4"/>
      <c r="QD32" s="45">
        <v>23.2</v>
      </c>
    </row>
    <row r="33" spans="1:456" ht="17" x14ac:dyDescent="0.2">
      <c r="A33" s="5"/>
      <c r="B33" s="36" t="s">
        <v>80</v>
      </c>
      <c r="C33" s="20"/>
      <c r="R33" s="10"/>
      <c r="S33" s="10"/>
      <c r="T33" s="10"/>
      <c r="AP33" s="4"/>
      <c r="AW33" s="46">
        <v>25.6</v>
      </c>
      <c r="BS33" s="4"/>
      <c r="BZ33" s="46">
        <v>25.6</v>
      </c>
      <c r="CV33" s="4"/>
      <c r="DC33" s="46">
        <v>25.6</v>
      </c>
      <c r="EA33" s="4"/>
      <c r="EH33" s="46">
        <v>25.6</v>
      </c>
      <c r="FC33" s="4"/>
      <c r="FJ33" s="46">
        <v>25.6</v>
      </c>
      <c r="GE33" s="4"/>
      <c r="GL33" s="46">
        <v>25.6</v>
      </c>
      <c r="HG33" s="4"/>
      <c r="HN33" s="46">
        <v>25.6</v>
      </c>
      <c r="II33" s="4"/>
      <c r="IP33" s="46">
        <v>25.6</v>
      </c>
      <c r="JK33" s="4"/>
      <c r="JR33" s="46">
        <v>25.6</v>
      </c>
      <c r="KM33" s="4"/>
      <c r="KT33" s="46">
        <v>25.6</v>
      </c>
      <c r="LO33" s="4"/>
      <c r="LV33" s="46">
        <v>25.6</v>
      </c>
      <c r="MQ33" s="4"/>
      <c r="MX33" s="46">
        <v>25.6</v>
      </c>
      <c r="NS33" s="4"/>
      <c r="NZ33" s="46">
        <v>25.6</v>
      </c>
      <c r="OU33" s="4"/>
      <c r="PB33" s="46">
        <v>25.6</v>
      </c>
      <c r="PW33" s="4"/>
      <c r="QD33" s="46">
        <v>25.6</v>
      </c>
    </row>
    <row r="34" spans="1:456" ht="17" x14ac:dyDescent="0.2">
      <c r="A34" s="5"/>
      <c r="B34" s="35" t="s">
        <v>51</v>
      </c>
      <c r="C34" s="20"/>
      <c r="R34" s="10"/>
      <c r="S34" s="10"/>
      <c r="T34" s="10"/>
      <c r="AP34" s="4"/>
      <c r="AW34" s="47">
        <v>51.2</v>
      </c>
      <c r="BS34" s="4"/>
      <c r="BZ34" s="47">
        <v>51.2</v>
      </c>
      <c r="CV34" s="4"/>
      <c r="DC34" s="47">
        <v>51.2</v>
      </c>
      <c r="EA34" s="4"/>
      <c r="EH34" s="47">
        <v>51.2</v>
      </c>
      <c r="FC34" s="4"/>
      <c r="FJ34" s="47">
        <v>51.2</v>
      </c>
      <c r="GE34" s="4"/>
      <c r="GL34" s="47">
        <v>51.2</v>
      </c>
      <c r="HG34" s="4"/>
      <c r="HN34" s="47">
        <v>51.2</v>
      </c>
      <c r="II34" s="4"/>
      <c r="IP34" s="47">
        <v>51.2</v>
      </c>
      <c r="JK34" s="4"/>
      <c r="JR34" s="47">
        <v>51.2</v>
      </c>
      <c r="KM34" s="4"/>
      <c r="KT34" s="47">
        <v>51.2</v>
      </c>
      <c r="LO34" s="4"/>
      <c r="LV34" s="47">
        <v>51.2</v>
      </c>
      <c r="MQ34" s="4"/>
      <c r="MX34" s="47">
        <v>51.2</v>
      </c>
      <c r="NS34" s="4"/>
      <c r="NZ34" s="47">
        <v>51.2</v>
      </c>
      <c r="OU34" s="4"/>
      <c r="PB34" s="47">
        <v>51.2</v>
      </c>
      <c r="PW34" s="4"/>
      <c r="QD34" s="47">
        <v>51.2</v>
      </c>
    </row>
    <row r="35" spans="1:456" ht="17" x14ac:dyDescent="0.2">
      <c r="A35" s="5"/>
      <c r="B35" s="25" t="s">
        <v>52</v>
      </c>
      <c r="C35" s="20"/>
      <c r="R35" s="10"/>
      <c r="S35" s="10"/>
      <c r="T35" s="10"/>
      <c r="AP35" s="4"/>
      <c r="AW35" s="48">
        <v>77.2</v>
      </c>
      <c r="BS35" s="4"/>
      <c r="BZ35" s="48">
        <v>77.2</v>
      </c>
      <c r="CV35" s="4"/>
      <c r="DC35" s="48">
        <v>77.2</v>
      </c>
      <c r="EA35" s="4"/>
      <c r="EH35" s="48">
        <v>77.2</v>
      </c>
      <c r="FC35" s="4"/>
      <c r="FJ35" s="48">
        <v>77.2</v>
      </c>
      <c r="GE35" s="4"/>
      <c r="GL35" s="48">
        <v>77.2</v>
      </c>
      <c r="HG35" s="4"/>
      <c r="HN35" s="48">
        <v>77.2</v>
      </c>
      <c r="II35" s="4"/>
      <c r="IP35" s="48">
        <v>77.2</v>
      </c>
      <c r="JK35" s="4"/>
      <c r="JR35" s="48">
        <v>77.2</v>
      </c>
      <c r="KM35" s="4"/>
      <c r="KT35" s="48">
        <v>77.2</v>
      </c>
      <c r="LO35" s="4"/>
      <c r="LV35" s="48">
        <v>77.2</v>
      </c>
      <c r="MQ35" s="4"/>
      <c r="MX35" s="48">
        <v>77.2</v>
      </c>
      <c r="NS35" s="4"/>
      <c r="NZ35" s="48">
        <v>77.2</v>
      </c>
      <c r="OU35" s="4"/>
      <c r="PB35" s="48">
        <v>77.2</v>
      </c>
      <c r="PW35" s="4"/>
      <c r="QD35" s="48">
        <v>77.2</v>
      </c>
    </row>
    <row r="36" spans="1:456" ht="17" x14ac:dyDescent="0.2">
      <c r="A36" s="5"/>
      <c r="B36" s="34" t="s">
        <v>66</v>
      </c>
      <c r="C36" s="20"/>
      <c r="R36" s="10"/>
      <c r="S36" s="10"/>
      <c r="T36" s="10"/>
      <c r="AP36" s="4"/>
      <c r="AW36" s="49">
        <v>79.8</v>
      </c>
      <c r="BS36" s="4"/>
      <c r="BZ36" s="49">
        <v>79.8</v>
      </c>
      <c r="CV36" s="4"/>
      <c r="DC36" s="49">
        <v>79.8</v>
      </c>
      <c r="EA36" s="4"/>
      <c r="EH36" s="49">
        <v>79.8</v>
      </c>
      <c r="FC36" s="4"/>
      <c r="FJ36" s="49">
        <v>79.8</v>
      </c>
      <c r="GE36" s="4"/>
      <c r="GL36" s="49">
        <v>79.8</v>
      </c>
      <c r="HG36" s="4"/>
      <c r="HN36" s="49">
        <v>79.8</v>
      </c>
      <c r="II36" s="4"/>
      <c r="IP36" s="49">
        <v>79.8</v>
      </c>
      <c r="JK36" s="4"/>
      <c r="JR36" s="49">
        <v>79.8</v>
      </c>
      <c r="KM36" s="4"/>
      <c r="KT36" s="49">
        <v>79.8</v>
      </c>
      <c r="LO36" s="4"/>
      <c r="LV36" s="49">
        <v>79.8</v>
      </c>
      <c r="MQ36" s="4"/>
      <c r="MX36" s="49">
        <v>79.8</v>
      </c>
      <c r="NS36" s="4"/>
      <c r="NZ36" s="49">
        <v>79.8</v>
      </c>
      <c r="OU36" s="4"/>
      <c r="PB36" s="49">
        <v>79.8</v>
      </c>
      <c r="PW36" s="4"/>
      <c r="QD36" s="49">
        <v>79.8</v>
      </c>
    </row>
    <row r="37" spans="1:456" ht="17" x14ac:dyDescent="0.2">
      <c r="A37" s="5"/>
      <c r="B37" s="26" t="s">
        <v>35</v>
      </c>
      <c r="C37" s="20"/>
      <c r="R37" s="10"/>
      <c r="S37" s="10"/>
      <c r="T37" s="10"/>
      <c r="AP37" s="4"/>
      <c r="AW37" s="50">
        <v>82.2</v>
      </c>
      <c r="BS37" s="4"/>
      <c r="BZ37" s="50">
        <v>82.2</v>
      </c>
      <c r="CV37" s="4"/>
      <c r="DC37" s="50">
        <v>82.2</v>
      </c>
      <c r="EA37" s="4"/>
      <c r="EH37" s="50">
        <v>82.2</v>
      </c>
      <c r="FC37" s="4"/>
      <c r="FJ37" s="50">
        <v>82.2</v>
      </c>
      <c r="GE37" s="4"/>
      <c r="GL37" s="50">
        <v>82.2</v>
      </c>
      <c r="HG37" s="4"/>
      <c r="HN37" s="50">
        <v>82.2</v>
      </c>
      <c r="II37" s="4"/>
      <c r="IP37" s="50">
        <v>82.2</v>
      </c>
      <c r="JK37" s="4"/>
      <c r="JR37" s="50">
        <v>82.2</v>
      </c>
      <c r="KM37" s="4"/>
      <c r="KT37" s="50">
        <v>82.2</v>
      </c>
      <c r="LO37" s="4"/>
      <c r="LV37" s="50">
        <v>82.2</v>
      </c>
      <c r="MQ37" s="4"/>
      <c r="MX37" s="50">
        <v>82.2</v>
      </c>
      <c r="NS37" s="4"/>
      <c r="NZ37" s="50">
        <v>82.2</v>
      </c>
      <c r="OU37" s="4"/>
      <c r="PB37" s="50">
        <v>82.2</v>
      </c>
      <c r="PW37" s="4"/>
      <c r="QD37" s="50">
        <v>82.2</v>
      </c>
    </row>
    <row r="38" spans="1:456" x14ac:dyDescent="0.2">
      <c r="B38" s="30" t="s">
        <v>58</v>
      </c>
      <c r="C38" s="2"/>
    </row>
    <row r="39" spans="1:456" x14ac:dyDescent="0.2">
      <c r="A39" s="5"/>
      <c r="B39" s="5"/>
      <c r="C39" s="20"/>
      <c r="QF39" s="2"/>
      <c r="QG39" s="2"/>
      <c r="QH39" s="2"/>
      <c r="QI39" s="2"/>
      <c r="QJ39" s="2"/>
      <c r="QK39" s="2"/>
      <c r="QL39" s="2"/>
      <c r="QM39" s="2"/>
      <c r="QN39" s="2"/>
    </row>
    <row r="40" spans="1:456" x14ac:dyDescent="0.2">
      <c r="A40" s="5"/>
      <c r="B40" s="5"/>
      <c r="C40" s="20"/>
    </row>
    <row r="41" spans="1:456" x14ac:dyDescent="0.2">
      <c r="A41" s="5"/>
      <c r="B41" s="5"/>
      <c r="C41" s="20"/>
    </row>
    <row r="42" spans="1:456" x14ac:dyDescent="0.2">
      <c r="A42" s="5"/>
      <c r="B42" s="5"/>
      <c r="C42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27">
      <sortCondition descending="1" ref="F1:F28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P1:P3"/>
    <mergeCell ref="Q1:Q3"/>
    <mergeCell ref="R1:R3"/>
    <mergeCell ref="S1:S3"/>
    <mergeCell ref="T1:T3"/>
    <mergeCell ref="G1:G3"/>
    <mergeCell ref="H1:H3"/>
    <mergeCell ref="I1:I3"/>
    <mergeCell ref="J1:J3"/>
    <mergeCell ref="K1:K3"/>
    <mergeCell ref="L1:L3"/>
    <mergeCell ref="PC1:QD1"/>
    <mergeCell ref="QE1:RG1"/>
    <mergeCell ref="U2:X2"/>
    <mergeCell ref="Y2:AB2"/>
    <mergeCell ref="AC2:AF2"/>
    <mergeCell ref="AG2:AJ2"/>
    <mergeCell ref="AK2:AN2"/>
    <mergeCell ref="FK1:GL1"/>
    <mergeCell ref="GM1:HN1"/>
    <mergeCell ref="HO1:IP1"/>
    <mergeCell ref="IQ1:JR1"/>
    <mergeCell ref="JS1:KT1"/>
    <mergeCell ref="KU1:LV1"/>
    <mergeCell ref="U1:AW1"/>
    <mergeCell ref="AX1:BZ1"/>
    <mergeCell ref="CA1:DC1"/>
    <mergeCell ref="DD1:DF1"/>
    <mergeCell ref="DG1:EH1"/>
    <mergeCell ref="EI1:FJ1"/>
    <mergeCell ref="AX2:BA2"/>
    <mergeCell ref="BB2:BE2"/>
    <mergeCell ref="BF2:BI2"/>
    <mergeCell ref="BJ2:BM2"/>
    <mergeCell ref="BN2:BQ2"/>
    <mergeCell ref="CA2:CD2"/>
    <mergeCell ref="LW1:MX1"/>
    <mergeCell ref="MY1:NZ1"/>
    <mergeCell ref="OA1:PB1"/>
    <mergeCell ref="DO2:DR2"/>
    <mergeCell ref="DS2:DV2"/>
    <mergeCell ref="DW2:DZ2"/>
    <mergeCell ref="EI2:EL2"/>
    <mergeCell ref="EM2:EP2"/>
    <mergeCell ref="EQ2:ET2"/>
    <mergeCell ref="CE2:CH2"/>
    <mergeCell ref="CI2:CL2"/>
    <mergeCell ref="CM2:CP2"/>
    <mergeCell ref="CQ2:CT2"/>
    <mergeCell ref="DG2:DJ2"/>
    <mergeCell ref="DK2:DN2"/>
    <mergeCell ref="GA2:GD2"/>
    <mergeCell ref="GM2:GP2"/>
    <mergeCell ref="GQ2:GT2"/>
    <mergeCell ref="GU2:GX2"/>
    <mergeCell ref="GY2:HB2"/>
    <mergeCell ref="HC2:HF2"/>
    <mergeCell ref="EU2:EX2"/>
    <mergeCell ref="EY2:FB2"/>
    <mergeCell ref="FK2:FN2"/>
    <mergeCell ref="FO2:FR2"/>
    <mergeCell ref="FS2:FV2"/>
    <mergeCell ref="FW2:FZ2"/>
    <mergeCell ref="IU2:IX2"/>
    <mergeCell ref="IY2:JB2"/>
    <mergeCell ref="JC2:JF2"/>
    <mergeCell ref="JG2:JJ2"/>
    <mergeCell ref="JS2:JV2"/>
    <mergeCell ref="HS2:HV2"/>
    <mergeCell ref="HW2:HZ2"/>
    <mergeCell ref="IA2:ID2"/>
    <mergeCell ref="IE2:IH2"/>
    <mergeCell ref="IQ2:IT2"/>
    <mergeCell ref="NO2:NR2"/>
    <mergeCell ref="LG2:LJ2"/>
    <mergeCell ref="LK2:LN2"/>
    <mergeCell ref="LW2:LZ2"/>
    <mergeCell ref="MA2:MD2"/>
    <mergeCell ref="ME2:MH2"/>
    <mergeCell ref="MI2:ML2"/>
    <mergeCell ref="KA2:KD2"/>
    <mergeCell ref="KE2:KH2"/>
    <mergeCell ref="KI2:KL2"/>
    <mergeCell ref="KU2:KX2"/>
    <mergeCell ref="KY2:LB2"/>
    <mergeCell ref="LC2:LF2"/>
    <mergeCell ref="QM2:QP2"/>
    <mergeCell ref="QQ2:QT2"/>
    <mergeCell ref="QU2:QX2"/>
    <mergeCell ref="N1:N3"/>
    <mergeCell ref="O1:O3"/>
    <mergeCell ref="PG2:PJ2"/>
    <mergeCell ref="PK2:PN2"/>
    <mergeCell ref="PO2:PR2"/>
    <mergeCell ref="PS2:PV2"/>
    <mergeCell ref="QE2:QH2"/>
    <mergeCell ref="QI2:QL2"/>
    <mergeCell ref="OA2:OD2"/>
    <mergeCell ref="OE2:OH2"/>
    <mergeCell ref="OI2:OL2"/>
    <mergeCell ref="OM2:OP2"/>
    <mergeCell ref="OQ2:OT2"/>
    <mergeCell ref="PC2:PF2"/>
    <mergeCell ref="MM2:MP2"/>
    <mergeCell ref="MY2:NB2"/>
    <mergeCell ref="NC2:NF2"/>
    <mergeCell ref="NG2:NJ2"/>
    <mergeCell ref="NK2:NN2"/>
    <mergeCell ref="JW2:JZ2"/>
    <mergeCell ref="HO2:HR2"/>
  </mergeCells>
  <conditionalFormatting sqref="U4:AW27">
    <cfRule type="expression" dxfId="375" priority="6" stopIfTrue="1">
      <formula>IF($AO4&lt;&gt;"",1,0)</formula>
    </cfRule>
  </conditionalFormatting>
  <conditionalFormatting sqref="AX4:BZ27">
    <cfRule type="expression" dxfId="374" priority="11" stopIfTrue="1">
      <formula>IF($BR4&lt;&gt;"",1,0)</formula>
    </cfRule>
  </conditionalFormatting>
  <conditionalFormatting sqref="M1:M3 O1:O3 K1:K1048576 Q1:Q1048576 M4:O1048576">
    <cfRule type="expression" dxfId="373" priority="18">
      <formula>IF(K1=$CA$1,1,0)</formula>
    </cfRule>
    <cfRule type="expression" dxfId="372" priority="19">
      <formula>IF(K1=$AX$1,1,0)</formula>
    </cfRule>
    <cfRule type="expression" dxfId="371" priority="20">
      <formula>IF(K1=$U$1,1,0)</formula>
    </cfRule>
  </conditionalFormatting>
  <conditionalFormatting sqref="CA4:DC27">
    <cfRule type="expression" dxfId="370" priority="12" stopIfTrue="1">
      <formula>IF($CU4&lt;&gt;"",1,0)</formula>
    </cfRule>
  </conditionalFormatting>
  <conditionalFormatting sqref="A4:A1048576">
    <cfRule type="expression" dxfId="347" priority="21" stopIfTrue="1">
      <formula>IF(A4&gt;8,1,0)</formula>
    </cfRule>
    <cfRule type="expression" dxfId="348" priority="1">
      <formula>AND(G4="P",F4="")</formula>
    </cfRule>
  </conditionalFormatting>
  <conditionalFormatting sqref="H1:H1048576">
    <cfRule type="containsText" dxfId="369" priority="13" operator="containsText" text="No DD">
      <formula>NOT(ISERROR(SEARCH("No DD",H1)))</formula>
    </cfRule>
    <cfRule type="containsText" dxfId="368" priority="14" operator="containsText" text="Merit">
      <formula>NOT(ISERROR(SEARCH("Merit",H1)))</formula>
    </cfRule>
    <cfRule type="containsText" dxfId="367" priority="15" operator="containsText" text="Excellence">
      <formula>NOT(ISERROR(SEARCH("Excellence",H1)))</formula>
    </cfRule>
    <cfRule type="containsText" dxfId="366" priority="16" operator="containsText" text="Worlds Team">
      <formula>NOT(ISERROR(SEARCH("Worlds Team",H1)))</formula>
    </cfRule>
    <cfRule type="containsText" dxfId="365" priority="17" operator="containsText" text="National Team">
      <formula>NOT(ISERROR(SEARCH("National Team",H1)))</formula>
    </cfRule>
  </conditionalFormatting>
  <conditionalFormatting sqref="AT38:AT1048576 BW38:BW1048576 EE38:EE1048576 FG38:FG1048576 BW1:BW36 CZ1:CZ1048576 EE1:EE36 FG1:FG36 GI1:GI1048576 HK1:HK1048576 IM1:IM1048576 JO1:JO1048576 KQ1:KQ1048576 LS1:LS1048576 MU1:MU1048576 NW1:NW1048576 OY1:OY1048576 QA1:QA1048576 AT1:AT36">
    <cfRule type="cellIs" dxfId="364" priority="59087" operator="between">
      <formula>AW$37</formula>
      <formula>1000</formula>
    </cfRule>
    <cfRule type="cellIs" dxfId="363" priority="59088" operator="between">
      <formula>AW$36</formula>
      <formula>AW$37</formula>
    </cfRule>
    <cfRule type="cellIs" dxfId="362" priority="59089" operator="between">
      <formula>AW$35</formula>
      <formula>AW$36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361" priority="86109" operator="between">
      <formula>AW$30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60" priority="86154" operator="between">
      <formula>AW$34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59" priority="86199" operator="between">
      <formula>AW$30</formula>
      <formula>AW$31</formula>
    </cfRule>
    <cfRule type="cellIs" dxfId="358" priority="86200" operator="between">
      <formula>AW$31</formula>
      <formula>AW$32</formula>
    </cfRule>
    <cfRule type="cellIs" dxfId="357" priority="86201" operator="between">
      <formula>AW$32</formula>
      <formula>AW$33</formula>
    </cfRule>
    <cfRule type="cellIs" dxfId="356" priority="86202" operator="between">
      <formula>AW$33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55" priority="86379" operator="between">
      <formula>AW$34</formula>
      <formula>AW$35</formula>
    </cfRule>
    <cfRule type="cellIs" dxfId="354" priority="86380" operator="between">
      <formula>AW$35</formula>
      <formula>AW$36</formula>
    </cfRule>
    <cfRule type="cellIs" dxfId="353" priority="86381" operator="between">
      <formula>AW$36</formula>
      <formula>AW$37</formula>
    </cfRule>
    <cfRule type="cellIs" dxfId="352" priority="86382" operator="between">
      <formula>AW$37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51" priority="86559" operator="between">
      <formula>AW$33</formula>
      <formula>1000</formula>
    </cfRule>
    <cfRule type="cellIs" dxfId="350" priority="86560" operator="between">
      <formula>AW$32</formula>
      <formula>AW$33</formula>
    </cfRule>
    <cfRule type="cellIs" dxfId="349" priority="86561" operator="between">
      <formula>AW$31</formula>
      <formula>AW$32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G33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37" bestFit="1" customWidth="1"/>
    <col min="9" max="9" width="15.33203125" customWidth="1"/>
    <col min="11" max="11" width="27.5" bestFit="1" customWidth="1"/>
    <col min="12" max="12" width="10.5" customWidth="1"/>
    <col min="13" max="13" width="27.5" bestFit="1" customWidth="1"/>
    <col min="14" max="14" width="10.5" customWidth="1"/>
    <col min="15" max="15" width="27.5" customWidth="1"/>
    <col min="16" max="16" width="10.83203125" customWidth="1"/>
    <col min="17" max="17" width="27.5" customWidth="1"/>
    <col min="18" max="18" width="24.6640625" customWidth="1"/>
    <col min="19" max="19" width="13" customWidth="1"/>
    <col min="20" max="20" width="31.5" customWidth="1"/>
    <col min="21" max="41" width="10.83203125" hidden="1" customWidth="1"/>
    <col min="42" max="49" width="10.83203125" style="37" customWidth="1"/>
    <col min="50" max="70" width="10.83203125" hidden="1" customWidth="1"/>
    <col min="71" max="78" width="10.83203125" style="37" customWidth="1"/>
    <col min="79" max="99" width="10.83203125" hidden="1" customWidth="1"/>
    <col min="100" max="110" width="10.83203125" style="37" customWidth="1"/>
    <col min="111" max="130" width="10.83203125" hidden="1" customWidth="1"/>
    <col min="131" max="138" width="10.83203125" style="37" customWidth="1"/>
    <col min="139" max="158" width="10.83203125" hidden="1" customWidth="1"/>
    <col min="159" max="166" width="10.83203125" style="37" customWidth="1"/>
    <col min="167" max="186" width="10.83203125" hidden="1" customWidth="1"/>
    <col min="187" max="194" width="10.83203125" style="37" customWidth="1"/>
    <col min="195" max="214" width="10.83203125" hidden="1" customWidth="1"/>
    <col min="215" max="222" width="10.83203125" style="37" customWidth="1"/>
    <col min="223" max="242" width="10.83203125" hidden="1" customWidth="1"/>
    <col min="243" max="250" width="10.83203125" style="37" customWidth="1"/>
    <col min="251" max="270" width="10.83203125" hidden="1" customWidth="1"/>
    <col min="271" max="278" width="10.83203125" style="37" customWidth="1"/>
    <col min="279" max="298" width="10.83203125" hidden="1" customWidth="1"/>
    <col min="299" max="306" width="10.83203125" style="37" customWidth="1"/>
    <col min="307" max="326" width="10.83203125" hidden="1" customWidth="1"/>
    <col min="327" max="334" width="10.83203125" style="37" hidden="1" customWidth="1"/>
    <col min="335" max="354" width="10.83203125" hidden="1" customWidth="1"/>
    <col min="355" max="362" width="10.83203125" style="37" hidden="1" customWidth="1"/>
    <col min="363" max="382" width="10.83203125" hidden="1" customWidth="1"/>
    <col min="383" max="390" width="10.83203125" style="37" hidden="1" customWidth="1"/>
    <col min="391" max="410" width="10.83203125" hidden="1" customWidth="1"/>
    <col min="411" max="418" width="10.83203125" style="37" hidden="1" customWidth="1"/>
    <col min="419" max="438" width="10.83203125" hidden="1" customWidth="1"/>
    <col min="439" max="446" width="10.83203125" style="37" hidden="1" customWidth="1"/>
    <col min="447" max="467" width="10.83203125" hidden="1" customWidth="1"/>
    <col min="468" max="475" width="10.83203125" style="37" hidden="1" customWidth="1"/>
  </cols>
  <sheetData>
    <row r="1" spans="1:475" ht="16" customHeight="1" x14ac:dyDescent="0.2">
      <c r="A1" s="66" t="s">
        <v>1</v>
      </c>
      <c r="B1" s="66" t="s">
        <v>29</v>
      </c>
      <c r="C1" s="66" t="s">
        <v>0</v>
      </c>
      <c r="D1" s="66" t="s">
        <v>59</v>
      </c>
      <c r="E1" s="66" t="s">
        <v>2</v>
      </c>
      <c r="F1" s="67" t="s">
        <v>65</v>
      </c>
      <c r="G1" s="67" t="s">
        <v>11</v>
      </c>
      <c r="H1" s="66" t="s">
        <v>12</v>
      </c>
      <c r="I1" s="67" t="s">
        <v>89</v>
      </c>
      <c r="J1" s="72" t="s">
        <v>122</v>
      </c>
      <c r="K1" s="68" t="s">
        <v>33</v>
      </c>
      <c r="L1" s="72" t="s">
        <v>123</v>
      </c>
      <c r="M1" s="68" t="s">
        <v>33</v>
      </c>
      <c r="N1" s="72" t="s">
        <v>124</v>
      </c>
      <c r="O1" s="68" t="s">
        <v>33</v>
      </c>
      <c r="P1" s="68" t="s">
        <v>13</v>
      </c>
      <c r="Q1" s="68" t="s">
        <v>33</v>
      </c>
      <c r="R1" s="71" t="s">
        <v>14</v>
      </c>
      <c r="S1" s="68" t="s">
        <v>34</v>
      </c>
      <c r="T1" s="68" t="s">
        <v>33</v>
      </c>
      <c r="U1" s="69" t="s">
        <v>183</v>
      </c>
      <c r="V1" s="69"/>
      <c r="W1" s="69"/>
      <c r="X1" s="69"/>
      <c r="Y1" s="69"/>
      <c r="Z1" s="69"/>
      <c r="AA1" s="69"/>
      <c r="AB1" s="69"/>
      <c r="AC1" s="69"/>
      <c r="AD1" s="69"/>
      <c r="AE1" s="69"/>
      <c r="AF1" s="69"/>
      <c r="AG1" s="69"/>
      <c r="AH1" s="69"/>
      <c r="AI1" s="69"/>
      <c r="AJ1" s="69"/>
      <c r="AK1" s="69"/>
      <c r="AL1" s="69"/>
      <c r="AM1" s="69"/>
      <c r="AN1" s="69"/>
      <c r="AO1" s="69"/>
      <c r="AP1" s="69"/>
      <c r="AQ1" s="69"/>
      <c r="AR1" s="69"/>
      <c r="AS1" s="69"/>
      <c r="AT1" s="69"/>
      <c r="AU1" s="69"/>
      <c r="AV1" s="69"/>
      <c r="AW1" s="69"/>
      <c r="AX1" s="74" t="s">
        <v>220</v>
      </c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69" t="s">
        <v>237</v>
      </c>
      <c r="CB1" s="69"/>
      <c r="CC1" s="69"/>
      <c r="CD1" s="69"/>
      <c r="CE1" s="69"/>
      <c r="CF1" s="69"/>
      <c r="CG1" s="69"/>
      <c r="CH1" s="69"/>
      <c r="CI1" s="69"/>
      <c r="CJ1" s="69"/>
      <c r="CK1" s="69"/>
      <c r="CL1" s="69"/>
      <c r="CM1" s="69"/>
      <c r="CN1" s="69"/>
      <c r="CO1" s="69"/>
      <c r="CP1" s="69"/>
      <c r="CQ1" s="69"/>
      <c r="CR1" s="69"/>
      <c r="CS1" s="69"/>
      <c r="CT1" s="69"/>
      <c r="CU1" s="69"/>
      <c r="CV1" s="69"/>
      <c r="CW1" s="69"/>
      <c r="CX1" s="69"/>
      <c r="CY1" s="69"/>
      <c r="CZ1" s="69"/>
      <c r="DA1" s="69"/>
      <c r="DB1" s="69"/>
      <c r="DC1" s="69"/>
      <c r="DD1" s="75" t="s">
        <v>64</v>
      </c>
      <c r="DE1" s="75"/>
      <c r="DF1" s="75"/>
      <c r="DG1" s="69" t="s">
        <v>175</v>
      </c>
      <c r="DH1" s="69"/>
      <c r="DI1" s="69"/>
      <c r="DJ1" s="69"/>
      <c r="DK1" s="69"/>
      <c r="DL1" s="69"/>
      <c r="DM1" s="69"/>
      <c r="DN1" s="69"/>
      <c r="DO1" s="69"/>
      <c r="DP1" s="69"/>
      <c r="DQ1" s="69"/>
      <c r="DR1" s="69"/>
      <c r="DS1" s="69"/>
      <c r="DT1" s="69"/>
      <c r="DU1" s="69"/>
      <c r="DV1" s="69"/>
      <c r="DW1" s="69"/>
      <c r="DX1" s="69"/>
      <c r="DY1" s="69"/>
      <c r="DZ1" s="69"/>
      <c r="EA1" s="69"/>
      <c r="EB1" s="69"/>
      <c r="EC1" s="69"/>
      <c r="ED1" s="69"/>
      <c r="EE1" s="69"/>
      <c r="EF1" s="69"/>
      <c r="EG1" s="69"/>
      <c r="EH1" s="69"/>
      <c r="EI1" s="74" t="s">
        <v>204</v>
      </c>
      <c r="EJ1" s="74"/>
      <c r="EK1" s="74"/>
      <c r="EL1" s="74"/>
      <c r="EM1" s="74"/>
      <c r="EN1" s="74"/>
      <c r="EO1" s="74"/>
      <c r="EP1" s="74"/>
      <c r="EQ1" s="74"/>
      <c r="ER1" s="74"/>
      <c r="ES1" s="74"/>
      <c r="ET1" s="74"/>
      <c r="EU1" s="74"/>
      <c r="EV1" s="74"/>
      <c r="EW1" s="74"/>
      <c r="EX1" s="74"/>
      <c r="EY1" s="74"/>
      <c r="EZ1" s="74"/>
      <c r="FA1" s="74"/>
      <c r="FB1" s="74"/>
      <c r="FC1" s="74"/>
      <c r="FD1" s="74"/>
      <c r="FE1" s="74"/>
      <c r="FF1" s="74"/>
      <c r="FG1" s="74"/>
      <c r="FH1" s="74"/>
      <c r="FI1" s="74"/>
      <c r="FJ1" s="74"/>
      <c r="FK1" s="69" t="s">
        <v>213</v>
      </c>
      <c r="FL1" s="69"/>
      <c r="FM1" s="69"/>
      <c r="FN1" s="69"/>
      <c r="FO1" s="69"/>
      <c r="FP1" s="69"/>
      <c r="FQ1" s="69"/>
      <c r="FR1" s="69"/>
      <c r="FS1" s="69"/>
      <c r="FT1" s="69"/>
      <c r="FU1" s="69"/>
      <c r="FV1" s="69"/>
      <c r="FW1" s="69"/>
      <c r="FX1" s="69"/>
      <c r="FY1" s="69"/>
      <c r="FZ1" s="69"/>
      <c r="GA1" s="69"/>
      <c r="GB1" s="69"/>
      <c r="GC1" s="69"/>
      <c r="GD1" s="69"/>
      <c r="GE1" s="69"/>
      <c r="GF1" s="69"/>
      <c r="GG1" s="69"/>
      <c r="GH1" s="69"/>
      <c r="GI1" s="69"/>
      <c r="GJ1" s="69"/>
      <c r="GK1" s="69"/>
      <c r="GL1" s="69"/>
      <c r="GM1" s="74" t="s">
        <v>219</v>
      </c>
      <c r="GN1" s="74"/>
      <c r="GO1" s="74"/>
      <c r="GP1" s="74"/>
      <c r="GQ1" s="74"/>
      <c r="GR1" s="74"/>
      <c r="GS1" s="74"/>
      <c r="GT1" s="74"/>
      <c r="GU1" s="74"/>
      <c r="GV1" s="74"/>
      <c r="GW1" s="74"/>
      <c r="GX1" s="74"/>
      <c r="GY1" s="74"/>
      <c r="GZ1" s="74"/>
      <c r="HA1" s="74"/>
      <c r="HB1" s="74"/>
      <c r="HC1" s="74"/>
      <c r="HD1" s="74"/>
      <c r="HE1" s="74"/>
      <c r="HF1" s="74"/>
      <c r="HG1" s="74"/>
      <c r="HH1" s="74"/>
      <c r="HI1" s="74"/>
      <c r="HJ1" s="74"/>
      <c r="HK1" s="74"/>
      <c r="HL1" s="74"/>
      <c r="HM1" s="74"/>
      <c r="HN1" s="74"/>
      <c r="HO1" s="69" t="s">
        <v>232</v>
      </c>
      <c r="HP1" s="69"/>
      <c r="HQ1" s="69"/>
      <c r="HR1" s="69"/>
      <c r="HS1" s="69"/>
      <c r="HT1" s="69"/>
      <c r="HU1" s="69"/>
      <c r="HV1" s="69"/>
      <c r="HW1" s="69"/>
      <c r="HX1" s="69"/>
      <c r="HY1" s="69"/>
      <c r="HZ1" s="69"/>
      <c r="IA1" s="69"/>
      <c r="IB1" s="69"/>
      <c r="IC1" s="69"/>
      <c r="ID1" s="69"/>
      <c r="IE1" s="69"/>
      <c r="IF1" s="69"/>
      <c r="IG1" s="69"/>
      <c r="IH1" s="69"/>
      <c r="II1" s="69"/>
      <c r="IJ1" s="69"/>
      <c r="IK1" s="69"/>
      <c r="IL1" s="69"/>
      <c r="IM1" s="69"/>
      <c r="IN1" s="69"/>
      <c r="IO1" s="69"/>
      <c r="IP1" s="69"/>
      <c r="IQ1" s="74" t="s">
        <v>250</v>
      </c>
      <c r="IR1" s="74"/>
      <c r="IS1" s="74"/>
      <c r="IT1" s="74"/>
      <c r="IU1" s="74"/>
      <c r="IV1" s="74"/>
      <c r="IW1" s="74"/>
      <c r="IX1" s="74"/>
      <c r="IY1" s="74"/>
      <c r="IZ1" s="74"/>
      <c r="JA1" s="74"/>
      <c r="JB1" s="74"/>
      <c r="JC1" s="74"/>
      <c r="JD1" s="74"/>
      <c r="JE1" s="74"/>
      <c r="JF1" s="74"/>
      <c r="JG1" s="74"/>
      <c r="JH1" s="74"/>
      <c r="JI1" s="74"/>
      <c r="JJ1" s="74"/>
      <c r="JK1" s="74"/>
      <c r="JL1" s="74"/>
      <c r="JM1" s="74"/>
      <c r="JN1" s="74"/>
      <c r="JO1" s="74"/>
      <c r="JP1" s="74"/>
      <c r="JQ1" s="74"/>
      <c r="JR1" s="74"/>
      <c r="JS1" s="69" t="s">
        <v>259</v>
      </c>
      <c r="JT1" s="69"/>
      <c r="JU1" s="69"/>
      <c r="JV1" s="69"/>
      <c r="JW1" s="69"/>
      <c r="JX1" s="69"/>
      <c r="JY1" s="69"/>
      <c r="JZ1" s="69"/>
      <c r="KA1" s="69"/>
      <c r="KB1" s="69"/>
      <c r="KC1" s="69"/>
      <c r="KD1" s="69"/>
      <c r="KE1" s="69"/>
      <c r="KF1" s="69"/>
      <c r="KG1" s="69"/>
      <c r="KH1" s="69"/>
      <c r="KI1" s="69"/>
      <c r="KJ1" s="69"/>
      <c r="KK1" s="69"/>
      <c r="KL1" s="69"/>
      <c r="KM1" s="69"/>
      <c r="KN1" s="69"/>
      <c r="KO1" s="69"/>
      <c r="KP1" s="69"/>
      <c r="KQ1" s="69"/>
      <c r="KR1" s="69"/>
      <c r="KS1" s="69"/>
      <c r="KT1" s="69"/>
      <c r="KU1" s="74"/>
      <c r="KV1" s="74"/>
      <c r="KW1" s="74"/>
      <c r="KX1" s="74"/>
      <c r="KY1" s="74"/>
      <c r="KZ1" s="74"/>
      <c r="LA1" s="74"/>
      <c r="LB1" s="74"/>
      <c r="LC1" s="74"/>
      <c r="LD1" s="74"/>
      <c r="LE1" s="74"/>
      <c r="LF1" s="74"/>
      <c r="LG1" s="74"/>
      <c r="LH1" s="74"/>
      <c r="LI1" s="74"/>
      <c r="LJ1" s="74"/>
      <c r="LK1" s="74"/>
      <c r="LL1" s="74"/>
      <c r="LM1" s="74"/>
      <c r="LN1" s="74"/>
      <c r="LO1" s="74"/>
      <c r="LP1" s="74"/>
      <c r="LQ1" s="74"/>
      <c r="LR1" s="74"/>
      <c r="LS1" s="74"/>
      <c r="LT1" s="74"/>
      <c r="LU1" s="74"/>
      <c r="LV1" s="74"/>
      <c r="LW1" s="69"/>
      <c r="LX1" s="69"/>
      <c r="LY1" s="69"/>
      <c r="LZ1" s="69"/>
      <c r="MA1" s="69"/>
      <c r="MB1" s="69"/>
      <c r="MC1" s="69"/>
      <c r="MD1" s="69"/>
      <c r="ME1" s="69"/>
      <c r="MF1" s="69"/>
      <c r="MG1" s="69"/>
      <c r="MH1" s="69"/>
      <c r="MI1" s="69"/>
      <c r="MJ1" s="69"/>
      <c r="MK1" s="69"/>
      <c r="ML1" s="69"/>
      <c r="MM1" s="69"/>
      <c r="MN1" s="69"/>
      <c r="MO1" s="69"/>
      <c r="MP1" s="69"/>
      <c r="MQ1" s="69"/>
      <c r="MR1" s="69"/>
      <c r="MS1" s="69"/>
      <c r="MT1" s="69"/>
      <c r="MU1" s="69"/>
      <c r="MV1" s="69"/>
      <c r="MW1" s="69"/>
      <c r="MX1" s="69"/>
      <c r="MY1" s="74"/>
      <c r="MZ1" s="74"/>
      <c r="NA1" s="74"/>
      <c r="NB1" s="74"/>
      <c r="NC1" s="74"/>
      <c r="ND1" s="74"/>
      <c r="NE1" s="74"/>
      <c r="NF1" s="74"/>
      <c r="NG1" s="74"/>
      <c r="NH1" s="74"/>
      <c r="NI1" s="74"/>
      <c r="NJ1" s="74"/>
      <c r="NK1" s="74"/>
      <c r="NL1" s="74"/>
      <c r="NM1" s="74"/>
      <c r="NN1" s="74"/>
      <c r="NO1" s="74"/>
      <c r="NP1" s="74"/>
      <c r="NQ1" s="74"/>
      <c r="NR1" s="74"/>
      <c r="NS1" s="74"/>
      <c r="NT1" s="74"/>
      <c r="NU1" s="74"/>
      <c r="NV1" s="74"/>
      <c r="NW1" s="74"/>
      <c r="NX1" s="74"/>
      <c r="NY1" s="74"/>
      <c r="NZ1" s="74"/>
      <c r="OA1" s="69"/>
      <c r="OB1" s="69"/>
      <c r="OC1" s="69"/>
      <c r="OD1" s="69"/>
      <c r="OE1" s="69"/>
      <c r="OF1" s="69"/>
      <c r="OG1" s="69"/>
      <c r="OH1" s="69"/>
      <c r="OI1" s="69"/>
      <c r="OJ1" s="69"/>
      <c r="OK1" s="69"/>
      <c r="OL1" s="69"/>
      <c r="OM1" s="69"/>
      <c r="ON1" s="69"/>
      <c r="OO1" s="69"/>
      <c r="OP1" s="69"/>
      <c r="OQ1" s="69"/>
      <c r="OR1" s="69"/>
      <c r="OS1" s="69"/>
      <c r="OT1" s="69"/>
      <c r="OU1" s="69"/>
      <c r="OV1" s="69"/>
      <c r="OW1" s="69"/>
      <c r="OX1" s="69"/>
      <c r="OY1" s="69"/>
      <c r="OZ1" s="69"/>
      <c r="PA1" s="69"/>
      <c r="PB1" s="69"/>
      <c r="PC1" s="74"/>
      <c r="PD1" s="74"/>
      <c r="PE1" s="74"/>
      <c r="PF1" s="74"/>
      <c r="PG1" s="74"/>
      <c r="PH1" s="74"/>
      <c r="PI1" s="74"/>
      <c r="PJ1" s="74"/>
      <c r="PK1" s="74"/>
      <c r="PL1" s="74"/>
      <c r="PM1" s="74"/>
      <c r="PN1" s="74"/>
      <c r="PO1" s="74"/>
      <c r="PP1" s="74"/>
      <c r="PQ1" s="74"/>
      <c r="PR1" s="74"/>
      <c r="PS1" s="74"/>
      <c r="PT1" s="74"/>
      <c r="PU1" s="74"/>
      <c r="PV1" s="74"/>
      <c r="PW1" s="74"/>
      <c r="PX1" s="74"/>
      <c r="PY1" s="74"/>
      <c r="PZ1" s="74"/>
      <c r="QA1" s="74"/>
      <c r="QB1" s="74"/>
      <c r="QC1" s="74"/>
      <c r="QD1" s="74"/>
      <c r="QE1" s="69" t="s">
        <v>68</v>
      </c>
      <c r="QF1" s="69"/>
      <c r="QG1" s="69"/>
      <c r="QH1" s="69"/>
      <c r="QI1" s="69"/>
      <c r="QJ1" s="69"/>
      <c r="QK1" s="69"/>
      <c r="QL1" s="69"/>
      <c r="QM1" s="69"/>
      <c r="QN1" s="69"/>
      <c r="QO1" s="69"/>
      <c r="QP1" s="69"/>
      <c r="QQ1" s="69"/>
      <c r="QR1" s="69"/>
      <c r="QS1" s="69"/>
      <c r="QT1" s="69"/>
      <c r="QU1" s="69"/>
      <c r="QV1" s="69"/>
      <c r="QW1" s="69"/>
      <c r="QX1" s="69"/>
      <c r="QY1" s="69"/>
      <c r="QZ1" s="69"/>
      <c r="RA1" s="69"/>
      <c r="RB1" s="69"/>
      <c r="RC1" s="69"/>
      <c r="RD1" s="69"/>
      <c r="RE1" s="69"/>
      <c r="RF1" s="69"/>
      <c r="RG1" s="69"/>
    </row>
    <row r="2" spans="1:475" x14ac:dyDescent="0.2">
      <c r="A2" s="66"/>
      <c r="B2" s="66"/>
      <c r="C2" s="66"/>
      <c r="D2" s="66"/>
      <c r="E2" s="66"/>
      <c r="F2" s="67"/>
      <c r="G2" s="67"/>
      <c r="H2" s="66"/>
      <c r="I2" s="67"/>
      <c r="J2" s="72"/>
      <c r="K2" s="68"/>
      <c r="L2" s="72"/>
      <c r="M2" s="68"/>
      <c r="N2" s="72"/>
      <c r="O2" s="68"/>
      <c r="P2" s="68"/>
      <c r="Q2" s="68"/>
      <c r="R2" s="71"/>
      <c r="S2" s="68"/>
      <c r="T2" s="68"/>
      <c r="U2" s="70" t="s">
        <v>114</v>
      </c>
      <c r="V2" s="70"/>
      <c r="W2" s="70"/>
      <c r="X2" s="70"/>
      <c r="Y2" s="70" t="s">
        <v>115</v>
      </c>
      <c r="Z2" s="70"/>
      <c r="AA2" s="70"/>
      <c r="AB2" s="70"/>
      <c r="AC2" s="70" t="s">
        <v>116</v>
      </c>
      <c r="AD2" s="70"/>
      <c r="AE2" s="70"/>
      <c r="AF2" s="70"/>
      <c r="AG2" s="70" t="s">
        <v>117</v>
      </c>
      <c r="AH2" s="70"/>
      <c r="AI2" s="70"/>
      <c r="AJ2" s="70"/>
      <c r="AK2" s="77" t="s">
        <v>118</v>
      </c>
      <c r="AL2" s="77"/>
      <c r="AM2" s="77"/>
      <c r="AN2" s="77"/>
      <c r="AO2" s="14"/>
      <c r="AP2" s="14" t="s">
        <v>119</v>
      </c>
      <c r="AQ2" s="14" t="s">
        <v>120</v>
      </c>
      <c r="AR2" s="14" t="s">
        <v>116</v>
      </c>
      <c r="AS2" s="14" t="s">
        <v>125</v>
      </c>
      <c r="AT2" s="14" t="s">
        <v>24</v>
      </c>
      <c r="AU2" s="14" t="s">
        <v>70</v>
      </c>
      <c r="AV2" s="14" t="s">
        <v>121</v>
      </c>
      <c r="AW2" s="14" t="s">
        <v>18</v>
      </c>
      <c r="AX2" s="73" t="s">
        <v>114</v>
      </c>
      <c r="AY2" s="73"/>
      <c r="AZ2" s="73"/>
      <c r="BA2" s="73"/>
      <c r="BB2" s="73" t="s">
        <v>115</v>
      </c>
      <c r="BC2" s="73"/>
      <c r="BD2" s="73"/>
      <c r="BE2" s="73"/>
      <c r="BF2" s="73" t="s">
        <v>116</v>
      </c>
      <c r="BG2" s="73"/>
      <c r="BH2" s="73"/>
      <c r="BI2" s="73"/>
      <c r="BJ2" s="73" t="s">
        <v>117</v>
      </c>
      <c r="BK2" s="73"/>
      <c r="BL2" s="73"/>
      <c r="BM2" s="73"/>
      <c r="BN2" s="76" t="s">
        <v>118</v>
      </c>
      <c r="BO2" s="76"/>
      <c r="BP2" s="76"/>
      <c r="BQ2" s="76"/>
      <c r="BR2" s="13"/>
      <c r="BS2" s="13" t="s">
        <v>119</v>
      </c>
      <c r="BT2" s="13" t="s">
        <v>120</v>
      </c>
      <c r="BU2" s="13" t="s">
        <v>116</v>
      </c>
      <c r="BV2" s="13" t="s">
        <v>125</v>
      </c>
      <c r="BW2" s="13" t="s">
        <v>24</v>
      </c>
      <c r="BX2" s="13" t="s">
        <v>70</v>
      </c>
      <c r="BY2" s="13" t="s">
        <v>121</v>
      </c>
      <c r="BZ2" s="13" t="s">
        <v>18</v>
      </c>
      <c r="CA2" s="70" t="s">
        <v>114</v>
      </c>
      <c r="CB2" s="70"/>
      <c r="CC2" s="70"/>
      <c r="CD2" s="70"/>
      <c r="CE2" s="70" t="s">
        <v>115</v>
      </c>
      <c r="CF2" s="70"/>
      <c r="CG2" s="70"/>
      <c r="CH2" s="70"/>
      <c r="CI2" s="70" t="s">
        <v>116</v>
      </c>
      <c r="CJ2" s="70"/>
      <c r="CK2" s="70"/>
      <c r="CL2" s="70"/>
      <c r="CM2" s="70" t="s">
        <v>117</v>
      </c>
      <c r="CN2" s="70"/>
      <c r="CO2" s="70"/>
      <c r="CP2" s="70"/>
      <c r="CQ2" s="77" t="s">
        <v>118</v>
      </c>
      <c r="CR2" s="77"/>
      <c r="CS2" s="77"/>
      <c r="CT2" s="77"/>
      <c r="CU2" s="14"/>
      <c r="CV2" s="14" t="s">
        <v>119</v>
      </c>
      <c r="CW2" s="14" t="s">
        <v>120</v>
      </c>
      <c r="CX2" s="14" t="s">
        <v>116</v>
      </c>
      <c r="CY2" s="14" t="s">
        <v>125</v>
      </c>
      <c r="CZ2" s="14" t="s">
        <v>24</v>
      </c>
      <c r="DA2" s="14" t="s">
        <v>70</v>
      </c>
      <c r="DB2" s="14" t="s">
        <v>121</v>
      </c>
      <c r="DC2" s="14" t="s">
        <v>18</v>
      </c>
      <c r="DD2" s="51" t="s">
        <v>120</v>
      </c>
      <c r="DE2" s="51" t="s">
        <v>116</v>
      </c>
      <c r="DF2" s="51" t="s">
        <v>23</v>
      </c>
      <c r="DG2" s="70" t="s">
        <v>114</v>
      </c>
      <c r="DH2" s="70"/>
      <c r="DI2" s="70"/>
      <c r="DJ2" s="70"/>
      <c r="DK2" s="70" t="s">
        <v>115</v>
      </c>
      <c r="DL2" s="70"/>
      <c r="DM2" s="70"/>
      <c r="DN2" s="70"/>
      <c r="DO2" s="70" t="s">
        <v>116</v>
      </c>
      <c r="DP2" s="70"/>
      <c r="DQ2" s="70"/>
      <c r="DR2" s="70"/>
      <c r="DS2" s="70" t="s">
        <v>117</v>
      </c>
      <c r="DT2" s="70"/>
      <c r="DU2" s="70"/>
      <c r="DV2" s="70"/>
      <c r="DW2" s="78" t="s">
        <v>118</v>
      </c>
      <c r="DX2" s="78"/>
      <c r="DY2" s="78"/>
      <c r="DZ2" s="78"/>
      <c r="EA2" s="14" t="s">
        <v>119</v>
      </c>
      <c r="EB2" s="14" t="s">
        <v>120</v>
      </c>
      <c r="EC2" s="14" t="s">
        <v>116</v>
      </c>
      <c r="ED2" s="14" t="s">
        <v>125</v>
      </c>
      <c r="EE2" s="14" t="s">
        <v>24</v>
      </c>
      <c r="EF2" s="14" t="s">
        <v>70</v>
      </c>
      <c r="EG2" s="14" t="s">
        <v>121</v>
      </c>
      <c r="EH2" s="14" t="s">
        <v>18</v>
      </c>
      <c r="EI2" s="73" t="s">
        <v>114</v>
      </c>
      <c r="EJ2" s="73"/>
      <c r="EK2" s="73"/>
      <c r="EL2" s="73"/>
      <c r="EM2" s="73" t="s">
        <v>115</v>
      </c>
      <c r="EN2" s="73"/>
      <c r="EO2" s="73"/>
      <c r="EP2" s="73"/>
      <c r="EQ2" s="73" t="s">
        <v>116</v>
      </c>
      <c r="ER2" s="73"/>
      <c r="ES2" s="73"/>
      <c r="ET2" s="73"/>
      <c r="EU2" s="73" t="s">
        <v>117</v>
      </c>
      <c r="EV2" s="73"/>
      <c r="EW2" s="73"/>
      <c r="EX2" s="73"/>
      <c r="EY2" s="76" t="s">
        <v>118</v>
      </c>
      <c r="EZ2" s="76"/>
      <c r="FA2" s="76"/>
      <c r="FB2" s="76"/>
      <c r="FC2" s="13" t="s">
        <v>119</v>
      </c>
      <c r="FD2" s="13" t="s">
        <v>120</v>
      </c>
      <c r="FE2" s="13" t="s">
        <v>116</v>
      </c>
      <c r="FF2" s="13" t="s">
        <v>125</v>
      </c>
      <c r="FG2" s="13" t="s">
        <v>24</v>
      </c>
      <c r="FH2" s="13" t="s">
        <v>70</v>
      </c>
      <c r="FI2" s="13" t="s">
        <v>121</v>
      </c>
      <c r="FJ2" s="13" t="s">
        <v>18</v>
      </c>
      <c r="FK2" s="70" t="s">
        <v>114</v>
      </c>
      <c r="FL2" s="70"/>
      <c r="FM2" s="70"/>
      <c r="FN2" s="70"/>
      <c r="FO2" s="70" t="s">
        <v>115</v>
      </c>
      <c r="FP2" s="70"/>
      <c r="FQ2" s="70"/>
      <c r="FR2" s="70"/>
      <c r="FS2" s="70" t="s">
        <v>116</v>
      </c>
      <c r="FT2" s="70"/>
      <c r="FU2" s="70"/>
      <c r="FV2" s="70"/>
      <c r="FW2" s="70" t="s">
        <v>117</v>
      </c>
      <c r="FX2" s="70"/>
      <c r="FY2" s="70"/>
      <c r="FZ2" s="70"/>
      <c r="GA2" s="78" t="s">
        <v>118</v>
      </c>
      <c r="GB2" s="78"/>
      <c r="GC2" s="78"/>
      <c r="GD2" s="78"/>
      <c r="GE2" s="14" t="s">
        <v>119</v>
      </c>
      <c r="GF2" s="14" t="s">
        <v>120</v>
      </c>
      <c r="GG2" s="14" t="s">
        <v>116</v>
      </c>
      <c r="GH2" s="14" t="s">
        <v>125</v>
      </c>
      <c r="GI2" s="14" t="s">
        <v>24</v>
      </c>
      <c r="GJ2" s="14" t="s">
        <v>70</v>
      </c>
      <c r="GK2" s="14" t="s">
        <v>121</v>
      </c>
      <c r="GL2" s="14" t="s">
        <v>18</v>
      </c>
      <c r="GM2" s="73" t="s">
        <v>114</v>
      </c>
      <c r="GN2" s="73"/>
      <c r="GO2" s="73"/>
      <c r="GP2" s="73"/>
      <c r="GQ2" s="73" t="s">
        <v>115</v>
      </c>
      <c r="GR2" s="73"/>
      <c r="GS2" s="73"/>
      <c r="GT2" s="73"/>
      <c r="GU2" s="73" t="s">
        <v>116</v>
      </c>
      <c r="GV2" s="73"/>
      <c r="GW2" s="73"/>
      <c r="GX2" s="73"/>
      <c r="GY2" s="73" t="s">
        <v>117</v>
      </c>
      <c r="GZ2" s="73"/>
      <c r="HA2" s="73"/>
      <c r="HB2" s="73"/>
      <c r="HC2" s="76" t="s">
        <v>118</v>
      </c>
      <c r="HD2" s="76"/>
      <c r="HE2" s="76"/>
      <c r="HF2" s="76"/>
      <c r="HG2" s="13" t="s">
        <v>119</v>
      </c>
      <c r="HH2" s="13" t="s">
        <v>120</v>
      </c>
      <c r="HI2" s="13" t="s">
        <v>116</v>
      </c>
      <c r="HJ2" s="13" t="s">
        <v>125</v>
      </c>
      <c r="HK2" s="13" t="s">
        <v>24</v>
      </c>
      <c r="HL2" s="13" t="s">
        <v>70</v>
      </c>
      <c r="HM2" s="13" t="s">
        <v>121</v>
      </c>
      <c r="HN2" s="13" t="s">
        <v>18</v>
      </c>
      <c r="HO2" s="70" t="s">
        <v>114</v>
      </c>
      <c r="HP2" s="70"/>
      <c r="HQ2" s="70"/>
      <c r="HR2" s="70"/>
      <c r="HS2" s="70" t="s">
        <v>115</v>
      </c>
      <c r="HT2" s="70"/>
      <c r="HU2" s="70"/>
      <c r="HV2" s="70"/>
      <c r="HW2" s="70" t="s">
        <v>116</v>
      </c>
      <c r="HX2" s="70"/>
      <c r="HY2" s="70"/>
      <c r="HZ2" s="70"/>
      <c r="IA2" s="70" t="s">
        <v>117</v>
      </c>
      <c r="IB2" s="70"/>
      <c r="IC2" s="70"/>
      <c r="ID2" s="70"/>
      <c r="IE2" s="78" t="s">
        <v>118</v>
      </c>
      <c r="IF2" s="78"/>
      <c r="IG2" s="78"/>
      <c r="IH2" s="78"/>
      <c r="II2" s="14" t="s">
        <v>119</v>
      </c>
      <c r="IJ2" s="14" t="s">
        <v>120</v>
      </c>
      <c r="IK2" s="14" t="s">
        <v>116</v>
      </c>
      <c r="IL2" s="14" t="s">
        <v>125</v>
      </c>
      <c r="IM2" s="14" t="s">
        <v>24</v>
      </c>
      <c r="IN2" s="14" t="s">
        <v>70</v>
      </c>
      <c r="IO2" s="14" t="s">
        <v>121</v>
      </c>
      <c r="IP2" s="14" t="s">
        <v>18</v>
      </c>
      <c r="IQ2" s="73" t="s">
        <v>114</v>
      </c>
      <c r="IR2" s="73"/>
      <c r="IS2" s="73"/>
      <c r="IT2" s="73"/>
      <c r="IU2" s="73" t="s">
        <v>115</v>
      </c>
      <c r="IV2" s="73"/>
      <c r="IW2" s="73"/>
      <c r="IX2" s="73"/>
      <c r="IY2" s="73" t="s">
        <v>116</v>
      </c>
      <c r="IZ2" s="73"/>
      <c r="JA2" s="73"/>
      <c r="JB2" s="73"/>
      <c r="JC2" s="73" t="s">
        <v>117</v>
      </c>
      <c r="JD2" s="73"/>
      <c r="JE2" s="73"/>
      <c r="JF2" s="73"/>
      <c r="JG2" s="76" t="s">
        <v>118</v>
      </c>
      <c r="JH2" s="76"/>
      <c r="JI2" s="76"/>
      <c r="JJ2" s="76"/>
      <c r="JK2" s="13" t="s">
        <v>119</v>
      </c>
      <c r="JL2" s="13" t="s">
        <v>120</v>
      </c>
      <c r="JM2" s="13" t="s">
        <v>116</v>
      </c>
      <c r="JN2" s="13" t="s">
        <v>125</v>
      </c>
      <c r="JO2" s="13" t="s">
        <v>24</v>
      </c>
      <c r="JP2" s="13" t="s">
        <v>70</v>
      </c>
      <c r="JQ2" s="13" t="s">
        <v>121</v>
      </c>
      <c r="JR2" s="13" t="s">
        <v>18</v>
      </c>
      <c r="JS2" s="70" t="s">
        <v>114</v>
      </c>
      <c r="JT2" s="70"/>
      <c r="JU2" s="70"/>
      <c r="JV2" s="70"/>
      <c r="JW2" s="70" t="s">
        <v>115</v>
      </c>
      <c r="JX2" s="70"/>
      <c r="JY2" s="70"/>
      <c r="JZ2" s="70"/>
      <c r="KA2" s="70" t="s">
        <v>116</v>
      </c>
      <c r="KB2" s="70"/>
      <c r="KC2" s="70"/>
      <c r="KD2" s="70"/>
      <c r="KE2" s="70" t="s">
        <v>117</v>
      </c>
      <c r="KF2" s="70"/>
      <c r="KG2" s="70"/>
      <c r="KH2" s="70"/>
      <c r="KI2" s="78" t="s">
        <v>118</v>
      </c>
      <c r="KJ2" s="78"/>
      <c r="KK2" s="78"/>
      <c r="KL2" s="78"/>
      <c r="KM2" s="14" t="s">
        <v>119</v>
      </c>
      <c r="KN2" s="14" t="s">
        <v>120</v>
      </c>
      <c r="KO2" s="14" t="s">
        <v>116</v>
      </c>
      <c r="KP2" s="14" t="s">
        <v>125</v>
      </c>
      <c r="KQ2" s="14" t="s">
        <v>24</v>
      </c>
      <c r="KR2" s="14" t="s">
        <v>70</v>
      </c>
      <c r="KS2" s="14" t="s">
        <v>121</v>
      </c>
      <c r="KT2" s="14" t="s">
        <v>18</v>
      </c>
      <c r="KU2" s="73" t="s">
        <v>114</v>
      </c>
      <c r="KV2" s="73"/>
      <c r="KW2" s="73"/>
      <c r="KX2" s="73"/>
      <c r="KY2" s="73" t="s">
        <v>115</v>
      </c>
      <c r="KZ2" s="73"/>
      <c r="LA2" s="73"/>
      <c r="LB2" s="73"/>
      <c r="LC2" s="73" t="s">
        <v>116</v>
      </c>
      <c r="LD2" s="73"/>
      <c r="LE2" s="73"/>
      <c r="LF2" s="73"/>
      <c r="LG2" s="73" t="s">
        <v>117</v>
      </c>
      <c r="LH2" s="73"/>
      <c r="LI2" s="73"/>
      <c r="LJ2" s="73"/>
      <c r="LK2" s="76" t="s">
        <v>118</v>
      </c>
      <c r="LL2" s="76"/>
      <c r="LM2" s="76"/>
      <c r="LN2" s="76"/>
      <c r="LO2" s="13" t="s">
        <v>119</v>
      </c>
      <c r="LP2" s="13" t="s">
        <v>120</v>
      </c>
      <c r="LQ2" s="13" t="s">
        <v>116</v>
      </c>
      <c r="LR2" s="13" t="s">
        <v>125</v>
      </c>
      <c r="LS2" s="13" t="s">
        <v>24</v>
      </c>
      <c r="LT2" s="13" t="s">
        <v>70</v>
      </c>
      <c r="LU2" s="13" t="s">
        <v>121</v>
      </c>
      <c r="LV2" s="13" t="s">
        <v>18</v>
      </c>
      <c r="LW2" s="70" t="s">
        <v>114</v>
      </c>
      <c r="LX2" s="70"/>
      <c r="LY2" s="70"/>
      <c r="LZ2" s="70"/>
      <c r="MA2" s="70" t="s">
        <v>115</v>
      </c>
      <c r="MB2" s="70"/>
      <c r="MC2" s="70"/>
      <c r="MD2" s="70"/>
      <c r="ME2" s="70" t="s">
        <v>116</v>
      </c>
      <c r="MF2" s="70"/>
      <c r="MG2" s="70"/>
      <c r="MH2" s="70"/>
      <c r="MI2" s="70" t="s">
        <v>117</v>
      </c>
      <c r="MJ2" s="70"/>
      <c r="MK2" s="70"/>
      <c r="ML2" s="70"/>
      <c r="MM2" s="78" t="s">
        <v>118</v>
      </c>
      <c r="MN2" s="78"/>
      <c r="MO2" s="78"/>
      <c r="MP2" s="78"/>
      <c r="MQ2" s="14" t="s">
        <v>119</v>
      </c>
      <c r="MR2" s="14" t="s">
        <v>120</v>
      </c>
      <c r="MS2" s="14" t="s">
        <v>116</v>
      </c>
      <c r="MT2" s="14" t="s">
        <v>125</v>
      </c>
      <c r="MU2" s="14" t="s">
        <v>24</v>
      </c>
      <c r="MV2" s="14" t="s">
        <v>70</v>
      </c>
      <c r="MW2" s="14" t="s">
        <v>121</v>
      </c>
      <c r="MX2" s="14" t="s">
        <v>18</v>
      </c>
      <c r="MY2" s="73" t="s">
        <v>114</v>
      </c>
      <c r="MZ2" s="73"/>
      <c r="NA2" s="73"/>
      <c r="NB2" s="73"/>
      <c r="NC2" s="73" t="s">
        <v>115</v>
      </c>
      <c r="ND2" s="73"/>
      <c r="NE2" s="73"/>
      <c r="NF2" s="73"/>
      <c r="NG2" s="73" t="s">
        <v>116</v>
      </c>
      <c r="NH2" s="73"/>
      <c r="NI2" s="73"/>
      <c r="NJ2" s="73"/>
      <c r="NK2" s="73" t="s">
        <v>117</v>
      </c>
      <c r="NL2" s="73"/>
      <c r="NM2" s="73"/>
      <c r="NN2" s="73"/>
      <c r="NO2" s="76" t="s">
        <v>118</v>
      </c>
      <c r="NP2" s="76"/>
      <c r="NQ2" s="76"/>
      <c r="NR2" s="76"/>
      <c r="NS2" s="13" t="s">
        <v>119</v>
      </c>
      <c r="NT2" s="13" t="s">
        <v>120</v>
      </c>
      <c r="NU2" s="13" t="s">
        <v>116</v>
      </c>
      <c r="NV2" s="13" t="s">
        <v>125</v>
      </c>
      <c r="NW2" s="13" t="s">
        <v>24</v>
      </c>
      <c r="NX2" s="13" t="s">
        <v>70</v>
      </c>
      <c r="NY2" s="13" t="s">
        <v>121</v>
      </c>
      <c r="NZ2" s="13" t="s">
        <v>18</v>
      </c>
      <c r="OA2" s="70" t="s">
        <v>114</v>
      </c>
      <c r="OB2" s="70"/>
      <c r="OC2" s="70"/>
      <c r="OD2" s="70"/>
      <c r="OE2" s="70" t="s">
        <v>115</v>
      </c>
      <c r="OF2" s="70"/>
      <c r="OG2" s="70"/>
      <c r="OH2" s="70"/>
      <c r="OI2" s="70" t="s">
        <v>116</v>
      </c>
      <c r="OJ2" s="70"/>
      <c r="OK2" s="70"/>
      <c r="OL2" s="70"/>
      <c r="OM2" s="70" t="s">
        <v>117</v>
      </c>
      <c r="ON2" s="70"/>
      <c r="OO2" s="70"/>
      <c r="OP2" s="70"/>
      <c r="OQ2" s="78" t="s">
        <v>118</v>
      </c>
      <c r="OR2" s="78"/>
      <c r="OS2" s="78"/>
      <c r="OT2" s="78"/>
      <c r="OU2" s="14" t="s">
        <v>119</v>
      </c>
      <c r="OV2" s="14" t="s">
        <v>120</v>
      </c>
      <c r="OW2" s="14" t="s">
        <v>116</v>
      </c>
      <c r="OX2" s="14" t="s">
        <v>125</v>
      </c>
      <c r="OY2" s="14" t="s">
        <v>24</v>
      </c>
      <c r="OZ2" s="14" t="s">
        <v>70</v>
      </c>
      <c r="PA2" s="14" t="s">
        <v>121</v>
      </c>
      <c r="PB2" s="14" t="s">
        <v>18</v>
      </c>
      <c r="PC2" s="73" t="s">
        <v>114</v>
      </c>
      <c r="PD2" s="73"/>
      <c r="PE2" s="73"/>
      <c r="PF2" s="73"/>
      <c r="PG2" s="73" t="s">
        <v>115</v>
      </c>
      <c r="PH2" s="73"/>
      <c r="PI2" s="73"/>
      <c r="PJ2" s="73"/>
      <c r="PK2" s="73" t="s">
        <v>116</v>
      </c>
      <c r="PL2" s="73"/>
      <c r="PM2" s="73"/>
      <c r="PN2" s="73"/>
      <c r="PO2" s="73" t="s">
        <v>117</v>
      </c>
      <c r="PP2" s="73"/>
      <c r="PQ2" s="73"/>
      <c r="PR2" s="73"/>
      <c r="PS2" s="76" t="s">
        <v>118</v>
      </c>
      <c r="PT2" s="76"/>
      <c r="PU2" s="76"/>
      <c r="PV2" s="76"/>
      <c r="PW2" s="13" t="s">
        <v>119</v>
      </c>
      <c r="PX2" s="13" t="s">
        <v>120</v>
      </c>
      <c r="PY2" s="13" t="s">
        <v>116</v>
      </c>
      <c r="PZ2" s="13" t="s">
        <v>125</v>
      </c>
      <c r="QA2" s="13" t="s">
        <v>24</v>
      </c>
      <c r="QB2" s="13" t="s">
        <v>70</v>
      </c>
      <c r="QC2" s="13" t="s">
        <v>121</v>
      </c>
      <c r="QD2" s="13" t="s">
        <v>18</v>
      </c>
      <c r="QE2" s="70" t="s">
        <v>114</v>
      </c>
      <c r="QF2" s="70"/>
      <c r="QG2" s="70"/>
      <c r="QH2" s="70"/>
      <c r="QI2" s="70" t="s">
        <v>115</v>
      </c>
      <c r="QJ2" s="70"/>
      <c r="QK2" s="70"/>
      <c r="QL2" s="70"/>
      <c r="QM2" s="70" t="s">
        <v>116</v>
      </c>
      <c r="QN2" s="70"/>
      <c r="QO2" s="70"/>
      <c r="QP2" s="70"/>
      <c r="QQ2" s="70" t="s">
        <v>117</v>
      </c>
      <c r="QR2" s="70"/>
      <c r="QS2" s="70"/>
      <c r="QT2" s="70"/>
      <c r="QU2" s="77" t="s">
        <v>118</v>
      </c>
      <c r="QV2" s="77"/>
      <c r="QW2" s="77"/>
      <c r="QX2" s="77"/>
      <c r="QY2" s="14"/>
      <c r="QZ2" s="14" t="s">
        <v>119</v>
      </c>
      <c r="RA2" s="14" t="s">
        <v>120</v>
      </c>
      <c r="RB2" s="14" t="s">
        <v>116</v>
      </c>
      <c r="RC2" s="14" t="s">
        <v>125</v>
      </c>
      <c r="RD2" s="14" t="s">
        <v>24</v>
      </c>
      <c r="RE2" s="14" t="s">
        <v>70</v>
      </c>
      <c r="RF2" s="14" t="s">
        <v>121</v>
      </c>
      <c r="RG2" s="14" t="s">
        <v>18</v>
      </c>
    </row>
    <row r="3" spans="1:475" x14ac:dyDescent="0.2">
      <c r="A3" s="66"/>
      <c r="B3" s="66"/>
      <c r="C3" s="66"/>
      <c r="D3" s="66"/>
      <c r="E3" s="66"/>
      <c r="F3" s="67"/>
      <c r="G3" s="67"/>
      <c r="H3" s="66"/>
      <c r="I3" s="67"/>
      <c r="J3" s="72"/>
      <c r="K3" s="68"/>
      <c r="L3" s="72"/>
      <c r="M3" s="68"/>
      <c r="N3" s="72"/>
      <c r="O3" s="68"/>
      <c r="P3" s="68"/>
      <c r="Q3" s="68"/>
      <c r="R3" s="71"/>
      <c r="S3" s="68"/>
      <c r="T3" s="68"/>
      <c r="U3" s="14" t="s">
        <v>15</v>
      </c>
      <c r="V3" s="14" t="s">
        <v>10</v>
      </c>
      <c r="W3" s="14" t="s">
        <v>30</v>
      </c>
      <c r="X3" s="14" t="s">
        <v>31</v>
      </c>
      <c r="Y3" s="14" t="s">
        <v>15</v>
      </c>
      <c r="Z3" s="14" t="s">
        <v>10</v>
      </c>
      <c r="AA3" s="14" t="s">
        <v>30</v>
      </c>
      <c r="AB3" s="14" t="s">
        <v>31</v>
      </c>
      <c r="AC3" s="14" t="s">
        <v>15</v>
      </c>
      <c r="AD3" s="14" t="s">
        <v>10</v>
      </c>
      <c r="AE3" s="14" t="s">
        <v>30</v>
      </c>
      <c r="AF3" s="14" t="s">
        <v>31</v>
      </c>
      <c r="AG3" s="14" t="s">
        <v>15</v>
      </c>
      <c r="AH3" s="14" t="s">
        <v>10</v>
      </c>
      <c r="AI3" s="14" t="s">
        <v>30</v>
      </c>
      <c r="AJ3" s="14" t="s">
        <v>31</v>
      </c>
      <c r="AK3" s="21" t="s">
        <v>15</v>
      </c>
      <c r="AL3" s="21" t="s">
        <v>10</v>
      </c>
      <c r="AM3" s="21" t="s">
        <v>30</v>
      </c>
      <c r="AN3" s="21" t="s">
        <v>31</v>
      </c>
      <c r="AO3" s="14" t="s">
        <v>56</v>
      </c>
      <c r="AP3" s="14"/>
      <c r="AQ3" s="14"/>
      <c r="AR3" s="14"/>
      <c r="AS3" s="14"/>
      <c r="AT3" s="14"/>
      <c r="AU3" s="14"/>
      <c r="AV3" s="14"/>
      <c r="AW3" s="14"/>
      <c r="AX3" s="13" t="s">
        <v>15</v>
      </c>
      <c r="AY3" s="13" t="s">
        <v>10</v>
      </c>
      <c r="AZ3" s="13" t="s">
        <v>30</v>
      </c>
      <c r="BA3" s="13" t="s">
        <v>31</v>
      </c>
      <c r="BB3" s="13" t="s">
        <v>15</v>
      </c>
      <c r="BC3" s="13" t="s">
        <v>10</v>
      </c>
      <c r="BD3" s="13" t="s">
        <v>30</v>
      </c>
      <c r="BE3" s="13" t="s">
        <v>31</v>
      </c>
      <c r="BF3" s="13" t="s">
        <v>15</v>
      </c>
      <c r="BG3" s="13" t="s">
        <v>10</v>
      </c>
      <c r="BH3" s="13" t="s">
        <v>30</v>
      </c>
      <c r="BI3" s="13" t="s">
        <v>31</v>
      </c>
      <c r="BJ3" s="13" t="s">
        <v>15</v>
      </c>
      <c r="BK3" s="13" t="s">
        <v>10</v>
      </c>
      <c r="BL3" s="13" t="s">
        <v>30</v>
      </c>
      <c r="BM3" s="13" t="s">
        <v>31</v>
      </c>
      <c r="BN3" s="16" t="s">
        <v>15</v>
      </c>
      <c r="BO3" s="16" t="s">
        <v>10</v>
      </c>
      <c r="BP3" s="16" t="s">
        <v>30</v>
      </c>
      <c r="BQ3" s="16" t="s">
        <v>31</v>
      </c>
      <c r="BR3" s="13" t="s">
        <v>56</v>
      </c>
      <c r="BS3" s="13"/>
      <c r="BT3" s="13"/>
      <c r="BU3" s="13"/>
      <c r="BV3" s="13"/>
      <c r="BW3" s="13"/>
      <c r="BX3" s="13"/>
      <c r="BY3" s="13"/>
      <c r="BZ3" s="13"/>
      <c r="CA3" s="14" t="s">
        <v>15</v>
      </c>
      <c r="CB3" s="14" t="s">
        <v>10</v>
      </c>
      <c r="CC3" s="14" t="s">
        <v>30</v>
      </c>
      <c r="CD3" s="14" t="s">
        <v>31</v>
      </c>
      <c r="CE3" s="14" t="s">
        <v>15</v>
      </c>
      <c r="CF3" s="14" t="s">
        <v>10</v>
      </c>
      <c r="CG3" s="14" t="s">
        <v>30</v>
      </c>
      <c r="CH3" s="14" t="s">
        <v>31</v>
      </c>
      <c r="CI3" s="14" t="s">
        <v>15</v>
      </c>
      <c r="CJ3" s="14" t="s">
        <v>10</v>
      </c>
      <c r="CK3" s="14" t="s">
        <v>30</v>
      </c>
      <c r="CL3" s="14" t="s">
        <v>31</v>
      </c>
      <c r="CM3" s="14" t="s">
        <v>15</v>
      </c>
      <c r="CN3" s="14" t="s">
        <v>10</v>
      </c>
      <c r="CO3" s="14" t="s">
        <v>30</v>
      </c>
      <c r="CP3" s="14" t="s">
        <v>31</v>
      </c>
      <c r="CQ3" s="21" t="s">
        <v>15</v>
      </c>
      <c r="CR3" s="21" t="s">
        <v>10</v>
      </c>
      <c r="CS3" s="21" t="s">
        <v>30</v>
      </c>
      <c r="CT3" s="21" t="s">
        <v>31</v>
      </c>
      <c r="CU3" s="14" t="s">
        <v>56</v>
      </c>
      <c r="CV3" s="14"/>
      <c r="CW3" s="14"/>
      <c r="CX3" s="14"/>
      <c r="CY3" s="14"/>
      <c r="CZ3" s="14"/>
      <c r="DA3" s="14"/>
      <c r="DB3" s="14"/>
      <c r="DC3" s="14"/>
      <c r="DD3" s="51"/>
      <c r="DE3" s="51"/>
      <c r="DF3" s="51"/>
      <c r="DG3" s="14" t="s">
        <v>15</v>
      </c>
      <c r="DH3" s="14" t="s">
        <v>10</v>
      </c>
      <c r="DI3" s="14" t="s">
        <v>30</v>
      </c>
      <c r="DJ3" s="14" t="s">
        <v>31</v>
      </c>
      <c r="DK3" s="14" t="s">
        <v>15</v>
      </c>
      <c r="DL3" s="14" t="s">
        <v>10</v>
      </c>
      <c r="DM3" s="14" t="s">
        <v>30</v>
      </c>
      <c r="DN3" s="14" t="s">
        <v>31</v>
      </c>
      <c r="DO3" s="14" t="s">
        <v>15</v>
      </c>
      <c r="DP3" s="14" t="s">
        <v>10</v>
      </c>
      <c r="DQ3" s="14" t="s">
        <v>30</v>
      </c>
      <c r="DR3" s="14" t="s">
        <v>31</v>
      </c>
      <c r="DS3" s="14" t="s">
        <v>15</v>
      </c>
      <c r="DT3" s="14" t="s">
        <v>10</v>
      </c>
      <c r="DU3" s="14" t="s">
        <v>30</v>
      </c>
      <c r="DV3" s="14" t="s">
        <v>31</v>
      </c>
      <c r="DW3" s="15" t="s">
        <v>15</v>
      </c>
      <c r="DX3" s="15" t="s">
        <v>10</v>
      </c>
      <c r="DY3" s="15" t="s">
        <v>30</v>
      </c>
      <c r="DZ3" s="15" t="s">
        <v>31</v>
      </c>
      <c r="EA3" s="14"/>
      <c r="EB3" s="14"/>
      <c r="EC3" s="14"/>
      <c r="ED3" s="14"/>
      <c r="EE3" s="14"/>
      <c r="EF3" s="14"/>
      <c r="EG3" s="14"/>
      <c r="EH3" s="14"/>
      <c r="EI3" s="13" t="s">
        <v>15</v>
      </c>
      <c r="EJ3" s="13" t="s">
        <v>10</v>
      </c>
      <c r="EK3" s="13" t="s">
        <v>30</v>
      </c>
      <c r="EL3" s="13" t="s">
        <v>31</v>
      </c>
      <c r="EM3" s="13" t="s">
        <v>15</v>
      </c>
      <c r="EN3" s="13" t="s">
        <v>10</v>
      </c>
      <c r="EO3" s="13" t="s">
        <v>30</v>
      </c>
      <c r="EP3" s="13" t="s">
        <v>31</v>
      </c>
      <c r="EQ3" s="13" t="s">
        <v>15</v>
      </c>
      <c r="ER3" s="13" t="s">
        <v>10</v>
      </c>
      <c r="ES3" s="13" t="s">
        <v>30</v>
      </c>
      <c r="ET3" s="13" t="s">
        <v>31</v>
      </c>
      <c r="EU3" s="13" t="s">
        <v>15</v>
      </c>
      <c r="EV3" s="13" t="s">
        <v>10</v>
      </c>
      <c r="EW3" s="13" t="s">
        <v>30</v>
      </c>
      <c r="EX3" s="13" t="s">
        <v>31</v>
      </c>
      <c r="EY3" s="16" t="s">
        <v>15</v>
      </c>
      <c r="EZ3" s="16" t="s">
        <v>10</v>
      </c>
      <c r="FA3" s="16" t="s">
        <v>30</v>
      </c>
      <c r="FB3" s="16" t="s">
        <v>31</v>
      </c>
      <c r="FC3" s="13"/>
      <c r="FD3" s="13"/>
      <c r="FE3" s="13"/>
      <c r="FF3" s="13"/>
      <c r="FG3" s="13"/>
      <c r="FH3" s="13"/>
      <c r="FI3" s="13"/>
      <c r="FJ3" s="13"/>
      <c r="FK3" s="14" t="s">
        <v>15</v>
      </c>
      <c r="FL3" s="14" t="s">
        <v>10</v>
      </c>
      <c r="FM3" s="14" t="s">
        <v>30</v>
      </c>
      <c r="FN3" s="14" t="s">
        <v>31</v>
      </c>
      <c r="FO3" s="14" t="s">
        <v>15</v>
      </c>
      <c r="FP3" s="14" t="s">
        <v>10</v>
      </c>
      <c r="FQ3" s="14" t="s">
        <v>30</v>
      </c>
      <c r="FR3" s="14" t="s">
        <v>31</v>
      </c>
      <c r="FS3" s="14" t="s">
        <v>15</v>
      </c>
      <c r="FT3" s="14" t="s">
        <v>10</v>
      </c>
      <c r="FU3" s="14" t="s">
        <v>30</v>
      </c>
      <c r="FV3" s="14" t="s">
        <v>31</v>
      </c>
      <c r="FW3" s="14" t="s">
        <v>15</v>
      </c>
      <c r="FX3" s="14" t="s">
        <v>10</v>
      </c>
      <c r="FY3" s="14" t="s">
        <v>30</v>
      </c>
      <c r="FZ3" s="14" t="s">
        <v>31</v>
      </c>
      <c r="GA3" s="15" t="s">
        <v>15</v>
      </c>
      <c r="GB3" s="15" t="s">
        <v>10</v>
      </c>
      <c r="GC3" s="15" t="s">
        <v>30</v>
      </c>
      <c r="GD3" s="15" t="s">
        <v>31</v>
      </c>
      <c r="GE3" s="14"/>
      <c r="GF3" s="14"/>
      <c r="GG3" s="14"/>
      <c r="GH3" s="14"/>
      <c r="GI3" s="14"/>
      <c r="GJ3" s="14"/>
      <c r="GK3" s="14"/>
      <c r="GL3" s="14"/>
      <c r="GM3" s="13" t="s">
        <v>15</v>
      </c>
      <c r="GN3" s="13" t="s">
        <v>10</v>
      </c>
      <c r="GO3" s="13" t="s">
        <v>30</v>
      </c>
      <c r="GP3" s="13" t="s">
        <v>31</v>
      </c>
      <c r="GQ3" s="13" t="s">
        <v>15</v>
      </c>
      <c r="GR3" s="13" t="s">
        <v>10</v>
      </c>
      <c r="GS3" s="13" t="s">
        <v>30</v>
      </c>
      <c r="GT3" s="13" t="s">
        <v>31</v>
      </c>
      <c r="GU3" s="13" t="s">
        <v>15</v>
      </c>
      <c r="GV3" s="13" t="s">
        <v>10</v>
      </c>
      <c r="GW3" s="13" t="s">
        <v>30</v>
      </c>
      <c r="GX3" s="13" t="s">
        <v>31</v>
      </c>
      <c r="GY3" s="13" t="s">
        <v>15</v>
      </c>
      <c r="GZ3" s="13" t="s">
        <v>10</v>
      </c>
      <c r="HA3" s="13" t="s">
        <v>30</v>
      </c>
      <c r="HB3" s="13" t="s">
        <v>31</v>
      </c>
      <c r="HC3" s="16" t="s">
        <v>15</v>
      </c>
      <c r="HD3" s="16" t="s">
        <v>10</v>
      </c>
      <c r="HE3" s="16" t="s">
        <v>30</v>
      </c>
      <c r="HF3" s="16" t="s">
        <v>31</v>
      </c>
      <c r="HG3" s="13"/>
      <c r="HH3" s="13"/>
      <c r="HI3" s="13"/>
      <c r="HJ3" s="13"/>
      <c r="HK3" s="13"/>
      <c r="HL3" s="13"/>
      <c r="HM3" s="13"/>
      <c r="HN3" s="13"/>
      <c r="HO3" s="14" t="s">
        <v>15</v>
      </c>
      <c r="HP3" s="14" t="s">
        <v>10</v>
      </c>
      <c r="HQ3" s="14" t="s">
        <v>30</v>
      </c>
      <c r="HR3" s="14" t="s">
        <v>31</v>
      </c>
      <c r="HS3" s="14" t="s">
        <v>15</v>
      </c>
      <c r="HT3" s="14" t="s">
        <v>10</v>
      </c>
      <c r="HU3" s="14" t="s">
        <v>30</v>
      </c>
      <c r="HV3" s="14" t="s">
        <v>31</v>
      </c>
      <c r="HW3" s="14" t="s">
        <v>15</v>
      </c>
      <c r="HX3" s="14" t="s">
        <v>10</v>
      </c>
      <c r="HY3" s="14" t="s">
        <v>30</v>
      </c>
      <c r="HZ3" s="14" t="s">
        <v>31</v>
      </c>
      <c r="IA3" s="14" t="s">
        <v>15</v>
      </c>
      <c r="IB3" s="14" t="s">
        <v>10</v>
      </c>
      <c r="IC3" s="14" t="s">
        <v>30</v>
      </c>
      <c r="ID3" s="14" t="s">
        <v>31</v>
      </c>
      <c r="IE3" s="15" t="s">
        <v>15</v>
      </c>
      <c r="IF3" s="15" t="s">
        <v>10</v>
      </c>
      <c r="IG3" s="15" t="s">
        <v>30</v>
      </c>
      <c r="IH3" s="15" t="s">
        <v>31</v>
      </c>
      <c r="II3" s="14"/>
      <c r="IJ3" s="14"/>
      <c r="IK3" s="14"/>
      <c r="IL3" s="14"/>
      <c r="IM3" s="14"/>
      <c r="IN3" s="14"/>
      <c r="IO3" s="14"/>
      <c r="IP3" s="14"/>
      <c r="IQ3" s="13" t="s">
        <v>15</v>
      </c>
      <c r="IR3" s="13" t="s">
        <v>10</v>
      </c>
      <c r="IS3" s="13" t="s">
        <v>30</v>
      </c>
      <c r="IT3" s="13" t="s">
        <v>31</v>
      </c>
      <c r="IU3" s="13" t="s">
        <v>15</v>
      </c>
      <c r="IV3" s="13" t="s">
        <v>10</v>
      </c>
      <c r="IW3" s="13" t="s">
        <v>30</v>
      </c>
      <c r="IX3" s="13" t="s">
        <v>31</v>
      </c>
      <c r="IY3" s="13" t="s">
        <v>15</v>
      </c>
      <c r="IZ3" s="13" t="s">
        <v>10</v>
      </c>
      <c r="JA3" s="13" t="s">
        <v>30</v>
      </c>
      <c r="JB3" s="13" t="s">
        <v>31</v>
      </c>
      <c r="JC3" s="13" t="s">
        <v>15</v>
      </c>
      <c r="JD3" s="13" t="s">
        <v>10</v>
      </c>
      <c r="JE3" s="13" t="s">
        <v>30</v>
      </c>
      <c r="JF3" s="13" t="s">
        <v>31</v>
      </c>
      <c r="JG3" s="16" t="s">
        <v>15</v>
      </c>
      <c r="JH3" s="16" t="s">
        <v>10</v>
      </c>
      <c r="JI3" s="16" t="s">
        <v>30</v>
      </c>
      <c r="JJ3" s="16" t="s">
        <v>31</v>
      </c>
      <c r="JK3" s="13"/>
      <c r="JL3" s="13"/>
      <c r="JM3" s="13"/>
      <c r="JN3" s="13"/>
      <c r="JO3" s="13"/>
      <c r="JP3" s="13"/>
      <c r="JQ3" s="13"/>
      <c r="JR3" s="13"/>
      <c r="JS3" s="14" t="s">
        <v>15</v>
      </c>
      <c r="JT3" s="14" t="s">
        <v>10</v>
      </c>
      <c r="JU3" s="14" t="s">
        <v>30</v>
      </c>
      <c r="JV3" s="14" t="s">
        <v>31</v>
      </c>
      <c r="JW3" s="14" t="s">
        <v>15</v>
      </c>
      <c r="JX3" s="14" t="s">
        <v>10</v>
      </c>
      <c r="JY3" s="14" t="s">
        <v>30</v>
      </c>
      <c r="JZ3" s="14" t="s">
        <v>31</v>
      </c>
      <c r="KA3" s="14" t="s">
        <v>15</v>
      </c>
      <c r="KB3" s="14" t="s">
        <v>10</v>
      </c>
      <c r="KC3" s="14" t="s">
        <v>30</v>
      </c>
      <c r="KD3" s="14" t="s">
        <v>31</v>
      </c>
      <c r="KE3" s="14" t="s">
        <v>15</v>
      </c>
      <c r="KF3" s="14" t="s">
        <v>10</v>
      </c>
      <c r="KG3" s="14" t="s">
        <v>30</v>
      </c>
      <c r="KH3" s="14" t="s">
        <v>31</v>
      </c>
      <c r="KI3" s="15" t="s">
        <v>15</v>
      </c>
      <c r="KJ3" s="15" t="s">
        <v>10</v>
      </c>
      <c r="KK3" s="15" t="s">
        <v>30</v>
      </c>
      <c r="KL3" s="15" t="s">
        <v>31</v>
      </c>
      <c r="KM3" s="14"/>
      <c r="KN3" s="14"/>
      <c r="KO3" s="14"/>
      <c r="KP3" s="14"/>
      <c r="KQ3" s="14"/>
      <c r="KR3" s="14"/>
      <c r="KS3" s="14"/>
      <c r="KT3" s="14"/>
      <c r="KU3" s="13" t="s">
        <v>15</v>
      </c>
      <c r="KV3" s="13" t="s">
        <v>10</v>
      </c>
      <c r="KW3" s="13" t="s">
        <v>30</v>
      </c>
      <c r="KX3" s="13" t="s">
        <v>31</v>
      </c>
      <c r="KY3" s="13" t="s">
        <v>15</v>
      </c>
      <c r="KZ3" s="13" t="s">
        <v>10</v>
      </c>
      <c r="LA3" s="13" t="s">
        <v>30</v>
      </c>
      <c r="LB3" s="13" t="s">
        <v>31</v>
      </c>
      <c r="LC3" s="13" t="s">
        <v>15</v>
      </c>
      <c r="LD3" s="13" t="s">
        <v>10</v>
      </c>
      <c r="LE3" s="13" t="s">
        <v>30</v>
      </c>
      <c r="LF3" s="13" t="s">
        <v>31</v>
      </c>
      <c r="LG3" s="13" t="s">
        <v>15</v>
      </c>
      <c r="LH3" s="13" t="s">
        <v>10</v>
      </c>
      <c r="LI3" s="13" t="s">
        <v>30</v>
      </c>
      <c r="LJ3" s="13" t="s">
        <v>31</v>
      </c>
      <c r="LK3" s="16" t="s">
        <v>15</v>
      </c>
      <c r="LL3" s="16" t="s">
        <v>10</v>
      </c>
      <c r="LM3" s="16" t="s">
        <v>30</v>
      </c>
      <c r="LN3" s="16" t="s">
        <v>31</v>
      </c>
      <c r="LO3" s="13"/>
      <c r="LP3" s="13"/>
      <c r="LQ3" s="13"/>
      <c r="LR3" s="13"/>
      <c r="LS3" s="13"/>
      <c r="LT3" s="13"/>
      <c r="LU3" s="13"/>
      <c r="LV3" s="13"/>
      <c r="LW3" s="14" t="s">
        <v>15</v>
      </c>
      <c r="LX3" s="14" t="s">
        <v>10</v>
      </c>
      <c r="LY3" s="14" t="s">
        <v>30</v>
      </c>
      <c r="LZ3" s="14" t="s">
        <v>31</v>
      </c>
      <c r="MA3" s="14" t="s">
        <v>15</v>
      </c>
      <c r="MB3" s="14" t="s">
        <v>10</v>
      </c>
      <c r="MC3" s="14" t="s">
        <v>30</v>
      </c>
      <c r="MD3" s="14" t="s">
        <v>31</v>
      </c>
      <c r="ME3" s="14" t="s">
        <v>15</v>
      </c>
      <c r="MF3" s="14" t="s">
        <v>10</v>
      </c>
      <c r="MG3" s="14" t="s">
        <v>30</v>
      </c>
      <c r="MH3" s="14" t="s">
        <v>31</v>
      </c>
      <c r="MI3" s="14" t="s">
        <v>15</v>
      </c>
      <c r="MJ3" s="14" t="s">
        <v>10</v>
      </c>
      <c r="MK3" s="14" t="s">
        <v>30</v>
      </c>
      <c r="ML3" s="14" t="s">
        <v>31</v>
      </c>
      <c r="MM3" s="15" t="s">
        <v>15</v>
      </c>
      <c r="MN3" s="15" t="s">
        <v>10</v>
      </c>
      <c r="MO3" s="15" t="s">
        <v>30</v>
      </c>
      <c r="MP3" s="15" t="s">
        <v>31</v>
      </c>
      <c r="MQ3" s="14"/>
      <c r="MR3" s="14"/>
      <c r="MS3" s="14"/>
      <c r="MT3" s="14"/>
      <c r="MU3" s="14"/>
      <c r="MV3" s="14"/>
      <c r="MW3" s="14"/>
      <c r="MX3" s="14"/>
      <c r="MY3" s="13" t="s">
        <v>15</v>
      </c>
      <c r="MZ3" s="13" t="s">
        <v>10</v>
      </c>
      <c r="NA3" s="13" t="s">
        <v>30</v>
      </c>
      <c r="NB3" s="13" t="s">
        <v>31</v>
      </c>
      <c r="NC3" s="13" t="s">
        <v>15</v>
      </c>
      <c r="ND3" s="13" t="s">
        <v>10</v>
      </c>
      <c r="NE3" s="13" t="s">
        <v>30</v>
      </c>
      <c r="NF3" s="13" t="s">
        <v>31</v>
      </c>
      <c r="NG3" s="13" t="s">
        <v>15</v>
      </c>
      <c r="NH3" s="13" t="s">
        <v>10</v>
      </c>
      <c r="NI3" s="13" t="s">
        <v>30</v>
      </c>
      <c r="NJ3" s="13" t="s">
        <v>31</v>
      </c>
      <c r="NK3" s="13" t="s">
        <v>15</v>
      </c>
      <c r="NL3" s="13" t="s">
        <v>10</v>
      </c>
      <c r="NM3" s="13" t="s">
        <v>30</v>
      </c>
      <c r="NN3" s="13" t="s">
        <v>31</v>
      </c>
      <c r="NO3" s="16" t="s">
        <v>15</v>
      </c>
      <c r="NP3" s="16" t="s">
        <v>10</v>
      </c>
      <c r="NQ3" s="16" t="s">
        <v>30</v>
      </c>
      <c r="NR3" s="16" t="s">
        <v>31</v>
      </c>
      <c r="NS3" s="13"/>
      <c r="NT3" s="13"/>
      <c r="NU3" s="13"/>
      <c r="NV3" s="13"/>
      <c r="NW3" s="13"/>
      <c r="NX3" s="13"/>
      <c r="NY3" s="13"/>
      <c r="NZ3" s="13"/>
      <c r="OA3" s="14" t="s">
        <v>15</v>
      </c>
      <c r="OB3" s="14" t="s">
        <v>10</v>
      </c>
      <c r="OC3" s="14" t="s">
        <v>30</v>
      </c>
      <c r="OD3" s="14" t="s">
        <v>31</v>
      </c>
      <c r="OE3" s="14" t="s">
        <v>15</v>
      </c>
      <c r="OF3" s="14" t="s">
        <v>10</v>
      </c>
      <c r="OG3" s="14" t="s">
        <v>30</v>
      </c>
      <c r="OH3" s="14" t="s">
        <v>31</v>
      </c>
      <c r="OI3" s="14" t="s">
        <v>15</v>
      </c>
      <c r="OJ3" s="14" t="s">
        <v>10</v>
      </c>
      <c r="OK3" s="14" t="s">
        <v>30</v>
      </c>
      <c r="OL3" s="14" t="s">
        <v>31</v>
      </c>
      <c r="OM3" s="14" t="s">
        <v>15</v>
      </c>
      <c r="ON3" s="14" t="s">
        <v>10</v>
      </c>
      <c r="OO3" s="14" t="s">
        <v>30</v>
      </c>
      <c r="OP3" s="14" t="s">
        <v>31</v>
      </c>
      <c r="OQ3" s="15" t="s">
        <v>15</v>
      </c>
      <c r="OR3" s="15" t="s">
        <v>10</v>
      </c>
      <c r="OS3" s="15" t="s">
        <v>30</v>
      </c>
      <c r="OT3" s="15" t="s">
        <v>31</v>
      </c>
      <c r="OU3" s="14"/>
      <c r="OV3" s="14"/>
      <c r="OW3" s="14"/>
      <c r="OX3" s="14"/>
      <c r="OY3" s="14"/>
      <c r="OZ3" s="14"/>
      <c r="PA3" s="14"/>
      <c r="PB3" s="14"/>
      <c r="PC3" s="13" t="s">
        <v>15</v>
      </c>
      <c r="PD3" s="13" t="s">
        <v>10</v>
      </c>
      <c r="PE3" s="13" t="s">
        <v>30</v>
      </c>
      <c r="PF3" s="13" t="s">
        <v>31</v>
      </c>
      <c r="PG3" s="13" t="s">
        <v>15</v>
      </c>
      <c r="PH3" s="13" t="s">
        <v>10</v>
      </c>
      <c r="PI3" s="13" t="s">
        <v>30</v>
      </c>
      <c r="PJ3" s="13" t="s">
        <v>31</v>
      </c>
      <c r="PK3" s="13" t="s">
        <v>15</v>
      </c>
      <c r="PL3" s="13" t="s">
        <v>10</v>
      </c>
      <c r="PM3" s="13" t="s">
        <v>30</v>
      </c>
      <c r="PN3" s="13" t="s">
        <v>31</v>
      </c>
      <c r="PO3" s="13" t="s">
        <v>15</v>
      </c>
      <c r="PP3" s="13" t="s">
        <v>10</v>
      </c>
      <c r="PQ3" s="13" t="s">
        <v>30</v>
      </c>
      <c r="PR3" s="13" t="s">
        <v>31</v>
      </c>
      <c r="PS3" s="16" t="s">
        <v>15</v>
      </c>
      <c r="PT3" s="16" t="s">
        <v>10</v>
      </c>
      <c r="PU3" s="16" t="s">
        <v>30</v>
      </c>
      <c r="PV3" s="16" t="s">
        <v>31</v>
      </c>
      <c r="PW3" s="13"/>
      <c r="PX3" s="13"/>
      <c r="PY3" s="13"/>
      <c r="PZ3" s="13"/>
      <c r="QA3" s="13"/>
      <c r="QB3" s="13"/>
      <c r="QC3" s="13"/>
      <c r="QD3" s="13"/>
      <c r="QE3" s="14" t="s">
        <v>15</v>
      </c>
      <c r="QF3" s="14" t="s">
        <v>10</v>
      </c>
      <c r="QG3" s="14" t="s">
        <v>30</v>
      </c>
      <c r="QH3" s="14" t="s">
        <v>31</v>
      </c>
      <c r="QI3" s="14" t="s">
        <v>15</v>
      </c>
      <c r="QJ3" s="14" t="s">
        <v>10</v>
      </c>
      <c r="QK3" s="14" t="s">
        <v>30</v>
      </c>
      <c r="QL3" s="14" t="s">
        <v>31</v>
      </c>
      <c r="QM3" s="14" t="s">
        <v>15</v>
      </c>
      <c r="QN3" s="14" t="s">
        <v>10</v>
      </c>
      <c r="QO3" s="14" t="s">
        <v>30</v>
      </c>
      <c r="QP3" s="14" t="s">
        <v>31</v>
      </c>
      <c r="QQ3" s="14" t="s">
        <v>15</v>
      </c>
      <c r="QR3" s="14" t="s">
        <v>10</v>
      </c>
      <c r="QS3" s="14" t="s">
        <v>30</v>
      </c>
      <c r="QT3" s="14" t="s">
        <v>31</v>
      </c>
      <c r="QU3" s="21" t="s">
        <v>15</v>
      </c>
      <c r="QV3" s="21" t="s">
        <v>10</v>
      </c>
      <c r="QW3" s="21" t="s">
        <v>30</v>
      </c>
      <c r="QX3" s="21" t="s">
        <v>31</v>
      </c>
      <c r="QY3" s="14" t="s">
        <v>56</v>
      </c>
      <c r="QZ3" s="14"/>
      <c r="RA3" s="14"/>
      <c r="RB3" s="14"/>
      <c r="RC3" s="14"/>
      <c r="RD3" s="14"/>
      <c r="RE3" s="14"/>
      <c r="RF3" s="14"/>
      <c r="RG3" s="14"/>
    </row>
    <row r="4" spans="1:475" x14ac:dyDescent="0.2">
      <c r="A4" s="4" cm="1">
        <f t="array" ref="A4">IF(AND(H4&lt;&gt;"",H4&lt;&gt;"No DD"),SUMPRODUCT((H$4:H$19&lt;&gt;"")*(H$4:H$19&lt;&gt;"No DD")*(E$4:E$19&gt;E4))+1,IF(H4="No DD",SUMPRODUCT((H$4:H$19="No DD")*(E$4:E$19&gt;E4))+1+SUMPRODUCT((H$4:H$19&lt;&gt;"")*(H$4:H$19&lt;&gt;"No DD")),""))</f>
        <v>1</v>
      </c>
      <c r="B4" s="5" t="s">
        <v>74</v>
      </c>
      <c r="C4" s="4" t="s">
        <v>6</v>
      </c>
      <c r="D4" s="4">
        <v>2001</v>
      </c>
      <c r="E4" s="9">
        <f t="shared" ref="E4:E18" si="0">SUM(J4:R4)+SUM(J4:N4)*0.0000001+SUM(J4)*0.0000000000001</f>
        <v>183.30001302000528</v>
      </c>
      <c r="F4" s="3" t="str">
        <f t="shared" ref="F4:F18" si="1">IF(OR(AND(AP4&gt;=AW$21,AQ4&gt;=AW$25,AP4&lt;&gt;"",AO4=""),AND(AU4&gt;=AW$21,AV4&gt;=AW$25,AU4&lt;&gt;"",AO4=""),AND(BS4&gt;=BZ$21,BT4&gt;=BZ$25,BS4&lt;&gt;"",BR4=""),AND(BX4&gt;=BZ$21,BY4&gt;=BZ$25,BX4&lt;&gt;"",BR4=""),AND(CV4&gt;=DC$21,CW4&gt;=DC$25,CV4&lt;&gt;"",CU4=""),AND(DA4&gt;=DC$21,DB4&gt;=DC$25,DA4&lt;&gt;""),AND(EA4&gt;=EH$21,EB4&gt;=EH$25,EA4&lt;&gt;""),AND(EF4&gt;=EH$21,EG4&gt;=EH$25,EF4&lt;&gt;""),AND(FC4&gt;=FJ$21,FD4&gt;=FJ$25,FC4&lt;&gt;""),AND(FH4&gt;=FJ$21,FI4&gt;=FJ$25,FH4&lt;&gt;""),AND(GE4&gt;=GL$21,GF4&gt;=GL$25,GE4&lt;&gt;""),AND(GJ4&gt;=GL$21,GK4&gt;=GL$25,GJ4&lt;&gt;""),AND(HG4&gt;=HN$21,HH4&gt;=HN$25,HG4&lt;&gt;""),AND(HL4&gt;=HN$21,HM4&gt;=HN$25,HL4&lt;&gt;""),AND(II4&gt;=IP$21,IJ4&gt;=IP$25,II4&lt;&gt;""),AND(IN4&gt;=IP$21,IO4&gt;=IP$25,IN4&lt;&gt;""),AND(JK4&gt;=JR$21,JL4&gt;=JR$25,JK4&lt;&gt;""),AND(JP4&gt;=JR$21,JQ4&gt;=JR$25,JP4&lt;&gt;""),AND(KM4&gt;=KT$21,KN4&gt;=KT$25,KM4&lt;&gt;""),AND(KR4&gt;=KT$21,KS4&gt;=KT$25,KR4&lt;&gt;""),AND(LO4&gt;=LV$21,LP4&gt;=LV$25,LO4&lt;&gt;""),AND(LT4&gt;=LV$21,LU4&gt;=LV$25,LT4&lt;&gt;""),AND(MQ4&gt;=MX$21,MR4&gt;=MX$25,MQ4&lt;&gt;""),AND(MV4&gt;=MX$21,MW4&gt;=MX$25,MV4&lt;&gt;""),AND(NS4&gt;=NZ$21,NT4&gt;=NZ$25,NS4&lt;&gt;""),AND(NX4&gt;=NZ$21,NY4&gt;=NZ$25,NX4&lt;&gt;""),AND(OU4&gt;=PB$21,OV4&gt;=PB$25,OU4&lt;&gt;""),AND(OZ4&gt;=PB$21,PA4&gt;=PB$25,OZ4&lt;&gt;""),AND(PW4&gt;=QD$21,PX4&gt;=QD$25,PW4&lt;&gt;""),AND(QB4&gt;=QD$21,QC4&gt;=QD$25,QB4&lt;&gt;"")),"P","")</f>
        <v>P</v>
      </c>
      <c r="G4" s="3" t="str">
        <f t="shared" ref="G4:G18" si="2">IF(OR(AND(AQ4&gt;=AW$25,AQ4&lt;&gt;"",AO4=""),AND(AV4&gt;=AW$25,AV4&lt;&gt;"",AO4=""),AND(BT4&gt;=BZ$25,BT4&lt;&gt;"",BR4=""),AND(BY4&gt;=BZ$25,BY4&lt;&gt;"",BR4=""),AND(CW4&gt;=DC$25,CW4&lt;&gt;"",CU4=""),AND(DB4&gt;=DC$25,DB4&lt;&gt;"",CU4=""),AND(EB4&gt;=EH$25,EB4&lt;&gt;""),AND(EG4&gt;=EH$25,EG4&lt;&gt;""),AND(FD4&gt;=FJ$25,FD4&lt;&gt;""),AND(FI4&gt;=FJ$25,FI4&lt;&gt;""),AND(GF4&gt;=GL$25,GF4&lt;&gt;""),AND(GK4&gt;=GL$25,GK4&lt;&gt;""),AND(HH4&gt;=HN$25,HH4&lt;&gt;""),AND(HM4&gt;=HN$25,HM4&lt;&gt;""),AND(IJ4&gt;=IP$25,IJ4&lt;&gt;""),AND(IO4&gt;=IP$25,IO4&lt;&gt;""),AND(JL4&gt;=JR$25,JL4&lt;&gt;""),AND(JQ4&gt;=JR$25,JQ4&lt;&gt;""),AND(KN4&gt;=KT$25,KN4&lt;&gt;""),AND(KS4&gt;=KT$25,KS4&lt;&gt;""),AND(LP4&gt;=LV$25,LP4&lt;&gt;""),AND(LU4&gt;=LV$25,LU4&lt;&gt;""),AND(MR4&gt;=MX$25,MR4&lt;&gt;""),AND(MW4&gt;=MX$25,MW4&lt;&gt;""),AND(NT4&gt;=NZ$25,NT4&lt;&gt;""),AND(NY4&gt;=NZ$25,NY4&lt;&gt;""),AND(OV4&gt;=PB$25,OV4&lt;&gt;""),AND(PA4&gt;=PB$25,PA4&lt;&gt;""),AND(PX4&gt;=QD$25,PX4&lt;&gt;""),AND(QC4&gt;=QD$25,QC4&lt;&gt;"")),"P","")</f>
        <v>P</v>
      </c>
      <c r="H4" s="37" t="str">
        <f t="shared" ref="H4:H18" si="3">IF(AND(G4="P",F4=""),"No DD",IF(OR(AND(AS4&gt;=AW$24,AT4&gt;=AW$28,AS4&lt;&gt;"",AO4=""),AND(BV4&gt;=BZ$24,BW4&gt;=BZ$28,BV4&lt;&gt;"",BR4=""),AND(CY4&gt;=DC$24,CZ4&gt;=DC$28,CY4&lt;&gt;"",CU4=""),AND(ED4&gt;=EH$24,EE4&gt;=EH$28,ED4&lt;&gt;""),AND(FF4&gt;=FJ$24,FG4&gt;=FJ$28,FF4&lt;&gt;""),AND(GH4&gt;=GL$24,GI4&gt;=GL$28,GH4&lt;&gt;""),AND(HJ4&gt;=HN$24,HK4&gt;=HN$28,HJ4&lt;&gt;""),AND(IL4&gt;=IP$24,IM4&gt;=IP$28,IL4&lt;&gt;""),AND(JN4&gt;=JR$24,JO4&gt;=JR$28,JN4&lt;&gt;""),AND(KP4&gt;=KT$24,KQ4&gt;=KT$28,KP4&lt;&gt;""),AND(LR4&gt;=LV$24,LS4&gt;=LV$28,LR4&lt;&gt;""),AND(MT4&gt;=MX$24,MU4&gt;=MX$28,MT4&lt;&gt;""),AND(NV4&gt;=NZ$24,NW4&gt;=NZ$28,NV4&lt;&gt;""),AND(OX4&gt;=PB$24,OY4&gt;=PB$28,OX4&lt;&gt;""),AND(PZ4&gt;=QD$24,QA4&gt;=QD$28,PZ4&lt;&gt;"")),"Merit",IF(OR(AND(AS4&gt;=AW$23,AT4&gt;=AW$27,AS4&lt;&gt;"",AO4=""),AND(BV4&gt;=BZ$23,BW4&gt;=BZ$27,BV4&lt;&gt;"",BR4=""),AND(CY4&gt;=DC$23,CZ4&gt;=DC$27,CY4&lt;&gt;"",CU4=""),AND(ED4&gt;=EH$23,EE4&gt;=EH$27,ED4&lt;&gt;""),AND(FF4&gt;=FJ$23,FG4&gt;=FJ$27,FF4&lt;&gt;""),AND(GH4&gt;=GL$23,GI4&gt;=GL$27,GH4&lt;&gt;""),AND(HJ4&gt;=HN$23,HK4&gt;=HN$27,HJ4&lt;&gt;""),AND(IL4&gt;=IP$23,IM4&gt;=IP$27,IL4&lt;&gt;""),AND(JN4&gt;=JR$23,JO4&gt;=JR$27,JN4&lt;&gt;""),AND(KP4&gt;=KT$23,KQ4&gt;=KT$27,KP4&lt;&gt;""),AND(LR4&gt;=LV$23,LS4&gt;=LV$27,LR4&lt;&gt;""),AND(MT4&gt;=MX$23,MU4&gt;=MX$27,MT4&lt;&gt;""),AND(NV4&gt;=NZ$23,NW4&gt;=NZ$27,NV4&lt;&gt;""),AND(OX4&gt;=PB$23,OY4&gt;=PB$27,OX4&lt;&gt;""),AND(PZ4&gt;=QD$23,QA4&gt;=QD$27,PZ4&lt;&gt;"")),"Excellence",IF(I4="P","Worlds Team",IF(F4="P","National Team","")))))</f>
        <v>Merit</v>
      </c>
      <c r="I4" s="3" t="str">
        <f t="shared" ref="I4:I18" si="4">IF(OR(AND(AS4&gt;=AW$22,AT4&gt;=AW$26,AS4&lt;&gt;"",AO4=""),AND(BV4&gt;=BZ$22,BW4&gt;=BZ$26,BV4&lt;&gt;"",BR4=""),AND(CY4&gt;=DC$22,CZ4&gt;=DC$26,CY4&lt;&gt;"",CU4=""),AND(ED4&gt;=EH$22,EE4&gt;=EH$26,ED4&lt;&gt;""),AND(FF4&gt;=FJ$22,FG4&gt;=FJ$26,FF4&lt;&gt;""),AND(GH4&gt;=GL$22,GI4&gt;=GL$26,GH4&lt;&gt;""),AND(HJ4&gt;=HN$22,HK4&gt;=HN$26,HJ4&lt;&gt;""),AND(IL4&gt;=IP$22,IM4&gt;=IP$26,IL4&lt;&gt;""),AND(JN4&gt;=JR$22,JO4&gt;=JR$26,JN4&lt;&gt;""),AND(KP4&gt;=KT$22,KQ4&gt;=KT$26,KP4&lt;&gt;""),AND(LR4&gt;=LV$22,LS4&gt;=LV$26,LR4&lt;&gt;""),AND(MT4&gt;=MX$22,MU4&gt;=MX$26,MT4&lt;&gt;""),AND(NV4&gt;=NZ$22,NW4&gt;=NZ$26,NV4&lt;&gt;""),AND(OX4&gt;=PB$22,OY4&gt;=PB$26,OX4&lt;&gt;""),AND(PZ4&gt;=QD$22,QA4&gt;=QD$26,PZ4&lt;&gt;"")),"P","")</f>
        <v>P</v>
      </c>
      <c r="J4" s="8">
        <f>IF(COUNT(AQ4,BT4,CW4)&gt;0,LARGE((AQ4,BT4,CW4),1),0)</f>
        <v>52.8</v>
      </c>
      <c r="K4" s="8" t="str">
        <f t="shared" ref="K4:K18" si="5">IF(J4=0,"",IF(J4=CW4,$CA$1,IF(J4=BT4,$AX$1,IF(J4=AQ4,$U$1,""))))</f>
        <v>2023 Nationals</v>
      </c>
      <c r="L4" s="8">
        <f>IF(COUNT(AQ4,BT4,CW4)&gt;1,LARGE((AQ4,BT4,CW4),2),0)</f>
        <v>51.599999999999994</v>
      </c>
      <c r="M4" s="8" t="str">
        <f t="shared" ref="M4:M18" si="6">IF(L4=0,"",IF(L4=CW4,$CA$1,IF(L4=BT4,$AX$1,IF(L4=AQ4,$U$1,""))))</f>
        <v>2023 Domestic 3rd Trial</v>
      </c>
      <c r="N4" s="8">
        <f>IF(COUNT(AR4,BU4,CX4)&gt;0,LARGE((AR4,BU4,CX4),1),0)</f>
        <v>25.8</v>
      </c>
      <c r="O4" s="8" t="str">
        <f t="shared" ref="O4:O18" si="7">IF(N4=0,"",IF(N4=CX4,$CA$1,IF(N4=BU4,$AX$1,IF(N4=AR4,$U$1,""))))</f>
        <v>2023 Nationals</v>
      </c>
      <c r="P4" s="8">
        <f t="shared" ref="P4:P18" si="8">IF(MAX(AV4,BY4,DB4)&gt;0,MAX(AV4,BY4,DB4),0)</f>
        <v>53.1</v>
      </c>
      <c r="Q4" s="8" t="str">
        <f t="shared" ref="Q4:Q18" si="9">IF(P4=0,"",IF(P4=DB4,$CA$1,IF(P4=BY4,$AX$1,IF(P4=AV4,$U$1,""))))</f>
        <v>2023 Elite Canada</v>
      </c>
      <c r="R4" s="8" t="str">
        <f t="shared" ref="R4:R18" si="10">IF(MAX(DD4:DF4)&gt;0,MAX(DD4:DF4),"")</f>
        <v/>
      </c>
      <c r="S4" s="11" t="str">
        <f t="shared" ref="S4:S18" si="11">IF(R4="","",IF(R4=DD4,"("&amp;DD$2&amp;")",IF(R4=DE4,"("&amp;DE$2&amp;")",IF(R4=DF4,"("&amp;DF$2&amp;")"))))</f>
        <v/>
      </c>
      <c r="T4" s="8" t="str">
        <f t="shared" ref="T4:T18" si="12">IF(R4="","",IF(R4=DD4,IF(R4+IF(L4="",0,L4)=PX4,$PC$1,IF(R4+IF(L4="",0,L4)=OV4,$OA$1,IF(R4+IF(L4="",0,L4)=NT4,$MY$1,IF(R4+IF(L4="",0,L4)=MR4,$LW$1,IF(R4+IF(L4="",0,L4)=LP4,$KU$1,IF(R4+IF(L4="",0,L4)=KN4,$JS$1,IF(R4+IF(L4="",0,L4)=JL4,$IQ$1,IF(R4+IF(L4="",0,L4)=IJ4,$HO$1,IF(R4+IF(L4="",0,L4)=HH4,$GM$1,IF(R4+IF(L4="",0,L4)=GF4,$FK$1,IF(R4+IF(L4="",0,L4)=FD4,$EI$1,IF(R4+IF(L4="",0,L4)=EB4,$DG$1)))))))))))),IF(R4=DE4,IF(R4+IF(N4="",0,N4)=PY4,$PC$1,IF(R4+IF(N4="",0,N4)=OW4,$OA$1,IF(R4+IF(N4="",0,N4)=NU4,$MY$1,IF(R4+IF(N4="",0,N4)=MS4,$LW$1,IF(R4+IF(N4="",0,N4)=LQ4,$KU$1,IF(R4+IF(N4="",0,N4)=KO4,$JS$1,IF(R4+IF(N4="",0,N4)=JM4,$IQ$1,IF(R4+IF(N4="",0,N4)=IK4,$HO$1,IF(R4+IF(N4="",0,N4)=HI4,$GM$1,IF(R4+IF(N4="",0,N4)=GG4,$FK$1,IF(R4+IF(N4="",0,N4)=FE4,$EI$1,IF(R4+IF(N4="",0,N4)=EC4,$DG$1)))))))))))),IF(R4=DF4,IF(R4+IF(P4="",0,P4)=QC4,$PC$1,IF(R4+IF(P4="",0,P4)=PA4,$OA$1,IF(R4+IF(P4="",0,P4)=NY4,$MY$1,IF(R4+IF(P4="",0,P4)=MW4,$LW$1,IF(R4+IF(P4="",0,P4)=LU4,$KU$1,IF(R4+IF(P4="",0,P4)=KS4,$JS$1,IF(R4+IF(P4="",0,P4)=JQ4,$IQ$1,IF(R4+IF(P4="",0,P4)=IO4,$HO$1,IF(R4+IF(P4="",0,P4)=HM4,$GM$1,IF(R4+IF(P4="",0,P4)=GK4,$FK$1,IF(R4+IF(P4="",0,P4)=FI4,$EI$1,IF(R4+IF(P4="",0,P4)=EG4,$DG$1))))))))))))))))</f>
        <v/>
      </c>
      <c r="U4" s="19">
        <v>18.600000000000001</v>
      </c>
      <c r="V4" s="19">
        <v>6.8</v>
      </c>
      <c r="W4" s="19">
        <v>0.2</v>
      </c>
      <c r="X4" s="19">
        <v>0.3</v>
      </c>
      <c r="Y4" s="19">
        <v>18.899999999999999</v>
      </c>
      <c r="Z4" s="19">
        <v>6.4</v>
      </c>
      <c r="AA4" s="19">
        <v>0</v>
      </c>
      <c r="AB4" s="19">
        <v>0</v>
      </c>
      <c r="AC4" s="19">
        <v>18.600000000000001</v>
      </c>
      <c r="AD4" s="19">
        <v>6</v>
      </c>
      <c r="AE4" s="19">
        <v>0</v>
      </c>
      <c r="AF4" s="19">
        <v>0.3</v>
      </c>
      <c r="AG4" s="19">
        <v>19</v>
      </c>
      <c r="AH4" s="19">
        <v>7.6</v>
      </c>
      <c r="AI4" s="19">
        <v>0</v>
      </c>
      <c r="AJ4" s="19">
        <v>0.3</v>
      </c>
      <c r="AK4" s="19">
        <v>18.600000000000001</v>
      </c>
      <c r="AL4" s="19">
        <v>7.6</v>
      </c>
      <c r="AM4" s="19">
        <v>0.6</v>
      </c>
      <c r="AN4" s="19">
        <v>0.6</v>
      </c>
      <c r="AO4" s="28"/>
      <c r="AP4" s="41">
        <f t="shared" ref="AP4:AP18" si="13">IF(SUM(V4,Z4)&gt;0,SUM(V4,Z4),"")</f>
        <v>13.2</v>
      </c>
      <c r="AQ4" s="41">
        <f t="shared" ref="AQ4:AQ18" si="14">IF(SUM(U4:V4,X4:Z4,AB4)-W4-AA4&gt;0,SUM(U4:V4,X4:Z4,AB4)-W4-AA4,"")</f>
        <v>50.8</v>
      </c>
      <c r="AR4" s="41">
        <f t="shared" ref="AR4:AR18" si="15">IF(SUM(AC4:AD4,AF4)-AE4&gt;0,SUM(AC4:AD4,AF4)-AE4,"")</f>
        <v>24.900000000000002</v>
      </c>
      <c r="AS4" s="41">
        <f t="shared" ref="AS4:AS18" si="16">IF(SUM(V4,Z4,AD4)&gt;0,SUM(V4,Z4,AD4),"")</f>
        <v>19.2</v>
      </c>
      <c r="AT4" s="41">
        <f t="shared" ref="AT4:AT18" si="17">IF(SUM(AQ4,AR4)&gt;0,SUM(AQ4,AR4),"")</f>
        <v>75.7</v>
      </c>
      <c r="AU4" s="41">
        <f t="shared" ref="AU4:AU18" si="18">IF(SUM(AH4,AL4)&gt;0,SUM(AH4,AL4),"")</f>
        <v>15.2</v>
      </c>
      <c r="AV4" s="41">
        <f t="shared" ref="AV4:AV18" si="19">IF(SUM(AG4:AH4,AJ4:AL4,AN4)-SUM(AI4,AM4)&gt;0,SUM(AG4:AH4,AJ4:AL4,AN4)-SUM(AI4,AM4),"")</f>
        <v>53.1</v>
      </c>
      <c r="AW4" s="41">
        <f t="shared" ref="AW4:AW18" si="20">IF(SUM(AQ4,AR4,AV4)&gt;0,SUM(AQ4,AR4,AV4),"")</f>
        <v>128.80000000000001</v>
      </c>
      <c r="AX4" s="18">
        <v>18.8</v>
      </c>
      <c r="AY4" s="18">
        <v>7.2</v>
      </c>
      <c r="AZ4" s="18">
        <v>0</v>
      </c>
      <c r="BA4" s="18">
        <v>0.3</v>
      </c>
      <c r="BB4" s="18">
        <v>18.8</v>
      </c>
      <c r="BC4" s="18">
        <v>7.6</v>
      </c>
      <c r="BD4" s="18">
        <v>0.2</v>
      </c>
      <c r="BE4" s="18">
        <v>0.3</v>
      </c>
      <c r="BF4" s="18">
        <v>18.399999999999999</v>
      </c>
      <c r="BG4" s="18">
        <v>6.8</v>
      </c>
      <c r="BH4" s="18">
        <v>0</v>
      </c>
      <c r="BI4" s="18">
        <v>0.6</v>
      </c>
      <c r="BJ4" s="18">
        <v>18.5</v>
      </c>
      <c r="BK4" s="18">
        <v>5.2</v>
      </c>
      <c r="BL4" s="18">
        <v>0.6</v>
      </c>
      <c r="BM4" s="18">
        <v>0.3</v>
      </c>
      <c r="BN4" s="18">
        <v>18.8</v>
      </c>
      <c r="BO4" s="18">
        <v>7.2</v>
      </c>
      <c r="BP4" s="18">
        <v>0</v>
      </c>
      <c r="BQ4" s="18">
        <v>0.3</v>
      </c>
      <c r="BR4" s="29"/>
      <c r="BS4" s="11">
        <f t="shared" ref="BS4:BS18" si="21">IF(SUM(AY4,BC4)&gt;0,SUM(AY4,BC4),"")</f>
        <v>14.8</v>
      </c>
      <c r="BT4" s="11">
        <f t="shared" ref="BT4:BT18" si="22">IF(SUM(AX4:AY4,BA4:BC4,BE4)-AZ4-BD4&gt;0,SUM(AX4:AY4,BA4:BC4,BE4)-AZ4-BD4,"")</f>
        <v>52.8</v>
      </c>
      <c r="BU4" s="11">
        <f t="shared" ref="BU4:BU18" si="23">IF(SUM(BF4:BG4,BI4)-BH4&gt;0,SUM(BF4:BG4,BI4)-BH4,"")</f>
        <v>25.8</v>
      </c>
      <c r="BV4" s="11">
        <f t="shared" ref="BV4:BV18" si="24">IF(SUM(AY4,BC4,BG4)&gt;0,SUM(AY4,BC4,BG4),"")</f>
        <v>21.6</v>
      </c>
      <c r="BW4" s="11">
        <f t="shared" ref="BW4:BW18" si="25">IF(SUM(BT4,BU4)&gt;0,SUM(BT4,BU4),"")</f>
        <v>78.599999999999994</v>
      </c>
      <c r="BX4" s="11">
        <f t="shared" ref="BX4:BX18" si="26">IF(SUM(BK4,BO4)&gt;0,SUM(BK4,BO4),"")</f>
        <v>12.4</v>
      </c>
      <c r="BY4" s="11">
        <f t="shared" ref="BY4:BY18" si="27">IF(SUM(BJ4:BK4,BM4:BO4,BQ4)-SUM(BL4,BP4)&gt;0,SUM(BJ4:BK4,BM4:BO4,BQ4)-SUM(BL4,BP4),"")</f>
        <v>49.699999999999996</v>
      </c>
      <c r="BZ4" s="11">
        <f t="shared" ref="BZ4:BZ18" si="28">IF(SUM(BT4,BU4,BY4)&gt;0,SUM(BT4,BU4,BY4),"")</f>
        <v>128.29999999999998</v>
      </c>
      <c r="CA4" s="19">
        <v>19</v>
      </c>
      <c r="CB4" s="19">
        <v>6.8</v>
      </c>
      <c r="CC4" s="19">
        <v>0</v>
      </c>
      <c r="CD4" s="19">
        <v>0.3</v>
      </c>
      <c r="CE4" s="19">
        <v>18.600000000000001</v>
      </c>
      <c r="CF4" s="19">
        <v>6.8</v>
      </c>
      <c r="CG4" s="19">
        <v>0.2</v>
      </c>
      <c r="CH4" s="19">
        <v>0.3</v>
      </c>
      <c r="CI4" s="19">
        <v>18.399999999999999</v>
      </c>
      <c r="CJ4" s="19">
        <v>4.8</v>
      </c>
      <c r="CK4" s="19">
        <v>0.8</v>
      </c>
      <c r="CL4" s="19">
        <v>0</v>
      </c>
      <c r="CM4" s="19">
        <v>19.2</v>
      </c>
      <c r="CN4" s="19">
        <v>6.8</v>
      </c>
      <c r="CO4" s="19">
        <v>0</v>
      </c>
      <c r="CP4" s="19">
        <v>0.3</v>
      </c>
      <c r="CQ4" s="19">
        <v>18.600000000000001</v>
      </c>
      <c r="CR4" s="19">
        <v>6.8</v>
      </c>
      <c r="CS4" s="19">
        <v>0</v>
      </c>
      <c r="CT4" s="19">
        <v>0.3</v>
      </c>
      <c r="CU4" s="28"/>
      <c r="CV4" s="41">
        <f t="shared" ref="CV4:CV18" si="29">IF(SUM(CB4,CF4)&gt;0,SUM(CB4,CF4),"")</f>
        <v>13.6</v>
      </c>
      <c r="CW4" s="41">
        <f t="shared" ref="CW4:CW18" si="30">IF(SUM(CA4:CB4,CD4:CF4,CH4)-CC4-CG4&gt;0,SUM(CA4:CB4,CD4:CF4,CH4)-CC4-CG4,"")</f>
        <v>51.599999999999994</v>
      </c>
      <c r="CX4" s="41">
        <f t="shared" ref="CX4:CX18" si="31">IF(SUM(CI4:CJ4,CL4)-CK4&gt;0,SUM(CI4:CJ4,CL4)-CK4,"")</f>
        <v>22.4</v>
      </c>
      <c r="CY4" s="41">
        <f t="shared" ref="CY4:CY18" si="32">IF(SUM(CB4,CF4,CJ4)&gt;0,SUM(CB4,CF4,CJ4),"")</f>
        <v>18.399999999999999</v>
      </c>
      <c r="CZ4" s="41">
        <f t="shared" ref="CZ4:CZ18" si="33">IF(SUM(CW4,CX4)&gt;0,SUM(CW4,CX4),"")</f>
        <v>74</v>
      </c>
      <c r="DA4" s="41">
        <f t="shared" ref="DA4:DA18" si="34">IF(SUM(CN4,CR4)&gt;0,SUM(CN4,CR4),"")</f>
        <v>13.6</v>
      </c>
      <c r="DB4" s="41">
        <f t="shared" ref="DB4:DB18" si="35">IF(SUM(CM4:CN4,CP4:CR4,CT4)-SUM(CO4,CS4)&gt;0,SUM(CM4:CN4,CP4:CR4,CT4)-SUM(CO4,CS4),"")</f>
        <v>52</v>
      </c>
      <c r="DC4" s="41">
        <f t="shared" ref="DC4:DC18" si="36">IF(SUM(CW4,CX4,DB4)&gt;0,SUM(CW4,CX4,DB4),"")</f>
        <v>126</v>
      </c>
      <c r="DD4" s="52" t="str">
        <f t="shared" ref="DD4:DD18" si="37">IF(MAX(EB4,FD4,GF4,HH4,IJ4,JL4,KN4,LP4,MR4,NT4,OV4,PX4)-IF(L4="",0,L4)&gt;0.001,MAX(EB4,FD4,GF4,HH4,IJ4,JL4,KN4,LP4,MR4,NT4,OV4,PX4)-IF(L4="",0,L4),"")</f>
        <v/>
      </c>
      <c r="DE4" s="52" t="str">
        <f t="shared" ref="DE4:DE18" si="38">IF(MAX(EC4,FE4,GG4,HI4,IK4,JM4,KO4,LQ4,MS4,NU4,OW4,PY4)-IF(N4="",0,N4)&gt;0.001,MAX(EC4,FE4,GG4,HI4,IK4,JM4,KO4,LQ4,MS4,NU4,OW4,PY4)-IF(N4="",0,N4),"")</f>
        <v/>
      </c>
      <c r="DF4" s="52" t="str">
        <f t="shared" ref="DF4:DF18" si="39">IF(MAX(EG4,FI4,GK4,HM4,IO4,JQ4,KS4,LU4,MW4,NY4,PA4,QC4)-IF(P4="",0,P4)&gt;0.001,MAX(EG4,FI4,GK4,HM4,IO4,JQ4,KS4,LU4,MW4,NY4,PA4,QC4)-IF(P4="",0,P4),"")</f>
        <v/>
      </c>
      <c r="DG4" s="17"/>
      <c r="DH4" s="17"/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41" t="str">
        <f t="shared" ref="EA4:EA18" si="40">IF(SUM(DH4,DL4)&gt;0,SUM(DH4,DL4),"")</f>
        <v/>
      </c>
      <c r="EB4" s="41" t="str">
        <f t="shared" ref="EB4:EB18" si="41">IF(SUM(DG4:DH4,DJ4:DL4,DN4)-DI4-DM4&gt;0,SUM(DG4:DH4,DJ4:DL4,DN4)-DI4-DM4,"")</f>
        <v/>
      </c>
      <c r="EC4" s="41" t="str">
        <f t="shared" ref="EC4:EC18" si="42">IF(SUM(DO4:DP4,DR4)-DQ4&gt;0,SUM(DO4:DP4,DR4)-DQ4,"")</f>
        <v/>
      </c>
      <c r="ED4" s="41" t="str">
        <f t="shared" ref="ED4:ED18" si="43">IF(SUM(DH4,DL4,DP4)&gt;0,SUM(DH4,DL4,DP4),"")</f>
        <v/>
      </c>
      <c r="EE4" s="41" t="str">
        <f t="shared" ref="EE4:EE18" si="44">IF(SUM(EB4,EC4)&gt;0,SUM(EB4,EC4),"")</f>
        <v/>
      </c>
      <c r="EF4" s="41" t="str">
        <f t="shared" ref="EF4:EF18" si="45">IF(SUM(DT4,DX4)&gt;0,SUM(DT4,DX4),"")</f>
        <v/>
      </c>
      <c r="EG4" s="41" t="str">
        <f t="shared" ref="EG4:EG18" si="46">IF(SUM(DS4:DT4,DV4:DX4,DZ4)-SUM(DU4,DY4)&gt;0,SUM(DS4:DT4,DV4:DX4,DZ4)-SUM(DU4,DY4),"")</f>
        <v/>
      </c>
      <c r="EH4" s="41" t="str">
        <f t="shared" ref="EH4:EH18" si="47">IF(SUM(EB4,EC4,EG4)&gt;0,SUM(EB4,EC4,EG4),"")</f>
        <v/>
      </c>
      <c r="EI4" s="18"/>
      <c r="EJ4" s="18"/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1" t="str">
        <f t="shared" ref="FC4:FC18" si="48">IF(SUM(EJ4,EN4)&gt;0,SUM(EJ4,EN4),"")</f>
        <v/>
      </c>
      <c r="FD4" s="11" t="str">
        <f t="shared" ref="FD4:FD18" si="49">IF(SUM(EI4:EJ4,EL4:EN4,EP4)-EK4-EO4&gt;0,SUM(EI4:EJ4,EL4:EN4,EP4)-EK4-EO4,"")</f>
        <v/>
      </c>
      <c r="FE4" s="11" t="str">
        <f t="shared" ref="FE4:FE18" si="50">IF(SUM(EQ4:ER4,ET4)-ES4&gt;0,SUM(EQ4:ER4,ET4)-ES4,"")</f>
        <v/>
      </c>
      <c r="FF4" s="11" t="str">
        <f t="shared" ref="FF4:FF18" si="51">IF(SUM(EJ4,EN4,ER4)&gt;0,SUM(EJ4,EN4,ER4),"")</f>
        <v/>
      </c>
      <c r="FG4" s="11" t="str">
        <f t="shared" ref="FG4:FG18" si="52">IF(SUM(FD4,FE4)&gt;0,SUM(FD4,FE4),"")</f>
        <v/>
      </c>
      <c r="FH4" s="11" t="str">
        <f t="shared" ref="FH4:FH18" si="53">IF(SUM(EV4,EZ4)&gt;0,SUM(EV4,EZ4),"")</f>
        <v/>
      </c>
      <c r="FI4" s="11" t="str">
        <f t="shared" ref="FI4:FI18" si="54">IF(SUM(EU4:EV4,EX4:EZ4,FB4)-SUM(EW4,FA4)&gt;0,SUM(EU4:EV4,EX4:EZ4,FB4)-SUM(EW4,FA4),"")</f>
        <v/>
      </c>
      <c r="FJ4" s="11" t="str">
        <f t="shared" ref="FJ4:FJ18" si="55">IF(SUM(FD4,FE4,FI4)&gt;0,SUM(FD4,FE4,FI4),"")</f>
        <v/>
      </c>
      <c r="FK4" s="17">
        <v>18.600000000000001</v>
      </c>
      <c r="FL4" s="17">
        <v>7.2</v>
      </c>
      <c r="FM4" s="17">
        <v>0</v>
      </c>
      <c r="FN4" s="17">
        <v>0</v>
      </c>
      <c r="FO4" s="17">
        <v>18.2</v>
      </c>
      <c r="FP4" s="17">
        <v>6.8</v>
      </c>
      <c r="FQ4" s="17">
        <v>0.8</v>
      </c>
      <c r="FR4" s="17">
        <v>0</v>
      </c>
      <c r="FS4" s="17"/>
      <c r="FT4" s="17"/>
      <c r="FU4" s="17"/>
      <c r="FV4" s="17"/>
      <c r="FW4" s="17">
        <v>18.7</v>
      </c>
      <c r="FX4" s="17">
        <v>6.8</v>
      </c>
      <c r="FY4" s="17">
        <v>0.6</v>
      </c>
      <c r="FZ4" s="17">
        <v>0</v>
      </c>
      <c r="GA4" s="17">
        <v>18.5</v>
      </c>
      <c r="GB4" s="17">
        <v>8.4</v>
      </c>
      <c r="GC4" s="17">
        <v>0.6</v>
      </c>
      <c r="GD4" s="17">
        <v>0</v>
      </c>
      <c r="GE4" s="41">
        <f t="shared" ref="GE4:GE18" si="56">IF(SUM(FL4,FP4)&gt;0,SUM(FL4,FP4),"")</f>
        <v>14</v>
      </c>
      <c r="GF4" s="41">
        <f t="shared" ref="GF4:GF18" si="57">IF(SUM(FK4:FL4,FN4:FP4,FR4)-FM4-FQ4&gt;0,SUM(FK4:FL4,FN4:FP4,FR4)-FM4-FQ4,"")</f>
        <v>50</v>
      </c>
      <c r="GG4" s="41" t="str">
        <f t="shared" ref="GG4:GG18" si="58">IF(SUM(FS4:FT4,FV4)-FU4&gt;0,SUM(FS4:FT4,FV4)-FU4,"")</f>
        <v/>
      </c>
      <c r="GH4" s="41">
        <f t="shared" ref="GH4:GH18" si="59">IF(SUM(FL4,FP4,FT4)&gt;0,SUM(FL4,FP4,FT4),"")</f>
        <v>14</v>
      </c>
      <c r="GI4" s="41">
        <f t="shared" ref="GI4:GI18" si="60">IF(SUM(GF4,GG4)&gt;0,SUM(GF4,GG4),"")</f>
        <v>50</v>
      </c>
      <c r="GJ4" s="41">
        <f t="shared" ref="GJ4:GJ18" si="61">IF(SUM(FX4,GB4)&gt;0,SUM(FX4,GB4),"")</f>
        <v>15.2</v>
      </c>
      <c r="GK4" s="41">
        <f t="shared" ref="GK4:GK18" si="62">IF(SUM(FW4:FX4,FZ4:GB4,GD4)-SUM(FY4,GC4)&gt;0,SUM(FW4:FX4,FZ4:GB4,GD4)-SUM(FY4,GC4),"")</f>
        <v>51.199999999999996</v>
      </c>
      <c r="GL4" s="41">
        <f t="shared" ref="GL4:GL18" si="63">IF(SUM(GF4,GG4,GK4)&gt;0,SUM(GF4,GG4,GK4),"")</f>
        <v>101.19999999999999</v>
      </c>
      <c r="GM4" s="18"/>
      <c r="GN4" s="18"/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1" t="str">
        <f t="shared" ref="HG4:HG18" si="64">IF(SUM(GN4,GR4)&gt;0,SUM(GN4,GR4),"")</f>
        <v/>
      </c>
      <c r="HH4" s="11" t="str">
        <f t="shared" ref="HH4:HH18" si="65">IF(SUM(GM4:GN4,GP4:GR4,GT4)-GO4-GS4&gt;0,SUM(GM4:GN4,GP4:GR4,GT4)-GO4-GS4,"")</f>
        <v/>
      </c>
      <c r="HI4" s="11" t="str">
        <f t="shared" ref="HI4:HI18" si="66">IF(SUM(GU4:GV4,GX4)-GW4&gt;0,SUM(GU4:GV4,GX4)-GW4,"")</f>
        <v/>
      </c>
      <c r="HJ4" s="11" t="str">
        <f t="shared" ref="HJ4:HJ18" si="67">IF(SUM(GN4,GR4,GV4)&gt;0,SUM(GN4,GR4,GV4),"")</f>
        <v/>
      </c>
      <c r="HK4" s="11" t="str">
        <f t="shared" ref="HK4:HK18" si="68">IF(SUM(HH4,HI4)&gt;0,SUM(HH4,HI4),"")</f>
        <v/>
      </c>
      <c r="HL4" s="11" t="str">
        <f t="shared" ref="HL4:HL18" si="69">IF(SUM(GZ4,HD4)&gt;0,SUM(GZ4,HD4),"")</f>
        <v/>
      </c>
      <c r="HM4" s="11" t="str">
        <f t="shared" ref="HM4:HM18" si="70">IF(SUM(GY4:GZ4,HB4:HD4,HF4)-SUM(HA4,HE4)&gt;0,SUM(GY4:GZ4,HB4:HD4,HF4)-SUM(HA4,HE4),"")</f>
        <v/>
      </c>
      <c r="HN4" s="11" t="str">
        <f t="shared" ref="HN4:HN18" si="71">IF(SUM(HH4,HI4,HM4)&gt;0,SUM(HH4,HI4,HM4),"")</f>
        <v/>
      </c>
      <c r="HO4" s="17"/>
      <c r="HP4" s="17"/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41" t="str">
        <f t="shared" ref="II4:II18" si="72">IF(SUM(HP4,HT4)&gt;0,SUM(HP4,HT4),"")</f>
        <v/>
      </c>
      <c r="IJ4" s="41" t="str">
        <f t="shared" ref="IJ4:IJ18" si="73">IF(SUM(HO4:HP4,HR4:HT4,HV4)-HQ4-HU4&gt;0,SUM(HO4:HP4,HR4:HT4,HV4)-HQ4-HU4,"")</f>
        <v/>
      </c>
      <c r="IK4" s="41" t="str">
        <f t="shared" ref="IK4:IK18" si="74">IF(SUM(HW4:HX4,HZ4)-HY4&gt;0,SUM(HW4:HX4,HZ4)-HY4,"")</f>
        <v/>
      </c>
      <c r="IL4" s="41" t="str">
        <f t="shared" ref="IL4:IL18" si="75">IF(SUM(HP4,HT4,HX4)&gt;0,SUM(HP4,HT4,HX4),"")</f>
        <v/>
      </c>
      <c r="IM4" s="41" t="str">
        <f t="shared" ref="IM4:IM18" si="76">IF(SUM(IJ4,IK4)&gt;0,SUM(IJ4,IK4),"")</f>
        <v/>
      </c>
      <c r="IN4" s="41" t="str">
        <f t="shared" ref="IN4:IN18" si="77">IF(SUM(IB4,IF4)&gt;0,SUM(IB4,IF4),"")</f>
        <v/>
      </c>
      <c r="IO4" s="41" t="str">
        <f t="shared" ref="IO4:IO18" si="78">IF(SUM(IA4:IB4,ID4:IF4,IH4)-SUM(IC4,IG4)&gt;0,SUM(IA4:IB4,ID4:IF4,IH4)-SUM(IC4,IG4),"")</f>
        <v/>
      </c>
      <c r="IP4" s="41" t="str">
        <f t="shared" ref="IP4:IP18" si="79">IF(SUM(IJ4,IK4,IO4)&gt;0,SUM(IJ4,IK4,IO4),"")</f>
        <v/>
      </c>
      <c r="IQ4" s="18"/>
      <c r="IR4" s="18"/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1" t="str">
        <f t="shared" ref="JK4:JK18" si="80">IF(SUM(IR4,IV4)&gt;0,SUM(IR4,IV4),"")</f>
        <v/>
      </c>
      <c r="JL4" s="11" t="str">
        <f t="shared" ref="JL4:JL18" si="81">IF(SUM(IQ4:IR4,IT4:IV4,IX4)-IS4-IW4&gt;0,SUM(IQ4:IR4,IT4:IV4,IX4)-IS4-IW4,"")</f>
        <v/>
      </c>
      <c r="JM4" s="11" t="str">
        <f t="shared" ref="JM4:JM18" si="82">IF(SUM(IY4:IZ4,JB4)-JA4&gt;0,SUM(IY4:IZ4,JB4)-JA4,"")</f>
        <v/>
      </c>
      <c r="JN4" s="11" t="str">
        <f t="shared" ref="JN4:JN18" si="83">IF(SUM(IR4,IV4,IZ4)&gt;0,SUM(IR4,IV4,IZ4),"")</f>
        <v/>
      </c>
      <c r="JO4" s="11" t="str">
        <f t="shared" ref="JO4:JO18" si="84">IF(SUM(JL4,JM4)&gt;0,SUM(JL4,JM4),"")</f>
        <v/>
      </c>
      <c r="JP4" s="11" t="str">
        <f t="shared" ref="JP4:JP18" si="85">IF(SUM(JD4,JH4)&gt;0,SUM(JD4,JH4),"")</f>
        <v/>
      </c>
      <c r="JQ4" s="11" t="str">
        <f t="shared" ref="JQ4:JQ18" si="86">IF(SUM(JC4:JD4,JF4:JH4,JJ4)-SUM(JE4,JI4)&gt;0,SUM(JC4:JD4,JF4:JH4,JJ4)-SUM(JE4,JI4),"")</f>
        <v/>
      </c>
      <c r="JR4" s="11" t="str">
        <f t="shared" ref="JR4:JR18" si="87">IF(SUM(JL4,JM4,JQ4)&gt;0,SUM(JL4,JM4,JQ4),"")</f>
        <v/>
      </c>
      <c r="JS4" s="17"/>
      <c r="JT4" s="17"/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41" t="str">
        <f t="shared" ref="KM4:KM18" si="88">IF(SUM(JT4,JX4)&gt;0,SUM(JT4,JX4),"")</f>
        <v/>
      </c>
      <c r="KN4" s="41" t="str">
        <f t="shared" ref="KN4:KN18" si="89">IF(SUM(JS4:JT4,JV4:JX4,JZ4)-JU4-JY4&gt;0,SUM(JS4:JT4,JV4:JX4,JZ4)-JU4-JY4,"")</f>
        <v/>
      </c>
      <c r="KO4" s="41" t="str">
        <f t="shared" ref="KO4:KO18" si="90">IF(SUM(KA4:KB4,KD4)-KC4&gt;0,SUM(KA4:KB4,KD4)-KC4,"")</f>
        <v/>
      </c>
      <c r="KP4" s="41" t="str">
        <f t="shared" ref="KP4:KP18" si="91">IF(SUM(JT4,JX4,KB4)&gt;0,SUM(JT4,JX4,KB4),"")</f>
        <v/>
      </c>
      <c r="KQ4" s="41" t="str">
        <f t="shared" ref="KQ4:KQ18" si="92">IF(SUM(KN4,KO4)&gt;0,SUM(KN4,KO4),"")</f>
        <v/>
      </c>
      <c r="KR4" s="41" t="str">
        <f t="shared" ref="KR4:KR18" si="93">IF(SUM(KF4,KJ4)&gt;0,SUM(KF4,KJ4),"")</f>
        <v/>
      </c>
      <c r="KS4" s="41" t="str">
        <f t="shared" ref="KS4:KS18" si="94">IF(SUM(KE4:KF4,KH4:KJ4,KL4)-SUM(KG4,KK4)&gt;0,SUM(KE4:KF4,KH4:KJ4,KL4)-SUM(KG4,KK4),"")</f>
        <v/>
      </c>
      <c r="KT4" s="41" t="str">
        <f t="shared" ref="KT4:KT18" si="95">IF(SUM(KN4,KO4,KS4)&gt;0,SUM(KN4,KO4,KS4),"")</f>
        <v/>
      </c>
      <c r="KU4" s="18"/>
      <c r="KV4" s="18"/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1" t="str">
        <f t="shared" ref="LO4:LO18" si="96">IF(SUM(KV4,KZ4)&gt;0,SUM(KV4,KZ4),"")</f>
        <v/>
      </c>
      <c r="LP4" s="11" t="str">
        <f t="shared" ref="LP4:LP18" si="97">IF(SUM(KU4:KV4,KX4:KZ4,LB4)-KW4-LA4&gt;0,SUM(KU4:KV4,KX4:KZ4,LB4)-KW4-LA4,"")</f>
        <v/>
      </c>
      <c r="LQ4" s="11" t="str">
        <f t="shared" ref="LQ4:LQ18" si="98">IF(SUM(LC4:LD4,LF4)-LE4&gt;0,SUM(LC4:LD4,LF4)-LE4,"")</f>
        <v/>
      </c>
      <c r="LR4" s="11" t="str">
        <f t="shared" ref="LR4:LR18" si="99">IF(SUM(KV4,KZ4,LD4)&gt;0,SUM(KV4,KZ4,LD4),"")</f>
        <v/>
      </c>
      <c r="LS4" s="11" t="str">
        <f t="shared" ref="LS4:LS18" si="100">IF(SUM(LP4,LQ4)&gt;0,SUM(LP4,LQ4),"")</f>
        <v/>
      </c>
      <c r="LT4" s="11" t="str">
        <f t="shared" ref="LT4:LT18" si="101">IF(SUM(LH4,LL4)&gt;0,SUM(LH4,LL4),"")</f>
        <v/>
      </c>
      <c r="LU4" s="11" t="str">
        <f t="shared" ref="LU4:LU18" si="102">IF(SUM(LG4:LH4,LJ4:LL4,LN4)-SUM(LI4,LM4)&gt;0,SUM(LG4:LH4,LJ4:LL4,LN4)-SUM(LI4,LM4),"")</f>
        <v/>
      </c>
      <c r="LV4" s="11" t="str">
        <f t="shared" ref="LV4:LV18" si="103">IF(SUM(LP4,LQ4,LU4)&gt;0,SUM(LP4,LQ4,LU4),"")</f>
        <v/>
      </c>
      <c r="LW4" s="17"/>
      <c r="LX4" s="17"/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41" t="str">
        <f t="shared" ref="MQ4:MQ18" si="104">IF(SUM(LX4,MB4)&gt;0,SUM(LX4,MB4),"")</f>
        <v/>
      </c>
      <c r="MR4" s="41" t="str">
        <f t="shared" ref="MR4:MR18" si="105">IF(SUM(LW4:LX4,LZ4:MB4,MD4)-LY4-MC4&gt;0,SUM(LW4:LX4,LZ4:MB4,MD4)-LY4-MC4,"")</f>
        <v/>
      </c>
      <c r="MS4" s="41" t="str">
        <f t="shared" ref="MS4:MS18" si="106">IF(SUM(ME4:MF4,MH4)-MG4&gt;0,SUM(ME4:MF4,MH4)-MG4,"")</f>
        <v/>
      </c>
      <c r="MT4" s="41" t="str">
        <f t="shared" ref="MT4:MT18" si="107">IF(SUM(LX4,MB4,MF4)&gt;0,SUM(LX4,MB4,MF4),"")</f>
        <v/>
      </c>
      <c r="MU4" s="41" t="str">
        <f t="shared" ref="MU4:MU18" si="108">IF(SUM(MR4,MS4)&gt;0,SUM(MR4,MS4),"")</f>
        <v/>
      </c>
      <c r="MV4" s="41" t="str">
        <f t="shared" ref="MV4:MV18" si="109">IF(SUM(MJ4,MN4)&gt;0,SUM(MJ4,MN4),"")</f>
        <v/>
      </c>
      <c r="MW4" s="41" t="str">
        <f t="shared" ref="MW4:MW18" si="110">IF(SUM(MI4:MJ4,ML4:MN4,MP4)-SUM(MK4,MO4)&gt;0,SUM(MI4:MJ4,ML4:MN4,MP4)-SUM(MK4,MO4),"")</f>
        <v/>
      </c>
      <c r="MX4" s="41" t="str">
        <f t="shared" ref="MX4:MX18" si="111">IF(SUM(MR4,MS4,MW4)&gt;0,SUM(MR4,MS4,MW4),"")</f>
        <v/>
      </c>
      <c r="MY4" s="18"/>
      <c r="MZ4" s="18"/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1" t="str">
        <f t="shared" ref="NS4:NS18" si="112">IF(SUM(MZ4,ND4)&gt;0,SUM(MZ4,ND4),"")</f>
        <v/>
      </c>
      <c r="NT4" s="11" t="str">
        <f t="shared" ref="NT4:NT18" si="113">IF(SUM(MY4:MZ4,NB4:ND4,NF4)-NA4-NE4&gt;0,SUM(MY4:MZ4,NB4:ND4,NF4)-NA4-NE4,"")</f>
        <v/>
      </c>
      <c r="NU4" s="11" t="str">
        <f t="shared" ref="NU4:NU18" si="114">IF(SUM(NG4:NH4,NJ4)-NI4&gt;0,SUM(NG4:NH4,NJ4)-NI4,"")</f>
        <v/>
      </c>
      <c r="NV4" s="11" t="str">
        <f t="shared" ref="NV4:NV18" si="115">IF(SUM(MZ4,ND4,NH4)&gt;0,SUM(MZ4,ND4,NH4),"")</f>
        <v/>
      </c>
      <c r="NW4" s="11" t="str">
        <f t="shared" ref="NW4:NW18" si="116">IF(SUM(NT4,NU4)&gt;0,SUM(NT4,NU4),"")</f>
        <v/>
      </c>
      <c r="NX4" s="11" t="str">
        <f t="shared" ref="NX4:NX18" si="117">IF(SUM(NL4,NP4)&gt;0,SUM(NL4,NP4),"")</f>
        <v/>
      </c>
      <c r="NY4" s="11" t="str">
        <f t="shared" ref="NY4:NY18" si="118">IF(SUM(NK4:NL4,NN4:NP4,NR4)-SUM(NM4,NQ4)&gt;0,SUM(NK4:NL4,NN4:NP4,NR4)-SUM(NM4,NQ4),"")</f>
        <v/>
      </c>
      <c r="NZ4" s="11" t="str">
        <f t="shared" ref="NZ4:NZ18" si="119">IF(SUM(NT4,NU4,NY4)&gt;0,SUM(NT4,NU4,NY4),"")</f>
        <v/>
      </c>
      <c r="OA4" s="17"/>
      <c r="OB4" s="17"/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41" t="str">
        <f t="shared" ref="OU4:OU18" si="120">IF(SUM(OB4,OF4)&gt;0,SUM(OB4,OF4),"")</f>
        <v/>
      </c>
      <c r="OV4" s="41" t="str">
        <f t="shared" ref="OV4:OV18" si="121">IF(SUM(OA4:OB4,OD4:OF4,OH4)-OC4-OG4&gt;0,SUM(OA4:OB4,OD4:OF4,OH4)-OC4-OG4,"")</f>
        <v/>
      </c>
      <c r="OW4" s="41" t="str">
        <f t="shared" ref="OW4:OW18" si="122">IF(SUM(OI4:OJ4,OL4)-OK4&gt;0,SUM(OI4:OJ4,OL4)-OK4,"")</f>
        <v/>
      </c>
      <c r="OX4" s="41" t="str">
        <f t="shared" ref="OX4:OX18" si="123">IF(SUM(OB4,OF4,OJ4)&gt;0,SUM(OB4,OF4,OJ4),"")</f>
        <v/>
      </c>
      <c r="OY4" s="41" t="str">
        <f t="shared" ref="OY4:OY18" si="124">IF(SUM(OV4,OW4)&gt;0,SUM(OV4,OW4),"")</f>
        <v/>
      </c>
      <c r="OZ4" s="41" t="str">
        <f t="shared" ref="OZ4:OZ18" si="125">IF(SUM(ON4,OR4)&gt;0,SUM(ON4,OR4),"")</f>
        <v/>
      </c>
      <c r="PA4" s="41" t="str">
        <f t="shared" ref="PA4:PA18" si="126">IF(SUM(OM4:ON4,OP4:OR4,OT4)-SUM(OO4,OS4)&gt;0,SUM(OM4:ON4,OP4:OR4,OT4)-SUM(OO4,OS4),"")</f>
        <v/>
      </c>
      <c r="PB4" s="41" t="str">
        <f t="shared" ref="PB4:PB18" si="127">IF(SUM(OV4,OW4,PA4)&gt;0,SUM(OV4,OW4,PA4),"")</f>
        <v/>
      </c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1" t="str">
        <f t="shared" ref="PW4:PW18" si="128">IF(SUM(PD4,PH4)&gt;0,SUM(PD4,PH4),"")</f>
        <v/>
      </c>
      <c r="PX4" s="11" t="str">
        <f t="shared" ref="PX4:PX18" si="129">IF(SUM(PC4:PD4,PF4:PH4,PJ4)-PE4-PI4&gt;0,SUM(PC4:PD4,PF4:PH4,PJ4)-PE4-PI4,"")</f>
        <v/>
      </c>
      <c r="PY4" s="11" t="str">
        <f t="shared" ref="PY4:PY18" si="130">IF(SUM(PK4:PL4,PN4)-PM4&gt;0,SUM(PK4:PL4,PN4)-PM4,"")</f>
        <v/>
      </c>
      <c r="PZ4" s="11" t="str">
        <f t="shared" ref="PZ4:PZ18" si="131">IF(SUM(PD4,PH4,PL4)&gt;0,SUM(PD4,PH4,PL4),"")</f>
        <v/>
      </c>
      <c r="QA4" s="11" t="str">
        <f t="shared" ref="QA4:QA18" si="132">IF(SUM(PX4,PY4)&gt;0,SUM(PX4,PY4),"")</f>
        <v/>
      </c>
      <c r="QB4" s="11" t="str">
        <f t="shared" ref="QB4:QB18" si="133">IF(SUM(PP4,PT4)&gt;0,SUM(PP4,PT4),"")</f>
        <v/>
      </c>
      <c r="QC4" s="11" t="str">
        <f t="shared" ref="QC4:QC18" si="134">IF(SUM(PO4:PP4,PR4:PT4,PV4)-SUM(PQ4,PU4)&gt;0,SUM(PO4:PP4,PR4:PT4,PV4)-SUM(PQ4,PU4),"")</f>
        <v/>
      </c>
      <c r="QD4" s="11" t="str">
        <f t="shared" ref="QD4:QD18" si="135">IF(SUM(PX4,PY4,QC4)&gt;0,SUM(PX4,PY4,QC4),"")</f>
        <v/>
      </c>
      <c r="QE4" s="23">
        <f t="shared" ref="QE4:QE18" si="136">IF($CU4="P",CA4,(CA4+AX4)/2)</f>
        <v>18.899999999999999</v>
      </c>
      <c r="QF4" s="23">
        <f t="shared" ref="QF4:QF18" si="137">IF($CU4="P",CB4,(CB4+AY4)/2)</f>
        <v>7</v>
      </c>
      <c r="QG4" s="23">
        <f t="shared" ref="QG4:QG18" si="138">IF($CU4="P",CC4,(CC4+AZ4)/2)</f>
        <v>0</v>
      </c>
      <c r="QH4" s="23">
        <f t="shared" ref="QH4:QH18" si="139">IF($CU4="P",CD4,(CD4+BA4)/2)</f>
        <v>0.3</v>
      </c>
      <c r="QI4" s="23">
        <f t="shared" ref="QI4:QI18" si="140">IF($CU4="P",CE4,(CE4+BB4)/2)</f>
        <v>18.700000000000003</v>
      </c>
      <c r="QJ4" s="23">
        <f t="shared" ref="QJ4:QJ18" si="141">IF($CU4="P",CF4,(CF4+BC4)/2)</f>
        <v>7.1999999999999993</v>
      </c>
      <c r="QK4" s="23">
        <f t="shared" ref="QK4:QK18" si="142">IF($CU4="P",CG4,(CG4+BD4)/2)</f>
        <v>0.2</v>
      </c>
      <c r="QL4" s="23">
        <f t="shared" ref="QL4:QL18" si="143">IF($CU4="P",CH4,(CH4+BE4)/2)</f>
        <v>0.3</v>
      </c>
      <c r="QM4" s="23">
        <f t="shared" ref="QM4:QM18" si="144">IF($CU4="P",CI4,(CI4+BF4)/2)</f>
        <v>18.399999999999999</v>
      </c>
      <c r="QN4" s="23">
        <f t="shared" ref="QN4:QN18" si="145">IF($CU4="P",CJ4,(CJ4+BG4)/2)</f>
        <v>5.8</v>
      </c>
      <c r="QO4" s="23">
        <f t="shared" ref="QO4:QO18" si="146">IF($CU4="P",CK4,(CK4+BH4)/2)</f>
        <v>0.4</v>
      </c>
      <c r="QP4" s="23">
        <f t="shared" ref="QP4:QP18" si="147">IF($CU4="P",CL4,(CL4+BI4)/2)</f>
        <v>0.3</v>
      </c>
      <c r="QQ4" s="23">
        <f t="shared" ref="QQ4:QQ18" si="148">IF($CU4="P",CM4,(CM4+BJ4)/2)</f>
        <v>18.850000000000001</v>
      </c>
      <c r="QR4" s="23">
        <f t="shared" ref="QR4:QR18" si="149">IF($CU4="P",CN4,(CN4+BK4)/2)</f>
        <v>6</v>
      </c>
      <c r="QS4" s="23">
        <f t="shared" ref="QS4:QS18" si="150">IF($CU4="P",CO4,(CO4+BL4)/2)</f>
        <v>0.3</v>
      </c>
      <c r="QT4" s="23">
        <f t="shared" ref="QT4:QT18" si="151">IF($CU4="P",CP4,(CP4+BM4)/2)</f>
        <v>0.3</v>
      </c>
      <c r="QU4" s="23">
        <f t="shared" ref="QU4:QU18" si="152">IF($CU4="P",CQ4,(CQ4+BN4)/2)</f>
        <v>18.700000000000003</v>
      </c>
      <c r="QV4" s="23">
        <f t="shared" ref="QV4:QV18" si="153">IF($CU4="P",CR4,(CR4+BO4)/2)</f>
        <v>7</v>
      </c>
      <c r="QW4" s="23">
        <f t="shared" ref="QW4:QW18" si="154">IF($CU4="P",CS4,(CS4+BP4)/2)</f>
        <v>0</v>
      </c>
      <c r="QX4" s="23">
        <f t="shared" ref="QX4:QX18" si="155">IF($CU4="P",CT4,(CT4+BQ4)/2)</f>
        <v>0.3</v>
      </c>
      <c r="QY4" s="28" t="s">
        <v>57</v>
      </c>
      <c r="QZ4" s="41">
        <f t="shared" ref="QZ4:QZ18" si="156">IF(SUM(QF4,QJ4)&gt;0,SUM(QF4,QJ4),"")</f>
        <v>14.2</v>
      </c>
      <c r="RA4" s="41">
        <f t="shared" ref="RA4:RA18" si="157">IF(SUM(QE4:QF4,QH4:QJ4,QL4)-QG4-QK4&gt;0,SUM(QE4:QF4,QH4:QJ4,QL4)-QG4-QK4,"")</f>
        <v>52.2</v>
      </c>
      <c r="RB4" s="41">
        <f t="shared" ref="RB4:RB18" si="158">IF(SUM(QM4:QN4,QP4)-QO4&gt;0,SUM(QM4:QN4,QP4)-QO4,"")</f>
        <v>24.1</v>
      </c>
      <c r="RC4" s="41">
        <f t="shared" ref="RC4:RC18" si="159">IF(SUM(QF4,QJ4,QN4)&gt;0,SUM(QF4,QJ4,QN4),"")</f>
        <v>20</v>
      </c>
      <c r="RD4" s="41">
        <f t="shared" ref="RD4:RD18" si="160">IF(SUM(RA4,RB4)&gt;0,SUM(RA4,RB4),"")</f>
        <v>76.300000000000011</v>
      </c>
      <c r="RE4" s="41">
        <f t="shared" ref="RE4:RE18" si="161">IF(SUM(QR4,QV4)&gt;0,SUM(QR4,QV4),"")</f>
        <v>13</v>
      </c>
      <c r="RF4" s="41">
        <f t="shared" ref="RF4:RF18" si="162">IF(SUM(QQ4:QR4,QT4:QV4,QX4)-SUM(QS4,QW4)&gt;0,SUM(QQ4:QR4,QT4:QV4,QX4)-SUM(QS4,QW4),"")</f>
        <v>50.850000000000009</v>
      </c>
      <c r="RG4" s="41">
        <f t="shared" ref="RG4:RG18" si="163">IF(SUM(RA4,RB4,RF4)&gt;0,SUM(RA4,RB4,RF4),"")</f>
        <v>127.15000000000002</v>
      </c>
    </row>
    <row r="5" spans="1:475" x14ac:dyDescent="0.2">
      <c r="A5" s="4" cm="1">
        <f t="array" ref="A5">IF(AND(H5&lt;&gt;"",H5&lt;&gt;"No DD"),SUMPRODUCT((H$4:H$19&lt;&gt;"")*(H$4:H$19&lt;&gt;"No DD")*(E$4:E$19&gt;E5))+1,IF(H5="No DD",SUMPRODUCT((H$4:H$19="No DD")*(E$4:E$19&gt;E5))+1+SUMPRODUCT((H$4:H$19&lt;&gt;"")*(H$4:H$19&lt;&gt;"No DD")),""))</f>
        <v>2</v>
      </c>
      <c r="B5" s="5" t="s">
        <v>98</v>
      </c>
      <c r="C5" s="4" t="s">
        <v>5</v>
      </c>
      <c r="D5" s="4">
        <v>1999</v>
      </c>
      <c r="E5" s="9">
        <f t="shared" si="0"/>
        <v>174.20001236000496</v>
      </c>
      <c r="F5" s="3" t="str">
        <f t="shared" si="1"/>
        <v>P</v>
      </c>
      <c r="G5" s="3" t="str">
        <f t="shared" si="2"/>
        <v>P</v>
      </c>
      <c r="H5" s="37" t="str">
        <f t="shared" si="3"/>
        <v>Merit</v>
      </c>
      <c r="I5" s="3" t="str">
        <f t="shared" si="4"/>
        <v>P</v>
      </c>
      <c r="J5" s="8">
        <f>IF(COUNT(AQ5,BT5,CW5)&gt;0,LARGE((AQ5,BT5,CW5),1),0)</f>
        <v>49.8</v>
      </c>
      <c r="K5" s="8" t="str">
        <f t="shared" si="5"/>
        <v>2023 Domestic 3rd Trial</v>
      </c>
      <c r="L5" s="8">
        <f>IF(COUNT(AQ5,BT5,CW5)&gt;1,LARGE((AQ5,BT5,CW5),2),0)</f>
        <v>48.4</v>
      </c>
      <c r="M5" s="8" t="str">
        <f t="shared" si="6"/>
        <v>2023 Nationals</v>
      </c>
      <c r="N5" s="8">
        <f>IF(COUNT(AR5,BU5,CX5)&gt;0,LARGE((AR5,BU5,CX5),1),0)</f>
        <v>25.4</v>
      </c>
      <c r="O5" s="8" t="str">
        <f t="shared" si="7"/>
        <v>2023 Domestic 3rd Trial</v>
      </c>
      <c r="P5" s="8">
        <f t="shared" si="8"/>
        <v>50.599999999999994</v>
      </c>
      <c r="Q5" s="8" t="str">
        <f t="shared" si="9"/>
        <v>2023 Domestic 3rd Trial</v>
      </c>
      <c r="R5" s="8" t="str">
        <f t="shared" si="10"/>
        <v/>
      </c>
      <c r="S5" s="11" t="str">
        <f t="shared" si="11"/>
        <v/>
      </c>
      <c r="T5" s="8" t="str">
        <f t="shared" si="12"/>
        <v/>
      </c>
      <c r="U5" s="19">
        <v>16.8</v>
      </c>
      <c r="V5" s="19">
        <v>5.6</v>
      </c>
      <c r="W5" s="19">
        <v>0.8</v>
      </c>
      <c r="X5" s="19">
        <v>0</v>
      </c>
      <c r="Y5" s="19">
        <v>17.399999999999999</v>
      </c>
      <c r="Z5" s="19">
        <v>2.8</v>
      </c>
      <c r="AA5" s="19">
        <v>0</v>
      </c>
      <c r="AB5" s="19">
        <v>0</v>
      </c>
      <c r="AC5" s="19">
        <v>18.3</v>
      </c>
      <c r="AD5" s="19">
        <v>4.8</v>
      </c>
      <c r="AE5" s="19">
        <v>0</v>
      </c>
      <c r="AF5" s="19">
        <v>0</v>
      </c>
      <c r="AG5" s="19"/>
      <c r="AH5" s="19"/>
      <c r="AI5" s="19"/>
      <c r="AJ5" s="19"/>
      <c r="AK5" s="19"/>
      <c r="AL5" s="19"/>
      <c r="AM5" s="19"/>
      <c r="AN5" s="19"/>
      <c r="AO5" s="28"/>
      <c r="AP5" s="41">
        <f t="shared" si="13"/>
        <v>8.3999999999999986</v>
      </c>
      <c r="AQ5" s="41">
        <f t="shared" si="14"/>
        <v>41.8</v>
      </c>
      <c r="AR5" s="41">
        <f t="shared" si="15"/>
        <v>23.1</v>
      </c>
      <c r="AS5" s="41">
        <f t="shared" si="16"/>
        <v>13.2</v>
      </c>
      <c r="AT5" s="41">
        <f t="shared" si="17"/>
        <v>64.900000000000006</v>
      </c>
      <c r="AU5" s="41" t="str">
        <f t="shared" si="18"/>
        <v/>
      </c>
      <c r="AV5" s="41" t="str">
        <f t="shared" si="19"/>
        <v/>
      </c>
      <c r="AW5" s="41">
        <f t="shared" si="20"/>
        <v>64.900000000000006</v>
      </c>
      <c r="AX5" s="18">
        <v>18.8</v>
      </c>
      <c r="AY5" s="18">
        <v>5.6</v>
      </c>
      <c r="AZ5" s="18">
        <v>0.6</v>
      </c>
      <c r="BA5" s="18">
        <v>0</v>
      </c>
      <c r="BB5" s="18">
        <v>19</v>
      </c>
      <c r="BC5" s="18">
        <v>5.6</v>
      </c>
      <c r="BD5" s="18">
        <v>0</v>
      </c>
      <c r="BE5" s="18">
        <v>0</v>
      </c>
      <c r="BF5" s="18">
        <v>18.600000000000001</v>
      </c>
      <c r="BG5" s="18">
        <v>6</v>
      </c>
      <c r="BH5" s="18">
        <v>0.8</v>
      </c>
      <c r="BI5" s="18">
        <v>0.3</v>
      </c>
      <c r="BJ5" s="18">
        <v>18.600000000000001</v>
      </c>
      <c r="BK5" s="18">
        <v>6</v>
      </c>
      <c r="BL5" s="18">
        <v>0.6</v>
      </c>
      <c r="BM5" s="18">
        <v>0.3</v>
      </c>
      <c r="BN5" s="18">
        <v>18.8</v>
      </c>
      <c r="BO5" s="18">
        <v>6</v>
      </c>
      <c r="BP5" s="18">
        <v>0.8</v>
      </c>
      <c r="BQ5" s="18">
        <v>0</v>
      </c>
      <c r="BR5" s="29"/>
      <c r="BS5" s="11">
        <f t="shared" si="21"/>
        <v>11.2</v>
      </c>
      <c r="BT5" s="11">
        <f t="shared" si="22"/>
        <v>48.4</v>
      </c>
      <c r="BU5" s="11">
        <f t="shared" si="23"/>
        <v>24.1</v>
      </c>
      <c r="BV5" s="11">
        <f t="shared" si="24"/>
        <v>17.2</v>
      </c>
      <c r="BW5" s="11">
        <f t="shared" si="25"/>
        <v>72.5</v>
      </c>
      <c r="BX5" s="11">
        <f t="shared" si="26"/>
        <v>12</v>
      </c>
      <c r="BY5" s="11">
        <f t="shared" si="27"/>
        <v>48.300000000000004</v>
      </c>
      <c r="BZ5" s="11">
        <f t="shared" si="28"/>
        <v>120.80000000000001</v>
      </c>
      <c r="CA5" s="19">
        <v>18.8</v>
      </c>
      <c r="CB5" s="19">
        <v>6.8</v>
      </c>
      <c r="CC5" s="19">
        <v>0</v>
      </c>
      <c r="CD5" s="19">
        <v>0.3</v>
      </c>
      <c r="CE5" s="19">
        <v>17</v>
      </c>
      <c r="CF5" s="19">
        <v>6.8</v>
      </c>
      <c r="CG5" s="19">
        <v>0.2</v>
      </c>
      <c r="CH5" s="19">
        <v>0.3</v>
      </c>
      <c r="CI5" s="19">
        <v>19</v>
      </c>
      <c r="CJ5" s="19">
        <v>6.4</v>
      </c>
      <c r="CK5" s="19">
        <v>0</v>
      </c>
      <c r="CL5" s="19">
        <v>0</v>
      </c>
      <c r="CM5" s="19">
        <v>18.600000000000001</v>
      </c>
      <c r="CN5" s="19">
        <v>6</v>
      </c>
      <c r="CO5" s="19">
        <v>0</v>
      </c>
      <c r="CP5" s="19">
        <v>0.3</v>
      </c>
      <c r="CQ5" s="19">
        <v>18.8</v>
      </c>
      <c r="CR5" s="19">
        <v>6.8</v>
      </c>
      <c r="CS5" s="19">
        <v>0.2</v>
      </c>
      <c r="CT5" s="19">
        <v>0.3</v>
      </c>
      <c r="CU5" s="28"/>
      <c r="CV5" s="41">
        <f t="shared" si="29"/>
        <v>13.6</v>
      </c>
      <c r="CW5" s="41">
        <f t="shared" si="30"/>
        <v>49.8</v>
      </c>
      <c r="CX5" s="41">
        <f t="shared" si="31"/>
        <v>25.4</v>
      </c>
      <c r="CY5" s="41">
        <f t="shared" si="32"/>
        <v>20</v>
      </c>
      <c r="CZ5" s="41">
        <f t="shared" si="33"/>
        <v>75.199999999999989</v>
      </c>
      <c r="DA5" s="41">
        <f t="shared" si="34"/>
        <v>12.8</v>
      </c>
      <c r="DB5" s="41">
        <f t="shared" si="35"/>
        <v>50.599999999999994</v>
      </c>
      <c r="DC5" s="41">
        <f t="shared" si="36"/>
        <v>125.79999999999998</v>
      </c>
      <c r="DD5" s="52" t="str">
        <f t="shared" si="37"/>
        <v/>
      </c>
      <c r="DE5" s="52" t="str">
        <f t="shared" si="38"/>
        <v/>
      </c>
      <c r="DF5" s="52" t="str">
        <f t="shared" si="39"/>
        <v/>
      </c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41" t="str">
        <f t="shared" si="40"/>
        <v/>
      </c>
      <c r="EB5" s="41" t="str">
        <f t="shared" si="41"/>
        <v/>
      </c>
      <c r="EC5" s="41" t="str">
        <f t="shared" si="42"/>
        <v/>
      </c>
      <c r="ED5" s="41" t="str">
        <f t="shared" si="43"/>
        <v/>
      </c>
      <c r="EE5" s="41" t="str">
        <f t="shared" si="44"/>
        <v/>
      </c>
      <c r="EF5" s="41" t="str">
        <f t="shared" si="45"/>
        <v/>
      </c>
      <c r="EG5" s="41" t="str">
        <f t="shared" si="46"/>
        <v/>
      </c>
      <c r="EH5" s="41" t="str">
        <f t="shared" si="47"/>
        <v/>
      </c>
      <c r="EI5" s="18"/>
      <c r="EJ5" s="18"/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1" t="str">
        <f t="shared" si="48"/>
        <v/>
      </c>
      <c r="FD5" s="11" t="str">
        <f t="shared" si="49"/>
        <v/>
      </c>
      <c r="FE5" s="11" t="str">
        <f t="shared" si="50"/>
        <v/>
      </c>
      <c r="FF5" s="11" t="str">
        <f t="shared" si="51"/>
        <v/>
      </c>
      <c r="FG5" s="11" t="str">
        <f t="shared" si="52"/>
        <v/>
      </c>
      <c r="FH5" s="11" t="str">
        <f t="shared" si="53"/>
        <v/>
      </c>
      <c r="FI5" s="11" t="str">
        <f t="shared" si="54"/>
        <v/>
      </c>
      <c r="FJ5" s="11" t="str">
        <f t="shared" si="55"/>
        <v/>
      </c>
      <c r="FK5" s="17"/>
      <c r="FL5" s="17"/>
      <c r="FM5" s="17"/>
      <c r="FN5" s="17"/>
      <c r="FO5" s="17"/>
      <c r="FP5" s="17"/>
      <c r="FQ5" s="17"/>
      <c r="FR5" s="17"/>
      <c r="FS5" s="17"/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41" t="str">
        <f t="shared" si="56"/>
        <v/>
      </c>
      <c r="GF5" s="41" t="str">
        <f t="shared" si="57"/>
        <v/>
      </c>
      <c r="GG5" s="41" t="str">
        <f t="shared" si="58"/>
        <v/>
      </c>
      <c r="GH5" s="41" t="str">
        <f t="shared" si="59"/>
        <v/>
      </c>
      <c r="GI5" s="41" t="str">
        <f t="shared" si="60"/>
        <v/>
      </c>
      <c r="GJ5" s="41" t="str">
        <f t="shared" si="61"/>
        <v/>
      </c>
      <c r="GK5" s="41" t="str">
        <f t="shared" si="62"/>
        <v/>
      </c>
      <c r="GL5" s="41" t="str">
        <f t="shared" si="63"/>
        <v/>
      </c>
      <c r="GM5" s="18">
        <v>18.5</v>
      </c>
      <c r="GN5" s="18">
        <v>5.6</v>
      </c>
      <c r="GO5" s="18">
        <v>0.6</v>
      </c>
      <c r="GP5" s="18">
        <v>0</v>
      </c>
      <c r="GQ5" s="18">
        <v>18.7</v>
      </c>
      <c r="GR5" s="18">
        <v>5.6</v>
      </c>
      <c r="GS5" s="18">
        <v>0</v>
      </c>
      <c r="GT5" s="18">
        <v>0</v>
      </c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1">
        <f t="shared" si="64"/>
        <v>11.2</v>
      </c>
      <c r="HH5" s="11">
        <f t="shared" si="65"/>
        <v>47.8</v>
      </c>
      <c r="HI5" s="11" t="str">
        <f t="shared" si="66"/>
        <v/>
      </c>
      <c r="HJ5" s="11">
        <f t="shared" si="67"/>
        <v>11.2</v>
      </c>
      <c r="HK5" s="11">
        <f t="shared" si="68"/>
        <v>47.8</v>
      </c>
      <c r="HL5" s="11" t="str">
        <f t="shared" si="69"/>
        <v/>
      </c>
      <c r="HM5" s="11" t="str">
        <f t="shared" si="70"/>
        <v/>
      </c>
      <c r="HN5" s="11">
        <f t="shared" si="71"/>
        <v>47.8</v>
      </c>
      <c r="HO5" s="17"/>
      <c r="HP5" s="17"/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41" t="str">
        <f t="shared" si="72"/>
        <v/>
      </c>
      <c r="IJ5" s="41" t="str">
        <f t="shared" si="73"/>
        <v/>
      </c>
      <c r="IK5" s="41" t="str">
        <f t="shared" si="74"/>
        <v/>
      </c>
      <c r="IL5" s="41" t="str">
        <f t="shared" si="75"/>
        <v/>
      </c>
      <c r="IM5" s="41" t="str">
        <f t="shared" si="76"/>
        <v/>
      </c>
      <c r="IN5" s="41" t="str">
        <f t="shared" si="77"/>
        <v/>
      </c>
      <c r="IO5" s="41" t="str">
        <f t="shared" si="78"/>
        <v/>
      </c>
      <c r="IP5" s="41" t="str">
        <f t="shared" si="79"/>
        <v/>
      </c>
      <c r="IQ5" s="18">
        <v>17.2</v>
      </c>
      <c r="IR5" s="18">
        <v>4</v>
      </c>
      <c r="IS5" s="18">
        <v>0</v>
      </c>
      <c r="IT5" s="18">
        <v>0</v>
      </c>
      <c r="IU5" s="18">
        <v>17.3</v>
      </c>
      <c r="IV5" s="18">
        <v>2.8</v>
      </c>
      <c r="IW5" s="18">
        <v>0</v>
      </c>
      <c r="IX5" s="18">
        <v>0</v>
      </c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1">
        <f t="shared" si="80"/>
        <v>6.8</v>
      </c>
      <c r="JL5" s="11">
        <f t="shared" si="81"/>
        <v>41.3</v>
      </c>
      <c r="JM5" s="11" t="str">
        <f t="shared" si="82"/>
        <v/>
      </c>
      <c r="JN5" s="11">
        <f t="shared" si="83"/>
        <v>6.8</v>
      </c>
      <c r="JO5" s="11">
        <f t="shared" si="84"/>
        <v>41.3</v>
      </c>
      <c r="JP5" s="11" t="str">
        <f t="shared" si="85"/>
        <v/>
      </c>
      <c r="JQ5" s="11" t="str">
        <f t="shared" si="86"/>
        <v/>
      </c>
      <c r="JR5" s="11">
        <f t="shared" si="87"/>
        <v>41.3</v>
      </c>
      <c r="JS5" s="17"/>
      <c r="JT5" s="17"/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41" t="str">
        <f t="shared" si="88"/>
        <v/>
      </c>
      <c r="KN5" s="41" t="str">
        <f t="shared" si="89"/>
        <v/>
      </c>
      <c r="KO5" s="41" t="str">
        <f t="shared" si="90"/>
        <v/>
      </c>
      <c r="KP5" s="41" t="str">
        <f t="shared" si="91"/>
        <v/>
      </c>
      <c r="KQ5" s="41" t="str">
        <f t="shared" si="92"/>
        <v/>
      </c>
      <c r="KR5" s="41" t="str">
        <f t="shared" si="93"/>
        <v/>
      </c>
      <c r="KS5" s="41" t="str">
        <f t="shared" si="94"/>
        <v/>
      </c>
      <c r="KT5" s="41" t="str">
        <f t="shared" si="95"/>
        <v/>
      </c>
      <c r="KU5" s="18"/>
      <c r="KV5" s="18"/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1" t="str">
        <f t="shared" si="96"/>
        <v/>
      </c>
      <c r="LP5" s="11" t="str">
        <f t="shared" si="97"/>
        <v/>
      </c>
      <c r="LQ5" s="11" t="str">
        <f t="shared" si="98"/>
        <v/>
      </c>
      <c r="LR5" s="11" t="str">
        <f t="shared" si="99"/>
        <v/>
      </c>
      <c r="LS5" s="11" t="str">
        <f t="shared" si="100"/>
        <v/>
      </c>
      <c r="LT5" s="11" t="str">
        <f t="shared" si="101"/>
        <v/>
      </c>
      <c r="LU5" s="11" t="str">
        <f t="shared" si="102"/>
        <v/>
      </c>
      <c r="LV5" s="11" t="str">
        <f t="shared" si="103"/>
        <v/>
      </c>
      <c r="LW5" s="17"/>
      <c r="LX5" s="17"/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41" t="str">
        <f t="shared" si="104"/>
        <v/>
      </c>
      <c r="MR5" s="41" t="str">
        <f t="shared" si="105"/>
        <v/>
      </c>
      <c r="MS5" s="41" t="str">
        <f t="shared" si="106"/>
        <v/>
      </c>
      <c r="MT5" s="41" t="str">
        <f t="shared" si="107"/>
        <v/>
      </c>
      <c r="MU5" s="41" t="str">
        <f t="shared" si="108"/>
        <v/>
      </c>
      <c r="MV5" s="41" t="str">
        <f t="shared" si="109"/>
        <v/>
      </c>
      <c r="MW5" s="41" t="str">
        <f t="shared" si="110"/>
        <v/>
      </c>
      <c r="MX5" s="41" t="str">
        <f t="shared" si="111"/>
        <v/>
      </c>
      <c r="MY5" s="18"/>
      <c r="MZ5" s="18"/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1" t="str">
        <f t="shared" si="112"/>
        <v/>
      </c>
      <c r="NT5" s="11" t="str">
        <f t="shared" si="113"/>
        <v/>
      </c>
      <c r="NU5" s="11" t="str">
        <f t="shared" si="114"/>
        <v/>
      </c>
      <c r="NV5" s="11" t="str">
        <f t="shared" si="115"/>
        <v/>
      </c>
      <c r="NW5" s="11" t="str">
        <f t="shared" si="116"/>
        <v/>
      </c>
      <c r="NX5" s="11" t="str">
        <f t="shared" si="117"/>
        <v/>
      </c>
      <c r="NY5" s="11" t="str">
        <f t="shared" si="118"/>
        <v/>
      </c>
      <c r="NZ5" s="11" t="str">
        <f t="shared" si="119"/>
        <v/>
      </c>
      <c r="OA5" s="17"/>
      <c r="OB5" s="17"/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41" t="str">
        <f t="shared" si="120"/>
        <v/>
      </c>
      <c r="OV5" s="41" t="str">
        <f t="shared" si="121"/>
        <v/>
      </c>
      <c r="OW5" s="41" t="str">
        <f t="shared" si="122"/>
        <v/>
      </c>
      <c r="OX5" s="41" t="str">
        <f t="shared" si="123"/>
        <v/>
      </c>
      <c r="OY5" s="41" t="str">
        <f t="shared" si="124"/>
        <v/>
      </c>
      <c r="OZ5" s="41" t="str">
        <f t="shared" si="125"/>
        <v/>
      </c>
      <c r="PA5" s="41" t="str">
        <f t="shared" si="126"/>
        <v/>
      </c>
      <c r="PB5" s="41" t="str">
        <f t="shared" si="127"/>
        <v/>
      </c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1" t="str">
        <f t="shared" si="128"/>
        <v/>
      </c>
      <c r="PX5" s="11" t="str">
        <f t="shared" si="129"/>
        <v/>
      </c>
      <c r="PY5" s="11" t="str">
        <f t="shared" si="130"/>
        <v/>
      </c>
      <c r="PZ5" s="11" t="str">
        <f t="shared" si="131"/>
        <v/>
      </c>
      <c r="QA5" s="11" t="str">
        <f t="shared" si="132"/>
        <v/>
      </c>
      <c r="QB5" s="11" t="str">
        <f t="shared" si="133"/>
        <v/>
      </c>
      <c r="QC5" s="11" t="str">
        <f t="shared" si="134"/>
        <v/>
      </c>
      <c r="QD5" s="11" t="str">
        <f t="shared" si="135"/>
        <v/>
      </c>
      <c r="QE5" s="23">
        <f t="shared" si="136"/>
        <v>18.8</v>
      </c>
      <c r="QF5" s="23">
        <f t="shared" si="137"/>
        <v>6.1999999999999993</v>
      </c>
      <c r="QG5" s="23">
        <f t="shared" si="138"/>
        <v>0.3</v>
      </c>
      <c r="QH5" s="23">
        <f t="shared" si="139"/>
        <v>0.15</v>
      </c>
      <c r="QI5" s="23">
        <f t="shared" si="140"/>
        <v>18</v>
      </c>
      <c r="QJ5" s="23">
        <f t="shared" si="141"/>
        <v>6.1999999999999993</v>
      </c>
      <c r="QK5" s="23">
        <f t="shared" si="142"/>
        <v>0.1</v>
      </c>
      <c r="QL5" s="23">
        <f t="shared" si="143"/>
        <v>0.15</v>
      </c>
      <c r="QM5" s="23">
        <f t="shared" si="144"/>
        <v>18.8</v>
      </c>
      <c r="QN5" s="23">
        <f t="shared" si="145"/>
        <v>6.2</v>
      </c>
      <c r="QO5" s="23">
        <f t="shared" si="146"/>
        <v>0.4</v>
      </c>
      <c r="QP5" s="23">
        <f t="shared" si="147"/>
        <v>0.15</v>
      </c>
      <c r="QQ5" s="23">
        <f t="shared" si="148"/>
        <v>18.600000000000001</v>
      </c>
      <c r="QR5" s="23">
        <f t="shared" si="149"/>
        <v>6</v>
      </c>
      <c r="QS5" s="23">
        <f t="shared" si="150"/>
        <v>0.3</v>
      </c>
      <c r="QT5" s="23">
        <f t="shared" si="151"/>
        <v>0.3</v>
      </c>
      <c r="QU5" s="23">
        <f t="shared" si="152"/>
        <v>18.8</v>
      </c>
      <c r="QV5" s="23">
        <f t="shared" si="153"/>
        <v>6.4</v>
      </c>
      <c r="QW5" s="23">
        <f t="shared" si="154"/>
        <v>0.5</v>
      </c>
      <c r="QX5" s="23">
        <f t="shared" si="155"/>
        <v>0.15</v>
      </c>
      <c r="QY5" s="28" t="s">
        <v>57</v>
      </c>
      <c r="QZ5" s="41">
        <f t="shared" si="156"/>
        <v>12.399999999999999</v>
      </c>
      <c r="RA5" s="41">
        <f t="shared" si="157"/>
        <v>49.099999999999994</v>
      </c>
      <c r="RB5" s="41">
        <f t="shared" si="158"/>
        <v>24.75</v>
      </c>
      <c r="RC5" s="41">
        <f t="shared" si="159"/>
        <v>18.599999999999998</v>
      </c>
      <c r="RD5" s="41">
        <f t="shared" si="160"/>
        <v>73.849999999999994</v>
      </c>
      <c r="RE5" s="41">
        <f t="shared" si="161"/>
        <v>12.4</v>
      </c>
      <c r="RF5" s="41">
        <f t="shared" si="162"/>
        <v>49.45</v>
      </c>
      <c r="RG5" s="41">
        <f t="shared" si="163"/>
        <v>123.3</v>
      </c>
    </row>
    <row r="6" spans="1:475" x14ac:dyDescent="0.2">
      <c r="A6" s="4" cm="1">
        <f t="array" ref="A6">IF(AND(H6&lt;&gt;"",H6&lt;&gt;"No DD"),SUMPRODUCT((H$4:H$19&lt;&gt;"")*(H$4:H$19&lt;&gt;"No DD")*(E$4:E$19&gt;E6))+1,IF(H6="No DD",SUMPRODUCT((H$4:H$19="No DD")*(E$4:E$19&gt;E6))+1+SUMPRODUCT((H$4:H$19&lt;&gt;"")*(H$4:H$19&lt;&gt;"No DD")),""))</f>
        <v>3</v>
      </c>
      <c r="B6" s="5" t="s">
        <v>96</v>
      </c>
      <c r="C6" s="4" t="s">
        <v>39</v>
      </c>
      <c r="D6" s="4">
        <v>2002</v>
      </c>
      <c r="E6" s="9">
        <f t="shared" si="0"/>
        <v>173.80001237000505</v>
      </c>
      <c r="F6" s="3" t="str">
        <f t="shared" si="1"/>
        <v>P</v>
      </c>
      <c r="G6" s="3" t="str">
        <f t="shared" si="2"/>
        <v>P</v>
      </c>
      <c r="H6" s="37" t="str">
        <f t="shared" si="3"/>
        <v>Worlds Team</v>
      </c>
      <c r="I6" s="3" t="str">
        <f t="shared" si="4"/>
        <v>P</v>
      </c>
      <c r="J6" s="8">
        <f>IF(COUNT(AQ6,BT6,CW6)&gt;0,LARGE((AQ6,BT6,CW6),1),0)</f>
        <v>50.499999999999993</v>
      </c>
      <c r="K6" s="8" t="str">
        <f t="shared" si="5"/>
        <v>2023 Elite Canada</v>
      </c>
      <c r="L6" s="8">
        <f>IF(COUNT(AQ6,BT6,CW6)&gt;1,LARGE((AQ6,BT6,CW6),2),0)</f>
        <v>48.2</v>
      </c>
      <c r="M6" s="8" t="str">
        <f t="shared" si="6"/>
        <v>2023 Nationals</v>
      </c>
      <c r="N6" s="8">
        <f>IF(COUNT(AR6,BU6,CX6)&gt;0,LARGE((AR6,BU6,CX6),1),0)</f>
        <v>25</v>
      </c>
      <c r="O6" s="8" t="str">
        <f t="shared" si="7"/>
        <v>2023 Domestic 3rd Trial</v>
      </c>
      <c r="P6" s="8">
        <f t="shared" si="8"/>
        <v>49.999999999999993</v>
      </c>
      <c r="Q6" s="8" t="str">
        <f t="shared" si="9"/>
        <v>2023 Elite Canada</v>
      </c>
      <c r="R6" s="8">
        <f t="shared" si="10"/>
        <v>9.9999999999994316E-2</v>
      </c>
      <c r="S6" s="11" t="str">
        <f t="shared" si="11"/>
        <v>(Q1)</v>
      </c>
      <c r="T6" s="8" t="str">
        <f t="shared" si="12"/>
        <v>2023 World Championships (Nov 11)</v>
      </c>
      <c r="U6" s="19">
        <v>18.600000000000001</v>
      </c>
      <c r="V6" s="19">
        <v>6.4</v>
      </c>
      <c r="W6" s="19">
        <v>0</v>
      </c>
      <c r="X6" s="19">
        <v>0</v>
      </c>
      <c r="Y6" s="19">
        <v>18.399999999999999</v>
      </c>
      <c r="Z6" s="19">
        <v>6.8</v>
      </c>
      <c r="AA6" s="19">
        <v>0</v>
      </c>
      <c r="AB6" s="19">
        <v>0.3</v>
      </c>
      <c r="AC6" s="19">
        <v>16.2</v>
      </c>
      <c r="AD6" s="19">
        <v>5.2</v>
      </c>
      <c r="AE6" s="19">
        <v>0.2</v>
      </c>
      <c r="AF6" s="19">
        <v>0.3</v>
      </c>
      <c r="AG6" s="19">
        <v>18.399999999999999</v>
      </c>
      <c r="AH6" s="19">
        <v>6.4</v>
      </c>
      <c r="AI6" s="19">
        <v>0.2</v>
      </c>
      <c r="AJ6" s="19">
        <v>0</v>
      </c>
      <c r="AK6" s="19">
        <v>18.5</v>
      </c>
      <c r="AL6" s="19">
        <v>6.8</v>
      </c>
      <c r="AM6" s="19">
        <v>0.2</v>
      </c>
      <c r="AN6" s="19">
        <v>0.3</v>
      </c>
      <c r="AO6" s="28"/>
      <c r="AP6" s="41">
        <f t="shared" si="13"/>
        <v>13.2</v>
      </c>
      <c r="AQ6" s="41">
        <f t="shared" si="14"/>
        <v>50.499999999999993</v>
      </c>
      <c r="AR6" s="41">
        <f t="shared" si="15"/>
        <v>21.5</v>
      </c>
      <c r="AS6" s="41">
        <f t="shared" si="16"/>
        <v>18.399999999999999</v>
      </c>
      <c r="AT6" s="41">
        <f t="shared" si="17"/>
        <v>72</v>
      </c>
      <c r="AU6" s="41">
        <f t="shared" si="18"/>
        <v>13.2</v>
      </c>
      <c r="AV6" s="41">
        <f t="shared" si="19"/>
        <v>49.999999999999993</v>
      </c>
      <c r="AW6" s="41">
        <f t="shared" si="20"/>
        <v>122</v>
      </c>
      <c r="AX6" s="18">
        <v>17.899999999999999</v>
      </c>
      <c r="AY6" s="18">
        <v>5.6</v>
      </c>
      <c r="AZ6" s="18">
        <v>0</v>
      </c>
      <c r="BA6" s="18">
        <v>0</v>
      </c>
      <c r="BB6" s="18">
        <v>18.7</v>
      </c>
      <c r="BC6" s="18">
        <v>6</v>
      </c>
      <c r="BD6" s="18">
        <v>0</v>
      </c>
      <c r="BE6" s="18">
        <v>0</v>
      </c>
      <c r="BF6" s="18">
        <v>18</v>
      </c>
      <c r="BG6" s="18">
        <v>5.2</v>
      </c>
      <c r="BH6" s="18">
        <v>0.6</v>
      </c>
      <c r="BI6" s="18">
        <v>0.3</v>
      </c>
      <c r="BJ6" s="18">
        <v>18.600000000000001</v>
      </c>
      <c r="BK6" s="18">
        <v>6</v>
      </c>
      <c r="BL6" s="18">
        <v>0.2</v>
      </c>
      <c r="BM6" s="18">
        <v>0</v>
      </c>
      <c r="BN6" s="18">
        <v>18.600000000000001</v>
      </c>
      <c r="BO6" s="18">
        <v>5.6</v>
      </c>
      <c r="BP6" s="18">
        <v>0</v>
      </c>
      <c r="BQ6" s="18">
        <v>0</v>
      </c>
      <c r="BR6" s="29"/>
      <c r="BS6" s="11">
        <f t="shared" si="21"/>
        <v>11.6</v>
      </c>
      <c r="BT6" s="11">
        <f t="shared" si="22"/>
        <v>48.2</v>
      </c>
      <c r="BU6" s="11">
        <f t="shared" si="23"/>
        <v>22.9</v>
      </c>
      <c r="BV6" s="11">
        <f t="shared" si="24"/>
        <v>16.8</v>
      </c>
      <c r="BW6" s="11">
        <f t="shared" si="25"/>
        <v>71.099999999999994</v>
      </c>
      <c r="BX6" s="11">
        <f t="shared" si="26"/>
        <v>11.6</v>
      </c>
      <c r="BY6" s="11">
        <f t="shared" si="27"/>
        <v>48.6</v>
      </c>
      <c r="BZ6" s="11">
        <f t="shared" si="28"/>
        <v>119.69999999999999</v>
      </c>
      <c r="CA6" s="19">
        <v>18.2</v>
      </c>
      <c r="CB6" s="19">
        <v>6</v>
      </c>
      <c r="CC6" s="19">
        <v>0.2</v>
      </c>
      <c r="CD6" s="19">
        <v>0.3</v>
      </c>
      <c r="CE6" s="19">
        <v>17.600000000000001</v>
      </c>
      <c r="CF6" s="19">
        <v>2.4</v>
      </c>
      <c r="CG6" s="19">
        <v>0</v>
      </c>
      <c r="CH6" s="19">
        <v>0</v>
      </c>
      <c r="CI6" s="19">
        <v>18.600000000000001</v>
      </c>
      <c r="CJ6" s="19">
        <v>6.4</v>
      </c>
      <c r="CK6" s="19">
        <v>0</v>
      </c>
      <c r="CL6" s="19">
        <v>0</v>
      </c>
      <c r="CM6" s="19">
        <v>18.7</v>
      </c>
      <c r="CN6" s="19">
        <v>6.4</v>
      </c>
      <c r="CO6" s="19">
        <v>0</v>
      </c>
      <c r="CP6" s="19">
        <v>0</v>
      </c>
      <c r="CQ6" s="19">
        <v>18.2</v>
      </c>
      <c r="CR6" s="19">
        <v>6.8</v>
      </c>
      <c r="CS6" s="19">
        <v>0.6</v>
      </c>
      <c r="CT6" s="19">
        <v>0.3</v>
      </c>
      <c r="CU6" s="28"/>
      <c r="CV6" s="41">
        <f t="shared" si="29"/>
        <v>8.4</v>
      </c>
      <c r="CW6" s="41">
        <f t="shared" si="30"/>
        <v>44.3</v>
      </c>
      <c r="CX6" s="41">
        <f t="shared" si="31"/>
        <v>25</v>
      </c>
      <c r="CY6" s="41">
        <f t="shared" si="32"/>
        <v>14.8</v>
      </c>
      <c r="CZ6" s="41">
        <f t="shared" si="33"/>
        <v>69.3</v>
      </c>
      <c r="DA6" s="41">
        <f t="shared" si="34"/>
        <v>13.2</v>
      </c>
      <c r="DB6" s="41">
        <f t="shared" si="35"/>
        <v>49.79999999999999</v>
      </c>
      <c r="DC6" s="41">
        <f t="shared" si="36"/>
        <v>119.1</v>
      </c>
      <c r="DD6" s="52">
        <f t="shared" si="37"/>
        <v>9.9999999999994316E-2</v>
      </c>
      <c r="DE6" s="52" t="str">
        <f t="shared" si="38"/>
        <v/>
      </c>
      <c r="DF6" s="52" t="str">
        <f t="shared" si="39"/>
        <v/>
      </c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41" t="str">
        <f t="shared" si="40"/>
        <v/>
      </c>
      <c r="EB6" s="41" t="str">
        <f t="shared" si="41"/>
        <v/>
      </c>
      <c r="EC6" s="41" t="str">
        <f t="shared" si="42"/>
        <v/>
      </c>
      <c r="ED6" s="41" t="str">
        <f t="shared" si="43"/>
        <v/>
      </c>
      <c r="EE6" s="41" t="str">
        <f t="shared" si="44"/>
        <v/>
      </c>
      <c r="EF6" s="41" t="str">
        <f t="shared" si="45"/>
        <v/>
      </c>
      <c r="EG6" s="41" t="str">
        <f t="shared" si="46"/>
        <v/>
      </c>
      <c r="EH6" s="41" t="str">
        <f t="shared" si="47"/>
        <v/>
      </c>
      <c r="EI6" s="18"/>
      <c r="EJ6" s="18"/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>
        <v>16.600000000000001</v>
      </c>
      <c r="EV6" s="18">
        <v>6</v>
      </c>
      <c r="EW6" s="18">
        <v>0.8</v>
      </c>
      <c r="EX6" s="18">
        <v>0</v>
      </c>
      <c r="EY6" s="18">
        <v>18.600000000000001</v>
      </c>
      <c r="EZ6" s="18">
        <v>6.4</v>
      </c>
      <c r="FA6" s="18">
        <v>0.2</v>
      </c>
      <c r="FB6" s="18">
        <v>0</v>
      </c>
      <c r="FC6" s="11" t="str">
        <f t="shared" si="48"/>
        <v/>
      </c>
      <c r="FD6" s="11" t="str">
        <f t="shared" si="49"/>
        <v/>
      </c>
      <c r="FE6" s="11" t="str">
        <f t="shared" si="50"/>
        <v/>
      </c>
      <c r="FF6" s="11" t="str">
        <f t="shared" si="51"/>
        <v/>
      </c>
      <c r="FG6" s="11" t="str">
        <f t="shared" si="52"/>
        <v/>
      </c>
      <c r="FH6" s="11">
        <f t="shared" si="53"/>
        <v>12.4</v>
      </c>
      <c r="FI6" s="11">
        <f t="shared" si="54"/>
        <v>46.6</v>
      </c>
      <c r="FJ6" s="11">
        <f t="shared" si="55"/>
        <v>46.6</v>
      </c>
      <c r="FK6" s="17">
        <v>18.5</v>
      </c>
      <c r="FL6" s="17">
        <v>6.4</v>
      </c>
      <c r="FM6" s="17">
        <v>0</v>
      </c>
      <c r="FN6" s="17">
        <v>0</v>
      </c>
      <c r="FO6" s="17">
        <v>17.5</v>
      </c>
      <c r="FP6" s="17">
        <v>2.4</v>
      </c>
      <c r="FQ6" s="17">
        <v>0</v>
      </c>
      <c r="FR6" s="17">
        <v>0</v>
      </c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41">
        <f t="shared" si="56"/>
        <v>8.8000000000000007</v>
      </c>
      <c r="GF6" s="41">
        <f t="shared" si="57"/>
        <v>44.8</v>
      </c>
      <c r="GG6" s="41" t="str">
        <f t="shared" si="58"/>
        <v/>
      </c>
      <c r="GH6" s="41">
        <f t="shared" si="59"/>
        <v>8.8000000000000007</v>
      </c>
      <c r="GI6" s="41">
        <f t="shared" si="60"/>
        <v>44.8</v>
      </c>
      <c r="GJ6" s="41" t="str">
        <f t="shared" si="61"/>
        <v/>
      </c>
      <c r="GK6" s="41" t="str">
        <f t="shared" si="62"/>
        <v/>
      </c>
      <c r="GL6" s="41">
        <f t="shared" si="63"/>
        <v>44.8</v>
      </c>
      <c r="GM6" s="18"/>
      <c r="GN6" s="18"/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1" t="str">
        <f t="shared" si="64"/>
        <v/>
      </c>
      <c r="HH6" s="11" t="str">
        <f t="shared" si="65"/>
        <v/>
      </c>
      <c r="HI6" s="11" t="str">
        <f t="shared" si="66"/>
        <v/>
      </c>
      <c r="HJ6" s="11" t="str">
        <f t="shared" si="67"/>
        <v/>
      </c>
      <c r="HK6" s="11" t="str">
        <f t="shared" si="68"/>
        <v/>
      </c>
      <c r="HL6" s="11" t="str">
        <f t="shared" si="69"/>
        <v/>
      </c>
      <c r="HM6" s="11" t="str">
        <f t="shared" si="70"/>
        <v/>
      </c>
      <c r="HN6" s="11" t="str">
        <f t="shared" si="71"/>
        <v/>
      </c>
      <c r="HO6" s="17">
        <v>18.399999999999999</v>
      </c>
      <c r="HP6" s="17">
        <v>6.4</v>
      </c>
      <c r="HQ6" s="17">
        <v>0</v>
      </c>
      <c r="HR6" s="17">
        <v>0</v>
      </c>
      <c r="HS6" s="17">
        <v>18.399999999999999</v>
      </c>
      <c r="HT6" s="17">
        <v>5.2</v>
      </c>
      <c r="HU6" s="17">
        <v>0.2</v>
      </c>
      <c r="HV6" s="17">
        <v>0</v>
      </c>
      <c r="HW6" s="17"/>
      <c r="HX6" s="17"/>
      <c r="HY6" s="17"/>
      <c r="HZ6" s="17"/>
      <c r="IA6" s="17">
        <v>18.600000000000001</v>
      </c>
      <c r="IB6" s="17">
        <v>6.4</v>
      </c>
      <c r="IC6" s="17">
        <v>0</v>
      </c>
      <c r="ID6" s="17">
        <v>0</v>
      </c>
      <c r="IE6" s="17">
        <v>18.600000000000001</v>
      </c>
      <c r="IF6" s="17">
        <v>5.2</v>
      </c>
      <c r="IG6" s="17">
        <v>0.6</v>
      </c>
      <c r="IH6" s="17">
        <v>0</v>
      </c>
      <c r="II6" s="41">
        <f t="shared" si="72"/>
        <v>11.600000000000001</v>
      </c>
      <c r="IJ6" s="41">
        <f t="shared" si="73"/>
        <v>48.199999999999996</v>
      </c>
      <c r="IK6" s="41" t="str">
        <f t="shared" si="74"/>
        <v/>
      </c>
      <c r="IL6" s="41">
        <f t="shared" si="75"/>
        <v>11.600000000000001</v>
      </c>
      <c r="IM6" s="41">
        <f t="shared" si="76"/>
        <v>48.199999999999996</v>
      </c>
      <c r="IN6" s="41">
        <f t="shared" si="77"/>
        <v>11.600000000000001</v>
      </c>
      <c r="IO6" s="41">
        <f t="shared" si="78"/>
        <v>48.2</v>
      </c>
      <c r="IP6" s="41">
        <f t="shared" si="79"/>
        <v>96.4</v>
      </c>
      <c r="IQ6" s="18">
        <v>17.8</v>
      </c>
      <c r="IR6" s="18">
        <v>5.6</v>
      </c>
      <c r="IS6" s="18">
        <v>0</v>
      </c>
      <c r="IT6" s="18">
        <v>0</v>
      </c>
      <c r="IU6" s="18">
        <v>18.100000000000001</v>
      </c>
      <c r="IV6" s="18">
        <v>6.8</v>
      </c>
      <c r="IW6" s="18">
        <v>0</v>
      </c>
      <c r="IX6" s="18">
        <v>0</v>
      </c>
      <c r="IY6" s="18">
        <v>18.2</v>
      </c>
      <c r="IZ6" s="18">
        <v>6.8</v>
      </c>
      <c r="JA6" s="18">
        <v>0.2</v>
      </c>
      <c r="JB6" s="18">
        <v>0</v>
      </c>
      <c r="JC6" s="18">
        <v>18.3</v>
      </c>
      <c r="JD6" s="18">
        <v>7.2</v>
      </c>
      <c r="JE6" s="18">
        <v>0.2</v>
      </c>
      <c r="JF6" s="18">
        <v>0</v>
      </c>
      <c r="JG6" s="18"/>
      <c r="JH6" s="18"/>
      <c r="JI6" s="18"/>
      <c r="JJ6" s="18"/>
      <c r="JK6" s="11">
        <f t="shared" si="80"/>
        <v>12.399999999999999</v>
      </c>
      <c r="JL6" s="11">
        <f t="shared" si="81"/>
        <v>48.3</v>
      </c>
      <c r="JM6" s="11">
        <f t="shared" si="82"/>
        <v>24.8</v>
      </c>
      <c r="JN6" s="11">
        <f t="shared" si="83"/>
        <v>19.2</v>
      </c>
      <c r="JO6" s="11">
        <f t="shared" si="84"/>
        <v>73.099999999999994</v>
      </c>
      <c r="JP6" s="11">
        <f t="shared" si="85"/>
        <v>7.2</v>
      </c>
      <c r="JQ6" s="11">
        <f t="shared" si="86"/>
        <v>25.3</v>
      </c>
      <c r="JR6" s="11">
        <f t="shared" si="87"/>
        <v>98.399999999999991</v>
      </c>
      <c r="JS6" s="17"/>
      <c r="JT6" s="17"/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41" t="str">
        <f t="shared" si="88"/>
        <v/>
      </c>
      <c r="KN6" s="41" t="str">
        <f t="shared" si="89"/>
        <v/>
      </c>
      <c r="KO6" s="41" t="str">
        <f t="shared" si="90"/>
        <v/>
      </c>
      <c r="KP6" s="41" t="str">
        <f t="shared" si="91"/>
        <v/>
      </c>
      <c r="KQ6" s="41" t="str">
        <f t="shared" si="92"/>
        <v/>
      </c>
      <c r="KR6" s="41" t="str">
        <f t="shared" si="93"/>
        <v/>
      </c>
      <c r="KS6" s="41" t="str">
        <f t="shared" si="94"/>
        <v/>
      </c>
      <c r="KT6" s="41" t="str">
        <f t="shared" si="95"/>
        <v/>
      </c>
      <c r="KU6" s="18"/>
      <c r="KV6" s="18"/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1" t="str">
        <f t="shared" si="96"/>
        <v/>
      </c>
      <c r="LP6" s="11" t="str">
        <f t="shared" si="97"/>
        <v/>
      </c>
      <c r="LQ6" s="11" t="str">
        <f t="shared" si="98"/>
        <v/>
      </c>
      <c r="LR6" s="11" t="str">
        <f t="shared" si="99"/>
        <v/>
      </c>
      <c r="LS6" s="11" t="str">
        <f t="shared" si="100"/>
        <v/>
      </c>
      <c r="LT6" s="11" t="str">
        <f t="shared" si="101"/>
        <v/>
      </c>
      <c r="LU6" s="11" t="str">
        <f t="shared" si="102"/>
        <v/>
      </c>
      <c r="LV6" s="11" t="str">
        <f t="shared" si="103"/>
        <v/>
      </c>
      <c r="LW6" s="17"/>
      <c r="LX6" s="17"/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41" t="str">
        <f t="shared" si="104"/>
        <v/>
      </c>
      <c r="MR6" s="41" t="str">
        <f t="shared" si="105"/>
        <v/>
      </c>
      <c r="MS6" s="41" t="str">
        <f t="shared" si="106"/>
        <v/>
      </c>
      <c r="MT6" s="41" t="str">
        <f t="shared" si="107"/>
        <v/>
      </c>
      <c r="MU6" s="41" t="str">
        <f t="shared" si="108"/>
        <v/>
      </c>
      <c r="MV6" s="41" t="str">
        <f t="shared" si="109"/>
        <v/>
      </c>
      <c r="MW6" s="41" t="str">
        <f t="shared" si="110"/>
        <v/>
      </c>
      <c r="MX6" s="41" t="str">
        <f t="shared" si="111"/>
        <v/>
      </c>
      <c r="MY6" s="18"/>
      <c r="MZ6" s="18"/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1" t="str">
        <f t="shared" si="112"/>
        <v/>
      </c>
      <c r="NT6" s="11" t="str">
        <f t="shared" si="113"/>
        <v/>
      </c>
      <c r="NU6" s="11" t="str">
        <f t="shared" si="114"/>
        <v/>
      </c>
      <c r="NV6" s="11" t="str">
        <f t="shared" si="115"/>
        <v/>
      </c>
      <c r="NW6" s="11" t="str">
        <f t="shared" si="116"/>
        <v/>
      </c>
      <c r="NX6" s="11" t="str">
        <f t="shared" si="117"/>
        <v/>
      </c>
      <c r="NY6" s="11" t="str">
        <f t="shared" si="118"/>
        <v/>
      </c>
      <c r="NZ6" s="11" t="str">
        <f t="shared" si="119"/>
        <v/>
      </c>
      <c r="OA6" s="17"/>
      <c r="OB6" s="17"/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41" t="str">
        <f t="shared" si="120"/>
        <v/>
      </c>
      <c r="OV6" s="41" t="str">
        <f t="shared" si="121"/>
        <v/>
      </c>
      <c r="OW6" s="41" t="str">
        <f t="shared" si="122"/>
        <v/>
      </c>
      <c r="OX6" s="41" t="str">
        <f t="shared" si="123"/>
        <v/>
      </c>
      <c r="OY6" s="41" t="str">
        <f t="shared" si="124"/>
        <v/>
      </c>
      <c r="OZ6" s="41" t="str">
        <f t="shared" si="125"/>
        <v/>
      </c>
      <c r="PA6" s="41" t="str">
        <f t="shared" si="126"/>
        <v/>
      </c>
      <c r="PB6" s="41" t="str">
        <f t="shared" si="127"/>
        <v/>
      </c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1" t="str">
        <f t="shared" si="128"/>
        <v/>
      </c>
      <c r="PX6" s="11" t="str">
        <f t="shared" si="129"/>
        <v/>
      </c>
      <c r="PY6" s="11" t="str">
        <f t="shared" si="130"/>
        <v/>
      </c>
      <c r="PZ6" s="11" t="str">
        <f t="shared" si="131"/>
        <v/>
      </c>
      <c r="QA6" s="11" t="str">
        <f t="shared" si="132"/>
        <v/>
      </c>
      <c r="QB6" s="11" t="str">
        <f t="shared" si="133"/>
        <v/>
      </c>
      <c r="QC6" s="11" t="str">
        <f t="shared" si="134"/>
        <v/>
      </c>
      <c r="QD6" s="11" t="str">
        <f t="shared" si="135"/>
        <v/>
      </c>
      <c r="QE6" s="23">
        <f t="shared" si="136"/>
        <v>18.049999999999997</v>
      </c>
      <c r="QF6" s="23">
        <f t="shared" si="137"/>
        <v>5.8</v>
      </c>
      <c r="QG6" s="23">
        <f t="shared" si="138"/>
        <v>0.1</v>
      </c>
      <c r="QH6" s="23">
        <f t="shared" si="139"/>
        <v>0.15</v>
      </c>
      <c r="QI6" s="23">
        <f t="shared" si="140"/>
        <v>18.149999999999999</v>
      </c>
      <c r="QJ6" s="23">
        <f t="shared" si="141"/>
        <v>4.2</v>
      </c>
      <c r="QK6" s="23">
        <f t="shared" si="142"/>
        <v>0</v>
      </c>
      <c r="QL6" s="23">
        <f t="shared" si="143"/>
        <v>0</v>
      </c>
      <c r="QM6" s="23">
        <f t="shared" si="144"/>
        <v>18.3</v>
      </c>
      <c r="QN6" s="23">
        <f t="shared" si="145"/>
        <v>5.8000000000000007</v>
      </c>
      <c r="QO6" s="23">
        <f t="shared" si="146"/>
        <v>0.3</v>
      </c>
      <c r="QP6" s="23">
        <f t="shared" si="147"/>
        <v>0.15</v>
      </c>
      <c r="QQ6" s="23">
        <f t="shared" si="148"/>
        <v>18.649999999999999</v>
      </c>
      <c r="QR6" s="23">
        <f t="shared" si="149"/>
        <v>6.2</v>
      </c>
      <c r="QS6" s="23">
        <f t="shared" si="150"/>
        <v>0.1</v>
      </c>
      <c r="QT6" s="23">
        <f t="shared" si="151"/>
        <v>0</v>
      </c>
      <c r="QU6" s="23">
        <f t="shared" si="152"/>
        <v>18.399999999999999</v>
      </c>
      <c r="QV6" s="23">
        <f t="shared" si="153"/>
        <v>6.1999999999999993</v>
      </c>
      <c r="QW6" s="23">
        <f t="shared" si="154"/>
        <v>0.3</v>
      </c>
      <c r="QX6" s="23">
        <f t="shared" si="155"/>
        <v>0.15</v>
      </c>
      <c r="QY6" s="28" t="s">
        <v>57</v>
      </c>
      <c r="QZ6" s="41">
        <f t="shared" si="156"/>
        <v>10</v>
      </c>
      <c r="RA6" s="41">
        <f t="shared" si="157"/>
        <v>46.249999999999993</v>
      </c>
      <c r="RB6" s="41">
        <f t="shared" si="158"/>
        <v>23.95</v>
      </c>
      <c r="RC6" s="41">
        <f t="shared" si="159"/>
        <v>15.8</v>
      </c>
      <c r="RD6" s="41">
        <f t="shared" si="160"/>
        <v>70.199999999999989</v>
      </c>
      <c r="RE6" s="41">
        <f t="shared" si="161"/>
        <v>12.399999999999999</v>
      </c>
      <c r="RF6" s="41">
        <f t="shared" si="162"/>
        <v>49.2</v>
      </c>
      <c r="RG6" s="41">
        <f t="shared" si="163"/>
        <v>119.39999999999999</v>
      </c>
    </row>
    <row r="7" spans="1:475" x14ac:dyDescent="0.2">
      <c r="A7" s="4" cm="1">
        <f t="array" ref="A7">IF(AND(H7&lt;&gt;"",H7&lt;&gt;"No DD"),SUMPRODUCT((H$4:H$19&lt;&gt;"")*(H$4:H$19&lt;&gt;"No DD")*(E$4:E$19&gt;E7))+1,IF(H7="No DD",SUMPRODUCT((H$4:H$19="No DD")*(E$4:E$19&gt;E7))+1+SUMPRODUCT((H$4:H$19&lt;&gt;"")*(H$4:H$19&lt;&gt;"No DD")),""))</f>
        <v>4</v>
      </c>
      <c r="B7" s="5" t="s">
        <v>85</v>
      </c>
      <c r="C7" s="4" t="s">
        <v>5</v>
      </c>
      <c r="D7" s="4">
        <v>2003</v>
      </c>
      <c r="E7" s="9">
        <f t="shared" si="0"/>
        <v>173.70001239000499</v>
      </c>
      <c r="F7" s="3" t="str">
        <f t="shared" si="1"/>
        <v>P</v>
      </c>
      <c r="G7" s="3" t="str">
        <f t="shared" si="2"/>
        <v>P</v>
      </c>
      <c r="H7" s="37" t="str">
        <f t="shared" si="3"/>
        <v>Excellence</v>
      </c>
      <c r="I7" s="3" t="str">
        <f t="shared" si="4"/>
        <v>P</v>
      </c>
      <c r="J7" s="8">
        <f>IF(COUNT(AQ7,BT7,CW7)&gt;0,LARGE((AQ7,BT7,CW7),1),0)</f>
        <v>49.9</v>
      </c>
      <c r="K7" s="8" t="str">
        <f t="shared" si="5"/>
        <v>2023 Elite Canada</v>
      </c>
      <c r="L7" s="8">
        <f>IF(COUNT(AQ7,BT7,CW7)&gt;1,LARGE((AQ7,BT7,CW7),2),0)</f>
        <v>49.3</v>
      </c>
      <c r="M7" s="8" t="str">
        <f t="shared" si="6"/>
        <v>2023 Nationals</v>
      </c>
      <c r="N7" s="8">
        <f>IF(COUNT(AR7,BU7,CX7)&gt;0,LARGE((AR7,BU7,CX7),1),0)</f>
        <v>24.700000000000003</v>
      </c>
      <c r="O7" s="8" t="str">
        <f t="shared" si="7"/>
        <v>2023 Domestic 3rd Trial</v>
      </c>
      <c r="P7" s="8">
        <f t="shared" si="8"/>
        <v>49.7</v>
      </c>
      <c r="Q7" s="8" t="str">
        <f t="shared" si="9"/>
        <v>2023 Domestic 3rd Trial</v>
      </c>
      <c r="R7" s="8">
        <f t="shared" si="10"/>
        <v>0.10000000000000142</v>
      </c>
      <c r="S7" s="11" t="str">
        <f t="shared" si="11"/>
        <v>(Q1)</v>
      </c>
      <c r="T7" s="8" t="str">
        <f t="shared" si="12"/>
        <v>2023 World Championships (Nov 11)</v>
      </c>
      <c r="U7" s="19">
        <v>18.600000000000001</v>
      </c>
      <c r="V7" s="19">
        <v>6.4</v>
      </c>
      <c r="W7" s="19">
        <v>0</v>
      </c>
      <c r="X7" s="19">
        <v>0</v>
      </c>
      <c r="Y7" s="19">
        <v>18.600000000000001</v>
      </c>
      <c r="Z7" s="19">
        <v>6</v>
      </c>
      <c r="AA7" s="19">
        <v>0</v>
      </c>
      <c r="AB7" s="19">
        <v>0.3</v>
      </c>
      <c r="AC7" s="19">
        <v>18.100000000000001</v>
      </c>
      <c r="AD7" s="19">
        <v>5.2</v>
      </c>
      <c r="AE7" s="19">
        <v>0.6</v>
      </c>
      <c r="AF7" s="19">
        <v>0</v>
      </c>
      <c r="AG7" s="19">
        <v>18.7</v>
      </c>
      <c r="AH7" s="19">
        <v>6.4</v>
      </c>
      <c r="AI7" s="19">
        <v>0</v>
      </c>
      <c r="AJ7" s="19">
        <v>0</v>
      </c>
      <c r="AK7" s="19">
        <v>18.399999999999999</v>
      </c>
      <c r="AL7" s="19">
        <v>6</v>
      </c>
      <c r="AM7" s="19">
        <v>0.6</v>
      </c>
      <c r="AN7" s="19">
        <v>0.3</v>
      </c>
      <c r="AO7" s="28"/>
      <c r="AP7" s="41">
        <f t="shared" si="13"/>
        <v>12.4</v>
      </c>
      <c r="AQ7" s="41">
        <f t="shared" si="14"/>
        <v>49.9</v>
      </c>
      <c r="AR7" s="41">
        <f t="shared" si="15"/>
        <v>22.7</v>
      </c>
      <c r="AS7" s="41">
        <f t="shared" si="16"/>
        <v>17.600000000000001</v>
      </c>
      <c r="AT7" s="41">
        <f t="shared" si="17"/>
        <v>72.599999999999994</v>
      </c>
      <c r="AU7" s="41">
        <f t="shared" si="18"/>
        <v>12.4</v>
      </c>
      <c r="AV7" s="41">
        <f t="shared" si="19"/>
        <v>49.199999999999996</v>
      </c>
      <c r="AW7" s="41">
        <f t="shared" si="20"/>
        <v>121.79999999999998</v>
      </c>
      <c r="AX7" s="18">
        <v>18.600000000000001</v>
      </c>
      <c r="AY7" s="18">
        <v>6.4</v>
      </c>
      <c r="AZ7" s="18">
        <v>0</v>
      </c>
      <c r="BA7" s="18">
        <v>0</v>
      </c>
      <c r="BB7" s="18">
        <v>18.2</v>
      </c>
      <c r="BC7" s="18">
        <v>6</v>
      </c>
      <c r="BD7" s="18">
        <v>0.2</v>
      </c>
      <c r="BE7" s="18">
        <v>0.3</v>
      </c>
      <c r="BF7" s="18">
        <v>18</v>
      </c>
      <c r="BG7" s="18">
        <v>5.2</v>
      </c>
      <c r="BH7" s="18">
        <v>0.2</v>
      </c>
      <c r="BI7" s="18">
        <v>0</v>
      </c>
      <c r="BJ7" s="18">
        <v>18.600000000000001</v>
      </c>
      <c r="BK7" s="18">
        <v>6.4</v>
      </c>
      <c r="BL7" s="18">
        <v>0</v>
      </c>
      <c r="BM7" s="18">
        <v>0</v>
      </c>
      <c r="BN7" s="18">
        <v>16.3</v>
      </c>
      <c r="BO7" s="18">
        <v>2.9</v>
      </c>
      <c r="BP7" s="18">
        <v>1.8</v>
      </c>
      <c r="BQ7" s="18">
        <v>0</v>
      </c>
      <c r="BR7" s="29"/>
      <c r="BS7" s="11">
        <f t="shared" si="21"/>
        <v>12.4</v>
      </c>
      <c r="BT7" s="11">
        <f t="shared" si="22"/>
        <v>49.3</v>
      </c>
      <c r="BU7" s="11">
        <f t="shared" si="23"/>
        <v>23</v>
      </c>
      <c r="BV7" s="11">
        <f t="shared" si="24"/>
        <v>17.600000000000001</v>
      </c>
      <c r="BW7" s="11">
        <f t="shared" si="25"/>
        <v>72.3</v>
      </c>
      <c r="BX7" s="11">
        <f t="shared" si="26"/>
        <v>9.3000000000000007</v>
      </c>
      <c r="BY7" s="11">
        <f t="shared" si="27"/>
        <v>42.4</v>
      </c>
      <c r="BZ7" s="11">
        <f t="shared" si="28"/>
        <v>114.69999999999999</v>
      </c>
      <c r="CA7" s="19">
        <v>18</v>
      </c>
      <c r="CB7" s="19">
        <v>6</v>
      </c>
      <c r="CC7" s="19">
        <v>0</v>
      </c>
      <c r="CD7" s="19">
        <v>0.3</v>
      </c>
      <c r="CE7" s="19">
        <v>18.8</v>
      </c>
      <c r="CF7" s="19">
        <v>5.2</v>
      </c>
      <c r="CG7" s="19">
        <v>0</v>
      </c>
      <c r="CH7" s="19">
        <v>0</v>
      </c>
      <c r="CI7" s="19">
        <v>18.3</v>
      </c>
      <c r="CJ7" s="19">
        <v>6.4</v>
      </c>
      <c r="CK7" s="19">
        <v>0</v>
      </c>
      <c r="CL7" s="19">
        <v>0</v>
      </c>
      <c r="CM7" s="19">
        <v>18.399999999999999</v>
      </c>
      <c r="CN7" s="19">
        <v>7.2</v>
      </c>
      <c r="CO7" s="19">
        <v>0.2</v>
      </c>
      <c r="CP7" s="19">
        <v>0.3</v>
      </c>
      <c r="CQ7" s="19">
        <v>18.600000000000001</v>
      </c>
      <c r="CR7" s="19">
        <v>6</v>
      </c>
      <c r="CS7" s="19">
        <v>0.6</v>
      </c>
      <c r="CT7" s="19">
        <v>0</v>
      </c>
      <c r="CU7" s="28"/>
      <c r="CV7" s="41">
        <f t="shared" si="29"/>
        <v>11.2</v>
      </c>
      <c r="CW7" s="41">
        <f t="shared" si="30"/>
        <v>48.300000000000004</v>
      </c>
      <c r="CX7" s="41">
        <f t="shared" si="31"/>
        <v>24.700000000000003</v>
      </c>
      <c r="CY7" s="41">
        <f t="shared" si="32"/>
        <v>17.600000000000001</v>
      </c>
      <c r="CZ7" s="41">
        <f t="shared" si="33"/>
        <v>73</v>
      </c>
      <c r="DA7" s="41">
        <f t="shared" si="34"/>
        <v>13.2</v>
      </c>
      <c r="DB7" s="41">
        <f t="shared" si="35"/>
        <v>49.7</v>
      </c>
      <c r="DC7" s="41">
        <f t="shared" si="36"/>
        <v>122.7</v>
      </c>
      <c r="DD7" s="52">
        <f t="shared" si="37"/>
        <v>0.10000000000000142</v>
      </c>
      <c r="DE7" s="52" t="str">
        <f t="shared" si="38"/>
        <v/>
      </c>
      <c r="DF7" s="52" t="str">
        <f t="shared" si="39"/>
        <v/>
      </c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41" t="str">
        <f t="shared" si="40"/>
        <v/>
      </c>
      <c r="EB7" s="41" t="str">
        <f t="shared" si="41"/>
        <v/>
      </c>
      <c r="EC7" s="41" t="str">
        <f t="shared" si="42"/>
        <v/>
      </c>
      <c r="ED7" s="41" t="str">
        <f t="shared" si="43"/>
        <v/>
      </c>
      <c r="EE7" s="41" t="str">
        <f t="shared" si="44"/>
        <v/>
      </c>
      <c r="EF7" s="41" t="str">
        <f t="shared" si="45"/>
        <v/>
      </c>
      <c r="EG7" s="41" t="str">
        <f t="shared" si="46"/>
        <v/>
      </c>
      <c r="EH7" s="41" t="str">
        <f t="shared" si="47"/>
        <v/>
      </c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1" t="str">
        <f t="shared" si="48"/>
        <v/>
      </c>
      <c r="FD7" s="11" t="str">
        <f t="shared" si="49"/>
        <v/>
      </c>
      <c r="FE7" s="11" t="str">
        <f t="shared" si="50"/>
        <v/>
      </c>
      <c r="FF7" s="11" t="str">
        <f t="shared" si="51"/>
        <v/>
      </c>
      <c r="FG7" s="11" t="str">
        <f t="shared" si="52"/>
        <v/>
      </c>
      <c r="FH7" s="11" t="str">
        <f t="shared" si="53"/>
        <v/>
      </c>
      <c r="FI7" s="11" t="str">
        <f t="shared" si="54"/>
        <v/>
      </c>
      <c r="FJ7" s="11" t="str">
        <f t="shared" si="55"/>
        <v/>
      </c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41" t="str">
        <f t="shared" si="56"/>
        <v/>
      </c>
      <c r="GF7" s="41" t="str">
        <f t="shared" si="57"/>
        <v/>
      </c>
      <c r="GG7" s="41" t="str">
        <f t="shared" si="58"/>
        <v/>
      </c>
      <c r="GH7" s="41" t="str">
        <f t="shared" si="59"/>
        <v/>
      </c>
      <c r="GI7" s="41" t="str">
        <f t="shared" si="60"/>
        <v/>
      </c>
      <c r="GJ7" s="41" t="str">
        <f t="shared" si="61"/>
        <v/>
      </c>
      <c r="GK7" s="41" t="str">
        <f t="shared" si="62"/>
        <v/>
      </c>
      <c r="GL7" s="41" t="str">
        <f t="shared" si="63"/>
        <v/>
      </c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1" t="str">
        <f t="shared" si="64"/>
        <v/>
      </c>
      <c r="HH7" s="11" t="str">
        <f t="shared" si="65"/>
        <v/>
      </c>
      <c r="HI7" s="11" t="str">
        <f t="shared" si="66"/>
        <v/>
      </c>
      <c r="HJ7" s="11" t="str">
        <f t="shared" si="67"/>
        <v/>
      </c>
      <c r="HK7" s="11" t="str">
        <f t="shared" si="68"/>
        <v/>
      </c>
      <c r="HL7" s="11" t="str">
        <f t="shared" si="69"/>
        <v/>
      </c>
      <c r="HM7" s="11" t="str">
        <f t="shared" si="70"/>
        <v/>
      </c>
      <c r="HN7" s="11" t="str">
        <f t="shared" si="71"/>
        <v/>
      </c>
      <c r="HO7" s="17">
        <v>18.100000000000001</v>
      </c>
      <c r="HP7" s="17">
        <v>6.4</v>
      </c>
      <c r="HQ7" s="17">
        <v>0</v>
      </c>
      <c r="HR7" s="17">
        <v>0</v>
      </c>
      <c r="HS7" s="17">
        <v>18.3</v>
      </c>
      <c r="HT7" s="17">
        <v>5.2</v>
      </c>
      <c r="HU7" s="17">
        <v>0.8</v>
      </c>
      <c r="HV7" s="17">
        <v>0</v>
      </c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41">
        <f t="shared" si="72"/>
        <v>11.600000000000001</v>
      </c>
      <c r="IJ7" s="41">
        <f t="shared" si="73"/>
        <v>47.2</v>
      </c>
      <c r="IK7" s="41" t="str">
        <f t="shared" si="74"/>
        <v/>
      </c>
      <c r="IL7" s="41">
        <f t="shared" si="75"/>
        <v>11.600000000000001</v>
      </c>
      <c r="IM7" s="41">
        <f t="shared" si="76"/>
        <v>47.2</v>
      </c>
      <c r="IN7" s="41" t="str">
        <f t="shared" si="77"/>
        <v/>
      </c>
      <c r="IO7" s="41" t="str">
        <f t="shared" si="78"/>
        <v/>
      </c>
      <c r="IP7" s="41">
        <f t="shared" si="79"/>
        <v>47.2</v>
      </c>
      <c r="IQ7" s="18">
        <v>18.399999999999999</v>
      </c>
      <c r="IR7" s="18">
        <v>7.2</v>
      </c>
      <c r="IS7" s="18">
        <v>0</v>
      </c>
      <c r="IT7" s="18">
        <v>0</v>
      </c>
      <c r="IU7" s="18">
        <v>18.399999999999999</v>
      </c>
      <c r="IV7" s="18">
        <v>6</v>
      </c>
      <c r="IW7" s="18">
        <v>0.6</v>
      </c>
      <c r="IX7" s="18">
        <v>0</v>
      </c>
      <c r="IY7" s="18">
        <v>18.100000000000001</v>
      </c>
      <c r="IZ7" s="18">
        <v>6</v>
      </c>
      <c r="JA7" s="18">
        <v>0</v>
      </c>
      <c r="JB7" s="18">
        <v>0</v>
      </c>
      <c r="JC7" s="18">
        <v>18.399999999999999</v>
      </c>
      <c r="JD7" s="18">
        <v>6.4</v>
      </c>
      <c r="JE7" s="18">
        <v>0</v>
      </c>
      <c r="JF7" s="18">
        <v>0</v>
      </c>
      <c r="JG7" s="18"/>
      <c r="JH7" s="18"/>
      <c r="JI7" s="18"/>
      <c r="JJ7" s="18"/>
      <c r="JK7" s="11">
        <f t="shared" si="80"/>
        <v>13.2</v>
      </c>
      <c r="JL7" s="11">
        <f t="shared" si="81"/>
        <v>49.4</v>
      </c>
      <c r="JM7" s="11">
        <f t="shared" si="82"/>
        <v>24.1</v>
      </c>
      <c r="JN7" s="11">
        <f t="shared" si="83"/>
        <v>19.2</v>
      </c>
      <c r="JO7" s="11">
        <f t="shared" si="84"/>
        <v>73.5</v>
      </c>
      <c r="JP7" s="11">
        <f t="shared" si="85"/>
        <v>6.4</v>
      </c>
      <c r="JQ7" s="11">
        <f t="shared" si="86"/>
        <v>24.799999999999997</v>
      </c>
      <c r="JR7" s="11">
        <f t="shared" si="87"/>
        <v>98.3</v>
      </c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41" t="str">
        <f t="shared" si="88"/>
        <v/>
      </c>
      <c r="KN7" s="41" t="str">
        <f t="shared" si="89"/>
        <v/>
      </c>
      <c r="KO7" s="41" t="str">
        <f t="shared" si="90"/>
        <v/>
      </c>
      <c r="KP7" s="41" t="str">
        <f t="shared" si="91"/>
        <v/>
      </c>
      <c r="KQ7" s="41" t="str">
        <f t="shared" si="92"/>
        <v/>
      </c>
      <c r="KR7" s="41" t="str">
        <f t="shared" si="93"/>
        <v/>
      </c>
      <c r="KS7" s="41" t="str">
        <f t="shared" si="94"/>
        <v/>
      </c>
      <c r="KT7" s="41" t="str">
        <f t="shared" si="95"/>
        <v/>
      </c>
      <c r="KU7" s="18"/>
      <c r="KV7" s="18"/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1" t="str">
        <f t="shared" si="96"/>
        <v/>
      </c>
      <c r="LP7" s="11" t="str">
        <f t="shared" si="97"/>
        <v/>
      </c>
      <c r="LQ7" s="11" t="str">
        <f t="shared" si="98"/>
        <v/>
      </c>
      <c r="LR7" s="11" t="str">
        <f t="shared" si="99"/>
        <v/>
      </c>
      <c r="LS7" s="11" t="str">
        <f t="shared" si="100"/>
        <v/>
      </c>
      <c r="LT7" s="11" t="str">
        <f t="shared" si="101"/>
        <v/>
      </c>
      <c r="LU7" s="11" t="str">
        <f t="shared" si="102"/>
        <v/>
      </c>
      <c r="LV7" s="11" t="str">
        <f t="shared" si="103"/>
        <v/>
      </c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41" t="str">
        <f t="shared" si="104"/>
        <v/>
      </c>
      <c r="MR7" s="41" t="str">
        <f t="shared" si="105"/>
        <v/>
      </c>
      <c r="MS7" s="41" t="str">
        <f t="shared" si="106"/>
        <v/>
      </c>
      <c r="MT7" s="41" t="str">
        <f t="shared" si="107"/>
        <v/>
      </c>
      <c r="MU7" s="41" t="str">
        <f t="shared" si="108"/>
        <v/>
      </c>
      <c r="MV7" s="41" t="str">
        <f t="shared" si="109"/>
        <v/>
      </c>
      <c r="MW7" s="41" t="str">
        <f t="shared" si="110"/>
        <v/>
      </c>
      <c r="MX7" s="41" t="str">
        <f t="shared" si="111"/>
        <v/>
      </c>
      <c r="MY7" s="18"/>
      <c r="MZ7" s="18"/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1" t="str">
        <f t="shared" si="112"/>
        <v/>
      </c>
      <c r="NT7" s="11" t="str">
        <f t="shared" si="113"/>
        <v/>
      </c>
      <c r="NU7" s="11" t="str">
        <f t="shared" si="114"/>
        <v/>
      </c>
      <c r="NV7" s="11" t="str">
        <f t="shared" si="115"/>
        <v/>
      </c>
      <c r="NW7" s="11" t="str">
        <f t="shared" si="116"/>
        <v/>
      </c>
      <c r="NX7" s="11" t="str">
        <f t="shared" si="117"/>
        <v/>
      </c>
      <c r="NY7" s="11" t="str">
        <f t="shared" si="118"/>
        <v/>
      </c>
      <c r="NZ7" s="11" t="str">
        <f t="shared" si="119"/>
        <v/>
      </c>
      <c r="OA7" s="17"/>
      <c r="OB7" s="17"/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41" t="str">
        <f t="shared" si="120"/>
        <v/>
      </c>
      <c r="OV7" s="41" t="str">
        <f t="shared" si="121"/>
        <v/>
      </c>
      <c r="OW7" s="41" t="str">
        <f t="shared" si="122"/>
        <v/>
      </c>
      <c r="OX7" s="41" t="str">
        <f t="shared" si="123"/>
        <v/>
      </c>
      <c r="OY7" s="41" t="str">
        <f t="shared" si="124"/>
        <v/>
      </c>
      <c r="OZ7" s="41" t="str">
        <f t="shared" si="125"/>
        <v/>
      </c>
      <c r="PA7" s="41" t="str">
        <f t="shared" si="126"/>
        <v/>
      </c>
      <c r="PB7" s="41" t="str">
        <f t="shared" si="127"/>
        <v/>
      </c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1" t="str">
        <f t="shared" si="128"/>
        <v/>
      </c>
      <c r="PX7" s="11" t="str">
        <f t="shared" si="129"/>
        <v/>
      </c>
      <c r="PY7" s="11" t="str">
        <f t="shared" si="130"/>
        <v/>
      </c>
      <c r="PZ7" s="11" t="str">
        <f t="shared" si="131"/>
        <v/>
      </c>
      <c r="QA7" s="11" t="str">
        <f t="shared" si="132"/>
        <v/>
      </c>
      <c r="QB7" s="11" t="str">
        <f t="shared" si="133"/>
        <v/>
      </c>
      <c r="QC7" s="11" t="str">
        <f t="shared" si="134"/>
        <v/>
      </c>
      <c r="QD7" s="11" t="str">
        <f t="shared" si="135"/>
        <v/>
      </c>
      <c r="QE7" s="23">
        <f t="shared" si="136"/>
        <v>18.3</v>
      </c>
      <c r="QF7" s="23">
        <f t="shared" si="137"/>
        <v>6.2</v>
      </c>
      <c r="QG7" s="23">
        <f t="shared" si="138"/>
        <v>0</v>
      </c>
      <c r="QH7" s="23">
        <f t="shared" si="139"/>
        <v>0.15</v>
      </c>
      <c r="QI7" s="23">
        <f t="shared" si="140"/>
        <v>18.5</v>
      </c>
      <c r="QJ7" s="23">
        <f t="shared" si="141"/>
        <v>5.6</v>
      </c>
      <c r="QK7" s="23">
        <f t="shared" si="142"/>
        <v>0.1</v>
      </c>
      <c r="QL7" s="23">
        <f t="shared" si="143"/>
        <v>0.15</v>
      </c>
      <c r="QM7" s="23">
        <f t="shared" si="144"/>
        <v>18.149999999999999</v>
      </c>
      <c r="QN7" s="23">
        <f t="shared" si="145"/>
        <v>5.8000000000000007</v>
      </c>
      <c r="QO7" s="23">
        <f t="shared" si="146"/>
        <v>0.1</v>
      </c>
      <c r="QP7" s="23">
        <f t="shared" si="147"/>
        <v>0</v>
      </c>
      <c r="QQ7" s="23">
        <f t="shared" si="148"/>
        <v>18.5</v>
      </c>
      <c r="QR7" s="23">
        <f t="shared" si="149"/>
        <v>6.8000000000000007</v>
      </c>
      <c r="QS7" s="23">
        <f t="shared" si="150"/>
        <v>0.1</v>
      </c>
      <c r="QT7" s="23">
        <f t="shared" si="151"/>
        <v>0.15</v>
      </c>
      <c r="QU7" s="23">
        <f t="shared" si="152"/>
        <v>17.450000000000003</v>
      </c>
      <c r="QV7" s="23">
        <f t="shared" si="153"/>
        <v>4.45</v>
      </c>
      <c r="QW7" s="23">
        <f t="shared" si="154"/>
        <v>1.2</v>
      </c>
      <c r="QX7" s="23">
        <f t="shared" si="155"/>
        <v>0</v>
      </c>
      <c r="QY7" s="28" t="s">
        <v>57</v>
      </c>
      <c r="QZ7" s="41">
        <f t="shared" si="156"/>
        <v>11.8</v>
      </c>
      <c r="RA7" s="41">
        <f t="shared" si="157"/>
        <v>48.8</v>
      </c>
      <c r="RB7" s="41">
        <f t="shared" si="158"/>
        <v>23.849999999999998</v>
      </c>
      <c r="RC7" s="41">
        <f t="shared" si="159"/>
        <v>17.600000000000001</v>
      </c>
      <c r="RD7" s="41">
        <f t="shared" si="160"/>
        <v>72.649999999999991</v>
      </c>
      <c r="RE7" s="41">
        <f t="shared" si="161"/>
        <v>11.25</v>
      </c>
      <c r="RF7" s="41">
        <f t="shared" si="162"/>
        <v>46.050000000000011</v>
      </c>
      <c r="RG7" s="41">
        <f t="shared" si="163"/>
        <v>118.7</v>
      </c>
    </row>
    <row r="8" spans="1:475" x14ac:dyDescent="0.2">
      <c r="A8" s="4" cm="1">
        <f t="array" ref="A8">IF(AND(H8&lt;&gt;"",H8&lt;&gt;"No DD"),SUMPRODUCT((H$4:H$19&lt;&gt;"")*(H$4:H$19&lt;&gt;"No DD")*(E$4:E$19&gt;E8))+1,IF(H8="No DD",SUMPRODUCT((H$4:H$19="No DD")*(E$4:E$19&gt;E8))+1+SUMPRODUCT((H$4:H$19&lt;&gt;"")*(H$4:H$19&lt;&gt;"No DD")),""))</f>
        <v>5</v>
      </c>
      <c r="B8" s="5" t="s">
        <v>86</v>
      </c>
      <c r="C8" s="4" t="s">
        <v>6</v>
      </c>
      <c r="D8" s="4">
        <v>1996</v>
      </c>
      <c r="E8" s="9">
        <f t="shared" si="0"/>
        <v>171.80001203000486</v>
      </c>
      <c r="F8" s="3" t="str">
        <f t="shared" si="1"/>
        <v>P</v>
      </c>
      <c r="G8" s="3" t="str">
        <f t="shared" si="2"/>
        <v>P</v>
      </c>
      <c r="H8" s="37" t="str">
        <f t="shared" si="3"/>
        <v>National Team</v>
      </c>
      <c r="I8" s="3" t="str">
        <f t="shared" si="4"/>
        <v/>
      </c>
      <c r="J8" s="8">
        <f>IF(COUNT(AQ8,BT8,CW8)&gt;0,LARGE((AQ8,BT8,CW8),1),0)</f>
        <v>48.7</v>
      </c>
      <c r="K8" s="8" t="str">
        <f t="shared" si="5"/>
        <v>2023 Nationals</v>
      </c>
      <c r="L8" s="8">
        <f>IF(COUNT(AQ8,BT8,CW8)&gt;1,LARGE((AQ8,BT8,CW8),2),0)</f>
        <v>47.699999999999996</v>
      </c>
      <c r="M8" s="8" t="str">
        <f t="shared" si="6"/>
        <v>2023 Domestic 3rd Trial</v>
      </c>
      <c r="N8" s="8">
        <f>IF(COUNT(AR8,BU8,CX8)&gt;0,LARGE((AR8,BU8,CX8),1),0)</f>
        <v>23.9</v>
      </c>
      <c r="O8" s="8" t="str">
        <f t="shared" si="7"/>
        <v>2023 Domestic 3rd Trial</v>
      </c>
      <c r="P8" s="8">
        <f t="shared" si="8"/>
        <v>49.8</v>
      </c>
      <c r="Q8" s="8" t="str">
        <f t="shared" si="9"/>
        <v>2023 Nationals</v>
      </c>
      <c r="R8" s="8">
        <f t="shared" si="10"/>
        <v>1.7000000000000028</v>
      </c>
      <c r="S8" s="11" t="str">
        <f t="shared" si="11"/>
        <v>(Q1)</v>
      </c>
      <c r="T8" s="8" t="str">
        <f t="shared" si="12"/>
        <v>2023 World Cup POR 1 (July 2)</v>
      </c>
      <c r="U8" s="19">
        <v>18.2</v>
      </c>
      <c r="V8" s="19">
        <v>5.6</v>
      </c>
      <c r="W8" s="19">
        <v>0.2</v>
      </c>
      <c r="X8" s="19">
        <v>0</v>
      </c>
      <c r="Y8" s="19">
        <v>18.7</v>
      </c>
      <c r="Z8" s="19">
        <v>5.2</v>
      </c>
      <c r="AA8" s="19">
        <v>0.2</v>
      </c>
      <c r="AB8" s="19">
        <v>0</v>
      </c>
      <c r="AC8" s="19">
        <v>18.100000000000001</v>
      </c>
      <c r="AD8" s="19">
        <v>5.2</v>
      </c>
      <c r="AE8" s="19">
        <v>0</v>
      </c>
      <c r="AF8" s="19">
        <v>0.3</v>
      </c>
      <c r="AG8" s="19">
        <v>18.5</v>
      </c>
      <c r="AH8" s="19">
        <v>6.4</v>
      </c>
      <c r="AI8" s="19">
        <v>0.6</v>
      </c>
      <c r="AJ8" s="19">
        <v>0</v>
      </c>
      <c r="AK8" s="19">
        <v>18.8</v>
      </c>
      <c r="AL8" s="19">
        <v>5.2</v>
      </c>
      <c r="AM8" s="19">
        <v>0</v>
      </c>
      <c r="AN8" s="19">
        <v>0</v>
      </c>
      <c r="AO8" s="28"/>
      <c r="AP8" s="41">
        <f t="shared" si="13"/>
        <v>10.8</v>
      </c>
      <c r="AQ8" s="41">
        <f t="shared" si="14"/>
        <v>47.3</v>
      </c>
      <c r="AR8" s="41">
        <f t="shared" si="15"/>
        <v>23.6</v>
      </c>
      <c r="AS8" s="41">
        <f t="shared" si="16"/>
        <v>16</v>
      </c>
      <c r="AT8" s="41">
        <f t="shared" si="17"/>
        <v>70.900000000000006</v>
      </c>
      <c r="AU8" s="41">
        <f t="shared" si="18"/>
        <v>11.600000000000001</v>
      </c>
      <c r="AV8" s="41">
        <f t="shared" si="19"/>
        <v>48.300000000000004</v>
      </c>
      <c r="AW8" s="41">
        <f t="shared" si="20"/>
        <v>119.20000000000002</v>
      </c>
      <c r="AX8" s="18">
        <v>18.2</v>
      </c>
      <c r="AY8" s="18">
        <v>6.4</v>
      </c>
      <c r="AZ8" s="18">
        <v>0.8</v>
      </c>
      <c r="BA8" s="18">
        <v>0</v>
      </c>
      <c r="BB8" s="18">
        <v>18.600000000000001</v>
      </c>
      <c r="BC8" s="18">
        <v>6</v>
      </c>
      <c r="BD8" s="18">
        <v>0</v>
      </c>
      <c r="BE8" s="18">
        <v>0.3</v>
      </c>
      <c r="BF8" s="18">
        <v>18.100000000000001</v>
      </c>
      <c r="BG8" s="18">
        <v>5.2</v>
      </c>
      <c r="BH8" s="18">
        <v>0.8</v>
      </c>
      <c r="BI8" s="18">
        <v>0</v>
      </c>
      <c r="BJ8" s="18">
        <v>18.7</v>
      </c>
      <c r="BK8" s="18">
        <v>6.4</v>
      </c>
      <c r="BL8" s="18">
        <v>0</v>
      </c>
      <c r="BM8" s="18">
        <v>0</v>
      </c>
      <c r="BN8" s="18">
        <v>18.600000000000001</v>
      </c>
      <c r="BO8" s="18">
        <v>6</v>
      </c>
      <c r="BP8" s="18">
        <v>0.2</v>
      </c>
      <c r="BQ8" s="18">
        <v>0.3</v>
      </c>
      <c r="BR8" s="29"/>
      <c r="BS8" s="11">
        <f t="shared" si="21"/>
        <v>12.4</v>
      </c>
      <c r="BT8" s="11">
        <f t="shared" si="22"/>
        <v>48.7</v>
      </c>
      <c r="BU8" s="11">
        <f t="shared" si="23"/>
        <v>22.5</v>
      </c>
      <c r="BV8" s="11">
        <f t="shared" si="24"/>
        <v>17.600000000000001</v>
      </c>
      <c r="BW8" s="11">
        <f t="shared" si="25"/>
        <v>71.2</v>
      </c>
      <c r="BX8" s="11">
        <f t="shared" si="26"/>
        <v>12.4</v>
      </c>
      <c r="BY8" s="11">
        <f t="shared" si="27"/>
        <v>49.8</v>
      </c>
      <c r="BZ8" s="11">
        <f t="shared" si="28"/>
        <v>121</v>
      </c>
      <c r="CA8" s="19">
        <v>18.8</v>
      </c>
      <c r="CB8" s="19">
        <v>5.2</v>
      </c>
      <c r="CC8" s="19">
        <v>0</v>
      </c>
      <c r="CD8" s="19">
        <v>0</v>
      </c>
      <c r="CE8" s="19">
        <v>18.399999999999999</v>
      </c>
      <c r="CF8" s="19">
        <v>5.2</v>
      </c>
      <c r="CG8" s="19">
        <v>0.2</v>
      </c>
      <c r="CH8" s="19">
        <v>0.3</v>
      </c>
      <c r="CI8" s="19">
        <v>18.3</v>
      </c>
      <c r="CJ8" s="19">
        <v>5.6</v>
      </c>
      <c r="CK8" s="19">
        <v>0</v>
      </c>
      <c r="CL8" s="19">
        <v>0</v>
      </c>
      <c r="CM8" s="19">
        <v>18.899999999999999</v>
      </c>
      <c r="CN8" s="19">
        <v>5.2</v>
      </c>
      <c r="CO8" s="19">
        <v>0</v>
      </c>
      <c r="CP8" s="19">
        <v>0</v>
      </c>
      <c r="CQ8" s="19">
        <v>18.899999999999999</v>
      </c>
      <c r="CR8" s="19">
        <v>6.4</v>
      </c>
      <c r="CS8" s="19">
        <v>0.2</v>
      </c>
      <c r="CT8" s="19">
        <v>0</v>
      </c>
      <c r="CU8" s="28"/>
      <c r="CV8" s="41">
        <f t="shared" si="29"/>
        <v>10.4</v>
      </c>
      <c r="CW8" s="41">
        <f t="shared" si="30"/>
        <v>47.699999999999996</v>
      </c>
      <c r="CX8" s="41">
        <f t="shared" si="31"/>
        <v>23.9</v>
      </c>
      <c r="CY8" s="41">
        <f t="shared" si="32"/>
        <v>16</v>
      </c>
      <c r="CZ8" s="41">
        <f t="shared" si="33"/>
        <v>71.599999999999994</v>
      </c>
      <c r="DA8" s="41">
        <f t="shared" si="34"/>
        <v>11.600000000000001</v>
      </c>
      <c r="DB8" s="41">
        <f t="shared" si="35"/>
        <v>49.199999999999996</v>
      </c>
      <c r="DC8" s="41">
        <f t="shared" si="36"/>
        <v>120.79999999999998</v>
      </c>
      <c r="DD8" s="52">
        <f t="shared" si="37"/>
        <v>1.7000000000000028</v>
      </c>
      <c r="DE8" s="52" t="str">
        <f t="shared" si="38"/>
        <v/>
      </c>
      <c r="DF8" s="52" t="str">
        <f t="shared" si="39"/>
        <v/>
      </c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41" t="str">
        <f t="shared" si="40"/>
        <v/>
      </c>
      <c r="EB8" s="41" t="str">
        <f t="shared" si="41"/>
        <v/>
      </c>
      <c r="EC8" s="41" t="str">
        <f t="shared" si="42"/>
        <v/>
      </c>
      <c r="ED8" s="41" t="str">
        <f t="shared" si="43"/>
        <v/>
      </c>
      <c r="EE8" s="41" t="str">
        <f t="shared" si="44"/>
        <v/>
      </c>
      <c r="EF8" s="41" t="str">
        <f t="shared" si="45"/>
        <v/>
      </c>
      <c r="EG8" s="41" t="str">
        <f t="shared" si="46"/>
        <v/>
      </c>
      <c r="EH8" s="41" t="str">
        <f t="shared" si="47"/>
        <v/>
      </c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1" t="str">
        <f t="shared" si="48"/>
        <v/>
      </c>
      <c r="FD8" s="11" t="str">
        <f t="shared" si="49"/>
        <v/>
      </c>
      <c r="FE8" s="11" t="str">
        <f t="shared" si="50"/>
        <v/>
      </c>
      <c r="FF8" s="11" t="str">
        <f t="shared" si="51"/>
        <v/>
      </c>
      <c r="FG8" s="11" t="str">
        <f t="shared" si="52"/>
        <v/>
      </c>
      <c r="FH8" s="11" t="str">
        <f t="shared" si="53"/>
        <v/>
      </c>
      <c r="FI8" s="11" t="str">
        <f t="shared" si="54"/>
        <v/>
      </c>
      <c r="FJ8" s="11" t="str">
        <f t="shared" si="55"/>
        <v/>
      </c>
      <c r="FK8" s="17">
        <v>18.399999999999999</v>
      </c>
      <c r="FL8" s="17">
        <v>6.4</v>
      </c>
      <c r="FM8" s="17">
        <v>0</v>
      </c>
      <c r="FN8" s="17">
        <v>0</v>
      </c>
      <c r="FO8" s="17">
        <v>18.600000000000001</v>
      </c>
      <c r="FP8" s="17">
        <v>6</v>
      </c>
      <c r="FQ8" s="17">
        <v>0</v>
      </c>
      <c r="FR8" s="17">
        <v>0</v>
      </c>
      <c r="FS8" s="17"/>
      <c r="FT8" s="17"/>
      <c r="FU8" s="17"/>
      <c r="FV8" s="17"/>
      <c r="FW8" s="17">
        <v>18.600000000000001</v>
      </c>
      <c r="FX8" s="17">
        <v>6.4</v>
      </c>
      <c r="FY8" s="17">
        <v>0</v>
      </c>
      <c r="FZ8" s="17">
        <v>0</v>
      </c>
      <c r="GA8" s="17">
        <v>18.399999999999999</v>
      </c>
      <c r="GB8" s="17">
        <v>5.2</v>
      </c>
      <c r="GC8" s="17">
        <v>1</v>
      </c>
      <c r="GD8" s="17">
        <v>0</v>
      </c>
      <c r="GE8" s="41">
        <f t="shared" si="56"/>
        <v>12.4</v>
      </c>
      <c r="GF8" s="41">
        <f t="shared" si="57"/>
        <v>49.4</v>
      </c>
      <c r="GG8" s="41" t="str">
        <f t="shared" si="58"/>
        <v/>
      </c>
      <c r="GH8" s="41">
        <f t="shared" si="59"/>
        <v>12.4</v>
      </c>
      <c r="GI8" s="41">
        <f t="shared" si="60"/>
        <v>49.4</v>
      </c>
      <c r="GJ8" s="41">
        <f t="shared" si="61"/>
        <v>11.600000000000001</v>
      </c>
      <c r="GK8" s="41">
        <f t="shared" si="62"/>
        <v>47.6</v>
      </c>
      <c r="GL8" s="41">
        <f t="shared" si="63"/>
        <v>97</v>
      </c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1" t="str">
        <f t="shared" si="64"/>
        <v/>
      </c>
      <c r="HH8" s="11" t="str">
        <f t="shared" si="65"/>
        <v/>
      </c>
      <c r="HI8" s="11" t="str">
        <f t="shared" si="66"/>
        <v/>
      </c>
      <c r="HJ8" s="11" t="str">
        <f t="shared" si="67"/>
        <v/>
      </c>
      <c r="HK8" s="11" t="str">
        <f t="shared" si="68"/>
        <v/>
      </c>
      <c r="HL8" s="11" t="str">
        <f t="shared" si="69"/>
        <v/>
      </c>
      <c r="HM8" s="11" t="str">
        <f t="shared" si="70"/>
        <v/>
      </c>
      <c r="HN8" s="11" t="str">
        <f t="shared" si="71"/>
        <v/>
      </c>
      <c r="HO8" s="17">
        <v>17.600000000000001</v>
      </c>
      <c r="HP8" s="17">
        <v>6</v>
      </c>
      <c r="HQ8" s="17">
        <v>0.8</v>
      </c>
      <c r="HR8" s="17">
        <v>0</v>
      </c>
      <c r="HS8" s="17">
        <v>18.3</v>
      </c>
      <c r="HT8" s="17">
        <v>6.4</v>
      </c>
      <c r="HU8" s="17">
        <v>0.2</v>
      </c>
      <c r="HV8" s="17">
        <v>0</v>
      </c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41">
        <f t="shared" si="72"/>
        <v>12.4</v>
      </c>
      <c r="IJ8" s="41">
        <f t="shared" si="73"/>
        <v>47.300000000000004</v>
      </c>
      <c r="IK8" s="41" t="str">
        <f t="shared" si="74"/>
        <v/>
      </c>
      <c r="IL8" s="41">
        <f t="shared" si="75"/>
        <v>12.4</v>
      </c>
      <c r="IM8" s="41">
        <f t="shared" si="76"/>
        <v>47.300000000000004</v>
      </c>
      <c r="IN8" s="41" t="str">
        <f t="shared" si="77"/>
        <v/>
      </c>
      <c r="IO8" s="41" t="str">
        <f t="shared" si="78"/>
        <v/>
      </c>
      <c r="IP8" s="41">
        <f t="shared" si="79"/>
        <v>47.300000000000004</v>
      </c>
      <c r="IQ8" s="18"/>
      <c r="IR8" s="18"/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1" t="str">
        <f t="shared" si="80"/>
        <v/>
      </c>
      <c r="JL8" s="11" t="str">
        <f t="shared" si="81"/>
        <v/>
      </c>
      <c r="JM8" s="11" t="str">
        <f t="shared" si="82"/>
        <v/>
      </c>
      <c r="JN8" s="11" t="str">
        <f t="shared" si="83"/>
        <v/>
      </c>
      <c r="JO8" s="11" t="str">
        <f t="shared" si="84"/>
        <v/>
      </c>
      <c r="JP8" s="11" t="str">
        <f t="shared" si="85"/>
        <v/>
      </c>
      <c r="JQ8" s="11" t="str">
        <f t="shared" si="86"/>
        <v/>
      </c>
      <c r="JR8" s="11" t="str">
        <f t="shared" si="87"/>
        <v/>
      </c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41" t="str">
        <f t="shared" si="88"/>
        <v/>
      </c>
      <c r="KN8" s="41" t="str">
        <f t="shared" si="89"/>
        <v/>
      </c>
      <c r="KO8" s="41" t="str">
        <f t="shared" si="90"/>
        <v/>
      </c>
      <c r="KP8" s="41" t="str">
        <f t="shared" si="91"/>
        <v/>
      </c>
      <c r="KQ8" s="41" t="str">
        <f t="shared" si="92"/>
        <v/>
      </c>
      <c r="KR8" s="41" t="str">
        <f t="shared" si="93"/>
        <v/>
      </c>
      <c r="KS8" s="41" t="str">
        <f t="shared" si="94"/>
        <v/>
      </c>
      <c r="KT8" s="41" t="str">
        <f t="shared" si="95"/>
        <v/>
      </c>
      <c r="KU8" s="18"/>
      <c r="KV8" s="18"/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1" t="str">
        <f t="shared" si="96"/>
        <v/>
      </c>
      <c r="LP8" s="11" t="str">
        <f t="shared" si="97"/>
        <v/>
      </c>
      <c r="LQ8" s="11" t="str">
        <f t="shared" si="98"/>
        <v/>
      </c>
      <c r="LR8" s="11" t="str">
        <f t="shared" si="99"/>
        <v/>
      </c>
      <c r="LS8" s="11" t="str">
        <f t="shared" si="100"/>
        <v/>
      </c>
      <c r="LT8" s="11" t="str">
        <f t="shared" si="101"/>
        <v/>
      </c>
      <c r="LU8" s="11" t="str">
        <f t="shared" si="102"/>
        <v/>
      </c>
      <c r="LV8" s="11" t="str">
        <f t="shared" si="103"/>
        <v/>
      </c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41" t="str">
        <f t="shared" si="104"/>
        <v/>
      </c>
      <c r="MR8" s="41" t="str">
        <f t="shared" si="105"/>
        <v/>
      </c>
      <c r="MS8" s="41" t="str">
        <f t="shared" si="106"/>
        <v/>
      </c>
      <c r="MT8" s="41" t="str">
        <f t="shared" si="107"/>
        <v/>
      </c>
      <c r="MU8" s="41" t="str">
        <f t="shared" si="108"/>
        <v/>
      </c>
      <c r="MV8" s="41" t="str">
        <f t="shared" si="109"/>
        <v/>
      </c>
      <c r="MW8" s="41" t="str">
        <f t="shared" si="110"/>
        <v/>
      </c>
      <c r="MX8" s="41" t="str">
        <f t="shared" si="111"/>
        <v/>
      </c>
      <c r="MY8" s="18"/>
      <c r="MZ8" s="18"/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1" t="str">
        <f t="shared" si="112"/>
        <v/>
      </c>
      <c r="NT8" s="11" t="str">
        <f t="shared" si="113"/>
        <v/>
      </c>
      <c r="NU8" s="11" t="str">
        <f t="shared" si="114"/>
        <v/>
      </c>
      <c r="NV8" s="11" t="str">
        <f t="shared" si="115"/>
        <v/>
      </c>
      <c r="NW8" s="11" t="str">
        <f t="shared" si="116"/>
        <v/>
      </c>
      <c r="NX8" s="11" t="str">
        <f t="shared" si="117"/>
        <v/>
      </c>
      <c r="NY8" s="11" t="str">
        <f t="shared" si="118"/>
        <v/>
      </c>
      <c r="NZ8" s="11" t="str">
        <f t="shared" si="119"/>
        <v/>
      </c>
      <c r="OA8" s="17"/>
      <c r="OB8" s="17"/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41" t="str">
        <f t="shared" si="120"/>
        <v/>
      </c>
      <c r="OV8" s="41" t="str">
        <f t="shared" si="121"/>
        <v/>
      </c>
      <c r="OW8" s="41" t="str">
        <f t="shared" si="122"/>
        <v/>
      </c>
      <c r="OX8" s="41" t="str">
        <f t="shared" si="123"/>
        <v/>
      </c>
      <c r="OY8" s="41" t="str">
        <f t="shared" si="124"/>
        <v/>
      </c>
      <c r="OZ8" s="41" t="str">
        <f t="shared" si="125"/>
        <v/>
      </c>
      <c r="PA8" s="41" t="str">
        <f t="shared" si="126"/>
        <v/>
      </c>
      <c r="PB8" s="41" t="str">
        <f t="shared" si="127"/>
        <v/>
      </c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1" t="str">
        <f t="shared" si="128"/>
        <v/>
      </c>
      <c r="PX8" s="11" t="str">
        <f t="shared" si="129"/>
        <v/>
      </c>
      <c r="PY8" s="11" t="str">
        <f t="shared" si="130"/>
        <v/>
      </c>
      <c r="PZ8" s="11" t="str">
        <f t="shared" si="131"/>
        <v/>
      </c>
      <c r="QA8" s="11" t="str">
        <f t="shared" si="132"/>
        <v/>
      </c>
      <c r="QB8" s="11" t="str">
        <f t="shared" si="133"/>
        <v/>
      </c>
      <c r="QC8" s="11" t="str">
        <f t="shared" si="134"/>
        <v/>
      </c>
      <c r="QD8" s="11" t="str">
        <f t="shared" si="135"/>
        <v/>
      </c>
      <c r="QE8" s="23">
        <f t="shared" si="136"/>
        <v>18.5</v>
      </c>
      <c r="QF8" s="23">
        <f t="shared" si="137"/>
        <v>5.8000000000000007</v>
      </c>
      <c r="QG8" s="23">
        <f t="shared" si="138"/>
        <v>0.4</v>
      </c>
      <c r="QH8" s="23">
        <f t="shared" si="139"/>
        <v>0</v>
      </c>
      <c r="QI8" s="23">
        <f t="shared" si="140"/>
        <v>18.5</v>
      </c>
      <c r="QJ8" s="23">
        <f t="shared" si="141"/>
        <v>5.6</v>
      </c>
      <c r="QK8" s="23">
        <f t="shared" si="142"/>
        <v>0.1</v>
      </c>
      <c r="QL8" s="23">
        <f t="shared" si="143"/>
        <v>0.3</v>
      </c>
      <c r="QM8" s="23">
        <f t="shared" si="144"/>
        <v>18.200000000000003</v>
      </c>
      <c r="QN8" s="23">
        <f t="shared" si="145"/>
        <v>5.4</v>
      </c>
      <c r="QO8" s="23">
        <f t="shared" si="146"/>
        <v>0.4</v>
      </c>
      <c r="QP8" s="23">
        <f t="shared" si="147"/>
        <v>0</v>
      </c>
      <c r="QQ8" s="23">
        <f t="shared" si="148"/>
        <v>18.799999999999997</v>
      </c>
      <c r="QR8" s="23">
        <f t="shared" si="149"/>
        <v>5.8000000000000007</v>
      </c>
      <c r="QS8" s="23">
        <f t="shared" si="150"/>
        <v>0</v>
      </c>
      <c r="QT8" s="23">
        <f t="shared" si="151"/>
        <v>0</v>
      </c>
      <c r="QU8" s="23">
        <f t="shared" si="152"/>
        <v>18.75</v>
      </c>
      <c r="QV8" s="23">
        <f t="shared" si="153"/>
        <v>6.2</v>
      </c>
      <c r="QW8" s="23">
        <f t="shared" si="154"/>
        <v>0.2</v>
      </c>
      <c r="QX8" s="23">
        <f t="shared" si="155"/>
        <v>0.15</v>
      </c>
      <c r="QY8" s="28" t="s">
        <v>57</v>
      </c>
      <c r="QZ8" s="41">
        <f t="shared" si="156"/>
        <v>11.4</v>
      </c>
      <c r="RA8" s="41">
        <f t="shared" si="157"/>
        <v>48.199999999999996</v>
      </c>
      <c r="RB8" s="41">
        <f t="shared" si="158"/>
        <v>23.200000000000003</v>
      </c>
      <c r="RC8" s="41">
        <f t="shared" si="159"/>
        <v>16.8</v>
      </c>
      <c r="RD8" s="41">
        <f t="shared" si="160"/>
        <v>71.400000000000006</v>
      </c>
      <c r="RE8" s="41">
        <f t="shared" si="161"/>
        <v>12</v>
      </c>
      <c r="RF8" s="41">
        <f t="shared" si="162"/>
        <v>49.499999999999993</v>
      </c>
      <c r="RG8" s="41">
        <f t="shared" si="163"/>
        <v>120.9</v>
      </c>
    </row>
    <row r="9" spans="1:475" x14ac:dyDescent="0.2">
      <c r="A9" s="4" cm="1">
        <f t="array" ref="A9">IF(AND(H9&lt;&gt;"",H9&lt;&gt;"No DD"),SUMPRODUCT((H$4:H$19&lt;&gt;"")*(H$4:H$19&lt;&gt;"No DD")*(E$4:E$19&gt;E9))+1,IF(H9="No DD",SUMPRODUCT((H$4:H$19="No DD")*(E$4:E$19&gt;E9))+1+SUMPRODUCT((H$4:H$19&lt;&gt;"")*(H$4:H$19&lt;&gt;"No DD")),""))</f>
        <v>6</v>
      </c>
      <c r="B9" s="5" t="s">
        <v>134</v>
      </c>
      <c r="C9" s="4" t="s">
        <v>39</v>
      </c>
      <c r="D9" s="4">
        <v>2000</v>
      </c>
      <c r="E9" s="9">
        <f t="shared" si="0"/>
        <v>169.90001176000479</v>
      </c>
      <c r="F9" s="3" t="str">
        <f t="shared" si="1"/>
        <v>P</v>
      </c>
      <c r="G9" s="3" t="str">
        <f t="shared" si="2"/>
        <v>P</v>
      </c>
      <c r="H9" s="37" t="str">
        <f t="shared" si="3"/>
        <v>Worlds Team</v>
      </c>
      <c r="I9" s="3" t="str">
        <f t="shared" si="4"/>
        <v>P</v>
      </c>
      <c r="J9" s="8">
        <f>IF(COUNT(AQ9,BT9,CW9)&gt;0,LARGE((AQ9,BT9,CW9),1),0)</f>
        <v>47.8</v>
      </c>
      <c r="K9" s="8" t="str">
        <f t="shared" si="5"/>
        <v>2023 Nationals</v>
      </c>
      <c r="L9" s="8">
        <f>IF(COUNT(AQ9,BT9,CW9)&gt;1,LARGE((AQ9,BT9,CW9),2),0)</f>
        <v>44.899999999999991</v>
      </c>
      <c r="M9" s="8" t="str">
        <f t="shared" si="6"/>
        <v>2023 Elite Canada</v>
      </c>
      <c r="N9" s="8">
        <f>IF(COUNT(AR9,BU9,CX9)&gt;0,LARGE((AR9,BU9,CX9),1),0)</f>
        <v>24.900000000000002</v>
      </c>
      <c r="O9" s="8" t="str">
        <f t="shared" si="7"/>
        <v>2023 Nationals</v>
      </c>
      <c r="P9" s="8">
        <f t="shared" si="8"/>
        <v>48.9</v>
      </c>
      <c r="Q9" s="8" t="str">
        <f t="shared" si="9"/>
        <v>2023 Nationals</v>
      </c>
      <c r="R9" s="8">
        <f t="shared" si="10"/>
        <v>3.4000000000000057</v>
      </c>
      <c r="S9" s="11" t="str">
        <f t="shared" si="11"/>
        <v>(Q1)</v>
      </c>
      <c r="T9" s="8" t="str">
        <f t="shared" si="12"/>
        <v>2023 World Cup POR 1 (July 2)</v>
      </c>
      <c r="U9" s="19">
        <v>18.2</v>
      </c>
      <c r="V9" s="19">
        <v>5.2</v>
      </c>
      <c r="W9" s="19">
        <v>0.2</v>
      </c>
      <c r="X9" s="19">
        <v>0</v>
      </c>
      <c r="Y9" s="19">
        <v>17.7</v>
      </c>
      <c r="Z9" s="19">
        <v>4.8</v>
      </c>
      <c r="AA9" s="19">
        <v>0.8</v>
      </c>
      <c r="AB9" s="19">
        <v>0</v>
      </c>
      <c r="AC9" s="19">
        <v>18.399999999999999</v>
      </c>
      <c r="AD9" s="19">
        <v>6</v>
      </c>
      <c r="AE9" s="19">
        <v>0.8</v>
      </c>
      <c r="AF9" s="19">
        <v>0.3</v>
      </c>
      <c r="AG9" s="19">
        <v>18.600000000000001</v>
      </c>
      <c r="AH9" s="19">
        <v>6</v>
      </c>
      <c r="AI9" s="19">
        <v>0</v>
      </c>
      <c r="AJ9" s="19">
        <v>0</v>
      </c>
      <c r="AK9" s="19">
        <v>18.8</v>
      </c>
      <c r="AL9" s="19">
        <v>5.6</v>
      </c>
      <c r="AM9" s="19">
        <v>0.6</v>
      </c>
      <c r="AN9" s="19">
        <v>0</v>
      </c>
      <c r="AO9" s="28"/>
      <c r="AP9" s="41">
        <f t="shared" si="13"/>
        <v>10</v>
      </c>
      <c r="AQ9" s="41">
        <f t="shared" si="14"/>
        <v>44.899999999999991</v>
      </c>
      <c r="AR9" s="41">
        <f t="shared" si="15"/>
        <v>23.9</v>
      </c>
      <c r="AS9" s="41">
        <f t="shared" si="16"/>
        <v>16</v>
      </c>
      <c r="AT9" s="41">
        <f t="shared" si="17"/>
        <v>68.799999999999983</v>
      </c>
      <c r="AU9" s="41">
        <f t="shared" si="18"/>
        <v>11.6</v>
      </c>
      <c r="AV9" s="41">
        <f t="shared" si="19"/>
        <v>48.400000000000006</v>
      </c>
      <c r="AW9" s="41">
        <f t="shared" si="20"/>
        <v>117.19999999999999</v>
      </c>
      <c r="AX9" s="18">
        <v>18.8</v>
      </c>
      <c r="AY9" s="18">
        <v>5.6</v>
      </c>
      <c r="AZ9" s="18">
        <v>0</v>
      </c>
      <c r="BA9" s="18">
        <v>0</v>
      </c>
      <c r="BB9" s="18">
        <v>17</v>
      </c>
      <c r="BC9" s="18">
        <v>6.4</v>
      </c>
      <c r="BD9" s="18">
        <v>0</v>
      </c>
      <c r="BE9" s="18">
        <v>0</v>
      </c>
      <c r="BF9" s="18">
        <v>18.600000000000001</v>
      </c>
      <c r="BG9" s="18">
        <v>6</v>
      </c>
      <c r="BH9" s="18">
        <v>0</v>
      </c>
      <c r="BI9" s="18">
        <v>0.3</v>
      </c>
      <c r="BJ9" s="18">
        <v>18.399999999999999</v>
      </c>
      <c r="BK9" s="18">
        <v>6</v>
      </c>
      <c r="BL9" s="18">
        <v>0.2</v>
      </c>
      <c r="BM9" s="18">
        <v>0.3</v>
      </c>
      <c r="BN9" s="18">
        <v>18.600000000000001</v>
      </c>
      <c r="BO9" s="18">
        <v>6</v>
      </c>
      <c r="BP9" s="18">
        <v>0.2</v>
      </c>
      <c r="BQ9" s="18">
        <v>0</v>
      </c>
      <c r="BR9" s="29"/>
      <c r="BS9" s="11">
        <f t="shared" si="21"/>
        <v>12</v>
      </c>
      <c r="BT9" s="11">
        <f t="shared" si="22"/>
        <v>47.8</v>
      </c>
      <c r="BU9" s="11">
        <f t="shared" si="23"/>
        <v>24.900000000000002</v>
      </c>
      <c r="BV9" s="11">
        <f t="shared" si="24"/>
        <v>18</v>
      </c>
      <c r="BW9" s="11">
        <f t="shared" si="25"/>
        <v>72.7</v>
      </c>
      <c r="BX9" s="11">
        <f t="shared" si="26"/>
        <v>12</v>
      </c>
      <c r="BY9" s="11">
        <f t="shared" si="27"/>
        <v>48.9</v>
      </c>
      <c r="BZ9" s="11">
        <f t="shared" si="28"/>
        <v>121.6</v>
      </c>
      <c r="CA9" s="19">
        <v>18.7</v>
      </c>
      <c r="CB9" s="19">
        <v>6.4</v>
      </c>
      <c r="CC9" s="19">
        <v>0</v>
      </c>
      <c r="CD9" s="19">
        <v>0</v>
      </c>
      <c r="CE9" s="19">
        <v>0</v>
      </c>
      <c r="CF9" s="19">
        <v>0</v>
      </c>
      <c r="CG9" s="19">
        <v>0</v>
      </c>
      <c r="CH9" s="19">
        <v>0</v>
      </c>
      <c r="CI9" s="19">
        <v>18.8</v>
      </c>
      <c r="CJ9" s="19">
        <v>5.2</v>
      </c>
      <c r="CK9" s="19">
        <v>0.2</v>
      </c>
      <c r="CL9" s="19">
        <v>0</v>
      </c>
      <c r="CM9" s="19"/>
      <c r="CN9" s="19"/>
      <c r="CO9" s="19"/>
      <c r="CP9" s="19"/>
      <c r="CQ9" s="19"/>
      <c r="CR9" s="19"/>
      <c r="CS9" s="19"/>
      <c r="CT9" s="19"/>
      <c r="CU9" s="28"/>
      <c r="CV9" s="41">
        <f t="shared" si="29"/>
        <v>6.4</v>
      </c>
      <c r="CW9" s="41">
        <f t="shared" si="30"/>
        <v>25.1</v>
      </c>
      <c r="CX9" s="41">
        <f t="shared" si="31"/>
        <v>23.8</v>
      </c>
      <c r="CY9" s="41">
        <f t="shared" si="32"/>
        <v>11.600000000000001</v>
      </c>
      <c r="CZ9" s="41">
        <f t="shared" si="33"/>
        <v>48.900000000000006</v>
      </c>
      <c r="DA9" s="41" t="str">
        <f t="shared" si="34"/>
        <v/>
      </c>
      <c r="DB9" s="41" t="str">
        <f t="shared" si="35"/>
        <v/>
      </c>
      <c r="DC9" s="41">
        <f t="shared" si="36"/>
        <v>48.900000000000006</v>
      </c>
      <c r="DD9" s="52">
        <f t="shared" si="37"/>
        <v>3.4000000000000057</v>
      </c>
      <c r="DE9" s="52" t="str">
        <f t="shared" si="38"/>
        <v/>
      </c>
      <c r="DF9" s="52" t="str">
        <f t="shared" si="39"/>
        <v/>
      </c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41" t="str">
        <f t="shared" si="40"/>
        <v/>
      </c>
      <c r="EB9" s="41" t="str">
        <f t="shared" si="41"/>
        <v/>
      </c>
      <c r="EC9" s="41" t="str">
        <f t="shared" si="42"/>
        <v/>
      </c>
      <c r="ED9" s="41" t="str">
        <f t="shared" si="43"/>
        <v/>
      </c>
      <c r="EE9" s="41" t="str">
        <f t="shared" si="44"/>
        <v/>
      </c>
      <c r="EF9" s="41" t="str">
        <f t="shared" si="45"/>
        <v/>
      </c>
      <c r="EG9" s="41" t="str">
        <f t="shared" si="46"/>
        <v/>
      </c>
      <c r="EH9" s="41" t="str">
        <f t="shared" si="47"/>
        <v/>
      </c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1" t="str">
        <f t="shared" si="48"/>
        <v/>
      </c>
      <c r="FD9" s="11" t="str">
        <f t="shared" si="49"/>
        <v/>
      </c>
      <c r="FE9" s="11" t="str">
        <f t="shared" si="50"/>
        <v/>
      </c>
      <c r="FF9" s="11" t="str">
        <f t="shared" si="51"/>
        <v/>
      </c>
      <c r="FG9" s="11" t="str">
        <f t="shared" si="52"/>
        <v/>
      </c>
      <c r="FH9" s="11" t="str">
        <f t="shared" si="53"/>
        <v/>
      </c>
      <c r="FI9" s="11" t="str">
        <f t="shared" si="54"/>
        <v/>
      </c>
      <c r="FJ9" s="11" t="str">
        <f t="shared" si="55"/>
        <v/>
      </c>
      <c r="FK9" s="17">
        <v>18.399999999999999</v>
      </c>
      <c r="FL9" s="17">
        <v>6</v>
      </c>
      <c r="FM9" s="17">
        <v>0.2</v>
      </c>
      <c r="FN9" s="17">
        <v>0</v>
      </c>
      <c r="FO9" s="17">
        <v>18.5</v>
      </c>
      <c r="FP9" s="17">
        <v>5.6</v>
      </c>
      <c r="FQ9" s="17">
        <v>0</v>
      </c>
      <c r="FR9" s="17">
        <v>0</v>
      </c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41">
        <f t="shared" si="56"/>
        <v>11.6</v>
      </c>
      <c r="GF9" s="41">
        <f t="shared" si="57"/>
        <v>48.3</v>
      </c>
      <c r="GG9" s="41" t="str">
        <f t="shared" si="58"/>
        <v/>
      </c>
      <c r="GH9" s="41">
        <f t="shared" si="59"/>
        <v>11.6</v>
      </c>
      <c r="GI9" s="41">
        <f t="shared" si="60"/>
        <v>48.3</v>
      </c>
      <c r="GJ9" s="41" t="str">
        <f t="shared" si="61"/>
        <v/>
      </c>
      <c r="GK9" s="41" t="str">
        <f t="shared" si="62"/>
        <v/>
      </c>
      <c r="GL9" s="41">
        <f t="shared" si="63"/>
        <v>48.3</v>
      </c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1" t="str">
        <f t="shared" si="64"/>
        <v/>
      </c>
      <c r="HH9" s="11" t="str">
        <f t="shared" si="65"/>
        <v/>
      </c>
      <c r="HI9" s="11" t="str">
        <f t="shared" si="66"/>
        <v/>
      </c>
      <c r="HJ9" s="11" t="str">
        <f t="shared" si="67"/>
        <v/>
      </c>
      <c r="HK9" s="11" t="str">
        <f t="shared" si="68"/>
        <v/>
      </c>
      <c r="HL9" s="11" t="str">
        <f t="shared" si="69"/>
        <v/>
      </c>
      <c r="HM9" s="11" t="str">
        <f t="shared" si="70"/>
        <v/>
      </c>
      <c r="HN9" s="11" t="str">
        <f t="shared" si="71"/>
        <v/>
      </c>
      <c r="HO9" s="17">
        <v>18</v>
      </c>
      <c r="HP9" s="17">
        <v>5.2</v>
      </c>
      <c r="HQ9" s="17">
        <v>0.2</v>
      </c>
      <c r="HR9" s="17">
        <v>0</v>
      </c>
      <c r="HS9" s="17">
        <v>18.8</v>
      </c>
      <c r="HT9" s="17">
        <v>5.6</v>
      </c>
      <c r="HU9" s="17">
        <v>0</v>
      </c>
      <c r="HV9" s="17">
        <v>0</v>
      </c>
      <c r="HW9" s="17"/>
      <c r="HX9" s="17"/>
      <c r="HY9" s="17"/>
      <c r="HZ9" s="17"/>
      <c r="IA9" s="17">
        <v>18.5</v>
      </c>
      <c r="IB9" s="17">
        <v>5.6</v>
      </c>
      <c r="IC9" s="17">
        <v>0.8</v>
      </c>
      <c r="ID9" s="17">
        <v>0</v>
      </c>
      <c r="IE9" s="17">
        <v>18.3</v>
      </c>
      <c r="IF9" s="17">
        <v>6</v>
      </c>
      <c r="IG9" s="17">
        <v>0.2</v>
      </c>
      <c r="IH9" s="17">
        <v>0</v>
      </c>
      <c r="II9" s="41">
        <f t="shared" si="72"/>
        <v>10.8</v>
      </c>
      <c r="IJ9" s="41">
        <f t="shared" si="73"/>
        <v>47.4</v>
      </c>
      <c r="IK9" s="41" t="str">
        <f t="shared" si="74"/>
        <v/>
      </c>
      <c r="IL9" s="41">
        <f t="shared" si="75"/>
        <v>10.8</v>
      </c>
      <c r="IM9" s="41">
        <f t="shared" si="76"/>
        <v>47.4</v>
      </c>
      <c r="IN9" s="41">
        <f t="shared" si="77"/>
        <v>11.6</v>
      </c>
      <c r="IO9" s="41">
        <f t="shared" si="78"/>
        <v>47.400000000000006</v>
      </c>
      <c r="IP9" s="41">
        <f t="shared" si="79"/>
        <v>94.800000000000011</v>
      </c>
      <c r="IQ9" s="18">
        <v>18.399999999999999</v>
      </c>
      <c r="IR9" s="18">
        <v>5.6</v>
      </c>
      <c r="IS9" s="18">
        <v>0</v>
      </c>
      <c r="IT9" s="18">
        <v>0</v>
      </c>
      <c r="IU9" s="18">
        <v>18</v>
      </c>
      <c r="IV9" s="18">
        <v>6</v>
      </c>
      <c r="IW9" s="18">
        <v>0</v>
      </c>
      <c r="IX9" s="18">
        <v>0</v>
      </c>
      <c r="IY9" s="18">
        <v>17.899999999999999</v>
      </c>
      <c r="IZ9" s="18">
        <v>5.2</v>
      </c>
      <c r="JA9" s="18">
        <v>0.2</v>
      </c>
      <c r="JB9" s="18">
        <v>0</v>
      </c>
      <c r="JC9" s="18"/>
      <c r="JD9" s="18"/>
      <c r="JE9" s="18"/>
      <c r="JF9" s="18"/>
      <c r="JG9" s="18"/>
      <c r="JH9" s="18"/>
      <c r="JI9" s="18"/>
      <c r="JJ9" s="18"/>
      <c r="JK9" s="11">
        <f t="shared" si="80"/>
        <v>11.6</v>
      </c>
      <c r="JL9" s="11">
        <f t="shared" si="81"/>
        <v>48</v>
      </c>
      <c r="JM9" s="11">
        <f t="shared" si="82"/>
        <v>22.9</v>
      </c>
      <c r="JN9" s="11">
        <f t="shared" si="83"/>
        <v>16.8</v>
      </c>
      <c r="JO9" s="11">
        <f t="shared" si="84"/>
        <v>70.900000000000006</v>
      </c>
      <c r="JP9" s="11" t="str">
        <f t="shared" si="85"/>
        <v/>
      </c>
      <c r="JQ9" s="11" t="str">
        <f t="shared" si="86"/>
        <v/>
      </c>
      <c r="JR9" s="11">
        <f t="shared" si="87"/>
        <v>70.900000000000006</v>
      </c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41" t="str">
        <f t="shared" si="88"/>
        <v/>
      </c>
      <c r="KN9" s="41" t="str">
        <f t="shared" si="89"/>
        <v/>
      </c>
      <c r="KO9" s="41" t="str">
        <f t="shared" si="90"/>
        <v/>
      </c>
      <c r="KP9" s="41" t="str">
        <f t="shared" si="91"/>
        <v/>
      </c>
      <c r="KQ9" s="41" t="str">
        <f t="shared" si="92"/>
        <v/>
      </c>
      <c r="KR9" s="41" t="str">
        <f t="shared" si="93"/>
        <v/>
      </c>
      <c r="KS9" s="41" t="str">
        <f t="shared" si="94"/>
        <v/>
      </c>
      <c r="KT9" s="41" t="str">
        <f t="shared" si="95"/>
        <v/>
      </c>
      <c r="KU9" s="18"/>
      <c r="KV9" s="18"/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1" t="str">
        <f t="shared" si="96"/>
        <v/>
      </c>
      <c r="LP9" s="11" t="str">
        <f t="shared" si="97"/>
        <v/>
      </c>
      <c r="LQ9" s="11" t="str">
        <f t="shared" si="98"/>
        <v/>
      </c>
      <c r="LR9" s="11" t="str">
        <f t="shared" si="99"/>
        <v/>
      </c>
      <c r="LS9" s="11" t="str">
        <f t="shared" si="100"/>
        <v/>
      </c>
      <c r="LT9" s="11" t="str">
        <f t="shared" si="101"/>
        <v/>
      </c>
      <c r="LU9" s="11" t="str">
        <f t="shared" si="102"/>
        <v/>
      </c>
      <c r="LV9" s="11" t="str">
        <f t="shared" si="103"/>
        <v/>
      </c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41" t="str">
        <f t="shared" si="104"/>
        <v/>
      </c>
      <c r="MR9" s="41" t="str">
        <f t="shared" si="105"/>
        <v/>
      </c>
      <c r="MS9" s="41" t="str">
        <f t="shared" si="106"/>
        <v/>
      </c>
      <c r="MT9" s="41" t="str">
        <f t="shared" si="107"/>
        <v/>
      </c>
      <c r="MU9" s="41" t="str">
        <f t="shared" si="108"/>
        <v/>
      </c>
      <c r="MV9" s="41" t="str">
        <f t="shared" si="109"/>
        <v/>
      </c>
      <c r="MW9" s="41" t="str">
        <f t="shared" si="110"/>
        <v/>
      </c>
      <c r="MX9" s="41" t="str">
        <f t="shared" si="111"/>
        <v/>
      </c>
      <c r="MY9" s="18"/>
      <c r="MZ9" s="18"/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1" t="str">
        <f t="shared" si="112"/>
        <v/>
      </c>
      <c r="NT9" s="11" t="str">
        <f t="shared" si="113"/>
        <v/>
      </c>
      <c r="NU9" s="11" t="str">
        <f t="shared" si="114"/>
        <v/>
      </c>
      <c r="NV9" s="11" t="str">
        <f t="shared" si="115"/>
        <v/>
      </c>
      <c r="NW9" s="11" t="str">
        <f t="shared" si="116"/>
        <v/>
      </c>
      <c r="NX9" s="11" t="str">
        <f t="shared" si="117"/>
        <v/>
      </c>
      <c r="NY9" s="11" t="str">
        <f t="shared" si="118"/>
        <v/>
      </c>
      <c r="NZ9" s="11" t="str">
        <f t="shared" si="119"/>
        <v/>
      </c>
      <c r="OA9" s="17"/>
      <c r="OB9" s="17"/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41" t="str">
        <f t="shared" si="120"/>
        <v/>
      </c>
      <c r="OV9" s="41" t="str">
        <f t="shared" si="121"/>
        <v/>
      </c>
      <c r="OW9" s="41" t="str">
        <f t="shared" si="122"/>
        <v/>
      </c>
      <c r="OX9" s="41" t="str">
        <f t="shared" si="123"/>
        <v/>
      </c>
      <c r="OY9" s="41" t="str">
        <f t="shared" si="124"/>
        <v/>
      </c>
      <c r="OZ9" s="41" t="str">
        <f t="shared" si="125"/>
        <v/>
      </c>
      <c r="PA9" s="41" t="str">
        <f t="shared" si="126"/>
        <v/>
      </c>
      <c r="PB9" s="41" t="str">
        <f t="shared" si="127"/>
        <v/>
      </c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1" t="str">
        <f t="shared" si="128"/>
        <v/>
      </c>
      <c r="PX9" s="11" t="str">
        <f t="shared" si="129"/>
        <v/>
      </c>
      <c r="PY9" s="11" t="str">
        <f t="shared" si="130"/>
        <v/>
      </c>
      <c r="PZ9" s="11" t="str">
        <f t="shared" si="131"/>
        <v/>
      </c>
      <c r="QA9" s="11" t="str">
        <f t="shared" si="132"/>
        <v/>
      </c>
      <c r="QB9" s="11" t="str">
        <f t="shared" si="133"/>
        <v/>
      </c>
      <c r="QC9" s="11" t="str">
        <f t="shared" si="134"/>
        <v/>
      </c>
      <c r="QD9" s="11" t="str">
        <f t="shared" si="135"/>
        <v/>
      </c>
      <c r="QE9" s="23">
        <f t="shared" si="136"/>
        <v>18.75</v>
      </c>
      <c r="QF9" s="23">
        <f t="shared" si="137"/>
        <v>6</v>
      </c>
      <c r="QG9" s="23">
        <f t="shared" si="138"/>
        <v>0</v>
      </c>
      <c r="QH9" s="23">
        <f t="shared" si="139"/>
        <v>0</v>
      </c>
      <c r="QI9" s="23">
        <f t="shared" si="140"/>
        <v>8.5</v>
      </c>
      <c r="QJ9" s="23">
        <f t="shared" si="141"/>
        <v>3.2</v>
      </c>
      <c r="QK9" s="23">
        <f t="shared" si="142"/>
        <v>0</v>
      </c>
      <c r="QL9" s="23">
        <f t="shared" si="143"/>
        <v>0</v>
      </c>
      <c r="QM9" s="23">
        <f t="shared" si="144"/>
        <v>18.700000000000003</v>
      </c>
      <c r="QN9" s="23">
        <f t="shared" si="145"/>
        <v>5.6</v>
      </c>
      <c r="QO9" s="23">
        <f t="shared" si="146"/>
        <v>0.1</v>
      </c>
      <c r="QP9" s="23">
        <f t="shared" si="147"/>
        <v>0.15</v>
      </c>
      <c r="QQ9" s="23">
        <f t="shared" si="148"/>
        <v>9.1999999999999993</v>
      </c>
      <c r="QR9" s="23">
        <f t="shared" si="149"/>
        <v>3</v>
      </c>
      <c r="QS9" s="23">
        <f t="shared" si="150"/>
        <v>0.1</v>
      </c>
      <c r="QT9" s="23">
        <f t="shared" si="151"/>
        <v>0.15</v>
      </c>
      <c r="QU9" s="23">
        <f t="shared" si="152"/>
        <v>9.3000000000000007</v>
      </c>
      <c r="QV9" s="23">
        <f t="shared" si="153"/>
        <v>3</v>
      </c>
      <c r="QW9" s="23">
        <f t="shared" si="154"/>
        <v>0.1</v>
      </c>
      <c r="QX9" s="23">
        <f t="shared" si="155"/>
        <v>0</v>
      </c>
      <c r="QY9" s="28" t="s">
        <v>57</v>
      </c>
      <c r="QZ9" s="41">
        <f t="shared" si="156"/>
        <v>9.1999999999999993</v>
      </c>
      <c r="RA9" s="41">
        <f t="shared" si="157"/>
        <v>36.450000000000003</v>
      </c>
      <c r="RB9" s="41">
        <f t="shared" si="158"/>
        <v>24.35</v>
      </c>
      <c r="RC9" s="41">
        <f t="shared" si="159"/>
        <v>14.799999999999999</v>
      </c>
      <c r="RD9" s="41">
        <f t="shared" si="160"/>
        <v>60.800000000000004</v>
      </c>
      <c r="RE9" s="41">
        <f t="shared" si="161"/>
        <v>6</v>
      </c>
      <c r="RF9" s="41">
        <f t="shared" si="162"/>
        <v>24.45</v>
      </c>
      <c r="RG9" s="41">
        <f t="shared" si="163"/>
        <v>85.25</v>
      </c>
    </row>
    <row r="10" spans="1:475" x14ac:dyDescent="0.2">
      <c r="A10" s="4" cm="1">
        <f t="array" ref="A10">IF(AND(H10&lt;&gt;"",H10&lt;&gt;"No DD"),SUMPRODUCT((H$4:H$19&lt;&gt;"")*(H$4:H$19&lt;&gt;"No DD")*(E$4:E$19&gt;E10))+1,IF(H10="No DD",SUMPRODUCT((H$4:H$19="No DD")*(E$4:E$19&gt;E10))+1+SUMPRODUCT((H$4:H$19&lt;&gt;"")*(H$4:H$19&lt;&gt;"No DD")),""))</f>
        <v>7</v>
      </c>
      <c r="B10" s="5" t="s">
        <v>149</v>
      </c>
      <c r="C10" s="4" t="s">
        <v>5</v>
      </c>
      <c r="D10" s="4">
        <v>2001</v>
      </c>
      <c r="E10" s="9">
        <f t="shared" si="0"/>
        <v>169.00001209000484</v>
      </c>
      <c r="F10" s="3" t="str">
        <f t="shared" si="1"/>
        <v>P</v>
      </c>
      <c r="G10" s="3" t="str">
        <f t="shared" si="2"/>
        <v>P</v>
      </c>
      <c r="H10" s="37" t="str">
        <f t="shared" si="3"/>
        <v>Worlds Team</v>
      </c>
      <c r="I10" s="3" t="str">
        <f t="shared" si="4"/>
        <v>P</v>
      </c>
      <c r="J10" s="8">
        <f>IF(COUNT(AQ10,BT10,CW10)&gt;0,LARGE((AQ10,BT10,CW10),1),0)</f>
        <v>48.3</v>
      </c>
      <c r="K10" s="8" t="str">
        <f t="shared" si="5"/>
        <v>2023 Elite Canada</v>
      </c>
      <c r="L10" s="8">
        <f>IF(COUNT(AQ10,BT10,CW10)&gt;1,LARGE((AQ10,BT10,CW10),2),0)</f>
        <v>48.099999999999994</v>
      </c>
      <c r="M10" s="8" t="str">
        <f t="shared" si="6"/>
        <v>2023 Nationals</v>
      </c>
      <c r="N10" s="8">
        <f>IF(COUNT(AR10,BU10,CX10)&gt;0,LARGE((AR10,BU10,CX10),1),0)</f>
        <v>24.5</v>
      </c>
      <c r="O10" s="8" t="str">
        <f t="shared" si="7"/>
        <v>2023 Domestic 3rd Trial</v>
      </c>
      <c r="P10" s="8">
        <f t="shared" si="8"/>
        <v>48.1</v>
      </c>
      <c r="Q10" s="8" t="str">
        <f t="shared" si="9"/>
        <v>2023 Domestic 3rd Trial</v>
      </c>
      <c r="R10" s="8" t="str">
        <f t="shared" si="10"/>
        <v/>
      </c>
      <c r="S10" s="11" t="str">
        <f t="shared" si="11"/>
        <v/>
      </c>
      <c r="T10" s="8" t="str">
        <f t="shared" si="12"/>
        <v/>
      </c>
      <c r="U10" s="19">
        <v>18.399999999999999</v>
      </c>
      <c r="V10" s="19">
        <v>5.6</v>
      </c>
      <c r="W10" s="19">
        <v>0</v>
      </c>
      <c r="X10" s="19">
        <v>0</v>
      </c>
      <c r="Y10" s="19">
        <v>18.5</v>
      </c>
      <c r="Z10" s="19">
        <v>6</v>
      </c>
      <c r="AA10" s="19">
        <v>0.2</v>
      </c>
      <c r="AB10" s="19">
        <v>0</v>
      </c>
      <c r="AC10" s="19">
        <v>16.2</v>
      </c>
      <c r="AD10" s="19">
        <v>4.8</v>
      </c>
      <c r="AE10" s="19">
        <v>1</v>
      </c>
      <c r="AF10" s="19">
        <v>0</v>
      </c>
      <c r="AG10" s="19">
        <v>18.399999999999999</v>
      </c>
      <c r="AH10" s="19">
        <v>5.2</v>
      </c>
      <c r="AI10" s="19">
        <v>1</v>
      </c>
      <c r="AJ10" s="19">
        <v>0</v>
      </c>
      <c r="AK10" s="19">
        <v>18.3</v>
      </c>
      <c r="AL10" s="19">
        <v>2</v>
      </c>
      <c r="AM10" s="19">
        <v>1</v>
      </c>
      <c r="AN10" s="19">
        <v>0</v>
      </c>
      <c r="AO10" s="28"/>
      <c r="AP10" s="41">
        <f t="shared" si="13"/>
        <v>11.6</v>
      </c>
      <c r="AQ10" s="41">
        <f t="shared" si="14"/>
        <v>48.3</v>
      </c>
      <c r="AR10" s="41">
        <f t="shared" si="15"/>
        <v>20</v>
      </c>
      <c r="AS10" s="41">
        <f t="shared" si="16"/>
        <v>16.399999999999999</v>
      </c>
      <c r="AT10" s="41">
        <f t="shared" si="17"/>
        <v>68.3</v>
      </c>
      <c r="AU10" s="41">
        <f t="shared" si="18"/>
        <v>7.2</v>
      </c>
      <c r="AV10" s="41">
        <f t="shared" si="19"/>
        <v>41.9</v>
      </c>
      <c r="AW10" s="41">
        <f t="shared" si="20"/>
        <v>110.19999999999999</v>
      </c>
      <c r="AX10" s="18">
        <v>18.399999999999999</v>
      </c>
      <c r="AY10" s="18">
        <v>5.6</v>
      </c>
      <c r="AZ10" s="18">
        <v>0.2</v>
      </c>
      <c r="BA10" s="18">
        <v>0</v>
      </c>
      <c r="BB10" s="18">
        <v>18.5</v>
      </c>
      <c r="BC10" s="18">
        <v>6</v>
      </c>
      <c r="BD10" s="18">
        <v>0.2</v>
      </c>
      <c r="BE10" s="18">
        <v>0</v>
      </c>
      <c r="BF10" s="18">
        <v>18.399999999999999</v>
      </c>
      <c r="BG10" s="18">
        <v>4.8</v>
      </c>
      <c r="BH10" s="18">
        <v>0.2</v>
      </c>
      <c r="BI10" s="18">
        <v>0</v>
      </c>
      <c r="BJ10" s="18">
        <v>18.5</v>
      </c>
      <c r="BK10" s="18">
        <v>5.2</v>
      </c>
      <c r="BL10" s="18">
        <v>0.2</v>
      </c>
      <c r="BM10" s="18">
        <v>0</v>
      </c>
      <c r="BN10" s="18">
        <v>18.399999999999999</v>
      </c>
      <c r="BO10" s="18">
        <v>6.4</v>
      </c>
      <c r="BP10" s="18">
        <v>0.8</v>
      </c>
      <c r="BQ10" s="18">
        <v>0</v>
      </c>
      <c r="BR10" s="29"/>
      <c r="BS10" s="11">
        <f t="shared" si="21"/>
        <v>11.6</v>
      </c>
      <c r="BT10" s="11">
        <f t="shared" si="22"/>
        <v>48.099999999999994</v>
      </c>
      <c r="BU10" s="11">
        <f t="shared" si="23"/>
        <v>23</v>
      </c>
      <c r="BV10" s="11">
        <f t="shared" si="24"/>
        <v>16.399999999999999</v>
      </c>
      <c r="BW10" s="11">
        <f t="shared" si="25"/>
        <v>71.099999999999994</v>
      </c>
      <c r="BX10" s="11">
        <f t="shared" si="26"/>
        <v>11.600000000000001</v>
      </c>
      <c r="BY10" s="11">
        <f t="shared" si="27"/>
        <v>47.499999999999993</v>
      </c>
      <c r="BZ10" s="11">
        <f t="shared" si="28"/>
        <v>118.6</v>
      </c>
      <c r="CA10" s="19">
        <v>18.2</v>
      </c>
      <c r="CB10" s="19">
        <v>5.6</v>
      </c>
      <c r="CC10" s="19">
        <v>0.2</v>
      </c>
      <c r="CD10" s="19">
        <v>0</v>
      </c>
      <c r="CE10" s="19">
        <v>19</v>
      </c>
      <c r="CF10" s="19">
        <v>5.0999999999999996</v>
      </c>
      <c r="CG10" s="19">
        <v>0</v>
      </c>
      <c r="CH10" s="19">
        <v>0.3</v>
      </c>
      <c r="CI10" s="19">
        <v>18.5</v>
      </c>
      <c r="CJ10" s="19">
        <v>6</v>
      </c>
      <c r="CK10" s="19">
        <v>0</v>
      </c>
      <c r="CL10" s="19">
        <v>0</v>
      </c>
      <c r="CM10" s="19">
        <v>18.5</v>
      </c>
      <c r="CN10" s="19">
        <v>5.6</v>
      </c>
      <c r="CO10" s="19">
        <v>0.6</v>
      </c>
      <c r="CP10" s="19">
        <v>0</v>
      </c>
      <c r="CQ10" s="19">
        <v>18.600000000000001</v>
      </c>
      <c r="CR10" s="19">
        <v>6</v>
      </c>
      <c r="CS10" s="19">
        <v>0</v>
      </c>
      <c r="CT10" s="19">
        <v>0</v>
      </c>
      <c r="CU10" s="28"/>
      <c r="CV10" s="41">
        <f t="shared" si="29"/>
        <v>10.7</v>
      </c>
      <c r="CW10" s="41">
        <f t="shared" si="30"/>
        <v>47.999999999999993</v>
      </c>
      <c r="CX10" s="41">
        <f t="shared" si="31"/>
        <v>24.5</v>
      </c>
      <c r="CY10" s="41">
        <f t="shared" si="32"/>
        <v>16.7</v>
      </c>
      <c r="CZ10" s="41">
        <f t="shared" si="33"/>
        <v>72.5</v>
      </c>
      <c r="DA10" s="41">
        <f t="shared" si="34"/>
        <v>11.6</v>
      </c>
      <c r="DB10" s="41">
        <f t="shared" si="35"/>
        <v>48.1</v>
      </c>
      <c r="DC10" s="41">
        <f t="shared" si="36"/>
        <v>120.6</v>
      </c>
      <c r="DD10" s="52" t="str">
        <f t="shared" si="37"/>
        <v/>
      </c>
      <c r="DE10" s="52" t="str">
        <f t="shared" si="38"/>
        <v/>
      </c>
      <c r="DF10" s="52" t="str">
        <f t="shared" si="39"/>
        <v/>
      </c>
      <c r="DG10" s="17">
        <v>17.899999999999999</v>
      </c>
      <c r="DH10" s="17">
        <v>4.8</v>
      </c>
      <c r="DI10" s="17">
        <v>0.6</v>
      </c>
      <c r="DJ10" s="17">
        <v>0</v>
      </c>
      <c r="DK10" s="17">
        <v>16.5</v>
      </c>
      <c r="DL10" s="17">
        <v>6</v>
      </c>
      <c r="DM10" s="17">
        <v>0.2</v>
      </c>
      <c r="DN10" s="17">
        <v>0</v>
      </c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41">
        <f t="shared" si="40"/>
        <v>10.8</v>
      </c>
      <c r="EB10" s="41">
        <f t="shared" si="41"/>
        <v>44.4</v>
      </c>
      <c r="EC10" s="41" t="str">
        <f t="shared" si="42"/>
        <v/>
      </c>
      <c r="ED10" s="41">
        <f t="shared" si="43"/>
        <v>10.8</v>
      </c>
      <c r="EE10" s="41">
        <f t="shared" si="44"/>
        <v>44.4</v>
      </c>
      <c r="EF10" s="41" t="str">
        <f t="shared" si="45"/>
        <v/>
      </c>
      <c r="EG10" s="41" t="str">
        <f t="shared" si="46"/>
        <v/>
      </c>
      <c r="EH10" s="41">
        <f t="shared" si="47"/>
        <v>44.4</v>
      </c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1" t="str">
        <f t="shared" si="48"/>
        <v/>
      </c>
      <c r="FD10" s="11" t="str">
        <f t="shared" si="49"/>
        <v/>
      </c>
      <c r="FE10" s="11" t="str">
        <f t="shared" si="50"/>
        <v/>
      </c>
      <c r="FF10" s="11" t="str">
        <f t="shared" si="51"/>
        <v/>
      </c>
      <c r="FG10" s="11" t="str">
        <f t="shared" si="52"/>
        <v/>
      </c>
      <c r="FH10" s="11" t="str">
        <f t="shared" si="53"/>
        <v/>
      </c>
      <c r="FI10" s="11" t="str">
        <f t="shared" si="54"/>
        <v/>
      </c>
      <c r="FJ10" s="11" t="str">
        <f t="shared" si="55"/>
        <v/>
      </c>
      <c r="FK10" s="17"/>
      <c r="FL10" s="17"/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41" t="str">
        <f t="shared" si="56"/>
        <v/>
      </c>
      <c r="GF10" s="41" t="str">
        <f t="shared" si="57"/>
        <v/>
      </c>
      <c r="GG10" s="41" t="str">
        <f t="shared" si="58"/>
        <v/>
      </c>
      <c r="GH10" s="41" t="str">
        <f t="shared" si="59"/>
        <v/>
      </c>
      <c r="GI10" s="41" t="str">
        <f t="shared" si="60"/>
        <v/>
      </c>
      <c r="GJ10" s="41" t="str">
        <f t="shared" si="61"/>
        <v/>
      </c>
      <c r="GK10" s="41" t="str">
        <f t="shared" si="62"/>
        <v/>
      </c>
      <c r="GL10" s="41" t="str">
        <f t="shared" si="63"/>
        <v/>
      </c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1" t="str">
        <f t="shared" si="64"/>
        <v/>
      </c>
      <c r="HH10" s="11" t="str">
        <f t="shared" si="65"/>
        <v/>
      </c>
      <c r="HI10" s="11" t="str">
        <f t="shared" si="66"/>
        <v/>
      </c>
      <c r="HJ10" s="11" t="str">
        <f t="shared" si="67"/>
        <v/>
      </c>
      <c r="HK10" s="11" t="str">
        <f t="shared" si="68"/>
        <v/>
      </c>
      <c r="HL10" s="11" t="str">
        <f t="shared" si="69"/>
        <v/>
      </c>
      <c r="HM10" s="11" t="str">
        <f t="shared" si="70"/>
        <v/>
      </c>
      <c r="HN10" s="11" t="str">
        <f t="shared" si="71"/>
        <v/>
      </c>
      <c r="HO10" s="17"/>
      <c r="HP10" s="17"/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41" t="str">
        <f t="shared" si="72"/>
        <v/>
      </c>
      <c r="IJ10" s="41" t="str">
        <f t="shared" si="73"/>
        <v/>
      </c>
      <c r="IK10" s="41" t="str">
        <f t="shared" si="74"/>
        <v/>
      </c>
      <c r="IL10" s="41" t="str">
        <f t="shared" si="75"/>
        <v/>
      </c>
      <c r="IM10" s="41" t="str">
        <f t="shared" si="76"/>
        <v/>
      </c>
      <c r="IN10" s="41" t="str">
        <f t="shared" si="77"/>
        <v/>
      </c>
      <c r="IO10" s="41" t="str">
        <f t="shared" si="78"/>
        <v/>
      </c>
      <c r="IP10" s="41" t="str">
        <f t="shared" si="79"/>
        <v/>
      </c>
      <c r="IQ10" s="18"/>
      <c r="IR10" s="18"/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1" t="str">
        <f t="shared" si="80"/>
        <v/>
      </c>
      <c r="JL10" s="11" t="str">
        <f t="shared" si="81"/>
        <v/>
      </c>
      <c r="JM10" s="11" t="str">
        <f t="shared" si="82"/>
        <v/>
      </c>
      <c r="JN10" s="11" t="str">
        <f t="shared" si="83"/>
        <v/>
      </c>
      <c r="JO10" s="11" t="str">
        <f t="shared" si="84"/>
        <v/>
      </c>
      <c r="JP10" s="11" t="str">
        <f t="shared" si="85"/>
        <v/>
      </c>
      <c r="JQ10" s="11" t="str">
        <f t="shared" si="86"/>
        <v/>
      </c>
      <c r="JR10" s="11" t="str">
        <f t="shared" si="87"/>
        <v/>
      </c>
      <c r="JS10" s="17"/>
      <c r="JT10" s="17"/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41" t="str">
        <f t="shared" si="88"/>
        <v/>
      </c>
      <c r="KN10" s="41" t="str">
        <f t="shared" si="89"/>
        <v/>
      </c>
      <c r="KO10" s="41" t="str">
        <f t="shared" si="90"/>
        <v/>
      </c>
      <c r="KP10" s="41" t="str">
        <f t="shared" si="91"/>
        <v/>
      </c>
      <c r="KQ10" s="41" t="str">
        <f t="shared" si="92"/>
        <v/>
      </c>
      <c r="KR10" s="41" t="str">
        <f t="shared" si="93"/>
        <v/>
      </c>
      <c r="KS10" s="41" t="str">
        <f t="shared" si="94"/>
        <v/>
      </c>
      <c r="KT10" s="41" t="str">
        <f t="shared" si="95"/>
        <v/>
      </c>
      <c r="KU10" s="18"/>
      <c r="KV10" s="18"/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1" t="str">
        <f t="shared" si="96"/>
        <v/>
      </c>
      <c r="LP10" s="11" t="str">
        <f t="shared" si="97"/>
        <v/>
      </c>
      <c r="LQ10" s="11" t="str">
        <f t="shared" si="98"/>
        <v/>
      </c>
      <c r="LR10" s="11" t="str">
        <f t="shared" si="99"/>
        <v/>
      </c>
      <c r="LS10" s="11" t="str">
        <f t="shared" si="100"/>
        <v/>
      </c>
      <c r="LT10" s="11" t="str">
        <f t="shared" si="101"/>
        <v/>
      </c>
      <c r="LU10" s="11" t="str">
        <f t="shared" si="102"/>
        <v/>
      </c>
      <c r="LV10" s="11" t="str">
        <f t="shared" si="103"/>
        <v/>
      </c>
      <c r="LW10" s="17"/>
      <c r="LX10" s="17"/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41" t="str">
        <f t="shared" si="104"/>
        <v/>
      </c>
      <c r="MR10" s="41" t="str">
        <f t="shared" si="105"/>
        <v/>
      </c>
      <c r="MS10" s="41" t="str">
        <f t="shared" si="106"/>
        <v/>
      </c>
      <c r="MT10" s="41" t="str">
        <f t="shared" si="107"/>
        <v/>
      </c>
      <c r="MU10" s="41" t="str">
        <f t="shared" si="108"/>
        <v/>
      </c>
      <c r="MV10" s="41" t="str">
        <f t="shared" si="109"/>
        <v/>
      </c>
      <c r="MW10" s="41" t="str">
        <f t="shared" si="110"/>
        <v/>
      </c>
      <c r="MX10" s="41" t="str">
        <f t="shared" si="111"/>
        <v/>
      </c>
      <c r="MY10" s="18"/>
      <c r="MZ10" s="18"/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1" t="str">
        <f t="shared" si="112"/>
        <v/>
      </c>
      <c r="NT10" s="11" t="str">
        <f t="shared" si="113"/>
        <v/>
      </c>
      <c r="NU10" s="11" t="str">
        <f t="shared" si="114"/>
        <v/>
      </c>
      <c r="NV10" s="11" t="str">
        <f t="shared" si="115"/>
        <v/>
      </c>
      <c r="NW10" s="11" t="str">
        <f t="shared" si="116"/>
        <v/>
      </c>
      <c r="NX10" s="11" t="str">
        <f t="shared" si="117"/>
        <v/>
      </c>
      <c r="NY10" s="11" t="str">
        <f t="shared" si="118"/>
        <v/>
      </c>
      <c r="NZ10" s="11" t="str">
        <f t="shared" si="119"/>
        <v/>
      </c>
      <c r="OA10" s="17"/>
      <c r="OB10" s="17"/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41" t="str">
        <f t="shared" si="120"/>
        <v/>
      </c>
      <c r="OV10" s="41" t="str">
        <f t="shared" si="121"/>
        <v/>
      </c>
      <c r="OW10" s="41" t="str">
        <f t="shared" si="122"/>
        <v/>
      </c>
      <c r="OX10" s="41" t="str">
        <f t="shared" si="123"/>
        <v/>
      </c>
      <c r="OY10" s="41" t="str">
        <f t="shared" si="124"/>
        <v/>
      </c>
      <c r="OZ10" s="41" t="str">
        <f t="shared" si="125"/>
        <v/>
      </c>
      <c r="PA10" s="41" t="str">
        <f t="shared" si="126"/>
        <v/>
      </c>
      <c r="PB10" s="41" t="str">
        <f t="shared" si="127"/>
        <v/>
      </c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1" t="str">
        <f t="shared" si="128"/>
        <v/>
      </c>
      <c r="PX10" s="11" t="str">
        <f t="shared" si="129"/>
        <v/>
      </c>
      <c r="PY10" s="11" t="str">
        <f t="shared" si="130"/>
        <v/>
      </c>
      <c r="PZ10" s="11" t="str">
        <f t="shared" si="131"/>
        <v/>
      </c>
      <c r="QA10" s="11" t="str">
        <f t="shared" si="132"/>
        <v/>
      </c>
      <c r="QB10" s="11" t="str">
        <f t="shared" si="133"/>
        <v/>
      </c>
      <c r="QC10" s="11" t="str">
        <f t="shared" si="134"/>
        <v/>
      </c>
      <c r="QD10" s="11" t="str">
        <f t="shared" si="135"/>
        <v/>
      </c>
      <c r="QE10" s="23">
        <f t="shared" si="136"/>
        <v>18.299999999999997</v>
      </c>
      <c r="QF10" s="23">
        <f t="shared" si="137"/>
        <v>5.6</v>
      </c>
      <c r="QG10" s="23">
        <f t="shared" si="138"/>
        <v>0.2</v>
      </c>
      <c r="QH10" s="23">
        <f t="shared" si="139"/>
        <v>0</v>
      </c>
      <c r="QI10" s="23">
        <f t="shared" si="140"/>
        <v>18.75</v>
      </c>
      <c r="QJ10" s="23">
        <f t="shared" si="141"/>
        <v>5.55</v>
      </c>
      <c r="QK10" s="23">
        <f t="shared" si="142"/>
        <v>0.1</v>
      </c>
      <c r="QL10" s="23">
        <f t="shared" si="143"/>
        <v>0.15</v>
      </c>
      <c r="QM10" s="23">
        <f t="shared" si="144"/>
        <v>18.45</v>
      </c>
      <c r="QN10" s="23">
        <f t="shared" si="145"/>
        <v>5.4</v>
      </c>
      <c r="QO10" s="23">
        <f t="shared" si="146"/>
        <v>0.1</v>
      </c>
      <c r="QP10" s="23">
        <f t="shared" si="147"/>
        <v>0</v>
      </c>
      <c r="QQ10" s="23">
        <f t="shared" si="148"/>
        <v>18.5</v>
      </c>
      <c r="QR10" s="23">
        <f t="shared" si="149"/>
        <v>5.4</v>
      </c>
      <c r="QS10" s="23">
        <f t="shared" si="150"/>
        <v>0.4</v>
      </c>
      <c r="QT10" s="23">
        <f t="shared" si="151"/>
        <v>0</v>
      </c>
      <c r="QU10" s="23">
        <f t="shared" si="152"/>
        <v>18.5</v>
      </c>
      <c r="QV10" s="23">
        <f t="shared" si="153"/>
        <v>6.2</v>
      </c>
      <c r="QW10" s="23">
        <f t="shared" si="154"/>
        <v>0.4</v>
      </c>
      <c r="QX10" s="23">
        <f t="shared" si="155"/>
        <v>0</v>
      </c>
      <c r="QY10" s="28" t="s">
        <v>57</v>
      </c>
      <c r="QZ10" s="41">
        <f t="shared" si="156"/>
        <v>11.149999999999999</v>
      </c>
      <c r="RA10" s="41">
        <f t="shared" si="157"/>
        <v>48.04999999999999</v>
      </c>
      <c r="RB10" s="41">
        <f t="shared" si="158"/>
        <v>23.75</v>
      </c>
      <c r="RC10" s="41">
        <f t="shared" si="159"/>
        <v>16.549999999999997</v>
      </c>
      <c r="RD10" s="41">
        <f t="shared" si="160"/>
        <v>71.799999999999983</v>
      </c>
      <c r="RE10" s="41">
        <f t="shared" si="161"/>
        <v>11.600000000000001</v>
      </c>
      <c r="RF10" s="41">
        <f t="shared" si="162"/>
        <v>47.800000000000004</v>
      </c>
      <c r="RG10" s="41">
        <f t="shared" si="163"/>
        <v>119.6</v>
      </c>
    </row>
    <row r="11" spans="1:475" x14ac:dyDescent="0.2">
      <c r="A11" s="4" cm="1">
        <f t="array" ref="A11">IF(AND(H11&lt;&gt;"",H11&lt;&gt;"No DD"),SUMPRODUCT((H$4:H$19&lt;&gt;"")*(H$4:H$19&lt;&gt;"No DD")*(E$4:E$19&gt;E11))+1,IF(H11="No DD",SUMPRODUCT((H$4:H$19="No DD")*(E$4:E$19&gt;E11))+1+SUMPRODUCT((H$4:H$19&lt;&gt;"")*(H$4:H$19&lt;&gt;"No DD")),""))</f>
        <v>8</v>
      </c>
      <c r="B11" s="5" t="s">
        <v>97</v>
      </c>
      <c r="C11" s="4" t="s">
        <v>6</v>
      </c>
      <c r="D11" s="4">
        <v>2004</v>
      </c>
      <c r="E11" s="9">
        <f t="shared" si="0"/>
        <v>167.90001197000487</v>
      </c>
      <c r="F11" s="3" t="str">
        <f t="shared" si="1"/>
        <v>P</v>
      </c>
      <c r="G11" s="3" t="str">
        <f t="shared" si="2"/>
        <v>P</v>
      </c>
      <c r="H11" s="37" t="str">
        <f t="shared" si="3"/>
        <v>Worlds Team</v>
      </c>
      <c r="I11" s="3" t="str">
        <f t="shared" si="4"/>
        <v>P</v>
      </c>
      <c r="J11" s="8">
        <f>IF(COUNT(AQ11,BT11,CW11)&gt;0,LARGE((AQ11,BT11,CW11),1),0)</f>
        <v>48.6</v>
      </c>
      <c r="K11" s="8" t="str">
        <f t="shared" si="5"/>
        <v>2023 Elite Canada</v>
      </c>
      <c r="L11" s="8">
        <f>IF(COUNT(AQ11,BT11,CW11)&gt;1,LARGE((AQ11,BT11,CW11),2),0)</f>
        <v>47.100000000000009</v>
      </c>
      <c r="M11" s="8" t="str">
        <f t="shared" si="6"/>
        <v>2023 Nationals</v>
      </c>
      <c r="N11" s="8">
        <f>IF(COUNT(AR11,BU11,CX11)&gt;0,LARGE((AR11,BU11,CX11),1),0)</f>
        <v>24</v>
      </c>
      <c r="O11" s="8" t="str">
        <f t="shared" si="7"/>
        <v>2023 Elite Canada</v>
      </c>
      <c r="P11" s="8">
        <f t="shared" si="8"/>
        <v>47.1</v>
      </c>
      <c r="Q11" s="8" t="str">
        <f t="shared" si="9"/>
        <v>2023 Elite Canada</v>
      </c>
      <c r="R11" s="8">
        <f t="shared" si="10"/>
        <v>1.0999999999999872</v>
      </c>
      <c r="S11" s="11" t="str">
        <f t="shared" si="11"/>
        <v>(Q1)</v>
      </c>
      <c r="T11" s="8" t="str">
        <f t="shared" si="12"/>
        <v>2023 World Cup POR 2 (July 8)</v>
      </c>
      <c r="U11" s="19">
        <v>18.5</v>
      </c>
      <c r="V11" s="19">
        <v>6</v>
      </c>
      <c r="W11" s="19">
        <v>0.2</v>
      </c>
      <c r="X11" s="19">
        <v>0</v>
      </c>
      <c r="Y11" s="19">
        <v>18.7</v>
      </c>
      <c r="Z11" s="19">
        <v>5.6</v>
      </c>
      <c r="AA11" s="19">
        <v>0</v>
      </c>
      <c r="AB11" s="19">
        <v>0</v>
      </c>
      <c r="AC11" s="19">
        <v>18.8</v>
      </c>
      <c r="AD11" s="19">
        <v>5.2</v>
      </c>
      <c r="AE11" s="19">
        <v>0</v>
      </c>
      <c r="AF11" s="19">
        <v>0</v>
      </c>
      <c r="AG11" s="19">
        <v>18.2</v>
      </c>
      <c r="AH11" s="19">
        <v>5.6</v>
      </c>
      <c r="AI11" s="19">
        <v>0.2</v>
      </c>
      <c r="AJ11" s="19">
        <v>0</v>
      </c>
      <c r="AK11" s="19">
        <v>18.7</v>
      </c>
      <c r="AL11" s="19">
        <v>5.6</v>
      </c>
      <c r="AM11" s="19">
        <v>0.8</v>
      </c>
      <c r="AN11" s="19">
        <v>0</v>
      </c>
      <c r="AO11" s="28"/>
      <c r="AP11" s="41">
        <f t="shared" si="13"/>
        <v>11.6</v>
      </c>
      <c r="AQ11" s="41">
        <f t="shared" si="14"/>
        <v>48.6</v>
      </c>
      <c r="AR11" s="41">
        <f t="shared" si="15"/>
        <v>24</v>
      </c>
      <c r="AS11" s="41">
        <f t="shared" si="16"/>
        <v>16.8</v>
      </c>
      <c r="AT11" s="41">
        <f t="shared" si="17"/>
        <v>72.599999999999994</v>
      </c>
      <c r="AU11" s="41">
        <f t="shared" si="18"/>
        <v>11.2</v>
      </c>
      <c r="AV11" s="41">
        <f t="shared" si="19"/>
        <v>47.1</v>
      </c>
      <c r="AW11" s="41">
        <f t="shared" si="20"/>
        <v>119.69999999999999</v>
      </c>
      <c r="AX11" s="18">
        <v>17</v>
      </c>
      <c r="AY11" s="18">
        <v>6.4</v>
      </c>
      <c r="AZ11" s="18">
        <v>0.8</v>
      </c>
      <c r="BA11" s="18">
        <v>0</v>
      </c>
      <c r="BB11" s="18">
        <v>19.3</v>
      </c>
      <c r="BC11" s="18">
        <v>5.2</v>
      </c>
      <c r="BD11" s="18">
        <v>0</v>
      </c>
      <c r="BE11" s="18">
        <v>0</v>
      </c>
      <c r="BF11" s="18">
        <v>18.7</v>
      </c>
      <c r="BG11" s="18">
        <v>5.2</v>
      </c>
      <c r="BH11" s="18">
        <v>0</v>
      </c>
      <c r="BI11" s="18">
        <v>0</v>
      </c>
      <c r="BJ11" s="18">
        <v>17.600000000000001</v>
      </c>
      <c r="BK11" s="18">
        <v>2.8</v>
      </c>
      <c r="BL11" s="18">
        <v>0</v>
      </c>
      <c r="BM11" s="18">
        <v>0</v>
      </c>
      <c r="BN11" s="18">
        <v>18.600000000000001</v>
      </c>
      <c r="BO11" s="18">
        <v>6</v>
      </c>
      <c r="BP11" s="18">
        <v>0.6</v>
      </c>
      <c r="BQ11" s="18">
        <v>0</v>
      </c>
      <c r="BR11" s="29"/>
      <c r="BS11" s="11">
        <f t="shared" si="21"/>
        <v>11.600000000000001</v>
      </c>
      <c r="BT11" s="11">
        <f t="shared" si="22"/>
        <v>47.100000000000009</v>
      </c>
      <c r="BU11" s="11">
        <f t="shared" si="23"/>
        <v>23.9</v>
      </c>
      <c r="BV11" s="11">
        <f t="shared" si="24"/>
        <v>16.8</v>
      </c>
      <c r="BW11" s="11">
        <f t="shared" si="25"/>
        <v>71</v>
      </c>
      <c r="BX11" s="11">
        <f t="shared" si="26"/>
        <v>8.8000000000000007</v>
      </c>
      <c r="BY11" s="11">
        <f t="shared" si="27"/>
        <v>44.4</v>
      </c>
      <c r="BZ11" s="11">
        <f t="shared" si="28"/>
        <v>115.4</v>
      </c>
      <c r="CA11" s="19">
        <v>18.600000000000001</v>
      </c>
      <c r="CB11" s="19">
        <v>6.4</v>
      </c>
      <c r="CC11" s="19">
        <v>0</v>
      </c>
      <c r="CD11" s="19">
        <v>0</v>
      </c>
      <c r="CE11" s="19">
        <v>18.100000000000001</v>
      </c>
      <c r="CF11" s="19">
        <v>4.4000000000000004</v>
      </c>
      <c r="CG11" s="19">
        <v>0.6</v>
      </c>
      <c r="CH11" s="19">
        <v>0</v>
      </c>
      <c r="CI11" s="19">
        <v>18.100000000000001</v>
      </c>
      <c r="CJ11" s="19">
        <v>5.2</v>
      </c>
      <c r="CK11" s="19">
        <v>0.6</v>
      </c>
      <c r="CL11" s="19">
        <v>0</v>
      </c>
      <c r="CM11" s="19">
        <v>18</v>
      </c>
      <c r="CN11" s="19">
        <v>6.4</v>
      </c>
      <c r="CO11" s="19">
        <v>0.6</v>
      </c>
      <c r="CP11" s="19">
        <v>0</v>
      </c>
      <c r="CQ11" s="19">
        <v>0</v>
      </c>
      <c r="CR11" s="19">
        <v>0</v>
      </c>
      <c r="CS11" s="19">
        <v>0</v>
      </c>
      <c r="CT11" s="19">
        <v>0</v>
      </c>
      <c r="CU11" s="28"/>
      <c r="CV11" s="41">
        <f t="shared" si="29"/>
        <v>10.8</v>
      </c>
      <c r="CW11" s="41">
        <f t="shared" si="30"/>
        <v>46.9</v>
      </c>
      <c r="CX11" s="41">
        <f t="shared" si="31"/>
        <v>22.7</v>
      </c>
      <c r="CY11" s="41">
        <f t="shared" si="32"/>
        <v>16</v>
      </c>
      <c r="CZ11" s="41">
        <f t="shared" si="33"/>
        <v>69.599999999999994</v>
      </c>
      <c r="DA11" s="41">
        <f t="shared" si="34"/>
        <v>6.4</v>
      </c>
      <c r="DB11" s="41">
        <f t="shared" si="35"/>
        <v>23.799999999999997</v>
      </c>
      <c r="DC11" s="41">
        <f t="shared" si="36"/>
        <v>93.399999999999991</v>
      </c>
      <c r="DD11" s="52">
        <f t="shared" si="37"/>
        <v>1.0999999999999872</v>
      </c>
      <c r="DE11" s="52" t="str">
        <f t="shared" si="38"/>
        <v/>
      </c>
      <c r="DF11" s="52" t="str">
        <f t="shared" si="39"/>
        <v/>
      </c>
      <c r="DG11" s="17">
        <v>16.899999999999999</v>
      </c>
      <c r="DH11" s="17">
        <v>6</v>
      </c>
      <c r="DI11" s="17">
        <v>0.8</v>
      </c>
      <c r="DJ11" s="17">
        <v>0</v>
      </c>
      <c r="DK11" s="17">
        <v>18.8</v>
      </c>
      <c r="DL11" s="17">
        <v>5.6</v>
      </c>
      <c r="DM11" s="17">
        <v>0</v>
      </c>
      <c r="DN11" s="17">
        <v>0</v>
      </c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41">
        <f t="shared" si="40"/>
        <v>11.6</v>
      </c>
      <c r="EB11" s="41">
        <f t="shared" si="41"/>
        <v>46.500000000000007</v>
      </c>
      <c r="EC11" s="41" t="str">
        <f t="shared" si="42"/>
        <v/>
      </c>
      <c r="ED11" s="41">
        <f t="shared" si="43"/>
        <v>11.6</v>
      </c>
      <c r="EE11" s="41">
        <f t="shared" si="44"/>
        <v>46.500000000000007</v>
      </c>
      <c r="EF11" s="41" t="str">
        <f t="shared" si="45"/>
        <v/>
      </c>
      <c r="EG11" s="41" t="str">
        <f t="shared" si="46"/>
        <v/>
      </c>
      <c r="EH11" s="41">
        <f t="shared" si="47"/>
        <v>46.500000000000007</v>
      </c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>
        <v>16.7</v>
      </c>
      <c r="EV11" s="18">
        <v>6.9</v>
      </c>
      <c r="EW11" s="18">
        <v>0.2</v>
      </c>
      <c r="EX11" s="18">
        <v>0</v>
      </c>
      <c r="EY11" s="18">
        <v>17.600000000000001</v>
      </c>
      <c r="EZ11" s="18">
        <v>2.8</v>
      </c>
      <c r="FA11" s="18">
        <v>0</v>
      </c>
      <c r="FB11" s="18">
        <v>0</v>
      </c>
      <c r="FC11" s="11" t="str">
        <f t="shared" si="48"/>
        <v/>
      </c>
      <c r="FD11" s="11" t="str">
        <f t="shared" si="49"/>
        <v/>
      </c>
      <c r="FE11" s="11" t="str">
        <f t="shared" si="50"/>
        <v/>
      </c>
      <c r="FF11" s="11" t="str">
        <f t="shared" si="51"/>
        <v/>
      </c>
      <c r="FG11" s="11" t="str">
        <f t="shared" si="52"/>
        <v/>
      </c>
      <c r="FH11" s="11">
        <f t="shared" si="53"/>
        <v>9.6999999999999993</v>
      </c>
      <c r="FI11" s="11">
        <f t="shared" si="54"/>
        <v>43.8</v>
      </c>
      <c r="FJ11" s="11">
        <f t="shared" si="55"/>
        <v>43.8</v>
      </c>
      <c r="FK11" s="17"/>
      <c r="FL11" s="17"/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41" t="str">
        <f t="shared" si="56"/>
        <v/>
      </c>
      <c r="GF11" s="41" t="str">
        <f t="shared" si="57"/>
        <v/>
      </c>
      <c r="GG11" s="41" t="str">
        <f t="shared" si="58"/>
        <v/>
      </c>
      <c r="GH11" s="41" t="str">
        <f t="shared" si="59"/>
        <v/>
      </c>
      <c r="GI11" s="41" t="str">
        <f t="shared" si="60"/>
        <v/>
      </c>
      <c r="GJ11" s="41" t="str">
        <f t="shared" si="61"/>
        <v/>
      </c>
      <c r="GK11" s="41" t="str">
        <f t="shared" si="62"/>
        <v/>
      </c>
      <c r="GL11" s="41" t="str">
        <f t="shared" si="63"/>
        <v/>
      </c>
      <c r="GM11" s="18">
        <v>18.7</v>
      </c>
      <c r="GN11" s="18">
        <v>6.4</v>
      </c>
      <c r="GO11" s="18">
        <v>0.2</v>
      </c>
      <c r="GP11" s="18">
        <v>0</v>
      </c>
      <c r="GQ11" s="18">
        <v>16.600000000000001</v>
      </c>
      <c r="GR11" s="18">
        <v>6.9</v>
      </c>
      <c r="GS11" s="18">
        <v>0.2</v>
      </c>
      <c r="GT11" s="18">
        <v>0</v>
      </c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1">
        <f t="shared" si="64"/>
        <v>13.3</v>
      </c>
      <c r="HH11" s="11">
        <f t="shared" si="65"/>
        <v>48.199999999999996</v>
      </c>
      <c r="HI11" s="11" t="str">
        <f t="shared" si="66"/>
        <v/>
      </c>
      <c r="HJ11" s="11">
        <f t="shared" si="67"/>
        <v>13.3</v>
      </c>
      <c r="HK11" s="11">
        <f t="shared" si="68"/>
        <v>48.199999999999996</v>
      </c>
      <c r="HL11" s="11" t="str">
        <f t="shared" si="69"/>
        <v/>
      </c>
      <c r="HM11" s="11" t="str">
        <f t="shared" si="70"/>
        <v/>
      </c>
      <c r="HN11" s="11">
        <f t="shared" si="71"/>
        <v>48.199999999999996</v>
      </c>
      <c r="HO11" s="17"/>
      <c r="HP11" s="17"/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41" t="str">
        <f t="shared" si="72"/>
        <v/>
      </c>
      <c r="IJ11" s="41" t="str">
        <f t="shared" si="73"/>
        <v/>
      </c>
      <c r="IK11" s="41" t="str">
        <f t="shared" si="74"/>
        <v/>
      </c>
      <c r="IL11" s="41" t="str">
        <f t="shared" si="75"/>
        <v/>
      </c>
      <c r="IM11" s="41" t="str">
        <f t="shared" si="76"/>
        <v/>
      </c>
      <c r="IN11" s="41" t="str">
        <f t="shared" si="77"/>
        <v/>
      </c>
      <c r="IO11" s="41" t="str">
        <f t="shared" si="78"/>
        <v/>
      </c>
      <c r="IP11" s="41" t="str">
        <f t="shared" si="79"/>
        <v/>
      </c>
      <c r="IQ11" s="18"/>
      <c r="IR11" s="18"/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1" t="str">
        <f t="shared" si="80"/>
        <v/>
      </c>
      <c r="JL11" s="11" t="str">
        <f t="shared" si="81"/>
        <v/>
      </c>
      <c r="JM11" s="11" t="str">
        <f t="shared" si="82"/>
        <v/>
      </c>
      <c r="JN11" s="11" t="str">
        <f t="shared" si="83"/>
        <v/>
      </c>
      <c r="JO11" s="11" t="str">
        <f t="shared" si="84"/>
        <v/>
      </c>
      <c r="JP11" s="11" t="str">
        <f t="shared" si="85"/>
        <v/>
      </c>
      <c r="JQ11" s="11" t="str">
        <f t="shared" si="86"/>
        <v/>
      </c>
      <c r="JR11" s="11" t="str">
        <f t="shared" si="87"/>
        <v/>
      </c>
      <c r="JS11" s="17">
        <v>0</v>
      </c>
      <c r="JT11" s="17">
        <v>0</v>
      </c>
      <c r="JU11" s="17">
        <v>0</v>
      </c>
      <c r="JV11" s="17">
        <v>0</v>
      </c>
      <c r="JW11" s="17">
        <v>17.399999999999999</v>
      </c>
      <c r="JX11" s="17">
        <v>2.8</v>
      </c>
      <c r="JY11" s="17">
        <v>0</v>
      </c>
      <c r="JZ11" s="17">
        <v>0</v>
      </c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41">
        <f t="shared" si="88"/>
        <v>2.8</v>
      </c>
      <c r="KN11" s="41">
        <f t="shared" si="89"/>
        <v>20.2</v>
      </c>
      <c r="KO11" s="41" t="str">
        <f t="shared" si="90"/>
        <v/>
      </c>
      <c r="KP11" s="41">
        <f t="shared" si="91"/>
        <v>2.8</v>
      </c>
      <c r="KQ11" s="41">
        <f t="shared" si="92"/>
        <v>20.2</v>
      </c>
      <c r="KR11" s="41" t="str">
        <f t="shared" si="93"/>
        <v/>
      </c>
      <c r="KS11" s="41" t="str">
        <f t="shared" si="94"/>
        <v/>
      </c>
      <c r="KT11" s="41">
        <f t="shared" si="95"/>
        <v>20.2</v>
      </c>
      <c r="KU11" s="18"/>
      <c r="KV11" s="18"/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1" t="str">
        <f t="shared" si="96"/>
        <v/>
      </c>
      <c r="LP11" s="11" t="str">
        <f t="shared" si="97"/>
        <v/>
      </c>
      <c r="LQ11" s="11" t="str">
        <f t="shared" si="98"/>
        <v/>
      </c>
      <c r="LR11" s="11" t="str">
        <f t="shared" si="99"/>
        <v/>
      </c>
      <c r="LS11" s="11" t="str">
        <f t="shared" si="100"/>
        <v/>
      </c>
      <c r="LT11" s="11" t="str">
        <f t="shared" si="101"/>
        <v/>
      </c>
      <c r="LU11" s="11" t="str">
        <f t="shared" si="102"/>
        <v/>
      </c>
      <c r="LV11" s="11" t="str">
        <f t="shared" si="103"/>
        <v/>
      </c>
      <c r="LW11" s="17"/>
      <c r="LX11" s="17"/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41" t="str">
        <f t="shared" si="104"/>
        <v/>
      </c>
      <c r="MR11" s="41" t="str">
        <f t="shared" si="105"/>
        <v/>
      </c>
      <c r="MS11" s="41" t="str">
        <f t="shared" si="106"/>
        <v/>
      </c>
      <c r="MT11" s="41" t="str">
        <f t="shared" si="107"/>
        <v/>
      </c>
      <c r="MU11" s="41" t="str">
        <f t="shared" si="108"/>
        <v/>
      </c>
      <c r="MV11" s="41" t="str">
        <f t="shared" si="109"/>
        <v/>
      </c>
      <c r="MW11" s="41" t="str">
        <f t="shared" si="110"/>
        <v/>
      </c>
      <c r="MX11" s="41" t="str">
        <f t="shared" si="111"/>
        <v/>
      </c>
      <c r="MY11" s="18"/>
      <c r="MZ11" s="18"/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1" t="str">
        <f t="shared" si="112"/>
        <v/>
      </c>
      <c r="NT11" s="11" t="str">
        <f t="shared" si="113"/>
        <v/>
      </c>
      <c r="NU11" s="11" t="str">
        <f t="shared" si="114"/>
        <v/>
      </c>
      <c r="NV11" s="11" t="str">
        <f t="shared" si="115"/>
        <v/>
      </c>
      <c r="NW11" s="11" t="str">
        <f t="shared" si="116"/>
        <v/>
      </c>
      <c r="NX11" s="11" t="str">
        <f t="shared" si="117"/>
        <v/>
      </c>
      <c r="NY11" s="11" t="str">
        <f t="shared" si="118"/>
        <v/>
      </c>
      <c r="NZ11" s="11" t="str">
        <f t="shared" si="119"/>
        <v/>
      </c>
      <c r="OA11" s="17"/>
      <c r="OB11" s="17"/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41" t="str">
        <f t="shared" si="120"/>
        <v/>
      </c>
      <c r="OV11" s="41" t="str">
        <f t="shared" si="121"/>
        <v/>
      </c>
      <c r="OW11" s="41" t="str">
        <f t="shared" si="122"/>
        <v/>
      </c>
      <c r="OX11" s="41" t="str">
        <f t="shared" si="123"/>
        <v/>
      </c>
      <c r="OY11" s="41" t="str">
        <f t="shared" si="124"/>
        <v/>
      </c>
      <c r="OZ11" s="41" t="str">
        <f t="shared" si="125"/>
        <v/>
      </c>
      <c r="PA11" s="41" t="str">
        <f t="shared" si="126"/>
        <v/>
      </c>
      <c r="PB11" s="41" t="str">
        <f t="shared" si="127"/>
        <v/>
      </c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1" t="str">
        <f t="shared" si="128"/>
        <v/>
      </c>
      <c r="PX11" s="11" t="str">
        <f t="shared" si="129"/>
        <v/>
      </c>
      <c r="PY11" s="11" t="str">
        <f t="shared" si="130"/>
        <v/>
      </c>
      <c r="PZ11" s="11" t="str">
        <f t="shared" si="131"/>
        <v/>
      </c>
      <c r="QA11" s="11" t="str">
        <f t="shared" si="132"/>
        <v/>
      </c>
      <c r="QB11" s="11" t="str">
        <f t="shared" si="133"/>
        <v/>
      </c>
      <c r="QC11" s="11" t="str">
        <f t="shared" si="134"/>
        <v/>
      </c>
      <c r="QD11" s="11" t="str">
        <f t="shared" si="135"/>
        <v/>
      </c>
      <c r="QE11" s="23">
        <f t="shared" si="136"/>
        <v>17.8</v>
      </c>
      <c r="QF11" s="23">
        <f t="shared" si="137"/>
        <v>6.4</v>
      </c>
      <c r="QG11" s="23">
        <f t="shared" si="138"/>
        <v>0.4</v>
      </c>
      <c r="QH11" s="23">
        <f t="shared" si="139"/>
        <v>0</v>
      </c>
      <c r="QI11" s="23">
        <f t="shared" si="140"/>
        <v>18.700000000000003</v>
      </c>
      <c r="QJ11" s="23">
        <f t="shared" si="141"/>
        <v>4.8000000000000007</v>
      </c>
      <c r="QK11" s="23">
        <f t="shared" si="142"/>
        <v>0.3</v>
      </c>
      <c r="QL11" s="23">
        <f t="shared" si="143"/>
        <v>0</v>
      </c>
      <c r="QM11" s="23">
        <f t="shared" si="144"/>
        <v>18.399999999999999</v>
      </c>
      <c r="QN11" s="23">
        <f t="shared" si="145"/>
        <v>5.2</v>
      </c>
      <c r="QO11" s="23">
        <f t="shared" si="146"/>
        <v>0.3</v>
      </c>
      <c r="QP11" s="23">
        <f t="shared" si="147"/>
        <v>0</v>
      </c>
      <c r="QQ11" s="23">
        <f t="shared" si="148"/>
        <v>17.8</v>
      </c>
      <c r="QR11" s="23">
        <f t="shared" si="149"/>
        <v>4.5999999999999996</v>
      </c>
      <c r="QS11" s="23">
        <f t="shared" si="150"/>
        <v>0.3</v>
      </c>
      <c r="QT11" s="23">
        <f t="shared" si="151"/>
        <v>0</v>
      </c>
      <c r="QU11" s="23">
        <f t="shared" si="152"/>
        <v>9.3000000000000007</v>
      </c>
      <c r="QV11" s="23">
        <f t="shared" si="153"/>
        <v>3</v>
      </c>
      <c r="QW11" s="23">
        <f t="shared" si="154"/>
        <v>0.3</v>
      </c>
      <c r="QX11" s="23">
        <f t="shared" si="155"/>
        <v>0</v>
      </c>
      <c r="QY11" s="28" t="s">
        <v>57</v>
      </c>
      <c r="QZ11" s="41">
        <f t="shared" si="156"/>
        <v>11.200000000000001</v>
      </c>
      <c r="RA11" s="41">
        <f t="shared" si="157"/>
        <v>47.000000000000007</v>
      </c>
      <c r="RB11" s="41">
        <f t="shared" si="158"/>
        <v>23.299999999999997</v>
      </c>
      <c r="RC11" s="41">
        <f t="shared" si="159"/>
        <v>16.400000000000002</v>
      </c>
      <c r="RD11" s="41">
        <f t="shared" si="160"/>
        <v>70.300000000000011</v>
      </c>
      <c r="RE11" s="41">
        <f t="shared" si="161"/>
        <v>7.6</v>
      </c>
      <c r="RF11" s="41">
        <f t="shared" si="162"/>
        <v>34.1</v>
      </c>
      <c r="RG11" s="41">
        <f t="shared" si="163"/>
        <v>104.4</v>
      </c>
    </row>
    <row r="12" spans="1:475" x14ac:dyDescent="0.2">
      <c r="A12" s="4" cm="1">
        <f t="array" ref="A12">IF(AND(H12&lt;&gt;"",H12&lt;&gt;"No DD"),SUMPRODUCT((H$4:H$19&lt;&gt;"")*(H$4:H$19&lt;&gt;"No DD")*(E$4:E$19&gt;E12))+1,IF(H12="No DD",SUMPRODUCT((H$4:H$19="No DD")*(E$4:E$19&gt;E12))+1+SUMPRODUCT((H$4:H$19&lt;&gt;"")*(H$4:H$19&lt;&gt;"No DD")),""))</f>
        <v>9</v>
      </c>
      <c r="B12" s="5" t="s">
        <v>75</v>
      </c>
      <c r="C12" s="4" t="s">
        <v>6</v>
      </c>
      <c r="D12" s="4">
        <v>2001</v>
      </c>
      <c r="E12" s="9">
        <f t="shared" si="0"/>
        <v>167.00001189000486</v>
      </c>
      <c r="F12" s="3" t="str">
        <f t="shared" si="1"/>
        <v>P</v>
      </c>
      <c r="G12" s="3" t="str">
        <f t="shared" si="2"/>
        <v>P</v>
      </c>
      <c r="H12" s="37" t="str">
        <f t="shared" si="3"/>
        <v>National Team</v>
      </c>
      <c r="I12" s="3" t="str">
        <f t="shared" si="4"/>
        <v/>
      </c>
      <c r="J12" s="8">
        <f>IF(COUNT(AQ12,BT12,CW12)&gt;0,LARGE((AQ12,BT12,CW12),1),0)</f>
        <v>48.7</v>
      </c>
      <c r="K12" s="8" t="str">
        <f t="shared" si="5"/>
        <v>2023 Domestic 3rd Trial</v>
      </c>
      <c r="L12" s="8">
        <f>IF(COUNT(AQ12,BT12,CW12)&gt;1,LARGE((AQ12,BT12,CW12),2),0)</f>
        <v>47.300000000000004</v>
      </c>
      <c r="M12" s="8" t="str">
        <f t="shared" si="6"/>
        <v>2023 Elite Canada</v>
      </c>
      <c r="N12" s="8">
        <f>IF(COUNT(AR12,BU12,CX12)&gt;0,LARGE((AR12,BU12,CX12),1),0)</f>
        <v>22.9</v>
      </c>
      <c r="O12" s="8" t="str">
        <f t="shared" si="7"/>
        <v>2023 Elite Canada</v>
      </c>
      <c r="P12" s="8">
        <f t="shared" si="8"/>
        <v>47.7</v>
      </c>
      <c r="Q12" s="8" t="str">
        <f t="shared" si="9"/>
        <v>2023 Elite Canada</v>
      </c>
      <c r="R12" s="8">
        <f t="shared" si="10"/>
        <v>0.39999999999999147</v>
      </c>
      <c r="S12" s="11" t="str">
        <f t="shared" si="11"/>
        <v>(Q1)</v>
      </c>
      <c r="T12" s="8" t="str">
        <f t="shared" si="12"/>
        <v>2022 WAGC (Nov 23)</v>
      </c>
      <c r="U12" s="19">
        <v>18.5</v>
      </c>
      <c r="V12" s="19">
        <v>5.6</v>
      </c>
      <c r="W12" s="19">
        <v>0</v>
      </c>
      <c r="X12" s="19">
        <v>0</v>
      </c>
      <c r="Y12" s="19">
        <v>18</v>
      </c>
      <c r="Z12" s="19">
        <v>6</v>
      </c>
      <c r="AA12" s="19">
        <v>0.8</v>
      </c>
      <c r="AB12" s="19">
        <v>0</v>
      </c>
      <c r="AC12" s="19">
        <v>18.3</v>
      </c>
      <c r="AD12" s="19">
        <v>5.2</v>
      </c>
      <c r="AE12" s="19">
        <v>0.6</v>
      </c>
      <c r="AF12" s="19">
        <v>0</v>
      </c>
      <c r="AG12" s="19">
        <v>18.399999999999999</v>
      </c>
      <c r="AH12" s="19">
        <v>5.6</v>
      </c>
      <c r="AI12" s="19">
        <v>0.2</v>
      </c>
      <c r="AJ12" s="19">
        <v>0</v>
      </c>
      <c r="AK12" s="19">
        <v>18.5</v>
      </c>
      <c r="AL12" s="19">
        <v>5.6</v>
      </c>
      <c r="AM12" s="19">
        <v>0.2</v>
      </c>
      <c r="AN12" s="19">
        <v>0</v>
      </c>
      <c r="AO12" s="28"/>
      <c r="AP12" s="41">
        <f t="shared" si="13"/>
        <v>11.6</v>
      </c>
      <c r="AQ12" s="41">
        <f t="shared" si="14"/>
        <v>47.300000000000004</v>
      </c>
      <c r="AR12" s="41">
        <f t="shared" si="15"/>
        <v>22.9</v>
      </c>
      <c r="AS12" s="41">
        <f t="shared" si="16"/>
        <v>16.8</v>
      </c>
      <c r="AT12" s="41">
        <f t="shared" si="17"/>
        <v>70.2</v>
      </c>
      <c r="AU12" s="41">
        <f t="shared" si="18"/>
        <v>11.2</v>
      </c>
      <c r="AV12" s="41">
        <f t="shared" si="19"/>
        <v>47.7</v>
      </c>
      <c r="AW12" s="41">
        <f t="shared" si="20"/>
        <v>117.9</v>
      </c>
      <c r="AX12" s="18">
        <v>17.399999999999999</v>
      </c>
      <c r="AY12" s="18">
        <v>2.8</v>
      </c>
      <c r="AZ12" s="18">
        <v>0</v>
      </c>
      <c r="BA12" s="18">
        <v>0</v>
      </c>
      <c r="BB12" s="18">
        <v>0</v>
      </c>
      <c r="BC12" s="18">
        <v>0</v>
      </c>
      <c r="BD12" s="18">
        <v>0</v>
      </c>
      <c r="BE12" s="18">
        <v>0</v>
      </c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29"/>
      <c r="BS12" s="11">
        <f t="shared" si="21"/>
        <v>2.8</v>
      </c>
      <c r="BT12" s="11">
        <f t="shared" si="22"/>
        <v>20.2</v>
      </c>
      <c r="BU12" s="11" t="str">
        <f t="shared" si="23"/>
        <v/>
      </c>
      <c r="BV12" s="11">
        <f t="shared" si="24"/>
        <v>2.8</v>
      </c>
      <c r="BW12" s="11">
        <f t="shared" si="25"/>
        <v>20.2</v>
      </c>
      <c r="BX12" s="11" t="str">
        <f t="shared" si="26"/>
        <v/>
      </c>
      <c r="BY12" s="11" t="str">
        <f t="shared" si="27"/>
        <v/>
      </c>
      <c r="BZ12" s="11">
        <f t="shared" si="28"/>
        <v>20.2</v>
      </c>
      <c r="CA12" s="19">
        <v>18.8</v>
      </c>
      <c r="CB12" s="19">
        <v>5.6</v>
      </c>
      <c r="CC12" s="19">
        <v>0</v>
      </c>
      <c r="CD12" s="19">
        <v>0</v>
      </c>
      <c r="CE12" s="19">
        <v>18.3</v>
      </c>
      <c r="CF12" s="19">
        <v>6</v>
      </c>
      <c r="CG12" s="19">
        <v>0</v>
      </c>
      <c r="CH12" s="19">
        <v>0</v>
      </c>
      <c r="CI12" s="19">
        <v>18</v>
      </c>
      <c r="CJ12" s="19">
        <v>4.8</v>
      </c>
      <c r="CK12" s="19">
        <v>0.6</v>
      </c>
      <c r="CL12" s="19">
        <v>0</v>
      </c>
      <c r="CM12" s="19">
        <v>18.7</v>
      </c>
      <c r="CN12" s="19">
        <v>5.6</v>
      </c>
      <c r="CO12" s="19">
        <v>0.6</v>
      </c>
      <c r="CP12" s="19">
        <v>0</v>
      </c>
      <c r="CQ12" s="19">
        <v>18.2</v>
      </c>
      <c r="CR12" s="19">
        <v>5.2</v>
      </c>
      <c r="CS12" s="19">
        <v>0</v>
      </c>
      <c r="CT12" s="19">
        <v>0</v>
      </c>
      <c r="CU12" s="28"/>
      <c r="CV12" s="41">
        <f t="shared" si="29"/>
        <v>11.6</v>
      </c>
      <c r="CW12" s="41">
        <f t="shared" si="30"/>
        <v>48.7</v>
      </c>
      <c r="CX12" s="41">
        <f t="shared" si="31"/>
        <v>22.2</v>
      </c>
      <c r="CY12" s="41">
        <f t="shared" si="32"/>
        <v>16.399999999999999</v>
      </c>
      <c r="CZ12" s="41">
        <f t="shared" si="33"/>
        <v>70.900000000000006</v>
      </c>
      <c r="DA12" s="41">
        <f t="shared" si="34"/>
        <v>10.8</v>
      </c>
      <c r="DB12" s="41">
        <f t="shared" si="35"/>
        <v>47.1</v>
      </c>
      <c r="DC12" s="41">
        <f t="shared" si="36"/>
        <v>118</v>
      </c>
      <c r="DD12" s="52">
        <f t="shared" si="37"/>
        <v>0.39999999999999147</v>
      </c>
      <c r="DE12" s="52" t="str">
        <f t="shared" si="38"/>
        <v/>
      </c>
      <c r="DF12" s="52" t="str">
        <f t="shared" si="39"/>
        <v/>
      </c>
      <c r="DG12" s="17">
        <v>18.3</v>
      </c>
      <c r="DH12" s="17">
        <v>5.6</v>
      </c>
      <c r="DI12" s="17">
        <v>0</v>
      </c>
      <c r="DJ12" s="17">
        <v>0</v>
      </c>
      <c r="DK12" s="17">
        <v>18.399999999999999</v>
      </c>
      <c r="DL12" s="17">
        <v>6</v>
      </c>
      <c r="DM12" s="17">
        <v>0.6</v>
      </c>
      <c r="DN12" s="17">
        <v>0</v>
      </c>
      <c r="DO12" s="17"/>
      <c r="DP12" s="17"/>
      <c r="DQ12" s="17"/>
      <c r="DR12" s="17"/>
      <c r="DS12" s="17">
        <v>18.2</v>
      </c>
      <c r="DT12" s="17">
        <v>5.6</v>
      </c>
      <c r="DU12" s="17">
        <v>0</v>
      </c>
      <c r="DV12" s="17">
        <v>0</v>
      </c>
      <c r="DW12" s="17"/>
      <c r="DX12" s="17"/>
      <c r="DY12" s="17"/>
      <c r="DZ12" s="17"/>
      <c r="EA12" s="41">
        <f t="shared" si="40"/>
        <v>11.6</v>
      </c>
      <c r="EB12" s="41">
        <f t="shared" si="41"/>
        <v>47.699999999999996</v>
      </c>
      <c r="EC12" s="41" t="str">
        <f t="shared" si="42"/>
        <v/>
      </c>
      <c r="ED12" s="41">
        <f t="shared" si="43"/>
        <v>11.6</v>
      </c>
      <c r="EE12" s="41">
        <f t="shared" si="44"/>
        <v>47.699999999999996</v>
      </c>
      <c r="EF12" s="41">
        <f t="shared" si="45"/>
        <v>5.6</v>
      </c>
      <c r="EG12" s="41">
        <f t="shared" si="46"/>
        <v>23.799999999999997</v>
      </c>
      <c r="EH12" s="41">
        <f t="shared" si="47"/>
        <v>71.5</v>
      </c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1" t="str">
        <f t="shared" si="48"/>
        <v/>
      </c>
      <c r="FD12" s="11" t="str">
        <f t="shared" si="49"/>
        <v/>
      </c>
      <c r="FE12" s="11" t="str">
        <f t="shared" si="50"/>
        <v/>
      </c>
      <c r="FF12" s="11" t="str">
        <f t="shared" si="51"/>
        <v/>
      </c>
      <c r="FG12" s="11" t="str">
        <f t="shared" si="52"/>
        <v/>
      </c>
      <c r="FH12" s="11" t="str">
        <f t="shared" si="53"/>
        <v/>
      </c>
      <c r="FI12" s="11" t="str">
        <f t="shared" si="54"/>
        <v/>
      </c>
      <c r="FJ12" s="11" t="str">
        <f t="shared" si="55"/>
        <v/>
      </c>
      <c r="FK12" s="17"/>
      <c r="FL12" s="17"/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41" t="str">
        <f t="shared" si="56"/>
        <v/>
      </c>
      <c r="GF12" s="41" t="str">
        <f t="shared" si="57"/>
        <v/>
      </c>
      <c r="GG12" s="41" t="str">
        <f t="shared" si="58"/>
        <v/>
      </c>
      <c r="GH12" s="41" t="str">
        <f t="shared" si="59"/>
        <v/>
      </c>
      <c r="GI12" s="41" t="str">
        <f t="shared" si="60"/>
        <v/>
      </c>
      <c r="GJ12" s="41" t="str">
        <f t="shared" si="61"/>
        <v/>
      </c>
      <c r="GK12" s="41" t="str">
        <f t="shared" si="62"/>
        <v/>
      </c>
      <c r="GL12" s="41" t="str">
        <f t="shared" si="63"/>
        <v/>
      </c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1" t="str">
        <f t="shared" si="64"/>
        <v/>
      </c>
      <c r="HH12" s="11" t="str">
        <f t="shared" si="65"/>
        <v/>
      </c>
      <c r="HI12" s="11" t="str">
        <f t="shared" si="66"/>
        <v/>
      </c>
      <c r="HJ12" s="11" t="str">
        <f t="shared" si="67"/>
        <v/>
      </c>
      <c r="HK12" s="11" t="str">
        <f t="shared" si="68"/>
        <v/>
      </c>
      <c r="HL12" s="11" t="str">
        <f t="shared" si="69"/>
        <v/>
      </c>
      <c r="HM12" s="11" t="str">
        <f t="shared" si="70"/>
        <v/>
      </c>
      <c r="HN12" s="11" t="str">
        <f t="shared" si="71"/>
        <v/>
      </c>
      <c r="HO12" s="17"/>
      <c r="HP12" s="17"/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41" t="str">
        <f t="shared" si="72"/>
        <v/>
      </c>
      <c r="IJ12" s="41" t="str">
        <f t="shared" si="73"/>
        <v/>
      </c>
      <c r="IK12" s="41" t="str">
        <f t="shared" si="74"/>
        <v/>
      </c>
      <c r="IL12" s="41" t="str">
        <f t="shared" si="75"/>
        <v/>
      </c>
      <c r="IM12" s="41" t="str">
        <f t="shared" si="76"/>
        <v/>
      </c>
      <c r="IN12" s="41" t="str">
        <f t="shared" si="77"/>
        <v/>
      </c>
      <c r="IO12" s="41" t="str">
        <f t="shared" si="78"/>
        <v/>
      </c>
      <c r="IP12" s="41" t="str">
        <f t="shared" si="79"/>
        <v/>
      </c>
      <c r="IQ12" s="18"/>
      <c r="IR12" s="18"/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1" t="str">
        <f t="shared" si="80"/>
        <v/>
      </c>
      <c r="JL12" s="11" t="str">
        <f t="shared" si="81"/>
        <v/>
      </c>
      <c r="JM12" s="11" t="str">
        <f t="shared" si="82"/>
        <v/>
      </c>
      <c r="JN12" s="11" t="str">
        <f t="shared" si="83"/>
        <v/>
      </c>
      <c r="JO12" s="11" t="str">
        <f t="shared" si="84"/>
        <v/>
      </c>
      <c r="JP12" s="11" t="str">
        <f t="shared" si="85"/>
        <v/>
      </c>
      <c r="JQ12" s="11" t="str">
        <f t="shared" si="86"/>
        <v/>
      </c>
      <c r="JR12" s="11" t="str">
        <f t="shared" si="87"/>
        <v/>
      </c>
      <c r="JS12" s="17"/>
      <c r="JT12" s="17"/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41" t="str">
        <f t="shared" si="88"/>
        <v/>
      </c>
      <c r="KN12" s="41" t="str">
        <f t="shared" si="89"/>
        <v/>
      </c>
      <c r="KO12" s="41" t="str">
        <f t="shared" si="90"/>
        <v/>
      </c>
      <c r="KP12" s="41" t="str">
        <f t="shared" si="91"/>
        <v/>
      </c>
      <c r="KQ12" s="41" t="str">
        <f t="shared" si="92"/>
        <v/>
      </c>
      <c r="KR12" s="41" t="str">
        <f t="shared" si="93"/>
        <v/>
      </c>
      <c r="KS12" s="41" t="str">
        <f t="shared" si="94"/>
        <v/>
      </c>
      <c r="KT12" s="41" t="str">
        <f t="shared" si="95"/>
        <v/>
      </c>
      <c r="KU12" s="18"/>
      <c r="KV12" s="18"/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1" t="str">
        <f t="shared" si="96"/>
        <v/>
      </c>
      <c r="LP12" s="11" t="str">
        <f t="shared" si="97"/>
        <v/>
      </c>
      <c r="LQ12" s="11" t="str">
        <f t="shared" si="98"/>
        <v/>
      </c>
      <c r="LR12" s="11" t="str">
        <f t="shared" si="99"/>
        <v/>
      </c>
      <c r="LS12" s="11" t="str">
        <f t="shared" si="100"/>
        <v/>
      </c>
      <c r="LT12" s="11" t="str">
        <f t="shared" si="101"/>
        <v/>
      </c>
      <c r="LU12" s="11" t="str">
        <f t="shared" si="102"/>
        <v/>
      </c>
      <c r="LV12" s="11" t="str">
        <f t="shared" si="103"/>
        <v/>
      </c>
      <c r="LW12" s="17"/>
      <c r="LX12" s="17"/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41" t="str">
        <f t="shared" si="104"/>
        <v/>
      </c>
      <c r="MR12" s="41" t="str">
        <f t="shared" si="105"/>
        <v/>
      </c>
      <c r="MS12" s="41" t="str">
        <f t="shared" si="106"/>
        <v/>
      </c>
      <c r="MT12" s="41" t="str">
        <f t="shared" si="107"/>
        <v/>
      </c>
      <c r="MU12" s="41" t="str">
        <f t="shared" si="108"/>
        <v/>
      </c>
      <c r="MV12" s="41" t="str">
        <f t="shared" si="109"/>
        <v/>
      </c>
      <c r="MW12" s="41" t="str">
        <f t="shared" si="110"/>
        <v/>
      </c>
      <c r="MX12" s="41" t="str">
        <f t="shared" si="111"/>
        <v/>
      </c>
      <c r="MY12" s="18"/>
      <c r="MZ12" s="18"/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1" t="str">
        <f t="shared" si="112"/>
        <v/>
      </c>
      <c r="NT12" s="11" t="str">
        <f t="shared" si="113"/>
        <v/>
      </c>
      <c r="NU12" s="11" t="str">
        <f t="shared" si="114"/>
        <v/>
      </c>
      <c r="NV12" s="11" t="str">
        <f t="shared" si="115"/>
        <v/>
      </c>
      <c r="NW12" s="11" t="str">
        <f t="shared" si="116"/>
        <v/>
      </c>
      <c r="NX12" s="11" t="str">
        <f t="shared" si="117"/>
        <v/>
      </c>
      <c r="NY12" s="11" t="str">
        <f t="shared" si="118"/>
        <v/>
      </c>
      <c r="NZ12" s="11" t="str">
        <f t="shared" si="119"/>
        <v/>
      </c>
      <c r="OA12" s="17"/>
      <c r="OB12" s="17"/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41" t="str">
        <f t="shared" si="120"/>
        <v/>
      </c>
      <c r="OV12" s="41" t="str">
        <f t="shared" si="121"/>
        <v/>
      </c>
      <c r="OW12" s="41" t="str">
        <f t="shared" si="122"/>
        <v/>
      </c>
      <c r="OX12" s="41" t="str">
        <f t="shared" si="123"/>
        <v/>
      </c>
      <c r="OY12" s="41" t="str">
        <f t="shared" si="124"/>
        <v/>
      </c>
      <c r="OZ12" s="41" t="str">
        <f t="shared" si="125"/>
        <v/>
      </c>
      <c r="PA12" s="41" t="str">
        <f t="shared" si="126"/>
        <v/>
      </c>
      <c r="PB12" s="41" t="str">
        <f t="shared" si="127"/>
        <v/>
      </c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1" t="str">
        <f t="shared" si="128"/>
        <v/>
      </c>
      <c r="PX12" s="11" t="str">
        <f t="shared" si="129"/>
        <v/>
      </c>
      <c r="PY12" s="11" t="str">
        <f t="shared" si="130"/>
        <v/>
      </c>
      <c r="PZ12" s="11" t="str">
        <f t="shared" si="131"/>
        <v/>
      </c>
      <c r="QA12" s="11" t="str">
        <f t="shared" si="132"/>
        <v/>
      </c>
      <c r="QB12" s="11" t="str">
        <f t="shared" si="133"/>
        <v/>
      </c>
      <c r="QC12" s="11" t="str">
        <f t="shared" si="134"/>
        <v/>
      </c>
      <c r="QD12" s="11" t="str">
        <f t="shared" si="135"/>
        <v/>
      </c>
      <c r="QE12" s="23">
        <f t="shared" si="136"/>
        <v>18.100000000000001</v>
      </c>
      <c r="QF12" s="23">
        <f t="shared" si="137"/>
        <v>4.1999999999999993</v>
      </c>
      <c r="QG12" s="23">
        <f t="shared" si="138"/>
        <v>0</v>
      </c>
      <c r="QH12" s="23">
        <f t="shared" si="139"/>
        <v>0</v>
      </c>
      <c r="QI12" s="23">
        <f t="shared" si="140"/>
        <v>9.15</v>
      </c>
      <c r="QJ12" s="23">
        <f t="shared" si="141"/>
        <v>3</v>
      </c>
      <c r="QK12" s="23">
        <f t="shared" si="142"/>
        <v>0</v>
      </c>
      <c r="QL12" s="23">
        <f t="shared" si="143"/>
        <v>0</v>
      </c>
      <c r="QM12" s="23">
        <f t="shared" si="144"/>
        <v>9</v>
      </c>
      <c r="QN12" s="23">
        <f t="shared" si="145"/>
        <v>2.4</v>
      </c>
      <c r="QO12" s="23">
        <f t="shared" si="146"/>
        <v>0.3</v>
      </c>
      <c r="QP12" s="23">
        <f t="shared" si="147"/>
        <v>0</v>
      </c>
      <c r="QQ12" s="23">
        <f t="shared" si="148"/>
        <v>9.35</v>
      </c>
      <c r="QR12" s="23">
        <f t="shared" si="149"/>
        <v>2.8</v>
      </c>
      <c r="QS12" s="23">
        <f t="shared" si="150"/>
        <v>0.3</v>
      </c>
      <c r="QT12" s="23">
        <f t="shared" si="151"/>
        <v>0</v>
      </c>
      <c r="QU12" s="23">
        <f t="shared" si="152"/>
        <v>9.1</v>
      </c>
      <c r="QV12" s="23">
        <f t="shared" si="153"/>
        <v>2.6</v>
      </c>
      <c r="QW12" s="23">
        <f t="shared" si="154"/>
        <v>0</v>
      </c>
      <c r="QX12" s="23">
        <f t="shared" si="155"/>
        <v>0</v>
      </c>
      <c r="QY12" s="28" t="s">
        <v>57</v>
      </c>
      <c r="QZ12" s="41">
        <f t="shared" si="156"/>
        <v>7.1999999999999993</v>
      </c>
      <c r="RA12" s="41">
        <f t="shared" si="157"/>
        <v>34.450000000000003</v>
      </c>
      <c r="RB12" s="41">
        <f t="shared" si="158"/>
        <v>11.1</v>
      </c>
      <c r="RC12" s="41">
        <f t="shared" si="159"/>
        <v>9.6</v>
      </c>
      <c r="RD12" s="41">
        <f t="shared" si="160"/>
        <v>45.550000000000004</v>
      </c>
      <c r="RE12" s="41">
        <f t="shared" si="161"/>
        <v>5.4</v>
      </c>
      <c r="RF12" s="41">
        <f t="shared" si="162"/>
        <v>23.55</v>
      </c>
      <c r="RG12" s="41">
        <f t="shared" si="163"/>
        <v>69.100000000000009</v>
      </c>
    </row>
    <row r="13" spans="1:475" x14ac:dyDescent="0.2">
      <c r="A13" s="4" cm="1">
        <f t="array" ref="A13">IF(AND(H13&lt;&gt;"",H13&lt;&gt;"No DD"),SUMPRODUCT((H$4:H$19&lt;&gt;"")*(H$4:H$19&lt;&gt;"No DD")*(E$4:E$19&gt;E13))+1,IF(H13="No DD",SUMPRODUCT((H$4:H$19="No DD")*(E$4:E$19&gt;E13))+1+SUMPRODUCT((H$4:H$19&lt;&gt;"")*(H$4:H$19&lt;&gt;"No DD")),""))</f>
        <v>10</v>
      </c>
      <c r="B13" s="5" t="s">
        <v>229</v>
      </c>
      <c r="C13" s="4" t="s">
        <v>5</v>
      </c>
      <c r="D13" s="4">
        <v>2006</v>
      </c>
      <c r="E13" s="9">
        <f t="shared" si="0"/>
        <v>165.30001176000485</v>
      </c>
      <c r="F13" s="3" t="str">
        <f t="shared" si="1"/>
        <v>P</v>
      </c>
      <c r="G13" s="3" t="str">
        <f t="shared" si="2"/>
        <v>P</v>
      </c>
      <c r="H13" s="37" t="str">
        <f t="shared" si="3"/>
        <v>National Team</v>
      </c>
      <c r="I13" s="3" t="str">
        <f t="shared" si="4"/>
        <v/>
      </c>
      <c r="J13" s="8">
        <f>IF(COUNT(AQ13,BT13,CW13)&gt;0,LARGE((AQ13,BT13,CW13),1),0)</f>
        <v>48.599999999999994</v>
      </c>
      <c r="K13" s="8" t="str">
        <f t="shared" si="5"/>
        <v>2023 Domestic 3rd Trial</v>
      </c>
      <c r="L13" s="8">
        <f>IF(COUNT(AQ13,BT13,CW13)&gt;1,LARGE((AQ13,BT13,CW13),2),0)</f>
        <v>46.6</v>
      </c>
      <c r="M13" s="8" t="str">
        <f t="shared" si="6"/>
        <v>2023 Nationals</v>
      </c>
      <c r="N13" s="8">
        <f>IF(COUNT(AR13,BU13,CX13)&gt;0,LARGE((AR13,BU13,CX13),1),0)</f>
        <v>22.4</v>
      </c>
      <c r="O13" s="8" t="str">
        <f t="shared" si="7"/>
        <v>2023 Nationals</v>
      </c>
      <c r="P13" s="8">
        <f t="shared" si="8"/>
        <v>47.699999999999996</v>
      </c>
      <c r="Q13" s="8" t="str">
        <f t="shared" si="9"/>
        <v>2023 Domestic 3rd Trial</v>
      </c>
      <c r="R13" s="8" t="str">
        <f t="shared" si="10"/>
        <v/>
      </c>
      <c r="S13" s="11" t="str">
        <f t="shared" si="11"/>
        <v/>
      </c>
      <c r="T13" s="8" t="str">
        <f t="shared" si="12"/>
        <v/>
      </c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28"/>
      <c r="AP13" s="41" t="str">
        <f t="shared" si="13"/>
        <v/>
      </c>
      <c r="AQ13" s="41" t="str">
        <f t="shared" si="14"/>
        <v/>
      </c>
      <c r="AR13" s="41" t="str">
        <f t="shared" si="15"/>
        <v/>
      </c>
      <c r="AS13" s="41" t="str">
        <f t="shared" si="16"/>
        <v/>
      </c>
      <c r="AT13" s="41" t="str">
        <f t="shared" si="17"/>
        <v/>
      </c>
      <c r="AU13" s="41" t="str">
        <f t="shared" si="18"/>
        <v/>
      </c>
      <c r="AV13" s="41" t="str">
        <f t="shared" si="19"/>
        <v/>
      </c>
      <c r="AW13" s="41" t="str">
        <f t="shared" si="20"/>
        <v/>
      </c>
      <c r="AX13" s="18">
        <v>18.399999999999999</v>
      </c>
      <c r="AY13" s="18">
        <v>5.6</v>
      </c>
      <c r="AZ13" s="18">
        <v>0.8</v>
      </c>
      <c r="BA13" s="18">
        <v>0</v>
      </c>
      <c r="BB13" s="18">
        <v>18.399999999999999</v>
      </c>
      <c r="BC13" s="18">
        <v>6</v>
      </c>
      <c r="BD13" s="18">
        <v>1</v>
      </c>
      <c r="BE13" s="18">
        <v>0</v>
      </c>
      <c r="BF13" s="18">
        <v>17.7</v>
      </c>
      <c r="BG13" s="18">
        <v>5.2</v>
      </c>
      <c r="BH13" s="18">
        <v>0.8</v>
      </c>
      <c r="BI13" s="18">
        <v>0.3</v>
      </c>
      <c r="BJ13" s="18">
        <v>18</v>
      </c>
      <c r="BK13" s="18">
        <v>4.8</v>
      </c>
      <c r="BL13" s="18">
        <v>0.2</v>
      </c>
      <c r="BM13" s="18">
        <v>0</v>
      </c>
      <c r="BN13" s="18">
        <v>18</v>
      </c>
      <c r="BO13" s="18">
        <v>5.2</v>
      </c>
      <c r="BP13" s="18">
        <v>0.8</v>
      </c>
      <c r="BQ13" s="18">
        <v>0</v>
      </c>
      <c r="BR13" s="29"/>
      <c r="BS13" s="11">
        <f t="shared" si="21"/>
        <v>11.6</v>
      </c>
      <c r="BT13" s="11">
        <f t="shared" si="22"/>
        <v>46.6</v>
      </c>
      <c r="BU13" s="11">
        <f t="shared" si="23"/>
        <v>22.4</v>
      </c>
      <c r="BV13" s="11">
        <f t="shared" si="24"/>
        <v>16.8</v>
      </c>
      <c r="BW13" s="11">
        <f t="shared" si="25"/>
        <v>69</v>
      </c>
      <c r="BX13" s="11">
        <f t="shared" si="26"/>
        <v>10</v>
      </c>
      <c r="BY13" s="11">
        <f t="shared" si="27"/>
        <v>45</v>
      </c>
      <c r="BZ13" s="11">
        <f t="shared" si="28"/>
        <v>114</v>
      </c>
      <c r="CA13" s="19">
        <v>18.7</v>
      </c>
      <c r="CB13" s="19">
        <v>5.6</v>
      </c>
      <c r="CC13" s="19">
        <v>0</v>
      </c>
      <c r="CD13" s="19">
        <v>0</v>
      </c>
      <c r="CE13" s="19">
        <v>18.3</v>
      </c>
      <c r="CF13" s="19">
        <v>6</v>
      </c>
      <c r="CG13" s="19">
        <v>0</v>
      </c>
      <c r="CH13" s="19">
        <v>0</v>
      </c>
      <c r="CI13" s="19">
        <v>17.2</v>
      </c>
      <c r="CJ13" s="19">
        <v>2</v>
      </c>
      <c r="CK13" s="19">
        <v>0</v>
      </c>
      <c r="CL13" s="19">
        <v>0</v>
      </c>
      <c r="CM13" s="19">
        <v>18.3</v>
      </c>
      <c r="CN13" s="19">
        <v>5.6</v>
      </c>
      <c r="CO13" s="19">
        <v>0</v>
      </c>
      <c r="CP13" s="19">
        <v>0</v>
      </c>
      <c r="CQ13" s="19">
        <v>18.399999999999999</v>
      </c>
      <c r="CR13" s="19">
        <v>6</v>
      </c>
      <c r="CS13" s="19">
        <v>0.6</v>
      </c>
      <c r="CT13" s="19">
        <v>0</v>
      </c>
      <c r="CU13" s="28"/>
      <c r="CV13" s="41">
        <f t="shared" si="29"/>
        <v>11.6</v>
      </c>
      <c r="CW13" s="41">
        <f t="shared" si="30"/>
        <v>48.599999999999994</v>
      </c>
      <c r="CX13" s="41">
        <f t="shared" si="31"/>
        <v>19.2</v>
      </c>
      <c r="CY13" s="41">
        <f t="shared" si="32"/>
        <v>13.6</v>
      </c>
      <c r="CZ13" s="41">
        <f t="shared" si="33"/>
        <v>67.8</v>
      </c>
      <c r="DA13" s="41">
        <f t="shared" si="34"/>
        <v>11.6</v>
      </c>
      <c r="DB13" s="41">
        <f t="shared" si="35"/>
        <v>47.699999999999996</v>
      </c>
      <c r="DC13" s="41">
        <f t="shared" si="36"/>
        <v>115.5</v>
      </c>
      <c r="DD13" s="52" t="str">
        <f t="shared" si="37"/>
        <v/>
      </c>
      <c r="DE13" s="52" t="str">
        <f t="shared" si="38"/>
        <v/>
      </c>
      <c r="DF13" s="52" t="str">
        <f t="shared" si="39"/>
        <v/>
      </c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41" t="str">
        <f t="shared" si="40"/>
        <v/>
      </c>
      <c r="EB13" s="41" t="str">
        <f t="shared" si="41"/>
        <v/>
      </c>
      <c r="EC13" s="41" t="str">
        <f t="shared" si="42"/>
        <v/>
      </c>
      <c r="ED13" s="41" t="str">
        <f t="shared" si="43"/>
        <v/>
      </c>
      <c r="EE13" s="41" t="str">
        <f t="shared" si="44"/>
        <v/>
      </c>
      <c r="EF13" s="41" t="str">
        <f t="shared" si="45"/>
        <v/>
      </c>
      <c r="EG13" s="41" t="str">
        <f t="shared" si="46"/>
        <v/>
      </c>
      <c r="EH13" s="41" t="str">
        <f t="shared" si="47"/>
        <v/>
      </c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1" t="str">
        <f t="shared" si="48"/>
        <v/>
      </c>
      <c r="FD13" s="11" t="str">
        <f t="shared" si="49"/>
        <v/>
      </c>
      <c r="FE13" s="11" t="str">
        <f t="shared" si="50"/>
        <v/>
      </c>
      <c r="FF13" s="11" t="str">
        <f t="shared" si="51"/>
        <v/>
      </c>
      <c r="FG13" s="11" t="str">
        <f t="shared" si="52"/>
        <v/>
      </c>
      <c r="FH13" s="11" t="str">
        <f t="shared" si="53"/>
        <v/>
      </c>
      <c r="FI13" s="11" t="str">
        <f t="shared" si="54"/>
        <v/>
      </c>
      <c r="FJ13" s="11" t="str">
        <f t="shared" si="55"/>
        <v/>
      </c>
      <c r="FK13" s="17"/>
      <c r="FL13" s="17"/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41" t="str">
        <f t="shared" si="56"/>
        <v/>
      </c>
      <c r="GF13" s="41" t="str">
        <f t="shared" si="57"/>
        <v/>
      </c>
      <c r="GG13" s="41" t="str">
        <f t="shared" si="58"/>
        <v/>
      </c>
      <c r="GH13" s="41" t="str">
        <f t="shared" si="59"/>
        <v/>
      </c>
      <c r="GI13" s="41" t="str">
        <f t="shared" si="60"/>
        <v/>
      </c>
      <c r="GJ13" s="41" t="str">
        <f t="shared" si="61"/>
        <v/>
      </c>
      <c r="GK13" s="41" t="str">
        <f t="shared" si="62"/>
        <v/>
      </c>
      <c r="GL13" s="41" t="str">
        <f t="shared" si="63"/>
        <v/>
      </c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1" t="str">
        <f t="shared" si="64"/>
        <v/>
      </c>
      <c r="HH13" s="11" t="str">
        <f t="shared" si="65"/>
        <v/>
      </c>
      <c r="HI13" s="11" t="str">
        <f t="shared" si="66"/>
        <v/>
      </c>
      <c r="HJ13" s="11" t="str">
        <f t="shared" si="67"/>
        <v/>
      </c>
      <c r="HK13" s="11" t="str">
        <f t="shared" si="68"/>
        <v/>
      </c>
      <c r="HL13" s="11" t="str">
        <f t="shared" si="69"/>
        <v/>
      </c>
      <c r="HM13" s="11" t="str">
        <f t="shared" si="70"/>
        <v/>
      </c>
      <c r="HN13" s="11" t="str">
        <f t="shared" si="71"/>
        <v/>
      </c>
      <c r="HO13" s="17"/>
      <c r="HP13" s="17"/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41" t="str">
        <f t="shared" si="72"/>
        <v/>
      </c>
      <c r="IJ13" s="41" t="str">
        <f t="shared" si="73"/>
        <v/>
      </c>
      <c r="IK13" s="41" t="str">
        <f t="shared" si="74"/>
        <v/>
      </c>
      <c r="IL13" s="41" t="str">
        <f t="shared" si="75"/>
        <v/>
      </c>
      <c r="IM13" s="41" t="str">
        <f t="shared" si="76"/>
        <v/>
      </c>
      <c r="IN13" s="41" t="str">
        <f t="shared" si="77"/>
        <v/>
      </c>
      <c r="IO13" s="41" t="str">
        <f t="shared" si="78"/>
        <v/>
      </c>
      <c r="IP13" s="41" t="str">
        <f t="shared" si="79"/>
        <v/>
      </c>
      <c r="IQ13" s="18"/>
      <c r="IR13" s="18"/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1" t="str">
        <f t="shared" si="80"/>
        <v/>
      </c>
      <c r="JL13" s="11" t="str">
        <f t="shared" si="81"/>
        <v/>
      </c>
      <c r="JM13" s="11" t="str">
        <f t="shared" si="82"/>
        <v/>
      </c>
      <c r="JN13" s="11" t="str">
        <f t="shared" si="83"/>
        <v/>
      </c>
      <c r="JO13" s="11" t="str">
        <f t="shared" si="84"/>
        <v/>
      </c>
      <c r="JP13" s="11" t="str">
        <f t="shared" si="85"/>
        <v/>
      </c>
      <c r="JQ13" s="11" t="str">
        <f t="shared" si="86"/>
        <v/>
      </c>
      <c r="JR13" s="11" t="str">
        <f t="shared" si="87"/>
        <v/>
      </c>
      <c r="JS13" s="17"/>
      <c r="JT13" s="17"/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41" t="str">
        <f t="shared" si="88"/>
        <v/>
      </c>
      <c r="KN13" s="41" t="str">
        <f t="shared" si="89"/>
        <v/>
      </c>
      <c r="KO13" s="41" t="str">
        <f t="shared" si="90"/>
        <v/>
      </c>
      <c r="KP13" s="41" t="str">
        <f t="shared" si="91"/>
        <v/>
      </c>
      <c r="KQ13" s="41" t="str">
        <f t="shared" si="92"/>
        <v/>
      </c>
      <c r="KR13" s="41" t="str">
        <f t="shared" si="93"/>
        <v/>
      </c>
      <c r="KS13" s="41" t="str">
        <f t="shared" si="94"/>
        <v/>
      </c>
      <c r="KT13" s="41" t="str">
        <f t="shared" si="95"/>
        <v/>
      </c>
      <c r="KU13" s="18"/>
      <c r="KV13" s="18"/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1" t="str">
        <f t="shared" si="96"/>
        <v/>
      </c>
      <c r="LP13" s="11" t="str">
        <f t="shared" si="97"/>
        <v/>
      </c>
      <c r="LQ13" s="11" t="str">
        <f t="shared" si="98"/>
        <v/>
      </c>
      <c r="LR13" s="11" t="str">
        <f t="shared" si="99"/>
        <v/>
      </c>
      <c r="LS13" s="11" t="str">
        <f t="shared" si="100"/>
        <v/>
      </c>
      <c r="LT13" s="11" t="str">
        <f t="shared" si="101"/>
        <v/>
      </c>
      <c r="LU13" s="11" t="str">
        <f t="shared" si="102"/>
        <v/>
      </c>
      <c r="LV13" s="11" t="str">
        <f t="shared" si="103"/>
        <v/>
      </c>
      <c r="LW13" s="17"/>
      <c r="LX13" s="17"/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41" t="str">
        <f t="shared" si="104"/>
        <v/>
      </c>
      <c r="MR13" s="41" t="str">
        <f t="shared" si="105"/>
        <v/>
      </c>
      <c r="MS13" s="41" t="str">
        <f t="shared" si="106"/>
        <v/>
      </c>
      <c r="MT13" s="41" t="str">
        <f t="shared" si="107"/>
        <v/>
      </c>
      <c r="MU13" s="41" t="str">
        <f t="shared" si="108"/>
        <v/>
      </c>
      <c r="MV13" s="41" t="str">
        <f t="shared" si="109"/>
        <v/>
      </c>
      <c r="MW13" s="41" t="str">
        <f t="shared" si="110"/>
        <v/>
      </c>
      <c r="MX13" s="41" t="str">
        <f t="shared" si="111"/>
        <v/>
      </c>
      <c r="MY13" s="18"/>
      <c r="MZ13" s="18"/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1" t="str">
        <f t="shared" si="112"/>
        <v/>
      </c>
      <c r="NT13" s="11" t="str">
        <f t="shared" si="113"/>
        <v/>
      </c>
      <c r="NU13" s="11" t="str">
        <f t="shared" si="114"/>
        <v/>
      </c>
      <c r="NV13" s="11" t="str">
        <f t="shared" si="115"/>
        <v/>
      </c>
      <c r="NW13" s="11" t="str">
        <f t="shared" si="116"/>
        <v/>
      </c>
      <c r="NX13" s="11" t="str">
        <f t="shared" si="117"/>
        <v/>
      </c>
      <c r="NY13" s="11" t="str">
        <f t="shared" si="118"/>
        <v/>
      </c>
      <c r="NZ13" s="11" t="str">
        <f t="shared" si="119"/>
        <v/>
      </c>
      <c r="OA13" s="17"/>
      <c r="OB13" s="17"/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41" t="str">
        <f t="shared" si="120"/>
        <v/>
      </c>
      <c r="OV13" s="41" t="str">
        <f t="shared" si="121"/>
        <v/>
      </c>
      <c r="OW13" s="41" t="str">
        <f t="shared" si="122"/>
        <v/>
      </c>
      <c r="OX13" s="41" t="str">
        <f t="shared" si="123"/>
        <v/>
      </c>
      <c r="OY13" s="41" t="str">
        <f t="shared" si="124"/>
        <v/>
      </c>
      <c r="OZ13" s="41" t="str">
        <f t="shared" si="125"/>
        <v/>
      </c>
      <c r="PA13" s="41" t="str">
        <f t="shared" si="126"/>
        <v/>
      </c>
      <c r="PB13" s="41" t="str">
        <f t="shared" si="127"/>
        <v/>
      </c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1" t="str">
        <f t="shared" si="128"/>
        <v/>
      </c>
      <c r="PX13" s="11" t="str">
        <f t="shared" si="129"/>
        <v/>
      </c>
      <c r="PY13" s="11" t="str">
        <f t="shared" si="130"/>
        <v/>
      </c>
      <c r="PZ13" s="11" t="str">
        <f t="shared" si="131"/>
        <v/>
      </c>
      <c r="QA13" s="11" t="str">
        <f t="shared" si="132"/>
        <v/>
      </c>
      <c r="QB13" s="11" t="str">
        <f t="shared" si="133"/>
        <v/>
      </c>
      <c r="QC13" s="11" t="str">
        <f t="shared" si="134"/>
        <v/>
      </c>
      <c r="QD13" s="11" t="str">
        <f t="shared" si="135"/>
        <v/>
      </c>
      <c r="QE13" s="23">
        <f t="shared" si="136"/>
        <v>18.549999999999997</v>
      </c>
      <c r="QF13" s="23">
        <f t="shared" si="137"/>
        <v>5.6</v>
      </c>
      <c r="QG13" s="23">
        <f t="shared" si="138"/>
        <v>0.4</v>
      </c>
      <c r="QH13" s="23">
        <f t="shared" si="139"/>
        <v>0</v>
      </c>
      <c r="QI13" s="23">
        <f t="shared" si="140"/>
        <v>18.350000000000001</v>
      </c>
      <c r="QJ13" s="23">
        <f t="shared" si="141"/>
        <v>6</v>
      </c>
      <c r="QK13" s="23">
        <f t="shared" si="142"/>
        <v>0.5</v>
      </c>
      <c r="QL13" s="23">
        <f t="shared" si="143"/>
        <v>0</v>
      </c>
      <c r="QM13" s="23">
        <f t="shared" si="144"/>
        <v>17.45</v>
      </c>
      <c r="QN13" s="23">
        <f t="shared" si="145"/>
        <v>3.6</v>
      </c>
      <c r="QO13" s="23">
        <f t="shared" si="146"/>
        <v>0.4</v>
      </c>
      <c r="QP13" s="23">
        <f t="shared" si="147"/>
        <v>0.15</v>
      </c>
      <c r="QQ13" s="23">
        <f t="shared" si="148"/>
        <v>18.149999999999999</v>
      </c>
      <c r="QR13" s="23">
        <f t="shared" si="149"/>
        <v>5.1999999999999993</v>
      </c>
      <c r="QS13" s="23">
        <f t="shared" si="150"/>
        <v>0.1</v>
      </c>
      <c r="QT13" s="23">
        <f t="shared" si="151"/>
        <v>0</v>
      </c>
      <c r="QU13" s="23">
        <f t="shared" si="152"/>
        <v>18.2</v>
      </c>
      <c r="QV13" s="23">
        <f t="shared" si="153"/>
        <v>5.6</v>
      </c>
      <c r="QW13" s="23">
        <f t="shared" si="154"/>
        <v>0.7</v>
      </c>
      <c r="QX13" s="23">
        <f t="shared" si="155"/>
        <v>0</v>
      </c>
      <c r="QY13" s="28" t="s">
        <v>57</v>
      </c>
      <c r="QZ13" s="41">
        <f t="shared" si="156"/>
        <v>11.6</v>
      </c>
      <c r="RA13" s="41">
        <f t="shared" si="157"/>
        <v>47.6</v>
      </c>
      <c r="RB13" s="41">
        <f t="shared" si="158"/>
        <v>20.8</v>
      </c>
      <c r="RC13" s="41">
        <f t="shared" si="159"/>
        <v>15.2</v>
      </c>
      <c r="RD13" s="41">
        <f t="shared" si="160"/>
        <v>68.400000000000006</v>
      </c>
      <c r="RE13" s="41">
        <f t="shared" si="161"/>
        <v>10.799999999999999</v>
      </c>
      <c r="RF13" s="41">
        <f t="shared" si="162"/>
        <v>46.35</v>
      </c>
      <c r="RG13" s="41">
        <f t="shared" si="163"/>
        <v>114.75</v>
      </c>
    </row>
    <row r="14" spans="1:475" x14ac:dyDescent="0.2">
      <c r="A14" s="4" t="str" cm="1">
        <f t="array" ref="A14">IF(AND(H14&lt;&gt;"",H14&lt;&gt;"No DD"),SUMPRODUCT((H$4:H$19&lt;&gt;"")*(H$4:H$19&lt;&gt;"No DD")*(E$4:E$19&gt;E14))+1,IF(H14="No DD",SUMPRODUCT((H$4:H$19="No DD")*(E$4:E$19&gt;E14))+1+SUMPRODUCT((H$4:H$19&lt;&gt;"")*(H$4:H$19&lt;&gt;"No DD")),""))</f>
        <v/>
      </c>
      <c r="B14" s="5" t="s">
        <v>193</v>
      </c>
      <c r="C14" s="4" t="s">
        <v>8</v>
      </c>
      <c r="D14" s="4">
        <v>2002</v>
      </c>
      <c r="E14" s="9">
        <f t="shared" si="0"/>
        <v>166.20001184000472</v>
      </c>
      <c r="F14" s="3" t="str">
        <f t="shared" si="1"/>
        <v/>
      </c>
      <c r="G14" s="3" t="str">
        <f t="shared" si="2"/>
        <v/>
      </c>
      <c r="H14" s="37" t="str">
        <f t="shared" si="3"/>
        <v/>
      </c>
      <c r="I14" s="3" t="str">
        <f t="shared" si="4"/>
        <v/>
      </c>
      <c r="J14" s="8">
        <f>IF(COUNT(AQ14,BT14,CW14)&gt;0,LARGE((AQ14,BT14,CW14),1),0)</f>
        <v>47.199999999999996</v>
      </c>
      <c r="K14" s="8" t="str">
        <f t="shared" si="5"/>
        <v>2023 Nationals</v>
      </c>
      <c r="L14" s="8">
        <f>IF(COUNT(AQ14,BT14,CW14)&gt;1,LARGE((AQ14,BT14,CW14),2),0)</f>
        <v>47</v>
      </c>
      <c r="M14" s="8" t="str">
        <f t="shared" si="6"/>
        <v>2023 Elite Canada</v>
      </c>
      <c r="N14" s="8">
        <f>IF(COUNT(AR14,BU14,CX14)&gt;0,LARGE((AR14,BU14,CX14),1),0)</f>
        <v>24.2</v>
      </c>
      <c r="O14" s="8" t="str">
        <f t="shared" si="7"/>
        <v>2023 Domestic 3rd Trial</v>
      </c>
      <c r="P14" s="8">
        <f t="shared" si="8"/>
        <v>47.800000000000004</v>
      </c>
      <c r="Q14" s="8" t="str">
        <f t="shared" si="9"/>
        <v>2023 Nationals</v>
      </c>
      <c r="R14" s="8" t="str">
        <f t="shared" si="10"/>
        <v/>
      </c>
      <c r="S14" s="11" t="str">
        <f t="shared" si="11"/>
        <v/>
      </c>
      <c r="T14" s="8" t="str">
        <f t="shared" si="12"/>
        <v/>
      </c>
      <c r="U14" s="19">
        <v>18.2</v>
      </c>
      <c r="V14" s="19">
        <v>5.6</v>
      </c>
      <c r="W14" s="19">
        <v>0.6</v>
      </c>
      <c r="X14" s="19">
        <v>0</v>
      </c>
      <c r="Y14" s="19">
        <v>18.600000000000001</v>
      </c>
      <c r="Z14" s="19">
        <v>5.2</v>
      </c>
      <c r="AA14" s="19">
        <v>0</v>
      </c>
      <c r="AB14" s="19">
        <v>0</v>
      </c>
      <c r="AC14" s="19">
        <v>19</v>
      </c>
      <c r="AD14" s="19">
        <v>3.1</v>
      </c>
      <c r="AE14" s="19">
        <v>1</v>
      </c>
      <c r="AF14" s="19">
        <v>0</v>
      </c>
      <c r="AG14" s="19">
        <v>0</v>
      </c>
      <c r="AH14" s="19">
        <v>0</v>
      </c>
      <c r="AI14" s="19">
        <v>0</v>
      </c>
      <c r="AJ14" s="19">
        <v>0</v>
      </c>
      <c r="AK14" s="19">
        <v>18.8</v>
      </c>
      <c r="AL14" s="19">
        <v>5.2</v>
      </c>
      <c r="AM14" s="19">
        <v>0.8</v>
      </c>
      <c r="AN14" s="19">
        <v>0</v>
      </c>
      <c r="AO14" s="28"/>
      <c r="AP14" s="41">
        <f t="shared" si="13"/>
        <v>10.8</v>
      </c>
      <c r="AQ14" s="41">
        <f t="shared" si="14"/>
        <v>47</v>
      </c>
      <c r="AR14" s="41">
        <f t="shared" si="15"/>
        <v>21.1</v>
      </c>
      <c r="AS14" s="41">
        <f t="shared" si="16"/>
        <v>13.9</v>
      </c>
      <c r="AT14" s="41">
        <f t="shared" si="17"/>
        <v>68.099999999999994</v>
      </c>
      <c r="AU14" s="41">
        <f t="shared" si="18"/>
        <v>5.2</v>
      </c>
      <c r="AV14" s="41">
        <f t="shared" si="19"/>
        <v>23.2</v>
      </c>
      <c r="AW14" s="41">
        <f t="shared" si="20"/>
        <v>91.3</v>
      </c>
      <c r="AX14" s="18">
        <v>18.5</v>
      </c>
      <c r="AY14" s="18">
        <v>5.6</v>
      </c>
      <c r="AZ14" s="18">
        <v>0</v>
      </c>
      <c r="BA14" s="18">
        <v>0</v>
      </c>
      <c r="BB14" s="18">
        <v>18.7</v>
      </c>
      <c r="BC14" s="18">
        <v>4.4000000000000004</v>
      </c>
      <c r="BD14" s="18">
        <v>0</v>
      </c>
      <c r="BE14" s="18">
        <v>0</v>
      </c>
      <c r="BF14" s="18">
        <v>19</v>
      </c>
      <c r="BG14" s="18">
        <v>3.5</v>
      </c>
      <c r="BH14" s="18">
        <v>0.9</v>
      </c>
      <c r="BI14" s="18">
        <v>0</v>
      </c>
      <c r="BJ14" s="18">
        <v>18.8</v>
      </c>
      <c r="BK14" s="18">
        <v>5.6</v>
      </c>
      <c r="BL14" s="18">
        <v>0.2</v>
      </c>
      <c r="BM14" s="18">
        <v>0</v>
      </c>
      <c r="BN14" s="18">
        <v>18.600000000000001</v>
      </c>
      <c r="BO14" s="18">
        <v>5.2</v>
      </c>
      <c r="BP14" s="18">
        <v>0.2</v>
      </c>
      <c r="BQ14" s="18">
        <v>0</v>
      </c>
      <c r="BR14" s="29"/>
      <c r="BS14" s="11">
        <f t="shared" si="21"/>
        <v>10</v>
      </c>
      <c r="BT14" s="11">
        <f t="shared" si="22"/>
        <v>47.199999999999996</v>
      </c>
      <c r="BU14" s="11">
        <f t="shared" si="23"/>
        <v>21.6</v>
      </c>
      <c r="BV14" s="11">
        <f t="shared" si="24"/>
        <v>13.5</v>
      </c>
      <c r="BW14" s="11">
        <f t="shared" si="25"/>
        <v>68.8</v>
      </c>
      <c r="BX14" s="11">
        <f t="shared" si="26"/>
        <v>10.8</v>
      </c>
      <c r="BY14" s="11">
        <f t="shared" si="27"/>
        <v>47.800000000000004</v>
      </c>
      <c r="BZ14" s="11">
        <f t="shared" si="28"/>
        <v>116.6</v>
      </c>
      <c r="CA14" s="19">
        <v>18.3</v>
      </c>
      <c r="CB14" s="19">
        <v>5.6</v>
      </c>
      <c r="CC14" s="19">
        <v>0</v>
      </c>
      <c r="CD14" s="19">
        <v>0</v>
      </c>
      <c r="CE14" s="19">
        <v>0</v>
      </c>
      <c r="CF14" s="19">
        <v>0</v>
      </c>
      <c r="CG14" s="19">
        <v>0</v>
      </c>
      <c r="CH14" s="19">
        <v>0</v>
      </c>
      <c r="CI14" s="19">
        <v>19</v>
      </c>
      <c r="CJ14" s="19">
        <v>5.2</v>
      </c>
      <c r="CK14" s="19">
        <v>0</v>
      </c>
      <c r="CL14" s="19">
        <v>0</v>
      </c>
      <c r="CM14" s="19"/>
      <c r="CN14" s="19"/>
      <c r="CO14" s="19"/>
      <c r="CP14" s="19"/>
      <c r="CQ14" s="19"/>
      <c r="CR14" s="19"/>
      <c r="CS14" s="19"/>
      <c r="CT14" s="19"/>
      <c r="CU14" s="28"/>
      <c r="CV14" s="41">
        <f t="shared" si="29"/>
        <v>5.6</v>
      </c>
      <c r="CW14" s="41">
        <f t="shared" si="30"/>
        <v>23.9</v>
      </c>
      <c r="CX14" s="41">
        <f t="shared" si="31"/>
        <v>24.2</v>
      </c>
      <c r="CY14" s="41">
        <f t="shared" si="32"/>
        <v>10.8</v>
      </c>
      <c r="CZ14" s="41">
        <f t="shared" si="33"/>
        <v>48.099999999999994</v>
      </c>
      <c r="DA14" s="41" t="str">
        <f t="shared" si="34"/>
        <v/>
      </c>
      <c r="DB14" s="41" t="str">
        <f t="shared" si="35"/>
        <v/>
      </c>
      <c r="DC14" s="41">
        <f t="shared" si="36"/>
        <v>48.099999999999994</v>
      </c>
      <c r="DD14" s="52" t="str">
        <f t="shared" si="37"/>
        <v/>
      </c>
      <c r="DE14" s="52" t="str">
        <f t="shared" si="38"/>
        <v/>
      </c>
      <c r="DF14" s="52" t="str">
        <f t="shared" si="39"/>
        <v/>
      </c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41" t="str">
        <f t="shared" si="40"/>
        <v/>
      </c>
      <c r="EB14" s="41" t="str">
        <f t="shared" si="41"/>
        <v/>
      </c>
      <c r="EC14" s="41" t="str">
        <f t="shared" si="42"/>
        <v/>
      </c>
      <c r="ED14" s="41" t="str">
        <f t="shared" si="43"/>
        <v/>
      </c>
      <c r="EE14" s="41" t="str">
        <f t="shared" si="44"/>
        <v/>
      </c>
      <c r="EF14" s="41" t="str">
        <f t="shared" si="45"/>
        <v/>
      </c>
      <c r="EG14" s="41" t="str">
        <f t="shared" si="46"/>
        <v/>
      </c>
      <c r="EH14" s="41" t="str">
        <f t="shared" si="47"/>
        <v/>
      </c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1" t="str">
        <f t="shared" si="48"/>
        <v/>
      </c>
      <c r="FD14" s="11" t="str">
        <f t="shared" si="49"/>
        <v/>
      </c>
      <c r="FE14" s="11" t="str">
        <f t="shared" si="50"/>
        <v/>
      </c>
      <c r="FF14" s="11" t="str">
        <f t="shared" si="51"/>
        <v/>
      </c>
      <c r="FG14" s="11" t="str">
        <f t="shared" si="52"/>
        <v/>
      </c>
      <c r="FH14" s="11" t="str">
        <f t="shared" si="53"/>
        <v/>
      </c>
      <c r="FI14" s="11" t="str">
        <f t="shared" si="54"/>
        <v/>
      </c>
      <c r="FJ14" s="11" t="str">
        <f t="shared" si="55"/>
        <v/>
      </c>
      <c r="FK14" s="17"/>
      <c r="FL14" s="17"/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41" t="str">
        <f t="shared" si="56"/>
        <v/>
      </c>
      <c r="GF14" s="41" t="str">
        <f t="shared" si="57"/>
        <v/>
      </c>
      <c r="GG14" s="41" t="str">
        <f t="shared" si="58"/>
        <v/>
      </c>
      <c r="GH14" s="41" t="str">
        <f t="shared" si="59"/>
        <v/>
      </c>
      <c r="GI14" s="41" t="str">
        <f t="shared" si="60"/>
        <v/>
      </c>
      <c r="GJ14" s="41" t="str">
        <f t="shared" si="61"/>
        <v/>
      </c>
      <c r="GK14" s="41" t="str">
        <f t="shared" si="62"/>
        <v/>
      </c>
      <c r="GL14" s="41" t="str">
        <f t="shared" si="63"/>
        <v/>
      </c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1" t="str">
        <f t="shared" si="64"/>
        <v/>
      </c>
      <c r="HH14" s="11" t="str">
        <f t="shared" si="65"/>
        <v/>
      </c>
      <c r="HI14" s="11" t="str">
        <f t="shared" si="66"/>
        <v/>
      </c>
      <c r="HJ14" s="11" t="str">
        <f t="shared" si="67"/>
        <v/>
      </c>
      <c r="HK14" s="11" t="str">
        <f t="shared" si="68"/>
        <v/>
      </c>
      <c r="HL14" s="11" t="str">
        <f t="shared" si="69"/>
        <v/>
      </c>
      <c r="HM14" s="11" t="str">
        <f t="shared" si="70"/>
        <v/>
      </c>
      <c r="HN14" s="11" t="str">
        <f t="shared" si="71"/>
        <v/>
      </c>
      <c r="HO14" s="17"/>
      <c r="HP14" s="17"/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41" t="str">
        <f t="shared" si="72"/>
        <v/>
      </c>
      <c r="IJ14" s="41" t="str">
        <f t="shared" si="73"/>
        <v/>
      </c>
      <c r="IK14" s="41" t="str">
        <f t="shared" si="74"/>
        <v/>
      </c>
      <c r="IL14" s="41" t="str">
        <f t="shared" si="75"/>
        <v/>
      </c>
      <c r="IM14" s="41" t="str">
        <f t="shared" si="76"/>
        <v/>
      </c>
      <c r="IN14" s="41" t="str">
        <f t="shared" si="77"/>
        <v/>
      </c>
      <c r="IO14" s="41" t="str">
        <f t="shared" si="78"/>
        <v/>
      </c>
      <c r="IP14" s="41" t="str">
        <f t="shared" si="79"/>
        <v/>
      </c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1" t="str">
        <f t="shared" si="80"/>
        <v/>
      </c>
      <c r="JL14" s="11" t="str">
        <f t="shared" si="81"/>
        <v/>
      </c>
      <c r="JM14" s="11" t="str">
        <f t="shared" si="82"/>
        <v/>
      </c>
      <c r="JN14" s="11" t="str">
        <f t="shared" si="83"/>
        <v/>
      </c>
      <c r="JO14" s="11" t="str">
        <f t="shared" si="84"/>
        <v/>
      </c>
      <c r="JP14" s="11" t="str">
        <f t="shared" si="85"/>
        <v/>
      </c>
      <c r="JQ14" s="11" t="str">
        <f t="shared" si="86"/>
        <v/>
      </c>
      <c r="JR14" s="11" t="str">
        <f t="shared" si="87"/>
        <v/>
      </c>
      <c r="JS14" s="17">
        <v>18.600000000000001</v>
      </c>
      <c r="JT14" s="17">
        <v>5.6</v>
      </c>
      <c r="JU14" s="17">
        <v>0</v>
      </c>
      <c r="JV14" s="17">
        <v>0</v>
      </c>
      <c r="JW14" s="17">
        <v>18.5</v>
      </c>
      <c r="JX14" s="17">
        <v>5.2</v>
      </c>
      <c r="JY14" s="17">
        <v>1</v>
      </c>
      <c r="JZ14" s="17">
        <v>0</v>
      </c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41">
        <f t="shared" si="88"/>
        <v>10.8</v>
      </c>
      <c r="KN14" s="41">
        <f t="shared" si="89"/>
        <v>46.900000000000006</v>
      </c>
      <c r="KO14" s="41" t="str">
        <f t="shared" si="90"/>
        <v/>
      </c>
      <c r="KP14" s="41">
        <f t="shared" si="91"/>
        <v>10.8</v>
      </c>
      <c r="KQ14" s="41">
        <f t="shared" si="92"/>
        <v>46.900000000000006</v>
      </c>
      <c r="KR14" s="41" t="str">
        <f t="shared" si="93"/>
        <v/>
      </c>
      <c r="KS14" s="41" t="str">
        <f t="shared" si="94"/>
        <v/>
      </c>
      <c r="KT14" s="41">
        <f t="shared" si="95"/>
        <v>46.900000000000006</v>
      </c>
      <c r="KU14" s="18"/>
      <c r="KV14" s="18"/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1" t="str">
        <f t="shared" si="96"/>
        <v/>
      </c>
      <c r="LP14" s="11" t="str">
        <f t="shared" si="97"/>
        <v/>
      </c>
      <c r="LQ14" s="11" t="str">
        <f t="shared" si="98"/>
        <v/>
      </c>
      <c r="LR14" s="11" t="str">
        <f t="shared" si="99"/>
        <v/>
      </c>
      <c r="LS14" s="11" t="str">
        <f t="shared" si="100"/>
        <v/>
      </c>
      <c r="LT14" s="11" t="str">
        <f t="shared" si="101"/>
        <v/>
      </c>
      <c r="LU14" s="11" t="str">
        <f t="shared" si="102"/>
        <v/>
      </c>
      <c r="LV14" s="11" t="str">
        <f t="shared" si="103"/>
        <v/>
      </c>
      <c r="LW14" s="17"/>
      <c r="LX14" s="17"/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41" t="str">
        <f t="shared" si="104"/>
        <v/>
      </c>
      <c r="MR14" s="41" t="str">
        <f t="shared" si="105"/>
        <v/>
      </c>
      <c r="MS14" s="41" t="str">
        <f t="shared" si="106"/>
        <v/>
      </c>
      <c r="MT14" s="41" t="str">
        <f t="shared" si="107"/>
        <v/>
      </c>
      <c r="MU14" s="41" t="str">
        <f t="shared" si="108"/>
        <v/>
      </c>
      <c r="MV14" s="41" t="str">
        <f t="shared" si="109"/>
        <v/>
      </c>
      <c r="MW14" s="41" t="str">
        <f t="shared" si="110"/>
        <v/>
      </c>
      <c r="MX14" s="41" t="str">
        <f t="shared" si="111"/>
        <v/>
      </c>
      <c r="MY14" s="18"/>
      <c r="MZ14" s="18"/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1" t="str">
        <f t="shared" si="112"/>
        <v/>
      </c>
      <c r="NT14" s="11" t="str">
        <f t="shared" si="113"/>
        <v/>
      </c>
      <c r="NU14" s="11" t="str">
        <f t="shared" si="114"/>
        <v/>
      </c>
      <c r="NV14" s="11" t="str">
        <f t="shared" si="115"/>
        <v/>
      </c>
      <c r="NW14" s="11" t="str">
        <f t="shared" si="116"/>
        <v/>
      </c>
      <c r="NX14" s="11" t="str">
        <f t="shared" si="117"/>
        <v/>
      </c>
      <c r="NY14" s="11" t="str">
        <f t="shared" si="118"/>
        <v/>
      </c>
      <c r="NZ14" s="11" t="str">
        <f t="shared" si="119"/>
        <v/>
      </c>
      <c r="OA14" s="17"/>
      <c r="OB14" s="17"/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41" t="str">
        <f t="shared" si="120"/>
        <v/>
      </c>
      <c r="OV14" s="41" t="str">
        <f t="shared" si="121"/>
        <v/>
      </c>
      <c r="OW14" s="41" t="str">
        <f t="shared" si="122"/>
        <v/>
      </c>
      <c r="OX14" s="41" t="str">
        <f t="shared" si="123"/>
        <v/>
      </c>
      <c r="OY14" s="41" t="str">
        <f t="shared" si="124"/>
        <v/>
      </c>
      <c r="OZ14" s="41" t="str">
        <f t="shared" si="125"/>
        <v/>
      </c>
      <c r="PA14" s="41" t="str">
        <f t="shared" si="126"/>
        <v/>
      </c>
      <c r="PB14" s="41" t="str">
        <f t="shared" si="127"/>
        <v/>
      </c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1" t="str">
        <f t="shared" si="128"/>
        <v/>
      </c>
      <c r="PX14" s="11" t="str">
        <f t="shared" si="129"/>
        <v/>
      </c>
      <c r="PY14" s="11" t="str">
        <f t="shared" si="130"/>
        <v/>
      </c>
      <c r="PZ14" s="11" t="str">
        <f t="shared" si="131"/>
        <v/>
      </c>
      <c r="QA14" s="11" t="str">
        <f t="shared" si="132"/>
        <v/>
      </c>
      <c r="QB14" s="11" t="str">
        <f t="shared" si="133"/>
        <v/>
      </c>
      <c r="QC14" s="11" t="str">
        <f t="shared" si="134"/>
        <v/>
      </c>
      <c r="QD14" s="11" t="str">
        <f t="shared" si="135"/>
        <v/>
      </c>
      <c r="QE14" s="23">
        <f t="shared" si="136"/>
        <v>18.399999999999999</v>
      </c>
      <c r="QF14" s="23">
        <f t="shared" si="137"/>
        <v>5.6</v>
      </c>
      <c r="QG14" s="23">
        <f t="shared" si="138"/>
        <v>0</v>
      </c>
      <c r="QH14" s="23">
        <f t="shared" si="139"/>
        <v>0</v>
      </c>
      <c r="QI14" s="23">
        <f t="shared" si="140"/>
        <v>9.35</v>
      </c>
      <c r="QJ14" s="23">
        <f t="shared" si="141"/>
        <v>2.2000000000000002</v>
      </c>
      <c r="QK14" s="23">
        <f t="shared" si="142"/>
        <v>0</v>
      </c>
      <c r="QL14" s="23">
        <f t="shared" si="143"/>
        <v>0</v>
      </c>
      <c r="QM14" s="23">
        <f t="shared" si="144"/>
        <v>19</v>
      </c>
      <c r="QN14" s="23">
        <f t="shared" si="145"/>
        <v>4.3499999999999996</v>
      </c>
      <c r="QO14" s="23">
        <f t="shared" si="146"/>
        <v>0.45</v>
      </c>
      <c r="QP14" s="23">
        <f t="shared" si="147"/>
        <v>0</v>
      </c>
      <c r="QQ14" s="23">
        <f t="shared" si="148"/>
        <v>9.4</v>
      </c>
      <c r="QR14" s="23">
        <f t="shared" si="149"/>
        <v>2.8</v>
      </c>
      <c r="QS14" s="23">
        <f t="shared" si="150"/>
        <v>0.1</v>
      </c>
      <c r="QT14" s="23">
        <f t="shared" si="151"/>
        <v>0</v>
      </c>
      <c r="QU14" s="23">
        <f t="shared" si="152"/>
        <v>9.3000000000000007</v>
      </c>
      <c r="QV14" s="23">
        <f t="shared" si="153"/>
        <v>2.6</v>
      </c>
      <c r="QW14" s="23">
        <f t="shared" si="154"/>
        <v>0.1</v>
      </c>
      <c r="QX14" s="23">
        <f t="shared" si="155"/>
        <v>0</v>
      </c>
      <c r="QY14" s="28" t="s">
        <v>57</v>
      </c>
      <c r="QZ14" s="41">
        <f t="shared" si="156"/>
        <v>7.8</v>
      </c>
      <c r="RA14" s="41">
        <f t="shared" si="157"/>
        <v>35.550000000000004</v>
      </c>
      <c r="RB14" s="41">
        <f t="shared" si="158"/>
        <v>22.900000000000002</v>
      </c>
      <c r="RC14" s="41">
        <f t="shared" si="159"/>
        <v>12.149999999999999</v>
      </c>
      <c r="RD14" s="41">
        <f t="shared" si="160"/>
        <v>58.45</v>
      </c>
      <c r="RE14" s="41">
        <f t="shared" si="161"/>
        <v>5.4</v>
      </c>
      <c r="RF14" s="41">
        <f t="shared" si="162"/>
        <v>23.900000000000002</v>
      </c>
      <c r="RG14" s="41">
        <f t="shared" si="163"/>
        <v>82.350000000000009</v>
      </c>
    </row>
    <row r="15" spans="1:475" x14ac:dyDescent="0.2">
      <c r="A15" s="4" t="str" cm="1">
        <f t="array" ref="A15">IF(AND(H15&lt;&gt;"",H15&lt;&gt;"No DD"),SUMPRODUCT((H$4:H$19&lt;&gt;"")*(H$4:H$19&lt;&gt;"No DD")*(E$4:E$19&gt;E15))+1,IF(H15="No DD",SUMPRODUCT((H$4:H$19="No DD")*(E$4:E$19&gt;E15))+1+SUMPRODUCT((H$4:H$19&lt;&gt;"")*(H$4:H$19&lt;&gt;"No DD")),""))</f>
        <v/>
      </c>
      <c r="B15" s="5" t="s">
        <v>231</v>
      </c>
      <c r="C15" s="4" t="s">
        <v>5</v>
      </c>
      <c r="D15" s="4">
        <v>1999</v>
      </c>
      <c r="E15" s="9">
        <f t="shared" si="0"/>
        <v>162.80001155000471</v>
      </c>
      <c r="F15" s="3" t="str">
        <f t="shared" si="1"/>
        <v/>
      </c>
      <c r="G15" s="3" t="str">
        <f t="shared" si="2"/>
        <v/>
      </c>
      <c r="H15" s="37" t="str">
        <f t="shared" si="3"/>
        <v/>
      </c>
      <c r="I15" s="3" t="str">
        <f t="shared" si="4"/>
        <v/>
      </c>
      <c r="J15" s="8">
        <f>IF(COUNT(AQ15,BT15,CW15)&gt;0,LARGE((AQ15,BT15,CW15),1),0)</f>
        <v>46.800000000000004</v>
      </c>
      <c r="K15" s="8" t="str">
        <f t="shared" si="5"/>
        <v>2023 Nationals</v>
      </c>
      <c r="L15" s="8">
        <f>IF(COUNT(AQ15,BT15,CW15)&gt;1,LARGE((AQ15,BT15,CW15),2),0)</f>
        <v>45.3</v>
      </c>
      <c r="M15" s="8" t="str">
        <f t="shared" si="6"/>
        <v>2023 Elite Canada</v>
      </c>
      <c r="N15" s="8">
        <f>IF(COUNT(AR15,BU15,CX15)&gt;0,LARGE((AR15,BU15,CX15),1),0)</f>
        <v>23.400000000000002</v>
      </c>
      <c r="O15" s="8" t="str">
        <f t="shared" si="7"/>
        <v>2023 Elite Canada</v>
      </c>
      <c r="P15" s="8">
        <f t="shared" si="8"/>
        <v>47.3</v>
      </c>
      <c r="Q15" s="8" t="str">
        <f t="shared" si="9"/>
        <v>2023 Elite Canada</v>
      </c>
      <c r="R15" s="8" t="str">
        <f t="shared" si="10"/>
        <v/>
      </c>
      <c r="S15" s="11" t="str">
        <f t="shared" si="11"/>
        <v/>
      </c>
      <c r="T15" s="8" t="str">
        <f t="shared" si="12"/>
        <v/>
      </c>
      <c r="U15" s="19">
        <v>18.2</v>
      </c>
      <c r="V15" s="19">
        <v>4.8</v>
      </c>
      <c r="W15" s="19">
        <v>0.2</v>
      </c>
      <c r="X15" s="19">
        <v>0</v>
      </c>
      <c r="Y15" s="19">
        <v>19</v>
      </c>
      <c r="Z15" s="19">
        <v>3.5</v>
      </c>
      <c r="AA15" s="19">
        <v>0</v>
      </c>
      <c r="AB15" s="19">
        <v>0</v>
      </c>
      <c r="AC15" s="19">
        <v>18.3</v>
      </c>
      <c r="AD15" s="19">
        <v>4.8</v>
      </c>
      <c r="AE15" s="19">
        <v>0</v>
      </c>
      <c r="AF15" s="19">
        <v>0.3</v>
      </c>
      <c r="AG15" s="19">
        <v>19</v>
      </c>
      <c r="AH15" s="19">
        <v>4.8</v>
      </c>
      <c r="AI15" s="19">
        <v>0</v>
      </c>
      <c r="AJ15" s="19">
        <v>0</v>
      </c>
      <c r="AK15" s="19">
        <v>18.399999999999999</v>
      </c>
      <c r="AL15" s="19">
        <v>4.8</v>
      </c>
      <c r="AM15" s="19">
        <v>0</v>
      </c>
      <c r="AN15" s="19">
        <v>0.3</v>
      </c>
      <c r="AO15" s="28"/>
      <c r="AP15" s="41">
        <f t="shared" si="13"/>
        <v>8.3000000000000007</v>
      </c>
      <c r="AQ15" s="41">
        <f t="shared" si="14"/>
        <v>45.3</v>
      </c>
      <c r="AR15" s="41">
        <f t="shared" si="15"/>
        <v>23.400000000000002</v>
      </c>
      <c r="AS15" s="41">
        <f t="shared" si="16"/>
        <v>13.100000000000001</v>
      </c>
      <c r="AT15" s="41">
        <f t="shared" si="17"/>
        <v>68.7</v>
      </c>
      <c r="AU15" s="41">
        <f t="shared" si="18"/>
        <v>9.6</v>
      </c>
      <c r="AV15" s="41">
        <f t="shared" si="19"/>
        <v>47.3</v>
      </c>
      <c r="AW15" s="41">
        <f t="shared" si="20"/>
        <v>116</v>
      </c>
      <c r="AX15" s="18">
        <v>18.600000000000001</v>
      </c>
      <c r="AY15" s="18">
        <v>5.2</v>
      </c>
      <c r="AZ15" s="18">
        <v>0</v>
      </c>
      <c r="BA15" s="18">
        <v>0</v>
      </c>
      <c r="BB15" s="18">
        <v>18.399999999999999</v>
      </c>
      <c r="BC15" s="18">
        <v>5.2</v>
      </c>
      <c r="BD15" s="18">
        <v>0.6</v>
      </c>
      <c r="BE15" s="18">
        <v>0</v>
      </c>
      <c r="BF15" s="18">
        <v>17</v>
      </c>
      <c r="BG15" s="18">
        <v>2.4</v>
      </c>
      <c r="BH15" s="18">
        <v>0</v>
      </c>
      <c r="BI15" s="18">
        <v>0</v>
      </c>
      <c r="BJ15" s="18"/>
      <c r="BK15" s="18"/>
      <c r="BL15" s="18"/>
      <c r="BM15" s="18"/>
      <c r="BN15" s="18"/>
      <c r="BO15" s="18"/>
      <c r="BP15" s="18"/>
      <c r="BQ15" s="18"/>
      <c r="BR15" s="29"/>
      <c r="BS15" s="11">
        <f t="shared" si="21"/>
        <v>10.4</v>
      </c>
      <c r="BT15" s="11">
        <f t="shared" si="22"/>
        <v>46.800000000000004</v>
      </c>
      <c r="BU15" s="11">
        <f t="shared" si="23"/>
        <v>19.399999999999999</v>
      </c>
      <c r="BV15" s="11">
        <f t="shared" si="24"/>
        <v>12.8</v>
      </c>
      <c r="BW15" s="11">
        <f t="shared" si="25"/>
        <v>66.2</v>
      </c>
      <c r="BX15" s="11" t="str">
        <f t="shared" si="26"/>
        <v/>
      </c>
      <c r="BY15" s="11" t="str">
        <f t="shared" si="27"/>
        <v/>
      </c>
      <c r="BZ15" s="11">
        <f t="shared" si="28"/>
        <v>66.2</v>
      </c>
      <c r="CA15" s="19">
        <v>0</v>
      </c>
      <c r="CB15" s="19">
        <v>0</v>
      </c>
      <c r="CC15" s="19">
        <v>0</v>
      </c>
      <c r="CD15" s="19">
        <v>0</v>
      </c>
      <c r="CE15" s="19">
        <v>0</v>
      </c>
      <c r="CF15" s="19">
        <v>0</v>
      </c>
      <c r="CG15" s="19">
        <v>0</v>
      </c>
      <c r="CH15" s="19">
        <v>0</v>
      </c>
      <c r="CI15" s="19">
        <v>0</v>
      </c>
      <c r="CJ15" s="19">
        <v>0</v>
      </c>
      <c r="CK15" s="19">
        <v>0</v>
      </c>
      <c r="CL15" s="19">
        <v>0</v>
      </c>
      <c r="CM15" s="19"/>
      <c r="CN15" s="19"/>
      <c r="CO15" s="19"/>
      <c r="CP15" s="19"/>
      <c r="CQ15" s="19"/>
      <c r="CR15" s="19"/>
      <c r="CS15" s="19"/>
      <c r="CT15" s="19"/>
      <c r="CU15" s="28"/>
      <c r="CV15" s="41" t="str">
        <f t="shared" si="29"/>
        <v/>
      </c>
      <c r="CW15" s="41" t="str">
        <f t="shared" si="30"/>
        <v/>
      </c>
      <c r="CX15" s="41" t="str">
        <f t="shared" si="31"/>
        <v/>
      </c>
      <c r="CY15" s="41" t="str">
        <f t="shared" si="32"/>
        <v/>
      </c>
      <c r="CZ15" s="41" t="str">
        <f t="shared" si="33"/>
        <v/>
      </c>
      <c r="DA15" s="41" t="str">
        <f t="shared" si="34"/>
        <v/>
      </c>
      <c r="DB15" s="41" t="str">
        <f t="shared" si="35"/>
        <v/>
      </c>
      <c r="DC15" s="41" t="str">
        <f t="shared" si="36"/>
        <v/>
      </c>
      <c r="DD15" s="52" t="str">
        <f t="shared" si="37"/>
        <v/>
      </c>
      <c r="DE15" s="52" t="str">
        <f t="shared" si="38"/>
        <v/>
      </c>
      <c r="DF15" s="52" t="str">
        <f t="shared" si="39"/>
        <v/>
      </c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41" t="str">
        <f t="shared" si="40"/>
        <v/>
      </c>
      <c r="EB15" s="41" t="str">
        <f t="shared" si="41"/>
        <v/>
      </c>
      <c r="EC15" s="41" t="str">
        <f t="shared" si="42"/>
        <v/>
      </c>
      <c r="ED15" s="41" t="str">
        <f t="shared" si="43"/>
        <v/>
      </c>
      <c r="EE15" s="41" t="str">
        <f t="shared" si="44"/>
        <v/>
      </c>
      <c r="EF15" s="41" t="str">
        <f t="shared" si="45"/>
        <v/>
      </c>
      <c r="EG15" s="41" t="str">
        <f t="shared" si="46"/>
        <v/>
      </c>
      <c r="EH15" s="41" t="str">
        <f t="shared" si="47"/>
        <v/>
      </c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1" t="str">
        <f t="shared" si="48"/>
        <v/>
      </c>
      <c r="FD15" s="11" t="str">
        <f t="shared" si="49"/>
        <v/>
      </c>
      <c r="FE15" s="11" t="str">
        <f t="shared" si="50"/>
        <v/>
      </c>
      <c r="FF15" s="11" t="str">
        <f t="shared" si="51"/>
        <v/>
      </c>
      <c r="FG15" s="11" t="str">
        <f t="shared" si="52"/>
        <v/>
      </c>
      <c r="FH15" s="11" t="str">
        <f t="shared" si="53"/>
        <v/>
      </c>
      <c r="FI15" s="11" t="str">
        <f t="shared" si="54"/>
        <v/>
      </c>
      <c r="FJ15" s="11" t="str">
        <f t="shared" si="55"/>
        <v/>
      </c>
      <c r="FK15" s="17"/>
      <c r="FL15" s="17"/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41" t="str">
        <f t="shared" si="56"/>
        <v/>
      </c>
      <c r="GF15" s="41" t="str">
        <f t="shared" si="57"/>
        <v/>
      </c>
      <c r="GG15" s="41" t="str">
        <f t="shared" si="58"/>
        <v/>
      </c>
      <c r="GH15" s="41" t="str">
        <f t="shared" si="59"/>
        <v/>
      </c>
      <c r="GI15" s="41" t="str">
        <f t="shared" si="60"/>
        <v/>
      </c>
      <c r="GJ15" s="41" t="str">
        <f t="shared" si="61"/>
        <v/>
      </c>
      <c r="GK15" s="41" t="str">
        <f t="shared" si="62"/>
        <v/>
      </c>
      <c r="GL15" s="41" t="str">
        <f t="shared" si="63"/>
        <v/>
      </c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1" t="str">
        <f t="shared" si="64"/>
        <v/>
      </c>
      <c r="HH15" s="11" t="str">
        <f t="shared" si="65"/>
        <v/>
      </c>
      <c r="HI15" s="11" t="str">
        <f t="shared" si="66"/>
        <v/>
      </c>
      <c r="HJ15" s="11" t="str">
        <f t="shared" si="67"/>
        <v/>
      </c>
      <c r="HK15" s="11" t="str">
        <f t="shared" si="68"/>
        <v/>
      </c>
      <c r="HL15" s="11" t="str">
        <f t="shared" si="69"/>
        <v/>
      </c>
      <c r="HM15" s="11" t="str">
        <f t="shared" si="70"/>
        <v/>
      </c>
      <c r="HN15" s="11" t="str">
        <f t="shared" si="71"/>
        <v/>
      </c>
      <c r="HO15" s="17"/>
      <c r="HP15" s="17"/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41" t="str">
        <f t="shared" si="72"/>
        <v/>
      </c>
      <c r="IJ15" s="41" t="str">
        <f t="shared" si="73"/>
        <v/>
      </c>
      <c r="IK15" s="41" t="str">
        <f t="shared" si="74"/>
        <v/>
      </c>
      <c r="IL15" s="41" t="str">
        <f t="shared" si="75"/>
        <v/>
      </c>
      <c r="IM15" s="41" t="str">
        <f t="shared" si="76"/>
        <v/>
      </c>
      <c r="IN15" s="41" t="str">
        <f t="shared" si="77"/>
        <v/>
      </c>
      <c r="IO15" s="41" t="str">
        <f t="shared" si="78"/>
        <v/>
      </c>
      <c r="IP15" s="41" t="str">
        <f t="shared" si="79"/>
        <v/>
      </c>
      <c r="IQ15" s="18"/>
      <c r="IR15" s="18"/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1" t="str">
        <f t="shared" si="80"/>
        <v/>
      </c>
      <c r="JL15" s="11" t="str">
        <f t="shared" si="81"/>
        <v/>
      </c>
      <c r="JM15" s="11" t="str">
        <f t="shared" si="82"/>
        <v/>
      </c>
      <c r="JN15" s="11" t="str">
        <f t="shared" si="83"/>
        <v/>
      </c>
      <c r="JO15" s="11" t="str">
        <f t="shared" si="84"/>
        <v/>
      </c>
      <c r="JP15" s="11" t="str">
        <f t="shared" si="85"/>
        <v/>
      </c>
      <c r="JQ15" s="11" t="str">
        <f t="shared" si="86"/>
        <v/>
      </c>
      <c r="JR15" s="11" t="str">
        <f t="shared" si="87"/>
        <v/>
      </c>
      <c r="JS15" s="17"/>
      <c r="JT15" s="17"/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41" t="str">
        <f t="shared" si="88"/>
        <v/>
      </c>
      <c r="KN15" s="41" t="str">
        <f t="shared" si="89"/>
        <v/>
      </c>
      <c r="KO15" s="41" t="str">
        <f t="shared" si="90"/>
        <v/>
      </c>
      <c r="KP15" s="41" t="str">
        <f t="shared" si="91"/>
        <v/>
      </c>
      <c r="KQ15" s="41" t="str">
        <f t="shared" si="92"/>
        <v/>
      </c>
      <c r="KR15" s="41" t="str">
        <f t="shared" si="93"/>
        <v/>
      </c>
      <c r="KS15" s="41" t="str">
        <f t="shared" si="94"/>
        <v/>
      </c>
      <c r="KT15" s="41" t="str">
        <f t="shared" si="95"/>
        <v/>
      </c>
      <c r="KU15" s="18"/>
      <c r="KV15" s="18"/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1" t="str">
        <f t="shared" si="96"/>
        <v/>
      </c>
      <c r="LP15" s="11" t="str">
        <f t="shared" si="97"/>
        <v/>
      </c>
      <c r="LQ15" s="11" t="str">
        <f t="shared" si="98"/>
        <v/>
      </c>
      <c r="LR15" s="11" t="str">
        <f t="shared" si="99"/>
        <v/>
      </c>
      <c r="LS15" s="11" t="str">
        <f t="shared" si="100"/>
        <v/>
      </c>
      <c r="LT15" s="11" t="str">
        <f t="shared" si="101"/>
        <v/>
      </c>
      <c r="LU15" s="11" t="str">
        <f t="shared" si="102"/>
        <v/>
      </c>
      <c r="LV15" s="11" t="str">
        <f t="shared" si="103"/>
        <v/>
      </c>
      <c r="LW15" s="17"/>
      <c r="LX15" s="17"/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41" t="str">
        <f t="shared" si="104"/>
        <v/>
      </c>
      <c r="MR15" s="41" t="str">
        <f t="shared" si="105"/>
        <v/>
      </c>
      <c r="MS15" s="41" t="str">
        <f t="shared" si="106"/>
        <v/>
      </c>
      <c r="MT15" s="41" t="str">
        <f t="shared" si="107"/>
        <v/>
      </c>
      <c r="MU15" s="41" t="str">
        <f t="shared" si="108"/>
        <v/>
      </c>
      <c r="MV15" s="41" t="str">
        <f t="shared" si="109"/>
        <v/>
      </c>
      <c r="MW15" s="41" t="str">
        <f t="shared" si="110"/>
        <v/>
      </c>
      <c r="MX15" s="41" t="str">
        <f t="shared" si="111"/>
        <v/>
      </c>
      <c r="MY15" s="18"/>
      <c r="MZ15" s="18"/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1" t="str">
        <f t="shared" si="112"/>
        <v/>
      </c>
      <c r="NT15" s="11" t="str">
        <f t="shared" si="113"/>
        <v/>
      </c>
      <c r="NU15" s="11" t="str">
        <f t="shared" si="114"/>
        <v/>
      </c>
      <c r="NV15" s="11" t="str">
        <f t="shared" si="115"/>
        <v/>
      </c>
      <c r="NW15" s="11" t="str">
        <f t="shared" si="116"/>
        <v/>
      </c>
      <c r="NX15" s="11" t="str">
        <f t="shared" si="117"/>
        <v/>
      </c>
      <c r="NY15" s="11" t="str">
        <f t="shared" si="118"/>
        <v/>
      </c>
      <c r="NZ15" s="11" t="str">
        <f t="shared" si="119"/>
        <v/>
      </c>
      <c r="OA15" s="17"/>
      <c r="OB15" s="17"/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41" t="str">
        <f t="shared" si="120"/>
        <v/>
      </c>
      <c r="OV15" s="41" t="str">
        <f t="shared" si="121"/>
        <v/>
      </c>
      <c r="OW15" s="41" t="str">
        <f t="shared" si="122"/>
        <v/>
      </c>
      <c r="OX15" s="41" t="str">
        <f t="shared" si="123"/>
        <v/>
      </c>
      <c r="OY15" s="41" t="str">
        <f t="shared" si="124"/>
        <v/>
      </c>
      <c r="OZ15" s="41" t="str">
        <f t="shared" si="125"/>
        <v/>
      </c>
      <c r="PA15" s="41" t="str">
        <f t="shared" si="126"/>
        <v/>
      </c>
      <c r="PB15" s="41" t="str">
        <f t="shared" si="127"/>
        <v/>
      </c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1" t="str">
        <f t="shared" si="128"/>
        <v/>
      </c>
      <c r="PX15" s="11" t="str">
        <f t="shared" si="129"/>
        <v/>
      </c>
      <c r="PY15" s="11" t="str">
        <f t="shared" si="130"/>
        <v/>
      </c>
      <c r="PZ15" s="11" t="str">
        <f t="shared" si="131"/>
        <v/>
      </c>
      <c r="QA15" s="11" t="str">
        <f t="shared" si="132"/>
        <v/>
      </c>
      <c r="QB15" s="11" t="str">
        <f t="shared" si="133"/>
        <v/>
      </c>
      <c r="QC15" s="11" t="str">
        <f t="shared" si="134"/>
        <v/>
      </c>
      <c r="QD15" s="11" t="str">
        <f t="shared" si="135"/>
        <v/>
      </c>
      <c r="QE15" s="23">
        <f t="shared" si="136"/>
        <v>9.3000000000000007</v>
      </c>
      <c r="QF15" s="23">
        <f t="shared" si="137"/>
        <v>2.6</v>
      </c>
      <c r="QG15" s="23">
        <f t="shared" si="138"/>
        <v>0</v>
      </c>
      <c r="QH15" s="23">
        <f t="shared" si="139"/>
        <v>0</v>
      </c>
      <c r="QI15" s="23">
        <f t="shared" si="140"/>
        <v>9.1999999999999993</v>
      </c>
      <c r="QJ15" s="23">
        <f t="shared" si="141"/>
        <v>2.6</v>
      </c>
      <c r="QK15" s="23">
        <f t="shared" si="142"/>
        <v>0.3</v>
      </c>
      <c r="QL15" s="23">
        <f t="shared" si="143"/>
        <v>0</v>
      </c>
      <c r="QM15" s="23">
        <f t="shared" si="144"/>
        <v>8.5</v>
      </c>
      <c r="QN15" s="23">
        <f t="shared" si="145"/>
        <v>1.2</v>
      </c>
      <c r="QO15" s="23">
        <f t="shared" si="146"/>
        <v>0</v>
      </c>
      <c r="QP15" s="23">
        <f t="shared" si="147"/>
        <v>0</v>
      </c>
      <c r="QQ15" s="23">
        <f t="shared" si="148"/>
        <v>0</v>
      </c>
      <c r="QR15" s="23">
        <f t="shared" si="149"/>
        <v>0</v>
      </c>
      <c r="QS15" s="23">
        <f t="shared" si="150"/>
        <v>0</v>
      </c>
      <c r="QT15" s="23">
        <f t="shared" si="151"/>
        <v>0</v>
      </c>
      <c r="QU15" s="23">
        <f t="shared" si="152"/>
        <v>0</v>
      </c>
      <c r="QV15" s="23">
        <f t="shared" si="153"/>
        <v>0</v>
      </c>
      <c r="QW15" s="23">
        <f t="shared" si="154"/>
        <v>0</v>
      </c>
      <c r="QX15" s="23">
        <f t="shared" si="155"/>
        <v>0</v>
      </c>
      <c r="QY15" s="28" t="s">
        <v>57</v>
      </c>
      <c r="QZ15" s="41">
        <f t="shared" si="156"/>
        <v>5.2</v>
      </c>
      <c r="RA15" s="41">
        <f t="shared" si="157"/>
        <v>23.400000000000002</v>
      </c>
      <c r="RB15" s="41">
        <f t="shared" si="158"/>
        <v>9.6999999999999993</v>
      </c>
      <c r="RC15" s="41">
        <f t="shared" si="159"/>
        <v>6.4</v>
      </c>
      <c r="RD15" s="41">
        <f t="shared" si="160"/>
        <v>33.1</v>
      </c>
      <c r="RE15" s="41" t="str">
        <f t="shared" si="161"/>
        <v/>
      </c>
      <c r="RF15" s="41" t="str">
        <f t="shared" si="162"/>
        <v/>
      </c>
      <c r="RG15" s="41">
        <f t="shared" si="163"/>
        <v>33.1</v>
      </c>
    </row>
    <row r="16" spans="1:475" x14ac:dyDescent="0.2">
      <c r="A16" s="4" t="str" cm="1">
        <f t="array" ref="A16">IF(AND(H16&lt;&gt;"",H16&lt;&gt;"No DD"),SUMPRODUCT((H$4:H$19&lt;&gt;"")*(H$4:H$19&lt;&gt;"No DD")*(E$4:E$19&gt;E16))+1,IF(H16="No DD",SUMPRODUCT((H$4:H$19="No DD")*(E$4:E$19&gt;E16))+1+SUMPRODUCT((H$4:H$19&lt;&gt;"")*(H$4:H$19&lt;&gt;"No DD")),""))</f>
        <v/>
      </c>
      <c r="B16" s="5" t="s">
        <v>92</v>
      </c>
      <c r="C16" s="4" t="s">
        <v>6</v>
      </c>
      <c r="D16" s="4">
        <v>2003</v>
      </c>
      <c r="E16" s="9">
        <f t="shared" si="0"/>
        <v>110.6000110600045</v>
      </c>
      <c r="F16" s="3" t="str">
        <f t="shared" si="1"/>
        <v/>
      </c>
      <c r="G16" s="3" t="str">
        <f t="shared" si="2"/>
        <v/>
      </c>
      <c r="H16" s="37" t="str">
        <f t="shared" si="3"/>
        <v/>
      </c>
      <c r="I16" s="3" t="str">
        <f t="shared" si="4"/>
        <v/>
      </c>
      <c r="J16" s="8">
        <f>IF(COUNT(AQ16,BT16,CW16)&gt;0,LARGE((AQ16,BT16,CW16),1),0)</f>
        <v>45.099999999999994</v>
      </c>
      <c r="K16" s="8" t="str">
        <f t="shared" si="5"/>
        <v>2023 Nationals</v>
      </c>
      <c r="L16" s="8">
        <f>IF(COUNT(AQ16,BT16,CW16)&gt;1,LARGE((AQ16,BT16,CW16),2),0)</f>
        <v>42.9</v>
      </c>
      <c r="M16" s="8" t="str">
        <f t="shared" si="6"/>
        <v>2023 Elite Canada</v>
      </c>
      <c r="N16" s="8">
        <f>IF(COUNT(AR16,BU16,CX16)&gt;0,LARGE((AR16,BU16,CX16),1),0)</f>
        <v>22.6</v>
      </c>
      <c r="O16" s="8" t="str">
        <f t="shared" si="7"/>
        <v>2023 Nationals</v>
      </c>
      <c r="P16" s="8">
        <f t="shared" si="8"/>
        <v>0</v>
      </c>
      <c r="Q16" s="8" t="str">
        <f t="shared" si="9"/>
        <v/>
      </c>
      <c r="R16" s="8" t="str">
        <f t="shared" si="10"/>
        <v/>
      </c>
      <c r="S16" s="11" t="str">
        <f t="shared" si="11"/>
        <v/>
      </c>
      <c r="T16" s="8" t="str">
        <f t="shared" si="12"/>
        <v/>
      </c>
      <c r="U16" s="19">
        <v>17.399999999999999</v>
      </c>
      <c r="V16" s="19">
        <v>2.9</v>
      </c>
      <c r="W16" s="19">
        <v>1.2</v>
      </c>
      <c r="X16" s="19">
        <v>0</v>
      </c>
      <c r="Y16" s="19">
        <v>18.2</v>
      </c>
      <c r="Z16" s="19">
        <v>5.6</v>
      </c>
      <c r="AA16" s="19">
        <v>0</v>
      </c>
      <c r="AB16" s="19">
        <v>0</v>
      </c>
      <c r="AC16" s="19">
        <v>17</v>
      </c>
      <c r="AD16" s="19">
        <v>2.8</v>
      </c>
      <c r="AE16" s="19">
        <v>0</v>
      </c>
      <c r="AF16" s="19">
        <v>0</v>
      </c>
      <c r="AG16" s="19"/>
      <c r="AH16" s="19"/>
      <c r="AI16" s="19"/>
      <c r="AJ16" s="19"/>
      <c r="AK16" s="19"/>
      <c r="AL16" s="19"/>
      <c r="AM16" s="19"/>
      <c r="AN16" s="19"/>
      <c r="AO16" s="28"/>
      <c r="AP16" s="41">
        <f t="shared" si="13"/>
        <v>8.5</v>
      </c>
      <c r="AQ16" s="41">
        <f t="shared" si="14"/>
        <v>42.9</v>
      </c>
      <c r="AR16" s="41">
        <f t="shared" si="15"/>
        <v>19.8</v>
      </c>
      <c r="AS16" s="41">
        <f t="shared" si="16"/>
        <v>11.3</v>
      </c>
      <c r="AT16" s="41">
        <f t="shared" si="17"/>
        <v>62.7</v>
      </c>
      <c r="AU16" s="41" t="str">
        <f t="shared" si="18"/>
        <v/>
      </c>
      <c r="AV16" s="41" t="str">
        <f t="shared" si="19"/>
        <v/>
      </c>
      <c r="AW16" s="41">
        <f t="shared" si="20"/>
        <v>62.7</v>
      </c>
      <c r="AX16" s="18">
        <v>18</v>
      </c>
      <c r="AY16" s="18">
        <v>5.6</v>
      </c>
      <c r="AZ16" s="18">
        <v>0.2</v>
      </c>
      <c r="BA16" s="18">
        <v>0</v>
      </c>
      <c r="BB16" s="18">
        <v>16.2</v>
      </c>
      <c r="BC16" s="18">
        <v>6</v>
      </c>
      <c r="BD16" s="18">
        <v>0.8</v>
      </c>
      <c r="BE16" s="18">
        <v>0.3</v>
      </c>
      <c r="BF16" s="18">
        <v>18</v>
      </c>
      <c r="BG16" s="18">
        <v>4.8</v>
      </c>
      <c r="BH16" s="18">
        <v>0.2</v>
      </c>
      <c r="BI16" s="18">
        <v>0</v>
      </c>
      <c r="BJ16" s="18"/>
      <c r="BK16" s="18"/>
      <c r="BL16" s="18"/>
      <c r="BM16" s="18"/>
      <c r="BN16" s="18"/>
      <c r="BO16" s="18"/>
      <c r="BP16" s="18"/>
      <c r="BQ16" s="18"/>
      <c r="BR16" s="29"/>
      <c r="BS16" s="11">
        <f t="shared" si="21"/>
        <v>11.6</v>
      </c>
      <c r="BT16" s="11">
        <f t="shared" si="22"/>
        <v>45.099999999999994</v>
      </c>
      <c r="BU16" s="11">
        <f t="shared" si="23"/>
        <v>22.6</v>
      </c>
      <c r="BV16" s="11">
        <f t="shared" si="24"/>
        <v>16.399999999999999</v>
      </c>
      <c r="BW16" s="11">
        <f t="shared" si="25"/>
        <v>67.699999999999989</v>
      </c>
      <c r="BX16" s="11" t="str">
        <f t="shared" si="26"/>
        <v/>
      </c>
      <c r="BY16" s="11" t="str">
        <f t="shared" si="27"/>
        <v/>
      </c>
      <c r="BZ16" s="11">
        <f t="shared" si="28"/>
        <v>67.699999999999989</v>
      </c>
      <c r="CA16" s="19">
        <v>16.399999999999999</v>
      </c>
      <c r="CB16" s="19">
        <v>5.2</v>
      </c>
      <c r="CC16" s="19">
        <v>0.8</v>
      </c>
      <c r="CD16" s="19">
        <v>0</v>
      </c>
      <c r="CE16" s="19">
        <v>0</v>
      </c>
      <c r="CF16" s="19">
        <v>0</v>
      </c>
      <c r="CG16" s="19">
        <v>0</v>
      </c>
      <c r="CH16" s="19">
        <v>0</v>
      </c>
      <c r="CI16" s="19">
        <v>0</v>
      </c>
      <c r="CJ16" s="19">
        <v>0</v>
      </c>
      <c r="CK16" s="19">
        <v>0</v>
      </c>
      <c r="CL16" s="19">
        <v>0</v>
      </c>
      <c r="CM16" s="19"/>
      <c r="CN16" s="19"/>
      <c r="CO16" s="19"/>
      <c r="CP16" s="19"/>
      <c r="CQ16" s="19"/>
      <c r="CR16" s="19"/>
      <c r="CS16" s="19"/>
      <c r="CT16" s="19"/>
      <c r="CU16" s="28"/>
      <c r="CV16" s="41">
        <f t="shared" si="29"/>
        <v>5.2</v>
      </c>
      <c r="CW16" s="41">
        <f t="shared" si="30"/>
        <v>20.799999999999997</v>
      </c>
      <c r="CX16" s="41" t="str">
        <f t="shared" si="31"/>
        <v/>
      </c>
      <c r="CY16" s="41">
        <f t="shared" si="32"/>
        <v>5.2</v>
      </c>
      <c r="CZ16" s="41">
        <f t="shared" si="33"/>
        <v>20.799999999999997</v>
      </c>
      <c r="DA16" s="41" t="str">
        <f t="shared" si="34"/>
        <v/>
      </c>
      <c r="DB16" s="41" t="str">
        <f t="shared" si="35"/>
        <v/>
      </c>
      <c r="DC16" s="41">
        <f t="shared" si="36"/>
        <v>20.799999999999997</v>
      </c>
      <c r="DD16" s="52" t="str">
        <f t="shared" si="37"/>
        <v/>
      </c>
      <c r="DE16" s="52" t="str">
        <f t="shared" si="38"/>
        <v/>
      </c>
      <c r="DF16" s="52" t="str">
        <f t="shared" si="39"/>
        <v/>
      </c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41" t="str">
        <f t="shared" si="40"/>
        <v/>
      </c>
      <c r="EB16" s="41" t="str">
        <f t="shared" si="41"/>
        <v/>
      </c>
      <c r="EC16" s="41" t="str">
        <f t="shared" si="42"/>
        <v/>
      </c>
      <c r="ED16" s="41" t="str">
        <f t="shared" si="43"/>
        <v/>
      </c>
      <c r="EE16" s="41" t="str">
        <f t="shared" si="44"/>
        <v/>
      </c>
      <c r="EF16" s="41" t="str">
        <f t="shared" si="45"/>
        <v/>
      </c>
      <c r="EG16" s="41" t="str">
        <f t="shared" si="46"/>
        <v/>
      </c>
      <c r="EH16" s="41" t="str">
        <f t="shared" si="47"/>
        <v/>
      </c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1" t="str">
        <f t="shared" si="48"/>
        <v/>
      </c>
      <c r="FD16" s="11" t="str">
        <f t="shared" si="49"/>
        <v/>
      </c>
      <c r="FE16" s="11" t="str">
        <f t="shared" si="50"/>
        <v/>
      </c>
      <c r="FF16" s="11" t="str">
        <f t="shared" si="51"/>
        <v/>
      </c>
      <c r="FG16" s="11" t="str">
        <f t="shared" si="52"/>
        <v/>
      </c>
      <c r="FH16" s="11" t="str">
        <f t="shared" si="53"/>
        <v/>
      </c>
      <c r="FI16" s="11" t="str">
        <f t="shared" si="54"/>
        <v/>
      </c>
      <c r="FJ16" s="11" t="str">
        <f t="shared" si="55"/>
        <v/>
      </c>
      <c r="FK16" s="17"/>
      <c r="FL16" s="17"/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41" t="str">
        <f t="shared" si="56"/>
        <v/>
      </c>
      <c r="GF16" s="41" t="str">
        <f t="shared" si="57"/>
        <v/>
      </c>
      <c r="GG16" s="41" t="str">
        <f t="shared" si="58"/>
        <v/>
      </c>
      <c r="GH16" s="41" t="str">
        <f t="shared" si="59"/>
        <v/>
      </c>
      <c r="GI16" s="41" t="str">
        <f t="shared" si="60"/>
        <v/>
      </c>
      <c r="GJ16" s="41" t="str">
        <f t="shared" si="61"/>
        <v/>
      </c>
      <c r="GK16" s="41" t="str">
        <f t="shared" si="62"/>
        <v/>
      </c>
      <c r="GL16" s="41" t="str">
        <f t="shared" si="63"/>
        <v/>
      </c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1" t="str">
        <f t="shared" si="64"/>
        <v/>
      </c>
      <c r="HH16" s="11" t="str">
        <f t="shared" si="65"/>
        <v/>
      </c>
      <c r="HI16" s="11" t="str">
        <f t="shared" si="66"/>
        <v/>
      </c>
      <c r="HJ16" s="11" t="str">
        <f t="shared" si="67"/>
        <v/>
      </c>
      <c r="HK16" s="11" t="str">
        <f t="shared" si="68"/>
        <v/>
      </c>
      <c r="HL16" s="11" t="str">
        <f t="shared" si="69"/>
        <v/>
      </c>
      <c r="HM16" s="11" t="str">
        <f t="shared" si="70"/>
        <v/>
      </c>
      <c r="HN16" s="11" t="str">
        <f t="shared" si="71"/>
        <v/>
      </c>
      <c r="HO16" s="17"/>
      <c r="HP16" s="17"/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41" t="str">
        <f t="shared" si="72"/>
        <v/>
      </c>
      <c r="IJ16" s="41" t="str">
        <f t="shared" si="73"/>
        <v/>
      </c>
      <c r="IK16" s="41" t="str">
        <f t="shared" si="74"/>
        <v/>
      </c>
      <c r="IL16" s="41" t="str">
        <f t="shared" si="75"/>
        <v/>
      </c>
      <c r="IM16" s="41" t="str">
        <f t="shared" si="76"/>
        <v/>
      </c>
      <c r="IN16" s="41" t="str">
        <f t="shared" si="77"/>
        <v/>
      </c>
      <c r="IO16" s="41" t="str">
        <f t="shared" si="78"/>
        <v/>
      </c>
      <c r="IP16" s="41" t="str">
        <f t="shared" si="79"/>
        <v/>
      </c>
      <c r="IQ16" s="18"/>
      <c r="IR16" s="18"/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1" t="str">
        <f t="shared" si="80"/>
        <v/>
      </c>
      <c r="JL16" s="11" t="str">
        <f t="shared" si="81"/>
        <v/>
      </c>
      <c r="JM16" s="11" t="str">
        <f t="shared" si="82"/>
        <v/>
      </c>
      <c r="JN16" s="11" t="str">
        <f t="shared" si="83"/>
        <v/>
      </c>
      <c r="JO16" s="11" t="str">
        <f t="shared" si="84"/>
        <v/>
      </c>
      <c r="JP16" s="11" t="str">
        <f t="shared" si="85"/>
        <v/>
      </c>
      <c r="JQ16" s="11" t="str">
        <f t="shared" si="86"/>
        <v/>
      </c>
      <c r="JR16" s="11" t="str">
        <f t="shared" si="87"/>
        <v/>
      </c>
      <c r="JS16" s="17"/>
      <c r="JT16" s="17"/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41" t="str">
        <f t="shared" si="88"/>
        <v/>
      </c>
      <c r="KN16" s="41" t="str">
        <f t="shared" si="89"/>
        <v/>
      </c>
      <c r="KO16" s="41" t="str">
        <f t="shared" si="90"/>
        <v/>
      </c>
      <c r="KP16" s="41" t="str">
        <f t="shared" si="91"/>
        <v/>
      </c>
      <c r="KQ16" s="41" t="str">
        <f t="shared" si="92"/>
        <v/>
      </c>
      <c r="KR16" s="41" t="str">
        <f t="shared" si="93"/>
        <v/>
      </c>
      <c r="KS16" s="41" t="str">
        <f t="shared" si="94"/>
        <v/>
      </c>
      <c r="KT16" s="41" t="str">
        <f t="shared" si="95"/>
        <v/>
      </c>
      <c r="KU16" s="18"/>
      <c r="KV16" s="18"/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1" t="str">
        <f t="shared" si="96"/>
        <v/>
      </c>
      <c r="LP16" s="11" t="str">
        <f t="shared" si="97"/>
        <v/>
      </c>
      <c r="LQ16" s="11" t="str">
        <f t="shared" si="98"/>
        <v/>
      </c>
      <c r="LR16" s="11" t="str">
        <f t="shared" si="99"/>
        <v/>
      </c>
      <c r="LS16" s="11" t="str">
        <f t="shared" si="100"/>
        <v/>
      </c>
      <c r="LT16" s="11" t="str">
        <f t="shared" si="101"/>
        <v/>
      </c>
      <c r="LU16" s="11" t="str">
        <f t="shared" si="102"/>
        <v/>
      </c>
      <c r="LV16" s="11" t="str">
        <f t="shared" si="103"/>
        <v/>
      </c>
      <c r="LW16" s="17"/>
      <c r="LX16" s="17"/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41" t="str">
        <f t="shared" si="104"/>
        <v/>
      </c>
      <c r="MR16" s="41" t="str">
        <f t="shared" si="105"/>
        <v/>
      </c>
      <c r="MS16" s="41" t="str">
        <f t="shared" si="106"/>
        <v/>
      </c>
      <c r="MT16" s="41" t="str">
        <f t="shared" si="107"/>
        <v/>
      </c>
      <c r="MU16" s="41" t="str">
        <f t="shared" si="108"/>
        <v/>
      </c>
      <c r="MV16" s="41" t="str">
        <f t="shared" si="109"/>
        <v/>
      </c>
      <c r="MW16" s="41" t="str">
        <f t="shared" si="110"/>
        <v/>
      </c>
      <c r="MX16" s="41" t="str">
        <f t="shared" si="111"/>
        <v/>
      </c>
      <c r="MY16" s="18"/>
      <c r="MZ16" s="18"/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1" t="str">
        <f t="shared" si="112"/>
        <v/>
      </c>
      <c r="NT16" s="11" t="str">
        <f t="shared" si="113"/>
        <v/>
      </c>
      <c r="NU16" s="11" t="str">
        <f t="shared" si="114"/>
        <v/>
      </c>
      <c r="NV16" s="11" t="str">
        <f t="shared" si="115"/>
        <v/>
      </c>
      <c r="NW16" s="11" t="str">
        <f t="shared" si="116"/>
        <v/>
      </c>
      <c r="NX16" s="11" t="str">
        <f t="shared" si="117"/>
        <v/>
      </c>
      <c r="NY16" s="11" t="str">
        <f t="shared" si="118"/>
        <v/>
      </c>
      <c r="NZ16" s="11" t="str">
        <f t="shared" si="119"/>
        <v/>
      </c>
      <c r="OA16" s="17"/>
      <c r="OB16" s="17"/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41" t="str">
        <f t="shared" si="120"/>
        <v/>
      </c>
      <c r="OV16" s="41" t="str">
        <f t="shared" si="121"/>
        <v/>
      </c>
      <c r="OW16" s="41" t="str">
        <f t="shared" si="122"/>
        <v/>
      </c>
      <c r="OX16" s="41" t="str">
        <f t="shared" si="123"/>
        <v/>
      </c>
      <c r="OY16" s="41" t="str">
        <f t="shared" si="124"/>
        <v/>
      </c>
      <c r="OZ16" s="41" t="str">
        <f t="shared" si="125"/>
        <v/>
      </c>
      <c r="PA16" s="41" t="str">
        <f t="shared" si="126"/>
        <v/>
      </c>
      <c r="PB16" s="41" t="str">
        <f t="shared" si="127"/>
        <v/>
      </c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1" t="str">
        <f t="shared" si="128"/>
        <v/>
      </c>
      <c r="PX16" s="11" t="str">
        <f t="shared" si="129"/>
        <v/>
      </c>
      <c r="PY16" s="11" t="str">
        <f t="shared" si="130"/>
        <v/>
      </c>
      <c r="PZ16" s="11" t="str">
        <f t="shared" si="131"/>
        <v/>
      </c>
      <c r="QA16" s="11" t="str">
        <f t="shared" si="132"/>
        <v/>
      </c>
      <c r="QB16" s="11" t="str">
        <f t="shared" si="133"/>
        <v/>
      </c>
      <c r="QC16" s="11" t="str">
        <f t="shared" si="134"/>
        <v/>
      </c>
      <c r="QD16" s="11" t="str">
        <f t="shared" si="135"/>
        <v/>
      </c>
      <c r="QE16" s="23">
        <f t="shared" si="136"/>
        <v>17.2</v>
      </c>
      <c r="QF16" s="23">
        <f t="shared" si="137"/>
        <v>5.4</v>
      </c>
      <c r="QG16" s="23">
        <f t="shared" si="138"/>
        <v>0.5</v>
      </c>
      <c r="QH16" s="23">
        <f t="shared" si="139"/>
        <v>0</v>
      </c>
      <c r="QI16" s="23">
        <f t="shared" si="140"/>
        <v>8.1</v>
      </c>
      <c r="QJ16" s="23">
        <f t="shared" si="141"/>
        <v>3</v>
      </c>
      <c r="QK16" s="23">
        <f t="shared" si="142"/>
        <v>0.4</v>
      </c>
      <c r="QL16" s="23">
        <f t="shared" si="143"/>
        <v>0.15</v>
      </c>
      <c r="QM16" s="23">
        <f t="shared" si="144"/>
        <v>9</v>
      </c>
      <c r="QN16" s="23">
        <f t="shared" si="145"/>
        <v>2.4</v>
      </c>
      <c r="QO16" s="23">
        <f t="shared" si="146"/>
        <v>0.1</v>
      </c>
      <c r="QP16" s="23">
        <f t="shared" si="147"/>
        <v>0</v>
      </c>
      <c r="QQ16" s="23">
        <f t="shared" si="148"/>
        <v>0</v>
      </c>
      <c r="QR16" s="23">
        <f t="shared" si="149"/>
        <v>0</v>
      </c>
      <c r="QS16" s="23">
        <f t="shared" si="150"/>
        <v>0</v>
      </c>
      <c r="QT16" s="23">
        <f t="shared" si="151"/>
        <v>0</v>
      </c>
      <c r="QU16" s="23">
        <f t="shared" si="152"/>
        <v>0</v>
      </c>
      <c r="QV16" s="23">
        <f t="shared" si="153"/>
        <v>0</v>
      </c>
      <c r="QW16" s="23">
        <f t="shared" si="154"/>
        <v>0</v>
      </c>
      <c r="QX16" s="23">
        <f t="shared" si="155"/>
        <v>0</v>
      </c>
      <c r="QY16" s="28" t="s">
        <v>57</v>
      </c>
      <c r="QZ16" s="41">
        <f t="shared" si="156"/>
        <v>8.4</v>
      </c>
      <c r="RA16" s="41">
        <f t="shared" si="157"/>
        <v>32.950000000000003</v>
      </c>
      <c r="RB16" s="41">
        <f t="shared" si="158"/>
        <v>11.3</v>
      </c>
      <c r="RC16" s="41">
        <f t="shared" si="159"/>
        <v>10.8</v>
      </c>
      <c r="RD16" s="41">
        <f t="shared" si="160"/>
        <v>44.25</v>
      </c>
      <c r="RE16" s="41" t="str">
        <f t="shared" si="161"/>
        <v/>
      </c>
      <c r="RF16" s="41" t="str">
        <f t="shared" si="162"/>
        <v/>
      </c>
      <c r="RG16" s="41">
        <f t="shared" si="163"/>
        <v>44.25</v>
      </c>
    </row>
    <row r="17" spans="1:475" x14ac:dyDescent="0.2">
      <c r="A17" s="4" t="str" cm="1">
        <f t="array" ref="A17">IF(AND(H17&lt;&gt;"",H17&lt;&gt;"No DD"),SUMPRODUCT((H$4:H$19&lt;&gt;"")*(H$4:H$19&lt;&gt;"No DD")*(E$4:E$19&gt;E17))+1,IF(H17="No DD",SUMPRODUCT((H$4:H$19="No DD")*(E$4:E$19&gt;E17))+1+SUMPRODUCT((H$4:H$19&lt;&gt;"")*(H$4:H$19&lt;&gt;"No DD")),""))</f>
        <v/>
      </c>
      <c r="B17" s="5" t="s">
        <v>194</v>
      </c>
      <c r="C17" s="4" t="s">
        <v>6</v>
      </c>
      <c r="D17" s="4">
        <v>2001</v>
      </c>
      <c r="E17" s="9">
        <f t="shared" si="0"/>
        <v>105.30001053000427</v>
      </c>
      <c r="F17" s="3" t="str">
        <f t="shared" si="1"/>
        <v/>
      </c>
      <c r="G17" s="3" t="str">
        <f t="shared" si="2"/>
        <v/>
      </c>
      <c r="H17" s="37" t="str">
        <f t="shared" si="3"/>
        <v/>
      </c>
      <c r="I17" s="3" t="str">
        <f t="shared" si="4"/>
        <v/>
      </c>
      <c r="J17" s="8">
        <f>IF(COUNT(AQ17,BT17,CW17)&gt;0,LARGE((AQ17,BT17,CW17),1),0)</f>
        <v>42.9</v>
      </c>
      <c r="K17" s="8" t="str">
        <f t="shared" si="5"/>
        <v>2023 Nationals</v>
      </c>
      <c r="L17" s="8">
        <f>IF(COUNT(AQ17,BT17,CW17)&gt;1,LARGE((AQ17,BT17,CW17),2),0)</f>
        <v>40.299999999999997</v>
      </c>
      <c r="M17" s="8" t="str">
        <f t="shared" si="6"/>
        <v>2023 Elite Canada</v>
      </c>
      <c r="N17" s="8">
        <f>IF(COUNT(AR17,BU17,CX17)&gt;0,LARGE((AR17,BU17,CX17),1),0)</f>
        <v>22.099999999999998</v>
      </c>
      <c r="O17" s="8" t="str">
        <f t="shared" si="7"/>
        <v>2023 Elite Canada</v>
      </c>
      <c r="P17" s="8">
        <f t="shared" si="8"/>
        <v>0</v>
      </c>
      <c r="Q17" s="8" t="str">
        <f t="shared" si="9"/>
        <v/>
      </c>
      <c r="R17" s="8" t="str">
        <f t="shared" si="10"/>
        <v/>
      </c>
      <c r="S17" s="11" t="str">
        <f t="shared" si="11"/>
        <v/>
      </c>
      <c r="T17" s="8" t="str">
        <f t="shared" si="12"/>
        <v/>
      </c>
      <c r="U17" s="19">
        <v>18.3</v>
      </c>
      <c r="V17" s="19">
        <v>3.1</v>
      </c>
      <c r="W17" s="19">
        <v>1</v>
      </c>
      <c r="X17" s="19">
        <v>0</v>
      </c>
      <c r="Y17" s="19">
        <v>17.100000000000001</v>
      </c>
      <c r="Z17" s="19">
        <v>2.8</v>
      </c>
      <c r="AA17" s="19">
        <v>0</v>
      </c>
      <c r="AB17" s="19">
        <v>0</v>
      </c>
      <c r="AC17" s="19">
        <v>17.899999999999999</v>
      </c>
      <c r="AD17" s="19">
        <v>4.8</v>
      </c>
      <c r="AE17" s="19">
        <v>0.6</v>
      </c>
      <c r="AF17" s="19">
        <v>0</v>
      </c>
      <c r="AG17" s="19"/>
      <c r="AH17" s="19"/>
      <c r="AI17" s="19"/>
      <c r="AJ17" s="19"/>
      <c r="AK17" s="19"/>
      <c r="AL17" s="19"/>
      <c r="AM17" s="19"/>
      <c r="AN17" s="19"/>
      <c r="AO17" s="28"/>
      <c r="AP17" s="41">
        <f t="shared" si="13"/>
        <v>5.9</v>
      </c>
      <c r="AQ17" s="41">
        <f t="shared" si="14"/>
        <v>40.299999999999997</v>
      </c>
      <c r="AR17" s="41">
        <f t="shared" si="15"/>
        <v>22.099999999999998</v>
      </c>
      <c r="AS17" s="41">
        <f t="shared" si="16"/>
        <v>10.7</v>
      </c>
      <c r="AT17" s="41">
        <f t="shared" si="17"/>
        <v>62.399999999999991</v>
      </c>
      <c r="AU17" s="41" t="str">
        <f t="shared" si="18"/>
        <v/>
      </c>
      <c r="AV17" s="41" t="str">
        <f t="shared" si="19"/>
        <v/>
      </c>
      <c r="AW17" s="41">
        <f t="shared" si="20"/>
        <v>62.399999999999991</v>
      </c>
      <c r="AX17" s="18">
        <v>16.2</v>
      </c>
      <c r="AY17" s="18">
        <v>5.2</v>
      </c>
      <c r="AZ17" s="18">
        <v>0.8</v>
      </c>
      <c r="BA17" s="18">
        <v>0</v>
      </c>
      <c r="BB17" s="18">
        <v>18.100000000000001</v>
      </c>
      <c r="BC17" s="18">
        <v>4.8</v>
      </c>
      <c r="BD17" s="18">
        <v>0.6</v>
      </c>
      <c r="BE17" s="18">
        <v>0</v>
      </c>
      <c r="BF17" s="18">
        <v>17</v>
      </c>
      <c r="BG17" s="18">
        <v>2.4</v>
      </c>
      <c r="BH17" s="18">
        <v>0</v>
      </c>
      <c r="BI17" s="18">
        <v>0</v>
      </c>
      <c r="BJ17" s="18"/>
      <c r="BK17" s="18"/>
      <c r="BL17" s="18"/>
      <c r="BM17" s="18"/>
      <c r="BN17" s="18"/>
      <c r="BO17" s="18"/>
      <c r="BP17" s="18"/>
      <c r="BQ17" s="18"/>
      <c r="BR17" s="29"/>
      <c r="BS17" s="11">
        <f t="shared" si="21"/>
        <v>10</v>
      </c>
      <c r="BT17" s="11">
        <f t="shared" si="22"/>
        <v>42.9</v>
      </c>
      <c r="BU17" s="11">
        <f t="shared" si="23"/>
        <v>19.399999999999999</v>
      </c>
      <c r="BV17" s="11">
        <f t="shared" si="24"/>
        <v>12.4</v>
      </c>
      <c r="BW17" s="11">
        <f t="shared" si="25"/>
        <v>62.3</v>
      </c>
      <c r="BX17" s="11" t="str">
        <f t="shared" si="26"/>
        <v/>
      </c>
      <c r="BY17" s="11" t="str">
        <f t="shared" si="27"/>
        <v/>
      </c>
      <c r="BZ17" s="11">
        <f t="shared" si="28"/>
        <v>62.3</v>
      </c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28"/>
      <c r="CV17" s="41" t="str">
        <f t="shared" si="29"/>
        <v/>
      </c>
      <c r="CW17" s="41" t="str">
        <f t="shared" si="30"/>
        <v/>
      </c>
      <c r="CX17" s="41" t="str">
        <f t="shared" si="31"/>
        <v/>
      </c>
      <c r="CY17" s="41" t="str">
        <f t="shared" si="32"/>
        <v/>
      </c>
      <c r="CZ17" s="41" t="str">
        <f t="shared" si="33"/>
        <v/>
      </c>
      <c r="DA17" s="41" t="str">
        <f t="shared" si="34"/>
        <v/>
      </c>
      <c r="DB17" s="41" t="str">
        <f t="shared" si="35"/>
        <v/>
      </c>
      <c r="DC17" s="41" t="str">
        <f t="shared" si="36"/>
        <v/>
      </c>
      <c r="DD17" s="52" t="str">
        <f t="shared" si="37"/>
        <v/>
      </c>
      <c r="DE17" s="52" t="str">
        <f t="shared" si="38"/>
        <v/>
      </c>
      <c r="DF17" s="52" t="str">
        <f t="shared" si="39"/>
        <v/>
      </c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41" t="str">
        <f t="shared" si="40"/>
        <v/>
      </c>
      <c r="EB17" s="41" t="str">
        <f t="shared" si="41"/>
        <v/>
      </c>
      <c r="EC17" s="41" t="str">
        <f t="shared" si="42"/>
        <v/>
      </c>
      <c r="ED17" s="41" t="str">
        <f t="shared" si="43"/>
        <v/>
      </c>
      <c r="EE17" s="41" t="str">
        <f t="shared" si="44"/>
        <v/>
      </c>
      <c r="EF17" s="41" t="str">
        <f t="shared" si="45"/>
        <v/>
      </c>
      <c r="EG17" s="41" t="str">
        <f t="shared" si="46"/>
        <v/>
      </c>
      <c r="EH17" s="41" t="str">
        <f t="shared" si="47"/>
        <v/>
      </c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1" t="str">
        <f t="shared" si="48"/>
        <v/>
      </c>
      <c r="FD17" s="11" t="str">
        <f t="shared" si="49"/>
        <v/>
      </c>
      <c r="FE17" s="11" t="str">
        <f t="shared" si="50"/>
        <v/>
      </c>
      <c r="FF17" s="11" t="str">
        <f t="shared" si="51"/>
        <v/>
      </c>
      <c r="FG17" s="11" t="str">
        <f t="shared" si="52"/>
        <v/>
      </c>
      <c r="FH17" s="11" t="str">
        <f t="shared" si="53"/>
        <v/>
      </c>
      <c r="FI17" s="11" t="str">
        <f t="shared" si="54"/>
        <v/>
      </c>
      <c r="FJ17" s="11" t="str">
        <f t="shared" si="55"/>
        <v/>
      </c>
      <c r="FK17" s="17"/>
      <c r="FL17" s="17"/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41" t="str">
        <f t="shared" si="56"/>
        <v/>
      </c>
      <c r="GF17" s="41" t="str">
        <f t="shared" si="57"/>
        <v/>
      </c>
      <c r="GG17" s="41" t="str">
        <f t="shared" si="58"/>
        <v/>
      </c>
      <c r="GH17" s="41" t="str">
        <f t="shared" si="59"/>
        <v/>
      </c>
      <c r="GI17" s="41" t="str">
        <f t="shared" si="60"/>
        <v/>
      </c>
      <c r="GJ17" s="41" t="str">
        <f t="shared" si="61"/>
        <v/>
      </c>
      <c r="GK17" s="41" t="str">
        <f t="shared" si="62"/>
        <v/>
      </c>
      <c r="GL17" s="41" t="str">
        <f t="shared" si="63"/>
        <v/>
      </c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1" t="str">
        <f t="shared" si="64"/>
        <v/>
      </c>
      <c r="HH17" s="11" t="str">
        <f t="shared" si="65"/>
        <v/>
      </c>
      <c r="HI17" s="11" t="str">
        <f t="shared" si="66"/>
        <v/>
      </c>
      <c r="HJ17" s="11" t="str">
        <f t="shared" si="67"/>
        <v/>
      </c>
      <c r="HK17" s="11" t="str">
        <f t="shared" si="68"/>
        <v/>
      </c>
      <c r="HL17" s="11" t="str">
        <f t="shared" si="69"/>
        <v/>
      </c>
      <c r="HM17" s="11" t="str">
        <f t="shared" si="70"/>
        <v/>
      </c>
      <c r="HN17" s="11" t="str">
        <f t="shared" si="71"/>
        <v/>
      </c>
      <c r="HO17" s="17"/>
      <c r="HP17" s="17"/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41" t="str">
        <f t="shared" si="72"/>
        <v/>
      </c>
      <c r="IJ17" s="41" t="str">
        <f t="shared" si="73"/>
        <v/>
      </c>
      <c r="IK17" s="41" t="str">
        <f t="shared" si="74"/>
        <v/>
      </c>
      <c r="IL17" s="41" t="str">
        <f t="shared" si="75"/>
        <v/>
      </c>
      <c r="IM17" s="41" t="str">
        <f t="shared" si="76"/>
        <v/>
      </c>
      <c r="IN17" s="41" t="str">
        <f t="shared" si="77"/>
        <v/>
      </c>
      <c r="IO17" s="41" t="str">
        <f t="shared" si="78"/>
        <v/>
      </c>
      <c r="IP17" s="41" t="str">
        <f t="shared" si="79"/>
        <v/>
      </c>
      <c r="IQ17" s="18"/>
      <c r="IR17" s="18"/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1" t="str">
        <f t="shared" si="80"/>
        <v/>
      </c>
      <c r="JL17" s="11" t="str">
        <f t="shared" si="81"/>
        <v/>
      </c>
      <c r="JM17" s="11" t="str">
        <f t="shared" si="82"/>
        <v/>
      </c>
      <c r="JN17" s="11" t="str">
        <f t="shared" si="83"/>
        <v/>
      </c>
      <c r="JO17" s="11" t="str">
        <f t="shared" si="84"/>
        <v/>
      </c>
      <c r="JP17" s="11" t="str">
        <f t="shared" si="85"/>
        <v/>
      </c>
      <c r="JQ17" s="11" t="str">
        <f t="shared" si="86"/>
        <v/>
      </c>
      <c r="JR17" s="11" t="str">
        <f t="shared" si="87"/>
        <v/>
      </c>
      <c r="JS17" s="17"/>
      <c r="JT17" s="17"/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41" t="str">
        <f t="shared" si="88"/>
        <v/>
      </c>
      <c r="KN17" s="41" t="str">
        <f t="shared" si="89"/>
        <v/>
      </c>
      <c r="KO17" s="41" t="str">
        <f t="shared" si="90"/>
        <v/>
      </c>
      <c r="KP17" s="41" t="str">
        <f t="shared" si="91"/>
        <v/>
      </c>
      <c r="KQ17" s="41" t="str">
        <f t="shared" si="92"/>
        <v/>
      </c>
      <c r="KR17" s="41" t="str">
        <f t="shared" si="93"/>
        <v/>
      </c>
      <c r="KS17" s="41" t="str">
        <f t="shared" si="94"/>
        <v/>
      </c>
      <c r="KT17" s="41" t="str">
        <f t="shared" si="95"/>
        <v/>
      </c>
      <c r="KU17" s="18"/>
      <c r="KV17" s="18"/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1" t="str">
        <f t="shared" si="96"/>
        <v/>
      </c>
      <c r="LP17" s="11" t="str">
        <f t="shared" si="97"/>
        <v/>
      </c>
      <c r="LQ17" s="11" t="str">
        <f t="shared" si="98"/>
        <v/>
      </c>
      <c r="LR17" s="11" t="str">
        <f t="shared" si="99"/>
        <v/>
      </c>
      <c r="LS17" s="11" t="str">
        <f t="shared" si="100"/>
        <v/>
      </c>
      <c r="LT17" s="11" t="str">
        <f t="shared" si="101"/>
        <v/>
      </c>
      <c r="LU17" s="11" t="str">
        <f t="shared" si="102"/>
        <v/>
      </c>
      <c r="LV17" s="11" t="str">
        <f t="shared" si="103"/>
        <v/>
      </c>
      <c r="LW17" s="17"/>
      <c r="LX17" s="17"/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41" t="str">
        <f t="shared" si="104"/>
        <v/>
      </c>
      <c r="MR17" s="41" t="str">
        <f t="shared" si="105"/>
        <v/>
      </c>
      <c r="MS17" s="41" t="str">
        <f t="shared" si="106"/>
        <v/>
      </c>
      <c r="MT17" s="41" t="str">
        <f t="shared" si="107"/>
        <v/>
      </c>
      <c r="MU17" s="41" t="str">
        <f t="shared" si="108"/>
        <v/>
      </c>
      <c r="MV17" s="41" t="str">
        <f t="shared" si="109"/>
        <v/>
      </c>
      <c r="MW17" s="41" t="str">
        <f t="shared" si="110"/>
        <v/>
      </c>
      <c r="MX17" s="41" t="str">
        <f t="shared" si="111"/>
        <v/>
      </c>
      <c r="MY17" s="18"/>
      <c r="MZ17" s="18"/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1" t="str">
        <f t="shared" si="112"/>
        <v/>
      </c>
      <c r="NT17" s="11" t="str">
        <f t="shared" si="113"/>
        <v/>
      </c>
      <c r="NU17" s="11" t="str">
        <f t="shared" si="114"/>
        <v/>
      </c>
      <c r="NV17" s="11" t="str">
        <f t="shared" si="115"/>
        <v/>
      </c>
      <c r="NW17" s="11" t="str">
        <f t="shared" si="116"/>
        <v/>
      </c>
      <c r="NX17" s="11" t="str">
        <f t="shared" si="117"/>
        <v/>
      </c>
      <c r="NY17" s="11" t="str">
        <f t="shared" si="118"/>
        <v/>
      </c>
      <c r="NZ17" s="11" t="str">
        <f t="shared" si="119"/>
        <v/>
      </c>
      <c r="OA17" s="17"/>
      <c r="OB17" s="17"/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41" t="str">
        <f t="shared" si="120"/>
        <v/>
      </c>
      <c r="OV17" s="41" t="str">
        <f t="shared" si="121"/>
        <v/>
      </c>
      <c r="OW17" s="41" t="str">
        <f t="shared" si="122"/>
        <v/>
      </c>
      <c r="OX17" s="41" t="str">
        <f t="shared" si="123"/>
        <v/>
      </c>
      <c r="OY17" s="41" t="str">
        <f t="shared" si="124"/>
        <v/>
      </c>
      <c r="OZ17" s="41" t="str">
        <f t="shared" si="125"/>
        <v/>
      </c>
      <c r="PA17" s="41" t="str">
        <f t="shared" si="126"/>
        <v/>
      </c>
      <c r="PB17" s="41" t="str">
        <f t="shared" si="127"/>
        <v/>
      </c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1" t="str">
        <f t="shared" si="128"/>
        <v/>
      </c>
      <c r="PX17" s="11" t="str">
        <f t="shared" si="129"/>
        <v/>
      </c>
      <c r="PY17" s="11" t="str">
        <f t="shared" si="130"/>
        <v/>
      </c>
      <c r="PZ17" s="11" t="str">
        <f t="shared" si="131"/>
        <v/>
      </c>
      <c r="QA17" s="11" t="str">
        <f t="shared" si="132"/>
        <v/>
      </c>
      <c r="QB17" s="11" t="str">
        <f t="shared" si="133"/>
        <v/>
      </c>
      <c r="QC17" s="11" t="str">
        <f t="shared" si="134"/>
        <v/>
      </c>
      <c r="QD17" s="11" t="str">
        <f t="shared" si="135"/>
        <v/>
      </c>
      <c r="QE17" s="23">
        <f t="shared" si="136"/>
        <v>8.1</v>
      </c>
      <c r="QF17" s="23">
        <f t="shared" si="137"/>
        <v>2.6</v>
      </c>
      <c r="QG17" s="23">
        <f t="shared" si="138"/>
        <v>0.4</v>
      </c>
      <c r="QH17" s="23">
        <f t="shared" si="139"/>
        <v>0</v>
      </c>
      <c r="QI17" s="23">
        <f t="shared" si="140"/>
        <v>9.0500000000000007</v>
      </c>
      <c r="QJ17" s="23">
        <f t="shared" si="141"/>
        <v>2.4</v>
      </c>
      <c r="QK17" s="23">
        <f t="shared" si="142"/>
        <v>0.3</v>
      </c>
      <c r="QL17" s="23">
        <f t="shared" si="143"/>
        <v>0</v>
      </c>
      <c r="QM17" s="23">
        <f t="shared" si="144"/>
        <v>8.5</v>
      </c>
      <c r="QN17" s="23">
        <f t="shared" si="145"/>
        <v>1.2</v>
      </c>
      <c r="QO17" s="23">
        <f t="shared" si="146"/>
        <v>0</v>
      </c>
      <c r="QP17" s="23">
        <f t="shared" si="147"/>
        <v>0</v>
      </c>
      <c r="QQ17" s="23">
        <f t="shared" si="148"/>
        <v>0</v>
      </c>
      <c r="QR17" s="23">
        <f t="shared" si="149"/>
        <v>0</v>
      </c>
      <c r="QS17" s="23">
        <f t="shared" si="150"/>
        <v>0</v>
      </c>
      <c r="QT17" s="23">
        <f t="shared" si="151"/>
        <v>0</v>
      </c>
      <c r="QU17" s="23">
        <f t="shared" si="152"/>
        <v>0</v>
      </c>
      <c r="QV17" s="23">
        <f t="shared" si="153"/>
        <v>0</v>
      </c>
      <c r="QW17" s="23">
        <f t="shared" si="154"/>
        <v>0</v>
      </c>
      <c r="QX17" s="23">
        <f t="shared" si="155"/>
        <v>0</v>
      </c>
      <c r="QY17" s="28" t="s">
        <v>57</v>
      </c>
      <c r="QZ17" s="41">
        <f t="shared" si="156"/>
        <v>5</v>
      </c>
      <c r="RA17" s="41">
        <f t="shared" si="157"/>
        <v>21.45</v>
      </c>
      <c r="RB17" s="41">
        <f t="shared" si="158"/>
        <v>9.6999999999999993</v>
      </c>
      <c r="RC17" s="41">
        <f t="shared" si="159"/>
        <v>6.2</v>
      </c>
      <c r="RD17" s="41">
        <f t="shared" si="160"/>
        <v>31.15</v>
      </c>
      <c r="RE17" s="41" t="str">
        <f t="shared" si="161"/>
        <v/>
      </c>
      <c r="RF17" s="41" t="str">
        <f t="shared" si="162"/>
        <v/>
      </c>
      <c r="RG17" s="41">
        <f t="shared" si="163"/>
        <v>31.15</v>
      </c>
    </row>
    <row r="18" spans="1:475" x14ac:dyDescent="0.2">
      <c r="A18" s="4" t="str" cm="1">
        <f t="array" ref="A18">IF(AND(H18&lt;&gt;"",H18&lt;&gt;"No DD"),SUMPRODUCT((H$4:H$19&lt;&gt;"")*(H$4:H$19&lt;&gt;"No DD")*(E$4:E$19&gt;E18))+1,IF(H18="No DD",SUMPRODUCT((H$4:H$19="No DD")*(E$4:E$19&gt;E18))+1+SUMPRODUCT((H$4:H$19&lt;&gt;"")*(H$4:H$19&lt;&gt;"No DD")),""))</f>
        <v/>
      </c>
      <c r="B18" s="5" t="s">
        <v>91</v>
      </c>
      <c r="C18" s="4" t="s">
        <v>6</v>
      </c>
      <c r="D18" s="4">
        <v>2003</v>
      </c>
      <c r="E18" s="9">
        <f t="shared" si="0"/>
        <v>47.400000000000006</v>
      </c>
      <c r="F18" s="3" t="str">
        <f t="shared" si="1"/>
        <v/>
      </c>
      <c r="G18" s="3" t="str">
        <f t="shared" si="2"/>
        <v/>
      </c>
      <c r="H18" s="37" t="str">
        <f t="shared" si="3"/>
        <v/>
      </c>
      <c r="I18" s="3" t="str">
        <f t="shared" si="4"/>
        <v/>
      </c>
      <c r="J18" s="8">
        <f>IF(COUNT(AQ18,BT18,CW18)&gt;0,LARGE((AQ18,BT18,CW18),1),0)</f>
        <v>0</v>
      </c>
      <c r="K18" s="8" t="str">
        <f t="shared" si="5"/>
        <v/>
      </c>
      <c r="L18" s="8">
        <f>IF(COUNT(AQ18,BT18,CW18)&gt;1,LARGE((AQ18,BT18,CW18),2),0)</f>
        <v>0</v>
      </c>
      <c r="M18" s="8" t="str">
        <f t="shared" si="6"/>
        <v/>
      </c>
      <c r="N18" s="8">
        <f>IF(COUNT(AR18,BU18,CX18)&gt;0,LARGE((AR18,BU18,CX18),1),0)</f>
        <v>0</v>
      </c>
      <c r="O18" s="8" t="str">
        <f t="shared" si="7"/>
        <v/>
      </c>
      <c r="P18" s="8">
        <f t="shared" si="8"/>
        <v>0</v>
      </c>
      <c r="Q18" s="8" t="str">
        <f t="shared" si="9"/>
        <v/>
      </c>
      <c r="R18" s="8">
        <f t="shared" si="10"/>
        <v>47.400000000000006</v>
      </c>
      <c r="S18" s="11" t="str">
        <f t="shared" si="11"/>
        <v>(Q1)</v>
      </c>
      <c r="T18" s="8" t="str">
        <f t="shared" si="12"/>
        <v>2022 WAGC (Nov 23)</v>
      </c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28"/>
      <c r="AP18" s="41" t="str">
        <f t="shared" si="13"/>
        <v/>
      </c>
      <c r="AQ18" s="41" t="str">
        <f t="shared" si="14"/>
        <v/>
      </c>
      <c r="AR18" s="41" t="str">
        <f t="shared" si="15"/>
        <v/>
      </c>
      <c r="AS18" s="41" t="str">
        <f t="shared" si="16"/>
        <v/>
      </c>
      <c r="AT18" s="41" t="str">
        <f t="shared" si="17"/>
        <v/>
      </c>
      <c r="AU18" s="41" t="str">
        <f t="shared" si="18"/>
        <v/>
      </c>
      <c r="AV18" s="41" t="str">
        <f t="shared" si="19"/>
        <v/>
      </c>
      <c r="AW18" s="41" t="str">
        <f t="shared" si="20"/>
        <v/>
      </c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29"/>
      <c r="BS18" s="11" t="str">
        <f t="shared" si="21"/>
        <v/>
      </c>
      <c r="BT18" s="11" t="str">
        <f t="shared" si="22"/>
        <v/>
      </c>
      <c r="BU18" s="11" t="str">
        <f t="shared" si="23"/>
        <v/>
      </c>
      <c r="BV18" s="11" t="str">
        <f t="shared" si="24"/>
        <v/>
      </c>
      <c r="BW18" s="11" t="str">
        <f t="shared" si="25"/>
        <v/>
      </c>
      <c r="BX18" s="11" t="str">
        <f t="shared" si="26"/>
        <v/>
      </c>
      <c r="BY18" s="11" t="str">
        <f t="shared" si="27"/>
        <v/>
      </c>
      <c r="BZ18" s="11" t="str">
        <f t="shared" si="28"/>
        <v/>
      </c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8"/>
      <c r="CV18" s="41" t="str">
        <f t="shared" si="29"/>
        <v/>
      </c>
      <c r="CW18" s="41" t="str">
        <f t="shared" si="30"/>
        <v/>
      </c>
      <c r="CX18" s="41" t="str">
        <f t="shared" si="31"/>
        <v/>
      </c>
      <c r="CY18" s="41" t="str">
        <f t="shared" si="32"/>
        <v/>
      </c>
      <c r="CZ18" s="41" t="str">
        <f t="shared" si="33"/>
        <v/>
      </c>
      <c r="DA18" s="41" t="str">
        <f t="shared" si="34"/>
        <v/>
      </c>
      <c r="DB18" s="41" t="str">
        <f t="shared" si="35"/>
        <v/>
      </c>
      <c r="DC18" s="41" t="str">
        <f t="shared" si="36"/>
        <v/>
      </c>
      <c r="DD18" s="52">
        <f t="shared" si="37"/>
        <v>47.400000000000006</v>
      </c>
      <c r="DE18" s="52" t="str">
        <f t="shared" si="38"/>
        <v/>
      </c>
      <c r="DF18" s="52" t="str">
        <f t="shared" si="39"/>
        <v/>
      </c>
      <c r="DG18" s="17">
        <v>18.100000000000001</v>
      </c>
      <c r="DH18" s="17">
        <v>6</v>
      </c>
      <c r="DI18" s="17">
        <v>0</v>
      </c>
      <c r="DJ18" s="17">
        <v>0</v>
      </c>
      <c r="DK18" s="17">
        <v>18.3</v>
      </c>
      <c r="DL18" s="17">
        <v>5.6</v>
      </c>
      <c r="DM18" s="17">
        <v>0.6</v>
      </c>
      <c r="DN18" s="17">
        <v>0</v>
      </c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41">
        <f t="shared" si="40"/>
        <v>11.6</v>
      </c>
      <c r="EB18" s="41">
        <f t="shared" si="41"/>
        <v>47.400000000000006</v>
      </c>
      <c r="EC18" s="41" t="str">
        <f t="shared" si="42"/>
        <v/>
      </c>
      <c r="ED18" s="41">
        <f t="shared" si="43"/>
        <v>11.6</v>
      </c>
      <c r="EE18" s="41">
        <f t="shared" si="44"/>
        <v>47.400000000000006</v>
      </c>
      <c r="EF18" s="41" t="str">
        <f t="shared" si="45"/>
        <v/>
      </c>
      <c r="EG18" s="41" t="str">
        <f t="shared" si="46"/>
        <v/>
      </c>
      <c r="EH18" s="41">
        <f t="shared" si="47"/>
        <v>47.400000000000006</v>
      </c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1" t="str">
        <f t="shared" si="48"/>
        <v/>
      </c>
      <c r="FD18" s="11" t="str">
        <f t="shared" si="49"/>
        <v/>
      </c>
      <c r="FE18" s="11" t="str">
        <f t="shared" si="50"/>
        <v/>
      </c>
      <c r="FF18" s="11" t="str">
        <f t="shared" si="51"/>
        <v/>
      </c>
      <c r="FG18" s="11" t="str">
        <f t="shared" si="52"/>
        <v/>
      </c>
      <c r="FH18" s="11" t="str">
        <f t="shared" si="53"/>
        <v/>
      </c>
      <c r="FI18" s="11" t="str">
        <f t="shared" si="54"/>
        <v/>
      </c>
      <c r="FJ18" s="11" t="str">
        <f t="shared" si="55"/>
        <v/>
      </c>
      <c r="FK18" s="17"/>
      <c r="FL18" s="17"/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41" t="str">
        <f t="shared" si="56"/>
        <v/>
      </c>
      <c r="GF18" s="41" t="str">
        <f t="shared" si="57"/>
        <v/>
      </c>
      <c r="GG18" s="41" t="str">
        <f t="shared" si="58"/>
        <v/>
      </c>
      <c r="GH18" s="41" t="str">
        <f t="shared" si="59"/>
        <v/>
      </c>
      <c r="GI18" s="41" t="str">
        <f t="shared" si="60"/>
        <v/>
      </c>
      <c r="GJ18" s="41" t="str">
        <f t="shared" si="61"/>
        <v/>
      </c>
      <c r="GK18" s="41" t="str">
        <f t="shared" si="62"/>
        <v/>
      </c>
      <c r="GL18" s="41" t="str">
        <f t="shared" si="63"/>
        <v/>
      </c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1" t="str">
        <f t="shared" si="64"/>
        <v/>
      </c>
      <c r="HH18" s="11" t="str">
        <f t="shared" si="65"/>
        <v/>
      </c>
      <c r="HI18" s="11" t="str">
        <f t="shared" si="66"/>
        <v/>
      </c>
      <c r="HJ18" s="11" t="str">
        <f t="shared" si="67"/>
        <v/>
      </c>
      <c r="HK18" s="11" t="str">
        <f t="shared" si="68"/>
        <v/>
      </c>
      <c r="HL18" s="11" t="str">
        <f t="shared" si="69"/>
        <v/>
      </c>
      <c r="HM18" s="11" t="str">
        <f t="shared" si="70"/>
        <v/>
      </c>
      <c r="HN18" s="11" t="str">
        <f t="shared" si="71"/>
        <v/>
      </c>
      <c r="HO18" s="17"/>
      <c r="HP18" s="17"/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41" t="str">
        <f t="shared" si="72"/>
        <v/>
      </c>
      <c r="IJ18" s="41" t="str">
        <f t="shared" si="73"/>
        <v/>
      </c>
      <c r="IK18" s="41" t="str">
        <f t="shared" si="74"/>
        <v/>
      </c>
      <c r="IL18" s="41" t="str">
        <f t="shared" si="75"/>
        <v/>
      </c>
      <c r="IM18" s="41" t="str">
        <f t="shared" si="76"/>
        <v/>
      </c>
      <c r="IN18" s="41" t="str">
        <f t="shared" si="77"/>
        <v/>
      </c>
      <c r="IO18" s="41" t="str">
        <f t="shared" si="78"/>
        <v/>
      </c>
      <c r="IP18" s="41" t="str">
        <f t="shared" si="79"/>
        <v/>
      </c>
      <c r="IQ18" s="18"/>
      <c r="IR18" s="18"/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1" t="str">
        <f t="shared" si="80"/>
        <v/>
      </c>
      <c r="JL18" s="11" t="str">
        <f t="shared" si="81"/>
        <v/>
      </c>
      <c r="JM18" s="11" t="str">
        <f t="shared" si="82"/>
        <v/>
      </c>
      <c r="JN18" s="11" t="str">
        <f t="shared" si="83"/>
        <v/>
      </c>
      <c r="JO18" s="11" t="str">
        <f t="shared" si="84"/>
        <v/>
      </c>
      <c r="JP18" s="11" t="str">
        <f t="shared" si="85"/>
        <v/>
      </c>
      <c r="JQ18" s="11" t="str">
        <f t="shared" si="86"/>
        <v/>
      </c>
      <c r="JR18" s="11" t="str">
        <f t="shared" si="87"/>
        <v/>
      </c>
      <c r="JS18" s="17"/>
      <c r="JT18" s="17"/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41" t="str">
        <f t="shared" si="88"/>
        <v/>
      </c>
      <c r="KN18" s="41" t="str">
        <f t="shared" si="89"/>
        <v/>
      </c>
      <c r="KO18" s="41" t="str">
        <f t="shared" si="90"/>
        <v/>
      </c>
      <c r="KP18" s="41" t="str">
        <f t="shared" si="91"/>
        <v/>
      </c>
      <c r="KQ18" s="41" t="str">
        <f t="shared" si="92"/>
        <v/>
      </c>
      <c r="KR18" s="41" t="str">
        <f t="shared" si="93"/>
        <v/>
      </c>
      <c r="KS18" s="41" t="str">
        <f t="shared" si="94"/>
        <v/>
      </c>
      <c r="KT18" s="41" t="str">
        <f t="shared" si="95"/>
        <v/>
      </c>
      <c r="KU18" s="18"/>
      <c r="KV18" s="18"/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1" t="str">
        <f t="shared" si="96"/>
        <v/>
      </c>
      <c r="LP18" s="11" t="str">
        <f t="shared" si="97"/>
        <v/>
      </c>
      <c r="LQ18" s="11" t="str">
        <f t="shared" si="98"/>
        <v/>
      </c>
      <c r="LR18" s="11" t="str">
        <f t="shared" si="99"/>
        <v/>
      </c>
      <c r="LS18" s="11" t="str">
        <f t="shared" si="100"/>
        <v/>
      </c>
      <c r="LT18" s="11" t="str">
        <f t="shared" si="101"/>
        <v/>
      </c>
      <c r="LU18" s="11" t="str">
        <f t="shared" si="102"/>
        <v/>
      </c>
      <c r="LV18" s="11" t="str">
        <f t="shared" si="103"/>
        <v/>
      </c>
      <c r="LW18" s="17"/>
      <c r="LX18" s="17"/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41" t="str">
        <f t="shared" si="104"/>
        <v/>
      </c>
      <c r="MR18" s="41" t="str">
        <f t="shared" si="105"/>
        <v/>
      </c>
      <c r="MS18" s="41" t="str">
        <f t="shared" si="106"/>
        <v/>
      </c>
      <c r="MT18" s="41" t="str">
        <f t="shared" si="107"/>
        <v/>
      </c>
      <c r="MU18" s="41" t="str">
        <f t="shared" si="108"/>
        <v/>
      </c>
      <c r="MV18" s="41" t="str">
        <f t="shared" si="109"/>
        <v/>
      </c>
      <c r="MW18" s="41" t="str">
        <f t="shared" si="110"/>
        <v/>
      </c>
      <c r="MX18" s="41" t="str">
        <f t="shared" si="111"/>
        <v/>
      </c>
      <c r="MY18" s="18"/>
      <c r="MZ18" s="18"/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1" t="str">
        <f t="shared" si="112"/>
        <v/>
      </c>
      <c r="NT18" s="11" t="str">
        <f t="shared" si="113"/>
        <v/>
      </c>
      <c r="NU18" s="11" t="str">
        <f t="shared" si="114"/>
        <v/>
      </c>
      <c r="NV18" s="11" t="str">
        <f t="shared" si="115"/>
        <v/>
      </c>
      <c r="NW18" s="11" t="str">
        <f t="shared" si="116"/>
        <v/>
      </c>
      <c r="NX18" s="11" t="str">
        <f t="shared" si="117"/>
        <v/>
      </c>
      <c r="NY18" s="11" t="str">
        <f t="shared" si="118"/>
        <v/>
      </c>
      <c r="NZ18" s="11" t="str">
        <f t="shared" si="119"/>
        <v/>
      </c>
      <c r="OA18" s="17"/>
      <c r="OB18" s="17"/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41" t="str">
        <f t="shared" si="120"/>
        <v/>
      </c>
      <c r="OV18" s="41" t="str">
        <f t="shared" si="121"/>
        <v/>
      </c>
      <c r="OW18" s="41" t="str">
        <f t="shared" si="122"/>
        <v/>
      </c>
      <c r="OX18" s="41" t="str">
        <f t="shared" si="123"/>
        <v/>
      </c>
      <c r="OY18" s="41" t="str">
        <f t="shared" si="124"/>
        <v/>
      </c>
      <c r="OZ18" s="41" t="str">
        <f t="shared" si="125"/>
        <v/>
      </c>
      <c r="PA18" s="41" t="str">
        <f t="shared" si="126"/>
        <v/>
      </c>
      <c r="PB18" s="41" t="str">
        <f t="shared" si="127"/>
        <v/>
      </c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1" t="str">
        <f t="shared" si="128"/>
        <v/>
      </c>
      <c r="PX18" s="11" t="str">
        <f t="shared" si="129"/>
        <v/>
      </c>
      <c r="PY18" s="11" t="str">
        <f t="shared" si="130"/>
        <v/>
      </c>
      <c r="PZ18" s="11" t="str">
        <f t="shared" si="131"/>
        <v/>
      </c>
      <c r="QA18" s="11" t="str">
        <f t="shared" si="132"/>
        <v/>
      </c>
      <c r="QB18" s="11" t="str">
        <f t="shared" si="133"/>
        <v/>
      </c>
      <c r="QC18" s="11" t="str">
        <f t="shared" si="134"/>
        <v/>
      </c>
      <c r="QD18" s="11" t="str">
        <f t="shared" si="135"/>
        <v/>
      </c>
      <c r="QE18" s="23">
        <f t="shared" si="136"/>
        <v>0</v>
      </c>
      <c r="QF18" s="23">
        <f t="shared" si="137"/>
        <v>0</v>
      </c>
      <c r="QG18" s="23">
        <f t="shared" si="138"/>
        <v>0</v>
      </c>
      <c r="QH18" s="23">
        <f t="shared" si="139"/>
        <v>0</v>
      </c>
      <c r="QI18" s="23">
        <f t="shared" si="140"/>
        <v>0</v>
      </c>
      <c r="QJ18" s="23">
        <f t="shared" si="141"/>
        <v>0</v>
      </c>
      <c r="QK18" s="23">
        <f t="shared" si="142"/>
        <v>0</v>
      </c>
      <c r="QL18" s="23">
        <f t="shared" si="143"/>
        <v>0</v>
      </c>
      <c r="QM18" s="23">
        <f t="shared" si="144"/>
        <v>0</v>
      </c>
      <c r="QN18" s="23">
        <f t="shared" si="145"/>
        <v>0</v>
      </c>
      <c r="QO18" s="23">
        <f t="shared" si="146"/>
        <v>0</v>
      </c>
      <c r="QP18" s="23">
        <f t="shared" si="147"/>
        <v>0</v>
      </c>
      <c r="QQ18" s="23">
        <f t="shared" si="148"/>
        <v>0</v>
      </c>
      <c r="QR18" s="23">
        <f t="shared" si="149"/>
        <v>0</v>
      </c>
      <c r="QS18" s="23">
        <f t="shared" si="150"/>
        <v>0</v>
      </c>
      <c r="QT18" s="23">
        <f t="shared" si="151"/>
        <v>0</v>
      </c>
      <c r="QU18" s="23">
        <f t="shared" si="152"/>
        <v>0</v>
      </c>
      <c r="QV18" s="23">
        <f t="shared" si="153"/>
        <v>0</v>
      </c>
      <c r="QW18" s="23">
        <f t="shared" si="154"/>
        <v>0</v>
      </c>
      <c r="QX18" s="23">
        <f t="shared" si="155"/>
        <v>0</v>
      </c>
      <c r="QY18" s="28" t="s">
        <v>57</v>
      </c>
      <c r="QZ18" s="41" t="str">
        <f t="shared" si="156"/>
        <v/>
      </c>
      <c r="RA18" s="41" t="str">
        <f t="shared" si="157"/>
        <v/>
      </c>
      <c r="RB18" s="41" t="str">
        <f t="shared" si="158"/>
        <v/>
      </c>
      <c r="RC18" s="41" t="str">
        <f t="shared" si="159"/>
        <v/>
      </c>
      <c r="RD18" s="41" t="str">
        <f t="shared" si="160"/>
        <v/>
      </c>
      <c r="RE18" s="41" t="str">
        <f t="shared" si="161"/>
        <v/>
      </c>
      <c r="RF18" s="41" t="str">
        <f t="shared" si="162"/>
        <v/>
      </c>
      <c r="RG18" s="41" t="str">
        <f t="shared" si="163"/>
        <v/>
      </c>
    </row>
    <row r="19" spans="1:475" ht="17" x14ac:dyDescent="0.2">
      <c r="R19" s="10"/>
      <c r="S19" s="10"/>
      <c r="T19" s="10"/>
    </row>
    <row r="20" spans="1:475" ht="17" x14ac:dyDescent="0.2">
      <c r="R20" s="10"/>
      <c r="S20" s="10"/>
      <c r="T20" s="10"/>
    </row>
    <row r="21" spans="1:475" ht="17" x14ac:dyDescent="0.2">
      <c r="B21" s="24" t="s">
        <v>54</v>
      </c>
      <c r="R21" s="10"/>
      <c r="S21" s="10"/>
      <c r="T21" s="10"/>
      <c r="AP21" s="4"/>
      <c r="AW21" s="43">
        <v>10.8</v>
      </c>
      <c r="BS21" s="4"/>
      <c r="BZ21" s="43">
        <v>10.8</v>
      </c>
      <c r="CV21" s="4"/>
      <c r="DC21" s="43">
        <v>10.8</v>
      </c>
      <c r="EA21" s="4"/>
      <c r="EH21" s="43">
        <v>10.8</v>
      </c>
      <c r="FC21" s="4"/>
      <c r="FJ21" s="43">
        <v>10.8</v>
      </c>
      <c r="GE21" s="4"/>
      <c r="GL21" s="43">
        <v>10.8</v>
      </c>
      <c r="HG21" s="4"/>
      <c r="HN21" s="43">
        <v>10.8</v>
      </c>
      <c r="II21" s="4"/>
      <c r="IP21" s="43">
        <v>10.8</v>
      </c>
      <c r="JK21" s="4"/>
      <c r="JR21" s="43">
        <v>10.8</v>
      </c>
      <c r="KM21" s="4"/>
      <c r="KT21" s="43">
        <v>10.8</v>
      </c>
      <c r="LO21" s="4"/>
      <c r="LV21" s="43">
        <v>10.8</v>
      </c>
      <c r="MQ21" s="4"/>
      <c r="MX21" s="43">
        <v>10.8</v>
      </c>
      <c r="NS21" s="4"/>
      <c r="NZ21" s="43">
        <v>10.8</v>
      </c>
      <c r="OU21" s="4"/>
      <c r="PB21" s="43">
        <v>10.8</v>
      </c>
      <c r="PW21" s="4"/>
      <c r="QD21" s="43">
        <v>10.8</v>
      </c>
    </row>
    <row r="22" spans="1:475" ht="17" x14ac:dyDescent="0.2">
      <c r="B22" s="31" t="s">
        <v>53</v>
      </c>
      <c r="R22" s="10"/>
      <c r="S22" s="10"/>
      <c r="T22" s="10"/>
      <c r="AP22" s="4"/>
      <c r="AW22" s="53">
        <v>16</v>
      </c>
      <c r="BS22" s="4"/>
      <c r="BZ22" s="53">
        <v>16</v>
      </c>
      <c r="CV22" s="4"/>
      <c r="DC22" s="53">
        <v>16</v>
      </c>
      <c r="EA22" s="4"/>
      <c r="EH22" s="53">
        <v>16</v>
      </c>
      <c r="FC22" s="4"/>
      <c r="FJ22" s="53">
        <v>16</v>
      </c>
      <c r="GE22" s="4"/>
      <c r="GL22" s="53">
        <v>16</v>
      </c>
      <c r="HG22" s="4"/>
      <c r="HN22" s="53">
        <v>16</v>
      </c>
      <c r="II22" s="4"/>
      <c r="IP22" s="53">
        <v>16</v>
      </c>
      <c r="JK22" s="4"/>
      <c r="JR22" s="53">
        <v>16</v>
      </c>
      <c r="KM22" s="4"/>
      <c r="KT22" s="53">
        <v>16</v>
      </c>
      <c r="LO22" s="4"/>
      <c r="LV22" s="53">
        <v>16</v>
      </c>
      <c r="MQ22" s="4"/>
      <c r="MX22" s="53">
        <v>16</v>
      </c>
      <c r="NS22" s="4"/>
      <c r="NZ22" s="53">
        <v>16</v>
      </c>
      <c r="OU22" s="4"/>
      <c r="PB22" s="53">
        <v>16</v>
      </c>
      <c r="PW22" s="4"/>
      <c r="QD22" s="53">
        <v>16</v>
      </c>
    </row>
    <row r="23" spans="1:475" ht="17" x14ac:dyDescent="0.2">
      <c r="A23" s="5"/>
      <c r="B23" s="32" t="s">
        <v>67</v>
      </c>
      <c r="C23" s="20"/>
      <c r="R23" s="10"/>
      <c r="S23" s="10"/>
      <c r="T23" s="10"/>
      <c r="AP23" s="4"/>
      <c r="AW23" s="45">
        <v>16.8</v>
      </c>
      <c r="BS23" s="4"/>
      <c r="BZ23" s="45">
        <v>16.8</v>
      </c>
      <c r="CV23" s="4"/>
      <c r="DC23" s="45">
        <v>16.8</v>
      </c>
      <c r="EA23" s="4"/>
      <c r="EH23" s="45">
        <v>16.8</v>
      </c>
      <c r="FC23" s="4"/>
      <c r="FJ23" s="45">
        <v>16.8</v>
      </c>
      <c r="GE23" s="4"/>
      <c r="GL23" s="45">
        <v>16.8</v>
      </c>
      <c r="HG23" s="4"/>
      <c r="HN23" s="45">
        <v>16.8</v>
      </c>
      <c r="II23" s="4"/>
      <c r="IP23" s="45">
        <v>16.8</v>
      </c>
      <c r="JK23" s="4"/>
      <c r="JR23" s="45">
        <v>16.8</v>
      </c>
      <c r="KM23" s="4"/>
      <c r="KT23" s="45">
        <v>16.8</v>
      </c>
      <c r="LO23" s="4"/>
      <c r="LV23" s="45">
        <v>16.8</v>
      </c>
      <c r="MQ23" s="4"/>
      <c r="MX23" s="45">
        <v>16.8</v>
      </c>
      <c r="NS23" s="4"/>
      <c r="NZ23" s="45">
        <v>16.8</v>
      </c>
      <c r="OU23" s="4"/>
      <c r="PB23" s="45">
        <v>16.8</v>
      </c>
      <c r="PW23" s="4"/>
      <c r="QD23" s="45">
        <v>16.8</v>
      </c>
    </row>
    <row r="24" spans="1:475" ht="17" x14ac:dyDescent="0.2">
      <c r="A24" s="5"/>
      <c r="B24" s="36" t="s">
        <v>80</v>
      </c>
      <c r="C24" s="20"/>
      <c r="R24" s="10"/>
      <c r="S24" s="10"/>
      <c r="T24" s="10"/>
      <c r="AP24" s="4"/>
      <c r="AW24" s="46">
        <v>17.600000000000001</v>
      </c>
      <c r="BS24" s="4"/>
      <c r="BZ24" s="46">
        <v>17.600000000000001</v>
      </c>
      <c r="CV24" s="4"/>
      <c r="DC24" s="46">
        <v>17.600000000000001</v>
      </c>
      <c r="EA24" s="4"/>
      <c r="EH24" s="46">
        <v>17.600000000000001</v>
      </c>
      <c r="FC24" s="4"/>
      <c r="FJ24" s="46">
        <v>17.600000000000001</v>
      </c>
      <c r="GE24" s="4"/>
      <c r="GL24" s="46">
        <v>17.600000000000001</v>
      </c>
      <c r="HG24" s="4"/>
      <c r="HN24" s="46">
        <v>17.600000000000001</v>
      </c>
      <c r="II24" s="4"/>
      <c r="IP24" s="46">
        <v>17.600000000000001</v>
      </c>
      <c r="JK24" s="4"/>
      <c r="JR24" s="46">
        <v>17.600000000000001</v>
      </c>
      <c r="KM24" s="4"/>
      <c r="KT24" s="46">
        <v>17.600000000000001</v>
      </c>
      <c r="LO24" s="4"/>
      <c r="LV24" s="46">
        <v>17.600000000000001</v>
      </c>
      <c r="MQ24" s="4"/>
      <c r="MX24" s="46">
        <v>17.600000000000001</v>
      </c>
      <c r="NS24" s="4"/>
      <c r="NZ24" s="46">
        <v>17.600000000000001</v>
      </c>
      <c r="OU24" s="4"/>
      <c r="PB24" s="46">
        <v>17.600000000000001</v>
      </c>
      <c r="PW24" s="4"/>
      <c r="QD24" s="46">
        <v>17.600000000000001</v>
      </c>
    </row>
    <row r="25" spans="1:475" ht="17" x14ac:dyDescent="0.2">
      <c r="A25" s="5"/>
      <c r="B25" s="35" t="s">
        <v>51</v>
      </c>
      <c r="C25" s="20"/>
      <c r="R25" s="10"/>
      <c r="S25" s="10"/>
      <c r="T25" s="10"/>
      <c r="AP25" s="4"/>
      <c r="AW25" s="47">
        <v>48</v>
      </c>
      <c r="BS25" s="4"/>
      <c r="BZ25" s="47">
        <v>48</v>
      </c>
      <c r="CV25" s="4"/>
      <c r="DC25" s="47">
        <v>48</v>
      </c>
      <c r="EA25" s="4"/>
      <c r="EH25" s="47">
        <v>48</v>
      </c>
      <c r="FC25" s="4"/>
      <c r="FJ25" s="47">
        <v>48</v>
      </c>
      <c r="GE25" s="4"/>
      <c r="GL25" s="47">
        <v>48</v>
      </c>
      <c r="HG25" s="4"/>
      <c r="HN25" s="47">
        <v>48</v>
      </c>
      <c r="II25" s="4"/>
      <c r="IP25" s="47">
        <v>48</v>
      </c>
      <c r="JK25" s="4"/>
      <c r="JR25" s="47">
        <v>48</v>
      </c>
      <c r="KM25" s="4"/>
      <c r="KT25" s="47">
        <v>48</v>
      </c>
      <c r="LO25" s="4"/>
      <c r="LV25" s="47">
        <v>48</v>
      </c>
      <c r="MQ25" s="4"/>
      <c r="MX25" s="47">
        <v>48</v>
      </c>
      <c r="NS25" s="4"/>
      <c r="NZ25" s="47">
        <v>48</v>
      </c>
      <c r="OU25" s="4"/>
      <c r="PB25" s="47">
        <v>48</v>
      </c>
      <c r="PW25" s="4"/>
      <c r="QD25" s="47">
        <v>48</v>
      </c>
    </row>
    <row r="26" spans="1:475" ht="17" x14ac:dyDescent="0.2">
      <c r="A26" s="5"/>
      <c r="B26" s="25" t="s">
        <v>52</v>
      </c>
      <c r="C26" s="20"/>
      <c r="R26" s="10"/>
      <c r="S26" s="10"/>
      <c r="T26" s="10"/>
      <c r="AP26" s="4"/>
      <c r="AW26" s="48">
        <v>72</v>
      </c>
      <c r="BS26" s="4"/>
      <c r="BZ26" s="48">
        <v>72</v>
      </c>
      <c r="CV26" s="4"/>
      <c r="DC26" s="48">
        <v>72</v>
      </c>
      <c r="EA26" s="4"/>
      <c r="EH26" s="48">
        <v>72</v>
      </c>
      <c r="FC26" s="4"/>
      <c r="FJ26" s="48">
        <v>72</v>
      </c>
      <c r="GE26" s="4"/>
      <c r="GL26" s="48">
        <v>72</v>
      </c>
      <c r="HG26" s="4"/>
      <c r="HN26" s="48">
        <v>72</v>
      </c>
      <c r="II26" s="4"/>
      <c r="IP26" s="48">
        <v>72</v>
      </c>
      <c r="JK26" s="4"/>
      <c r="JR26" s="48">
        <v>72</v>
      </c>
      <c r="KM26" s="4"/>
      <c r="KT26" s="48">
        <v>72</v>
      </c>
      <c r="LO26" s="4"/>
      <c r="LV26" s="48">
        <v>72</v>
      </c>
      <c r="MQ26" s="4"/>
      <c r="MX26" s="48">
        <v>72</v>
      </c>
      <c r="NS26" s="4"/>
      <c r="NZ26" s="48">
        <v>72</v>
      </c>
      <c r="OU26" s="4"/>
      <c r="PB26" s="48">
        <v>72</v>
      </c>
      <c r="PW26" s="4"/>
      <c r="QD26" s="48">
        <v>72</v>
      </c>
    </row>
    <row r="27" spans="1:475" ht="17" x14ac:dyDescent="0.2">
      <c r="A27" s="5"/>
      <c r="B27" s="34" t="s">
        <v>66</v>
      </c>
      <c r="C27" s="20"/>
      <c r="R27" s="10"/>
      <c r="S27" s="10"/>
      <c r="T27" s="10"/>
      <c r="AP27" s="4"/>
      <c r="AW27" s="49">
        <v>73.400000000000006</v>
      </c>
      <c r="BS27" s="4"/>
      <c r="BZ27" s="49">
        <v>73.400000000000006</v>
      </c>
      <c r="CV27" s="4"/>
      <c r="DC27" s="49">
        <v>73.400000000000006</v>
      </c>
      <c r="EA27" s="4"/>
      <c r="EH27" s="49">
        <v>73.400000000000006</v>
      </c>
      <c r="FC27" s="4"/>
      <c r="FJ27" s="49">
        <v>73.400000000000006</v>
      </c>
      <c r="GE27" s="4"/>
      <c r="GL27" s="49">
        <v>73.400000000000006</v>
      </c>
      <c r="HG27" s="4"/>
      <c r="HN27" s="49">
        <v>73.400000000000006</v>
      </c>
      <c r="II27" s="4"/>
      <c r="IP27" s="49">
        <v>73.400000000000006</v>
      </c>
      <c r="JK27" s="4"/>
      <c r="JR27" s="49">
        <v>73.400000000000006</v>
      </c>
      <c r="KM27" s="4"/>
      <c r="KT27" s="49">
        <v>73.400000000000006</v>
      </c>
      <c r="LO27" s="4"/>
      <c r="LV27" s="49">
        <v>73.400000000000006</v>
      </c>
      <c r="MQ27" s="4"/>
      <c r="MX27" s="49">
        <v>73.400000000000006</v>
      </c>
      <c r="NS27" s="4"/>
      <c r="NZ27" s="49">
        <v>73.400000000000006</v>
      </c>
      <c r="OU27" s="4"/>
      <c r="PB27" s="49">
        <v>73.400000000000006</v>
      </c>
      <c r="PW27" s="4"/>
      <c r="QD27" s="49">
        <v>73.400000000000006</v>
      </c>
    </row>
    <row r="28" spans="1:475" ht="17" x14ac:dyDescent="0.2">
      <c r="A28" s="5"/>
      <c r="B28" s="26" t="s">
        <v>35</v>
      </c>
      <c r="C28" s="20"/>
      <c r="R28" s="10"/>
      <c r="S28" s="10"/>
      <c r="T28" s="10"/>
      <c r="AP28" s="4"/>
      <c r="AW28" s="50">
        <v>74.8</v>
      </c>
      <c r="BS28" s="4"/>
      <c r="BZ28" s="50">
        <v>74.8</v>
      </c>
      <c r="CV28" s="4"/>
      <c r="DC28" s="50">
        <v>74.8</v>
      </c>
      <c r="EA28" s="4"/>
      <c r="EH28" s="50">
        <v>74.8</v>
      </c>
      <c r="FC28" s="4"/>
      <c r="FJ28" s="50">
        <v>74.8</v>
      </c>
      <c r="GE28" s="4"/>
      <c r="GL28" s="50">
        <v>74.8</v>
      </c>
      <c r="HG28" s="4"/>
      <c r="HN28" s="50">
        <v>74.8</v>
      </c>
      <c r="II28" s="4"/>
      <c r="IP28" s="50">
        <v>74.8</v>
      </c>
      <c r="JK28" s="4"/>
      <c r="JR28" s="50">
        <v>74.8</v>
      </c>
      <c r="KM28" s="4"/>
      <c r="KT28" s="50">
        <v>74.8</v>
      </c>
      <c r="LO28" s="4"/>
      <c r="LV28" s="50">
        <v>74.8</v>
      </c>
      <c r="MQ28" s="4"/>
      <c r="MX28" s="50">
        <v>74.8</v>
      </c>
      <c r="NS28" s="4"/>
      <c r="NZ28" s="50">
        <v>74.8</v>
      </c>
      <c r="OU28" s="4"/>
      <c r="PB28" s="50">
        <v>74.8</v>
      </c>
      <c r="PW28" s="4"/>
      <c r="QD28" s="50">
        <v>74.8</v>
      </c>
    </row>
    <row r="29" spans="1:475" x14ac:dyDescent="0.2">
      <c r="B29" s="30" t="s">
        <v>58</v>
      </c>
      <c r="C29" s="2"/>
    </row>
    <row r="30" spans="1:475" x14ac:dyDescent="0.2">
      <c r="A30" s="5"/>
      <c r="B30" s="5"/>
      <c r="C30" s="20"/>
      <c r="QF30" s="2"/>
      <c r="QG30" s="2"/>
      <c r="QH30" s="2"/>
      <c r="QI30" s="2"/>
      <c r="QJ30" s="2"/>
      <c r="QK30" s="2"/>
      <c r="QL30" s="2"/>
      <c r="QM30" s="2"/>
      <c r="QN30" s="2"/>
    </row>
    <row r="31" spans="1:475" x14ac:dyDescent="0.2">
      <c r="A31" s="5"/>
      <c r="B31" s="5"/>
      <c r="C31" s="20"/>
    </row>
    <row r="32" spans="1:475" x14ac:dyDescent="0.2">
      <c r="A32" s="5"/>
      <c r="B32" s="5"/>
      <c r="C32" s="20"/>
    </row>
    <row r="33" spans="1:3" x14ac:dyDescent="0.2">
      <c r="A33" s="5"/>
      <c r="B33" s="5"/>
      <c r="C33" s="5"/>
    </row>
  </sheetData>
  <sheetProtection sheet="1" formatCells="0" formatColumns="0" formatRows="0"/>
  <autoFilter ref="A1:RG6" xr:uid="{BB9C3AB3-2D15-174E-B900-3E2F789706E1}"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7" showButton="0"/>
    <filterColumn colId="108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6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sortState xmlns:xlrd2="http://schemas.microsoft.com/office/spreadsheetml/2017/richdata2" ref="A6:RG18">
      <sortCondition descending="1" ref="F1:F19"/>
    </sortState>
  </autoFilter>
  <mergeCells count="117">
    <mergeCell ref="A1:A3"/>
    <mergeCell ref="B1:B3"/>
    <mergeCell ref="C1:C3"/>
    <mergeCell ref="D1:D3"/>
    <mergeCell ref="E1:E3"/>
    <mergeCell ref="F1:F3"/>
    <mergeCell ref="M1:M3"/>
    <mergeCell ref="N1:N3"/>
    <mergeCell ref="O1:O3"/>
    <mergeCell ref="P1:P3"/>
    <mergeCell ref="G1:G3"/>
    <mergeCell ref="H1:H3"/>
    <mergeCell ref="I1:I3"/>
    <mergeCell ref="J1:J3"/>
    <mergeCell ref="K1:K3"/>
    <mergeCell ref="L1:L3"/>
    <mergeCell ref="Q1:Q3"/>
    <mergeCell ref="R1:R3"/>
    <mergeCell ref="S1:S3"/>
    <mergeCell ref="T1:T3"/>
    <mergeCell ref="U1:AW1"/>
    <mergeCell ref="AX1:BZ1"/>
    <mergeCell ref="BF2:BI2"/>
    <mergeCell ref="BJ2:BM2"/>
    <mergeCell ref="BN2:BQ2"/>
    <mergeCell ref="OA1:PB1"/>
    <mergeCell ref="PC1:QD1"/>
    <mergeCell ref="EI2:EL2"/>
    <mergeCell ref="EM2:EP2"/>
    <mergeCell ref="CA2:CD2"/>
    <mergeCell ref="CE2:CH2"/>
    <mergeCell ref="CI2:CL2"/>
    <mergeCell ref="CM2:CP2"/>
    <mergeCell ref="CQ2:CT2"/>
    <mergeCell ref="DG2:DJ2"/>
    <mergeCell ref="FW2:FZ2"/>
    <mergeCell ref="GA2:GD2"/>
    <mergeCell ref="GM2:GP2"/>
    <mergeCell ref="GQ2:GT2"/>
    <mergeCell ref="GU2:GX2"/>
    <mergeCell ref="GY2:HB2"/>
    <mergeCell ref="EQ2:ET2"/>
    <mergeCell ref="QE1:RG1"/>
    <mergeCell ref="U2:X2"/>
    <mergeCell ref="Y2:AB2"/>
    <mergeCell ref="AC2:AF2"/>
    <mergeCell ref="AG2:AJ2"/>
    <mergeCell ref="AK2:AN2"/>
    <mergeCell ref="AX2:BA2"/>
    <mergeCell ref="BB2:BE2"/>
    <mergeCell ref="HO1:IP1"/>
    <mergeCell ref="IQ1:JR1"/>
    <mergeCell ref="JS1:KT1"/>
    <mergeCell ref="KU1:LV1"/>
    <mergeCell ref="LW1:MX1"/>
    <mergeCell ref="MY1:NZ1"/>
    <mergeCell ref="CA1:DC1"/>
    <mergeCell ref="DD1:DF1"/>
    <mergeCell ref="DG1:EH1"/>
    <mergeCell ref="EI1:FJ1"/>
    <mergeCell ref="FK1:GL1"/>
    <mergeCell ref="GM1:HN1"/>
    <mergeCell ref="DK2:DN2"/>
    <mergeCell ref="DO2:DR2"/>
    <mergeCell ref="DS2:DV2"/>
    <mergeCell ref="DW2:DZ2"/>
    <mergeCell ref="EU2:EX2"/>
    <mergeCell ref="EY2:FB2"/>
    <mergeCell ref="FK2:FN2"/>
    <mergeCell ref="FO2:FR2"/>
    <mergeCell ref="FS2:FV2"/>
    <mergeCell ref="IQ2:IT2"/>
    <mergeCell ref="IU2:IX2"/>
    <mergeCell ref="IY2:JB2"/>
    <mergeCell ref="JC2:JF2"/>
    <mergeCell ref="JG2:JJ2"/>
    <mergeCell ref="JS2:JV2"/>
    <mergeCell ref="HC2:HF2"/>
    <mergeCell ref="HO2:HR2"/>
    <mergeCell ref="HS2:HV2"/>
    <mergeCell ref="HW2:HZ2"/>
    <mergeCell ref="IA2:ID2"/>
    <mergeCell ref="IE2:IH2"/>
    <mergeCell ref="LC2:LF2"/>
    <mergeCell ref="LG2:LJ2"/>
    <mergeCell ref="LK2:LN2"/>
    <mergeCell ref="LW2:LZ2"/>
    <mergeCell ref="MA2:MD2"/>
    <mergeCell ref="ME2:MH2"/>
    <mergeCell ref="JW2:JZ2"/>
    <mergeCell ref="KA2:KD2"/>
    <mergeCell ref="KE2:KH2"/>
    <mergeCell ref="KI2:KL2"/>
    <mergeCell ref="KU2:KX2"/>
    <mergeCell ref="KY2:LB2"/>
    <mergeCell ref="NO2:NR2"/>
    <mergeCell ref="OA2:OD2"/>
    <mergeCell ref="OE2:OH2"/>
    <mergeCell ref="OI2:OL2"/>
    <mergeCell ref="OM2:OP2"/>
    <mergeCell ref="OQ2:OT2"/>
    <mergeCell ref="MI2:ML2"/>
    <mergeCell ref="MM2:MP2"/>
    <mergeCell ref="MY2:NB2"/>
    <mergeCell ref="NC2:NF2"/>
    <mergeCell ref="NG2:NJ2"/>
    <mergeCell ref="NK2:NN2"/>
    <mergeCell ref="QI2:QL2"/>
    <mergeCell ref="QM2:QP2"/>
    <mergeCell ref="QQ2:QT2"/>
    <mergeCell ref="QU2:QX2"/>
    <mergeCell ref="PC2:PF2"/>
    <mergeCell ref="PG2:PJ2"/>
    <mergeCell ref="PK2:PN2"/>
    <mergeCell ref="PO2:PR2"/>
    <mergeCell ref="PS2:PV2"/>
    <mergeCell ref="QE2:QH2"/>
  </mergeCells>
  <conditionalFormatting sqref="U4:AW18">
    <cfRule type="expression" dxfId="346" priority="6" stopIfTrue="1">
      <formula>IF($AO4&lt;&gt;"",1,0)</formula>
    </cfRule>
  </conditionalFormatting>
  <conditionalFormatting sqref="AX4:BZ18">
    <cfRule type="expression" dxfId="345" priority="11" stopIfTrue="1">
      <formula>IF($BR4&lt;&gt;"",1,0)</formula>
    </cfRule>
  </conditionalFormatting>
  <conditionalFormatting sqref="M1:M3 O1:O3 K1:K1048576 Q1:Q1048576 M4:O1048576">
    <cfRule type="expression" dxfId="344" priority="18">
      <formula>IF(K1=$CA$1,1,0)</formula>
    </cfRule>
    <cfRule type="expression" dxfId="343" priority="19">
      <formula>IF(K1=$AX$1,1,0)</formula>
    </cfRule>
    <cfRule type="expression" dxfId="342" priority="20">
      <formula>IF(K1=$U$1,1,0)</formula>
    </cfRule>
  </conditionalFormatting>
  <conditionalFormatting sqref="CA4:DC18">
    <cfRule type="expression" dxfId="341" priority="12" stopIfTrue="1">
      <formula>IF($CU4&lt;&gt;"",1,0)</formula>
    </cfRule>
  </conditionalFormatting>
  <conditionalFormatting sqref="A4:A1048576">
    <cfRule type="expression" dxfId="318" priority="21">
      <formula>IF(A4&gt;8,1,0)</formula>
    </cfRule>
    <cfRule type="expression" dxfId="319" priority="1">
      <formula>AND(G4="P",F4="")</formula>
    </cfRule>
  </conditionalFormatting>
  <conditionalFormatting sqref="H1:H1048576">
    <cfRule type="containsText" dxfId="340" priority="13" operator="containsText" text="No DD">
      <formula>NOT(ISERROR(SEARCH("No DD",H1)))</formula>
    </cfRule>
    <cfRule type="containsText" dxfId="339" priority="14" operator="containsText" text="Merit">
      <formula>NOT(ISERROR(SEARCH("Merit",H1)))</formula>
    </cfRule>
    <cfRule type="containsText" dxfId="338" priority="15" operator="containsText" text="Excellence">
      <formula>NOT(ISERROR(SEARCH("Excellence",H1)))</formula>
    </cfRule>
    <cfRule type="containsText" dxfId="337" priority="16" operator="containsText" text="Worlds Team">
      <formula>NOT(ISERROR(SEARCH("Worlds Team",H1)))</formula>
    </cfRule>
    <cfRule type="containsText" dxfId="336" priority="17" operator="containsText" text="National Team">
      <formula>NOT(ISERROR(SEARCH("National Team",H1)))</formula>
    </cfRule>
  </conditionalFormatting>
  <conditionalFormatting sqref="AT29:AT1048576 BW29:BW1048576 EE29:EE1048576 BW1:BW27 CZ1:CZ1048576 EE1:EE27 FG1:FG1048576 GI1:GI1048576 HK1:HK1048576 IM1:IM1048576 JO1:JO1048576 KQ1:KQ1048576 LS1:LS1048576 MU1:MU1048576 NW1:NW1048576 OY1:OY1048576 QA1:QA1048576 AT1:AT27">
    <cfRule type="cellIs" dxfId="335" priority="60353" operator="between">
      <formula>AW$28</formula>
      <formula>1000</formula>
    </cfRule>
    <cfRule type="cellIs" dxfId="334" priority="60354" operator="between">
      <formula>AW$27</formula>
      <formula>AW$28</formula>
    </cfRule>
    <cfRule type="cellIs" dxfId="333" priority="60355" operator="between">
      <formula>AW$26</formula>
      <formula>AW$27</formula>
    </cfRule>
  </conditionalFormatting>
  <conditionalFormatting sqref="PW1:PW1048576 AP1:AP1048576 BS1:BS1048576 CV1:CV1048576 EA1:EA1048576 FC1:FC1048576 GE1:GE1048576 HG1:HG1048576 II1:II1048576 JK1:JK1048576 KM1:KM1048576 LO1:LO1048576 MQ1:MQ1048576 NS1:NS1048576 OU1:OU1048576">
    <cfRule type="cellIs" dxfId="332" priority="86742" operator="between">
      <formula>AW$21</formula>
      <formula>1000</formula>
    </cfRule>
  </conditionalFormatting>
  <conditionalFormatting sqref="PX1:PX1048576 AQ1:AQ1048576 BT1:BT1048576 CW1:CW1048576 EB1:EB1048576 FD1:FD1048576 GF1:GF1048576 HH1:HH1048576 IJ1:IJ1048576 JL1:JL1048576 KN1:KN1048576 LP1:LP1048576 MR1:MR1048576 NT1:NT1048576 OV1:OV1048576">
    <cfRule type="cellIs" dxfId="331" priority="86787" operator="between">
      <formula>AW$25</formula>
      <formula>1000</formula>
    </cfRule>
  </conditionalFormatting>
  <conditionalFormatting sqref="AU1:AU1048576 BX1:BX1048576 DA1:DA1048576 EF1:EF1048576 FH1:FH1048576 GJ1:GJ1048576 HL1:HL1048576 IN1:IN1048576 JP1:JP1048576 KR1:KR1048576 LT1:LT1048576 MV1:MV1048576 NX1:NX1048576 OZ1:OZ1048576 QB1:QB1048576">
    <cfRule type="cellIs" dxfId="330" priority="86832" operator="between">
      <formula>AW$21</formula>
      <formula>AW$22</formula>
    </cfRule>
    <cfRule type="cellIs" dxfId="329" priority="86833" operator="between">
      <formula>AW$22</formula>
      <formula>AW$23</formula>
    </cfRule>
    <cfRule type="cellIs" dxfId="328" priority="86834" operator="between">
      <formula>AW$23</formula>
      <formula>AW$24</formula>
    </cfRule>
    <cfRule type="cellIs" dxfId="327" priority="86835" operator="between">
      <formula>AW$24</formula>
      <formula>1000</formula>
    </cfRule>
  </conditionalFormatting>
  <conditionalFormatting sqref="AV1:AV1048576 BY1:BY1048576 DB1:DB1048576 EG1:EG1048576 FI1:FI1048576 GK1:GK1048576 HM1:HM1048576 IO1:IO1048576 JQ1:JQ1048576 KS1:KS1048576 LU1:LU1048576 MW1:MW1048576 NY1:NY1048576 PA1:PA1048576 QC1:QC1048576">
    <cfRule type="cellIs" dxfId="326" priority="87012" operator="between">
      <formula>AW$25</formula>
      <formula>AW$26</formula>
    </cfRule>
    <cfRule type="cellIs" dxfId="325" priority="87013" operator="between">
      <formula>AW$26</formula>
      <formula>AW$27</formula>
    </cfRule>
    <cfRule type="cellIs" dxfId="324" priority="87014" operator="between">
      <formula>AW$27</formula>
      <formula>AW$28</formula>
    </cfRule>
    <cfRule type="cellIs" dxfId="323" priority="87015" operator="between">
      <formula>AW$28</formula>
      <formula>1000</formula>
    </cfRule>
  </conditionalFormatting>
  <conditionalFormatting sqref="AS1:AS1048576 BV1:BV1048576 CY1:CY1048576 FF1:FF1048576 GH1:GH1048576 HJ1:HJ1048576 IL1:IL1048576 JN1:JN1048576 KP1:KP1048576 LR1:LR1048576 MT1:MT1048576 NV1:NV1048576 OX1:OX1048576 PZ1:PZ1048576 ED1:ED1048576">
    <cfRule type="cellIs" dxfId="322" priority="87192" operator="between">
      <formula>AW$24</formula>
      <formula>1000</formula>
    </cfRule>
    <cfRule type="cellIs" dxfId="321" priority="87193" operator="between">
      <formula>AW$23</formula>
      <formula>AW$24</formula>
    </cfRule>
    <cfRule type="cellIs" dxfId="320" priority="87194" operator="between">
      <formula>AW$22</formula>
      <formula>AW$23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2023-11-23T21:33:46Z</dcterms:modified>
</cp:coreProperties>
</file>