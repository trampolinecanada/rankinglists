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FA295E5F-BC41-AA46-8BE8-73DB04749162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18" i="21" l="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9" i="21"/>
  <c r="NX9" i="21"/>
  <c r="NV9" i="21"/>
  <c r="NU9" i="21"/>
  <c r="NT9" i="2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X4" i="21" s="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P11" i="21"/>
  <c r="LV11" i="21" s="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V7" i="21" s="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V4" i="21" s="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P16" i="21" s="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P12" i="21" s="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P8" i="21" s="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P4" i="21" s="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N12" i="21" s="1"/>
  <c r="HG12" i="21"/>
  <c r="HM11" i="21"/>
  <c r="HL11" i="21"/>
  <c r="HJ11" i="21"/>
  <c r="HI11" i="21"/>
  <c r="HH11" i="21"/>
  <c r="HN11" i="21" s="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N7" i="21" s="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N4" i="21" s="1"/>
  <c r="HG4" i="21"/>
  <c r="GK18" i="21"/>
  <c r="GJ18" i="21"/>
  <c r="GH18" i="21"/>
  <c r="GG18" i="21"/>
  <c r="GF18" i="21"/>
  <c r="GI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I15" i="21" s="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H16" i="21" s="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H12" i="21" s="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A9" i="21"/>
  <c r="EG8" i="21"/>
  <c r="EF8" i="21"/>
  <c r="ED8" i="21"/>
  <c r="EC8" i="21"/>
  <c r="EB8" i="21"/>
  <c r="EH8" i="21" s="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H4" i="21" s="1"/>
  <c r="EA4" i="21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PB19" i="19" s="1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PB15" i="19" s="1"/>
  <c r="OU15" i="19"/>
  <c r="PA14" i="19"/>
  <c r="OZ14" i="19"/>
  <c r="OX14" i="19"/>
  <c r="OW14" i="19"/>
  <c r="OV14" i="19"/>
  <c r="OU14" i="19"/>
  <c r="PA12" i="19"/>
  <c r="OZ12" i="19"/>
  <c r="OX12" i="19"/>
  <c r="OW12" i="19"/>
  <c r="OV12" i="19"/>
  <c r="OU12" i="19"/>
  <c r="PA13" i="19"/>
  <c r="OZ13" i="19"/>
  <c r="OX13" i="19"/>
  <c r="OW13" i="19"/>
  <c r="OV13" i="19"/>
  <c r="OU13" i="19"/>
  <c r="PA11" i="19"/>
  <c r="OZ11" i="19"/>
  <c r="OX11" i="19"/>
  <c r="OW11" i="19"/>
  <c r="OV11" i="19"/>
  <c r="PB11" i="19" s="1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PB7" i="19" s="1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0" i="19"/>
  <c r="NX30" i="19"/>
  <c r="NV30" i="19"/>
  <c r="NU30" i="19"/>
  <c r="NT30" i="19"/>
  <c r="NZ30" i="19" s="1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Z22" i="19" s="1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Z18" i="19" s="1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Z14" i="19" s="1"/>
  <c r="NS14" i="19"/>
  <c r="NY12" i="19"/>
  <c r="NX12" i="19"/>
  <c r="NV12" i="19"/>
  <c r="NU12" i="19"/>
  <c r="NT12" i="19"/>
  <c r="NS12" i="19"/>
  <c r="NY13" i="19"/>
  <c r="NX13" i="19"/>
  <c r="NV13" i="19"/>
  <c r="NU13" i="19"/>
  <c r="NT13" i="19"/>
  <c r="NS13" i="19"/>
  <c r="NY11" i="19"/>
  <c r="NX11" i="19"/>
  <c r="NV11" i="19"/>
  <c r="NU11" i="19"/>
  <c r="NT11" i="19"/>
  <c r="NS11" i="19"/>
  <c r="NY10" i="19"/>
  <c r="NX10" i="19"/>
  <c r="NV10" i="19"/>
  <c r="NU10" i="19"/>
  <c r="NT10" i="19"/>
  <c r="NZ10" i="19" s="1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Z6" i="19" s="1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0" i="19"/>
  <c r="MV30" i="19"/>
  <c r="MT30" i="19"/>
  <c r="MS30" i="19"/>
  <c r="MR30" i="19"/>
  <c r="MQ30" i="19"/>
  <c r="MW29" i="19"/>
  <c r="MV29" i="19"/>
  <c r="MT29" i="19"/>
  <c r="MS29" i="19"/>
  <c r="MR29" i="19"/>
  <c r="MX29" i="19" s="1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X25" i="19" s="1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X21" i="19" s="1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X17" i="19" s="1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2" i="19"/>
  <c r="MV12" i="19"/>
  <c r="MT12" i="19"/>
  <c r="MS12" i="19"/>
  <c r="MR12" i="19"/>
  <c r="MX12" i="19" s="1"/>
  <c r="MQ12" i="19"/>
  <c r="MW13" i="19"/>
  <c r="MV13" i="19"/>
  <c r="MT13" i="19"/>
  <c r="MS13" i="19"/>
  <c r="MR13" i="19"/>
  <c r="MQ13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X9" i="19" s="1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X5" i="19" s="1"/>
  <c r="MQ5" i="19"/>
  <c r="MW4" i="19"/>
  <c r="MV4" i="19"/>
  <c r="MT4" i="19"/>
  <c r="MS4" i="19"/>
  <c r="MR4" i="19"/>
  <c r="MQ4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V28" i="19" s="1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V20" i="19" s="1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V16" i="19" s="1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2" i="19"/>
  <c r="LT12" i="19"/>
  <c r="LR12" i="19"/>
  <c r="LQ12" i="19"/>
  <c r="LP12" i="19"/>
  <c r="LO12" i="19"/>
  <c r="LU13" i="19"/>
  <c r="LT13" i="19"/>
  <c r="LR13" i="19"/>
  <c r="LQ13" i="19"/>
  <c r="LP13" i="19"/>
  <c r="LV13" i="19" s="1"/>
  <c r="LO13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V8" i="19" s="1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V4" i="19" s="1"/>
  <c r="LO4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T27" i="19" s="1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T19" i="19" s="1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T15" i="19" s="1"/>
  <c r="KM15" i="19"/>
  <c r="KS14" i="19"/>
  <c r="KR14" i="19"/>
  <c r="KP14" i="19"/>
  <c r="KO14" i="19"/>
  <c r="KN14" i="19"/>
  <c r="KM14" i="19"/>
  <c r="KS12" i="19"/>
  <c r="KR12" i="19"/>
  <c r="KP12" i="19"/>
  <c r="KO12" i="19"/>
  <c r="KN12" i="19"/>
  <c r="KM12" i="19"/>
  <c r="KS13" i="19"/>
  <c r="KR13" i="19"/>
  <c r="KP13" i="19"/>
  <c r="KO13" i="19"/>
  <c r="KN13" i="19"/>
  <c r="KM13" i="19"/>
  <c r="KS11" i="19"/>
  <c r="KR11" i="19"/>
  <c r="KP11" i="19"/>
  <c r="KO11" i="19"/>
  <c r="KN11" i="19"/>
  <c r="KT11" i="19" s="1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T7" i="19" s="1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0" i="19"/>
  <c r="JP30" i="19"/>
  <c r="JN30" i="19"/>
  <c r="JM30" i="19"/>
  <c r="JL30" i="19"/>
  <c r="JR30" i="19" s="1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R26" i="19" s="1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R22" i="19" s="1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R18" i="19" s="1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R14" i="19" s="1"/>
  <c r="JK14" i="19"/>
  <c r="JQ12" i="19"/>
  <c r="JP12" i="19"/>
  <c r="JN12" i="19"/>
  <c r="JM12" i="19"/>
  <c r="JL12" i="19"/>
  <c r="JK12" i="19"/>
  <c r="JQ13" i="19"/>
  <c r="JP13" i="19"/>
  <c r="JN13" i="19"/>
  <c r="JM13" i="19"/>
  <c r="JL13" i="19"/>
  <c r="JK13" i="19"/>
  <c r="JQ11" i="19"/>
  <c r="JP11" i="19"/>
  <c r="JN11" i="19"/>
  <c r="JM11" i="19"/>
  <c r="JL11" i="19"/>
  <c r="JK11" i="19"/>
  <c r="JQ10" i="19"/>
  <c r="JP10" i="19"/>
  <c r="JN10" i="19"/>
  <c r="JM10" i="19"/>
  <c r="JL10" i="19"/>
  <c r="JR10" i="19" s="1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R6" i="19" s="1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0" i="19"/>
  <c r="IN30" i="19"/>
  <c r="IL30" i="19"/>
  <c r="IK30" i="19"/>
  <c r="IJ30" i="19"/>
  <c r="II30" i="19"/>
  <c r="IO29" i="19"/>
  <c r="IN29" i="19"/>
  <c r="IL29" i="19"/>
  <c r="IK29" i="19"/>
  <c r="IJ29" i="19"/>
  <c r="IP29" i="19" s="1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P25" i="19" s="1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P21" i="19" s="1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P17" i="19" s="1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2" i="19"/>
  <c r="IN12" i="19"/>
  <c r="IL12" i="19"/>
  <c r="IK12" i="19"/>
  <c r="IJ12" i="19"/>
  <c r="IP12" i="19" s="1"/>
  <c r="II12" i="19"/>
  <c r="IO13" i="19"/>
  <c r="IN13" i="19"/>
  <c r="IL13" i="19"/>
  <c r="IK13" i="19"/>
  <c r="IJ13" i="19"/>
  <c r="II13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P9" i="19" s="1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P5" i="19" s="1"/>
  <c r="II5" i="19"/>
  <c r="IO4" i="19"/>
  <c r="IN4" i="19"/>
  <c r="IL4" i="19"/>
  <c r="IK4" i="19"/>
  <c r="IJ4" i="19"/>
  <c r="II4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N20" i="19" s="1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2" i="19"/>
  <c r="HL12" i="19"/>
  <c r="HJ12" i="19"/>
  <c r="HI12" i="19"/>
  <c r="HH12" i="19"/>
  <c r="HG12" i="19"/>
  <c r="HM13" i="19"/>
  <c r="HL13" i="19"/>
  <c r="HJ13" i="19"/>
  <c r="HI13" i="19"/>
  <c r="HH13" i="19"/>
  <c r="HG13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30" i="19"/>
  <c r="GJ30" i="19"/>
  <c r="GH30" i="19"/>
  <c r="GG30" i="19"/>
  <c r="GF30" i="19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L27" i="19" s="1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L23" i="19" s="1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L19" i="19" s="1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L15" i="19" s="1"/>
  <c r="GE15" i="19"/>
  <c r="GK14" i="19"/>
  <c r="GJ14" i="19"/>
  <c r="GH14" i="19"/>
  <c r="GG14" i="19"/>
  <c r="GF14" i="19"/>
  <c r="GE14" i="19"/>
  <c r="GK12" i="19"/>
  <c r="GJ12" i="19"/>
  <c r="GH12" i="19"/>
  <c r="GG12" i="19"/>
  <c r="GF12" i="19"/>
  <c r="GE12" i="19"/>
  <c r="GK13" i="19"/>
  <c r="GJ13" i="19"/>
  <c r="GH13" i="19"/>
  <c r="GG13" i="19"/>
  <c r="GF13" i="19"/>
  <c r="GE13" i="19"/>
  <c r="GK11" i="19"/>
  <c r="GJ11" i="19"/>
  <c r="GH11" i="19"/>
  <c r="GG11" i="19"/>
  <c r="GF11" i="19"/>
  <c r="GL11" i="19" s="1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L7" i="19" s="1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0" i="19"/>
  <c r="FH30" i="19"/>
  <c r="FF30" i="19"/>
  <c r="FE30" i="19"/>
  <c r="FD30" i="19"/>
  <c r="FJ30" i="19" s="1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J14" i="19" s="1"/>
  <c r="FC14" i="19"/>
  <c r="FI12" i="19"/>
  <c r="FH12" i="19"/>
  <c r="FF12" i="19"/>
  <c r="FE12" i="19"/>
  <c r="FD12" i="19"/>
  <c r="FC12" i="19"/>
  <c r="FI13" i="19"/>
  <c r="FH13" i="19"/>
  <c r="FF13" i="19"/>
  <c r="FE13" i="19"/>
  <c r="FD13" i="19"/>
  <c r="FC13" i="19"/>
  <c r="FI11" i="19"/>
  <c r="FH11" i="19"/>
  <c r="FF11" i="19"/>
  <c r="FE11" i="19"/>
  <c r="FD11" i="19"/>
  <c r="FC11" i="19"/>
  <c r="FI10" i="19"/>
  <c r="FH10" i="19"/>
  <c r="FF10" i="19"/>
  <c r="FE10" i="19"/>
  <c r="FD10" i="19"/>
  <c r="FJ10" i="19" s="1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J6" i="19" s="1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0" i="19"/>
  <c r="EF30" i="19"/>
  <c r="ED30" i="19"/>
  <c r="EC30" i="19"/>
  <c r="EB30" i="19"/>
  <c r="EA30" i="19"/>
  <c r="EG29" i="19"/>
  <c r="EF29" i="19"/>
  <c r="ED29" i="19"/>
  <c r="EC29" i="19"/>
  <c r="EB29" i="19"/>
  <c r="EH29" i="19" s="1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H25" i="19" s="1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H21" i="19" s="1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H17" i="19" s="1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2" i="19"/>
  <c r="EF12" i="19"/>
  <c r="ED12" i="19"/>
  <c r="EC12" i="19"/>
  <c r="EB12" i="19"/>
  <c r="EH12" i="19" s="1"/>
  <c r="EA12" i="19"/>
  <c r="EG13" i="19"/>
  <c r="EF13" i="19"/>
  <c r="ED13" i="19"/>
  <c r="EC13" i="19"/>
  <c r="EB13" i="19"/>
  <c r="EA13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H9" i="19" s="1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H5" i="19" s="1"/>
  <c r="EA5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PB10" i="27" s="1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PB6" i="27" s="1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T10" i="27" s="1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T6" i="27" s="1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L10" i="27" s="1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L6" i="27" s="1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J8" i="27" s="1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J4" i="27" s="1"/>
  <c r="FC4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Q11" i="26" s="1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Q9" i="26" s="1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15" i="24"/>
  <c r="RC15" i="24"/>
  <c r="RB15" i="24"/>
  <c r="RA15" i="24"/>
  <c r="QZ15" i="24"/>
  <c r="QY15" i="24"/>
  <c r="QW15" i="24"/>
  <c r="QV15" i="24"/>
  <c r="QU15" i="24"/>
  <c r="QT15" i="24"/>
  <c r="QX15" i="24" s="1"/>
  <c r="RE15" i="24" s="1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X13" i="24" s="1"/>
  <c r="RE13" i="24" s="1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X11" i="24" s="1"/>
  <c r="RE11" i="24" s="1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X7" i="24" s="1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P11" i="24" s="1"/>
  <c r="PW11" i="24" s="1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P9" i="24" s="1"/>
  <c r="PK9" i="24"/>
  <c r="PJ9" i="24"/>
  <c r="PV8" i="24"/>
  <c r="PU8" i="24"/>
  <c r="PT8" i="24"/>
  <c r="PS8" i="24"/>
  <c r="PR8" i="24"/>
  <c r="PQ8" i="24"/>
  <c r="PO8" i="24"/>
  <c r="PN8" i="24"/>
  <c r="PM8" i="24"/>
  <c r="PL8" i="24"/>
  <c r="PP8" i="24" s="1"/>
  <c r="PK8" i="24"/>
  <c r="PJ8" i="24"/>
  <c r="PV7" i="24"/>
  <c r="PU7" i="24"/>
  <c r="PT7" i="24"/>
  <c r="PS7" i="24"/>
  <c r="PR7" i="24"/>
  <c r="PQ7" i="24"/>
  <c r="PO7" i="24"/>
  <c r="PN7" i="24"/>
  <c r="PM7" i="24"/>
  <c r="PL7" i="24"/>
  <c r="PP7" i="24" s="1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P5" i="24" s="1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H15" i="24" s="1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H13" i="24" s="1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H11" i="24" s="1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H9" i="24" s="1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H7" i="24" s="1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H5" i="24" s="1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Z11" i="24" s="1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J12" i="24" s="1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J8" i="24" s="1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J6" i="24" s="1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JB12" i="24" s="1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T8" i="24" s="1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T4" i="24" s="1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FD12" i="24" s="1"/>
  <c r="FK12" i="24" s="1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V11" i="24" s="1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V9" i="24" s="1"/>
  <c r="DQ9" i="24"/>
  <c r="DP9" i="24"/>
  <c r="EB8" i="24"/>
  <c r="EA8" i="24"/>
  <c r="DZ8" i="24"/>
  <c r="DY8" i="24"/>
  <c r="DX8" i="24"/>
  <c r="DW8" i="24"/>
  <c r="DU8" i="24"/>
  <c r="DT8" i="24"/>
  <c r="DS8" i="24"/>
  <c r="DR8" i="24"/>
  <c r="DV8" i="24" s="1"/>
  <c r="DQ8" i="24"/>
  <c r="DP8" i="24"/>
  <c r="EB7" i="24"/>
  <c r="EA7" i="24"/>
  <c r="DZ7" i="24"/>
  <c r="DY7" i="24"/>
  <c r="DX7" i="24"/>
  <c r="DW7" i="24"/>
  <c r="DU7" i="24"/>
  <c r="DT7" i="24"/>
  <c r="DS7" i="24"/>
  <c r="DR7" i="24"/>
  <c r="DV7" i="24" s="1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V5" i="24" s="1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X4" i="23" s="1"/>
  <c r="QS4" i="23"/>
  <c r="QR4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5" i="23"/>
  <c r="OM15" i="23"/>
  <c r="OL15" i="23"/>
  <c r="OK15" i="23"/>
  <c r="OJ15" i="23"/>
  <c r="OI15" i="23"/>
  <c r="OG15" i="23"/>
  <c r="OH15" i="23" s="1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H11" i="23" s="1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5" i="23"/>
  <c r="NE15" i="23"/>
  <c r="ND15" i="23"/>
  <c r="NC15" i="23"/>
  <c r="NB15" i="23"/>
  <c r="NA15" i="23"/>
  <c r="MY15" i="23"/>
  <c r="MZ15" i="23" s="1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Z11" i="23" s="1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Z7" i="23" s="1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Z4" i="23" s="1"/>
  <c r="MU4" i="23"/>
  <c r="MT4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R7" i="23" s="1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R4" i="23" s="1"/>
  <c r="LM4" i="23"/>
  <c r="LL4" i="23"/>
  <c r="KP15" i="23"/>
  <c r="KO15" i="23"/>
  <c r="KN15" i="23"/>
  <c r="KM15" i="23"/>
  <c r="KL15" i="23"/>
  <c r="KK15" i="23"/>
  <c r="KI15" i="23"/>
  <c r="KJ15" i="23" s="1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J11" i="23" s="1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5" i="23"/>
  <c r="JG15" i="23"/>
  <c r="JF15" i="23"/>
  <c r="JE15" i="23"/>
  <c r="JD15" i="23"/>
  <c r="JC15" i="23"/>
  <c r="JA15" i="23"/>
  <c r="JB15" i="23" s="1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JB11" i="23" s="1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JB8" i="23" s="1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JB4" i="23" s="1"/>
  <c r="IW4" i="23"/>
  <c r="IV4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T14" i="23" s="1"/>
  <c r="IA14" i="23" s="1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T12" i="23" s="1"/>
  <c r="IA12" i="23" s="1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T8" i="23" s="1"/>
  <c r="IA8" i="23" s="1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L12" i="23" s="1"/>
  <c r="GS12" i="23" s="1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L4" i="23" s="1"/>
  <c r="GS4" i="23" s="1"/>
  <c r="GG4" i="23"/>
  <c r="GF4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F15" i="22" s="1"/>
  <c r="RA15" i="22"/>
  <c r="QZ15" i="22"/>
  <c r="RL14" i="22"/>
  <c r="RK14" i="22"/>
  <c r="RJ14" i="22"/>
  <c r="RI14" i="22"/>
  <c r="RH14" i="22"/>
  <c r="RG14" i="22"/>
  <c r="RE14" i="22"/>
  <c r="RF14" i="22" s="1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A11" i="22"/>
  <c r="QZ11" i="22"/>
  <c r="RL10" i="22"/>
  <c r="RK10" i="22"/>
  <c r="RJ10" i="22"/>
  <c r="RI10" i="22"/>
  <c r="RH10" i="22"/>
  <c r="RG10" i="22"/>
  <c r="RE10" i="22"/>
  <c r="RF10" i="22" s="1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X10" i="22" s="1"/>
  <c r="QE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X6" i="22" s="1"/>
  <c r="QE6" i="22" s="1"/>
  <c r="PS6" i="22"/>
  <c r="PR6" i="22"/>
  <c r="QD5" i="22"/>
  <c r="QC5" i="22"/>
  <c r="QB5" i="22"/>
  <c r="QA5" i="22"/>
  <c r="PZ5" i="22"/>
  <c r="PY5" i="22"/>
  <c r="PW5" i="22"/>
  <c r="PX5" i="22" s="1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X4" i="22" s="1"/>
  <c r="PS4" i="22"/>
  <c r="PR4" i="22"/>
  <c r="OV18" i="22"/>
  <c r="OU18" i="22"/>
  <c r="OT18" i="22"/>
  <c r="OS18" i="22"/>
  <c r="OR18" i="22"/>
  <c r="OQ18" i="22"/>
  <c r="OO18" i="22"/>
  <c r="OP18" i="22" s="1"/>
  <c r="ON18" i="22"/>
  <c r="OM18" i="22"/>
  <c r="OL18" i="22"/>
  <c r="OK18" i="22"/>
  <c r="OJ18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P15" i="22" s="1"/>
  <c r="OK15" i="22"/>
  <c r="OJ15" i="22"/>
  <c r="OV14" i="22"/>
  <c r="OU14" i="22"/>
  <c r="OT14" i="22"/>
  <c r="OS14" i="22"/>
  <c r="OR14" i="22"/>
  <c r="OQ14" i="22"/>
  <c r="OO14" i="22"/>
  <c r="OP14" i="22" s="1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W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P10" i="22" s="1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P8" i="22" s="1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P6" i="22" s="1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K4" i="22"/>
  <c r="OJ4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H15" i="22" s="1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H13" i="22" s="1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H9" i="22" s="1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Z10" i="22" s="1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Z8" i="22" s="1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LU4" i="22"/>
  <c r="LT4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R15" i="22" s="1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R11" i="22" s="1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R7" i="22" s="1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J14" i="22" s="1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J8" i="22" s="1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E4" i="22"/>
  <c r="JD4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F21" i="4" s="1"/>
  <c r="RA21" i="4"/>
  <c r="QZ21" i="4"/>
  <c r="RL20" i="4"/>
  <c r="RK20" i="4"/>
  <c r="RJ20" i="4"/>
  <c r="RI20" i="4"/>
  <c r="RH20" i="4"/>
  <c r="RG20" i="4"/>
  <c r="RE20" i="4"/>
  <c r="RF20" i="4" s="1"/>
  <c r="RD20" i="4"/>
  <c r="RC20" i="4"/>
  <c r="RB20" i="4"/>
  <c r="RA20" i="4"/>
  <c r="QZ20" i="4"/>
  <c r="RL18" i="4"/>
  <c r="RK18" i="4"/>
  <c r="RJ18" i="4"/>
  <c r="RI18" i="4"/>
  <c r="RH18" i="4"/>
  <c r="RG18" i="4"/>
  <c r="RE18" i="4"/>
  <c r="RD18" i="4"/>
  <c r="RC18" i="4"/>
  <c r="RB18" i="4"/>
  <c r="RF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F15" i="4" s="1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F9" i="4" s="1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X24" i="4" s="1"/>
  <c r="PS24" i="4"/>
  <c r="PR24" i="4"/>
  <c r="QD23" i="4"/>
  <c r="QC23" i="4"/>
  <c r="QB23" i="4"/>
  <c r="QA23" i="4"/>
  <c r="PZ23" i="4"/>
  <c r="PY23" i="4"/>
  <c r="PW23" i="4"/>
  <c r="PX23" i="4" s="1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X20" i="4" s="1"/>
  <c r="PS20" i="4"/>
  <c r="PR2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X17" i="4" s="1"/>
  <c r="PS17" i="4"/>
  <c r="PR17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5" i="4"/>
  <c r="QC15" i="4"/>
  <c r="QB15" i="4"/>
  <c r="QA15" i="4"/>
  <c r="PZ15" i="4"/>
  <c r="PY15" i="4"/>
  <c r="PW15" i="4"/>
  <c r="PX15" i="4" s="1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X14" i="4" s="1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X10" i="4" s="1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X7" i="4" s="1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X4" i="4" s="1"/>
  <c r="PS4" i="4"/>
  <c r="PR4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9" i="4"/>
  <c r="OU19" i="4"/>
  <c r="OT19" i="4"/>
  <c r="OS19" i="4"/>
  <c r="OR19" i="4"/>
  <c r="OQ19" i="4"/>
  <c r="OO19" i="4"/>
  <c r="ON19" i="4"/>
  <c r="OM19" i="4"/>
  <c r="OL19" i="4"/>
  <c r="OP19" i="4" s="1"/>
  <c r="OK19" i="4"/>
  <c r="OJ19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P9" i="4" s="1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K5" i="4"/>
  <c r="OJ5" i="4"/>
  <c r="OV4" i="4"/>
  <c r="OU4" i="4"/>
  <c r="OT4" i="4"/>
  <c r="OS4" i="4"/>
  <c r="OR4" i="4"/>
  <c r="OQ4" i="4"/>
  <c r="OO4" i="4"/>
  <c r="OP4" i="4" s="1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H23" i="4" s="1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H10" i="4" s="1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H8" i="4" s="1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H4" i="4" s="1"/>
  <c r="NC4" i="4"/>
  <c r="NB4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Z21" i="4" s="1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Z13" i="4" s="1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R24" i="4" s="1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6" i="4"/>
  <c r="KW16" i="4"/>
  <c r="KV16" i="4"/>
  <c r="KU16" i="4"/>
  <c r="KT16" i="4"/>
  <c r="KS16" i="4"/>
  <c r="KQ16" i="4"/>
  <c r="KP16" i="4"/>
  <c r="KO16" i="4"/>
  <c r="KN16" i="4"/>
  <c r="KR16" i="4" s="1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P14" i="4"/>
  <c r="KO14" i="4"/>
  <c r="KN14" i="4"/>
  <c r="KR14" i="4" s="1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R8" i="4" s="1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R6" i="4" s="1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R4" i="4" s="1"/>
  <c r="KM4" i="4"/>
  <c r="KL4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J21" i="4" s="1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IB22" i="4" s="1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IB20" i="4" s="1"/>
  <c r="HW20" i="4"/>
  <c r="HV2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IB17" i="4" s="1"/>
  <c r="HW17" i="4"/>
  <c r="HV17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6" i="4"/>
  <c r="IG16" i="4"/>
  <c r="IF16" i="4"/>
  <c r="IE16" i="4"/>
  <c r="ID16" i="4"/>
  <c r="IC16" i="4"/>
  <c r="IA16" i="4"/>
  <c r="HZ16" i="4"/>
  <c r="HY16" i="4"/>
  <c r="HX16" i="4"/>
  <c r="IB16" i="4" s="1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IB14" i="4" s="1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IB4" i="4" s="1"/>
  <c r="HW4" i="4"/>
  <c r="HV4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FJ12" i="19" l="1"/>
  <c r="FJ17" i="19"/>
  <c r="FJ29" i="19"/>
  <c r="GL6" i="19"/>
  <c r="GL10" i="19"/>
  <c r="GL14" i="19"/>
  <c r="GL18" i="19"/>
  <c r="HN7" i="19"/>
  <c r="HN11" i="19"/>
  <c r="HN15" i="19"/>
  <c r="HN19" i="19"/>
  <c r="HN23" i="19"/>
  <c r="HN27" i="19"/>
  <c r="IP4" i="19"/>
  <c r="IP13" i="19"/>
  <c r="IP16" i="19"/>
  <c r="IP20" i="19"/>
  <c r="IP24" i="19"/>
  <c r="IP28" i="19"/>
  <c r="JR5" i="19"/>
  <c r="JR9" i="19"/>
  <c r="JR12" i="19"/>
  <c r="JR17" i="19"/>
  <c r="JR21" i="19"/>
  <c r="JR25" i="19"/>
  <c r="JR29" i="19"/>
  <c r="KT6" i="19"/>
  <c r="KT10" i="19"/>
  <c r="KT14" i="19"/>
  <c r="KT18" i="19"/>
  <c r="KT22" i="19"/>
  <c r="KT26" i="19"/>
  <c r="KT30" i="19"/>
  <c r="LV7" i="19"/>
  <c r="LV11" i="19"/>
  <c r="LV15" i="19"/>
  <c r="LV19" i="19"/>
  <c r="LV23" i="19"/>
  <c r="LV27" i="19"/>
  <c r="MX4" i="19"/>
  <c r="MX8" i="19"/>
  <c r="MX13" i="19"/>
  <c r="MX16" i="19"/>
  <c r="MX20" i="19"/>
  <c r="MX24" i="19"/>
  <c r="MX28" i="19"/>
  <c r="NZ5" i="19"/>
  <c r="NZ9" i="19"/>
  <c r="NZ12" i="19"/>
  <c r="NZ17" i="19"/>
  <c r="NZ21" i="19"/>
  <c r="NZ25" i="19"/>
  <c r="NZ29" i="19"/>
  <c r="PB6" i="19"/>
  <c r="PB10" i="19"/>
  <c r="PB14" i="19"/>
  <c r="PB18" i="19"/>
  <c r="PB21" i="19"/>
  <c r="PB25" i="19"/>
  <c r="PB29" i="19"/>
  <c r="KQ10" i="26"/>
  <c r="MU9" i="26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LV6" i="26"/>
  <c r="LV10" i="26"/>
  <c r="MX6" i="26"/>
  <c r="MX10" i="26"/>
  <c r="NZ6" i="26"/>
  <c r="NZ10" i="26"/>
  <c r="PB6" i="26"/>
  <c r="PB10" i="26"/>
  <c r="GL15" i="24"/>
  <c r="JB15" i="24"/>
  <c r="JI15" i="24" s="1"/>
  <c r="KJ7" i="24"/>
  <c r="KJ11" i="24"/>
  <c r="KQ7" i="24"/>
  <c r="KJ15" i="24"/>
  <c r="KQ15" i="24" s="1"/>
  <c r="MZ7" i="24"/>
  <c r="NG7" i="24" s="1"/>
  <c r="EC11" i="24"/>
  <c r="FK9" i="24"/>
  <c r="GL4" i="24"/>
  <c r="GS4" i="24" s="1"/>
  <c r="GL8" i="24"/>
  <c r="GS8" i="24" s="1"/>
  <c r="FD13" i="24"/>
  <c r="FK13" i="24" s="1"/>
  <c r="GL5" i="24"/>
  <c r="GL7" i="24"/>
  <c r="GS7" i="24" s="1"/>
  <c r="GL9" i="24"/>
  <c r="GL11" i="24"/>
  <c r="GS11" i="24" s="1"/>
  <c r="HT9" i="24"/>
  <c r="HT11" i="24"/>
  <c r="IA11" i="24" s="1"/>
  <c r="HT13" i="24"/>
  <c r="IA13" i="24" s="1"/>
  <c r="HT15" i="24"/>
  <c r="IA15" i="24" s="1"/>
  <c r="JB5" i="24"/>
  <c r="JI5" i="24" s="1"/>
  <c r="JB7" i="24"/>
  <c r="JB9" i="24"/>
  <c r="JB11" i="24"/>
  <c r="JI11" i="24" s="1"/>
  <c r="JB13" i="24"/>
  <c r="OH6" i="24"/>
  <c r="OH10" i="24"/>
  <c r="OO10" i="24" s="1"/>
  <c r="OH14" i="24"/>
  <c r="OO14" i="24" s="1"/>
  <c r="PP6" i="24"/>
  <c r="QX14" i="24"/>
  <c r="KQ11" i="23"/>
  <c r="KQ15" i="23"/>
  <c r="LZ5" i="22"/>
  <c r="OW10" i="22"/>
  <c r="KR14" i="22"/>
  <c r="NH10" i="22"/>
  <c r="NO10" i="22" s="1"/>
  <c r="KR10" i="22"/>
  <c r="KR18" i="22"/>
  <c r="KY18" i="22" s="1"/>
  <c r="RF18" i="22"/>
  <c r="RM18" i="22" s="1"/>
  <c r="KY10" i="22"/>
  <c r="JQ4" i="22"/>
  <c r="JQ14" i="22"/>
  <c r="MG10" i="22"/>
  <c r="KY14" i="22"/>
  <c r="JQ10" i="22"/>
  <c r="ED10" i="22"/>
  <c r="EK10" i="22" s="1"/>
  <c r="ED14" i="22"/>
  <c r="EK14" i="22" s="1"/>
  <c r="FL13" i="22"/>
  <c r="FL17" i="22"/>
  <c r="GT6" i="22"/>
  <c r="GT10" i="22"/>
  <c r="IB9" i="22"/>
  <c r="II9" i="22" s="1"/>
  <c r="JQ6" i="22"/>
  <c r="KY7" i="22"/>
  <c r="ED7" i="22"/>
  <c r="ED9" i="22"/>
  <c r="ED11" i="22"/>
  <c r="ED13" i="22"/>
  <c r="ED15" i="22"/>
  <c r="ED17" i="22"/>
  <c r="EK17" i="22" s="1"/>
  <c r="FL12" i="22"/>
  <c r="FS12" i="22" s="1"/>
  <c r="FL14" i="22"/>
  <c r="FS14" i="22" s="1"/>
  <c r="FL16" i="22"/>
  <c r="FL18" i="22"/>
  <c r="GT7" i="22"/>
  <c r="HA7" i="22" s="1"/>
  <c r="GT11" i="22"/>
  <c r="IB8" i="22"/>
  <c r="IB10" i="22"/>
  <c r="IB12" i="22"/>
  <c r="II12" i="22" s="1"/>
  <c r="IB14" i="22"/>
  <c r="II14" i="22" s="1"/>
  <c r="IB16" i="22"/>
  <c r="IB18" i="22"/>
  <c r="JJ5" i="22"/>
  <c r="JJ13" i="22"/>
  <c r="JQ13" i="22" s="1"/>
  <c r="OP7" i="22"/>
  <c r="OW7" i="22" s="1"/>
  <c r="OW14" i="22"/>
  <c r="OW18" i="22"/>
  <c r="RM10" i="22"/>
  <c r="KY8" i="4"/>
  <c r="KY16" i="4"/>
  <c r="NO8" i="4"/>
  <c r="II4" i="4"/>
  <c r="KY4" i="4"/>
  <c r="KY12" i="4"/>
  <c r="KY20" i="4"/>
  <c r="MG21" i="4"/>
  <c r="NO12" i="4"/>
  <c r="FL20" i="4"/>
  <c r="FS20" i="4" s="1"/>
  <c r="NO4" i="4"/>
  <c r="FL21" i="4"/>
  <c r="FS21" i="4" s="1"/>
  <c r="GT4" i="4"/>
  <c r="HA4" i="4" s="1"/>
  <c r="GT6" i="4"/>
  <c r="GT8" i="4"/>
  <c r="HA8" i="4" s="1"/>
  <c r="GT10" i="4"/>
  <c r="HA10" i="4" s="1"/>
  <c r="GT12" i="4"/>
  <c r="HA12" i="4" s="1"/>
  <c r="IB5" i="4"/>
  <c r="IB9" i="4"/>
  <c r="IB11" i="4"/>
  <c r="IB13" i="4"/>
  <c r="JJ6" i="4"/>
  <c r="JJ8" i="4"/>
  <c r="JJ10" i="4"/>
  <c r="JQ10" i="4" s="1"/>
  <c r="JJ12" i="4"/>
  <c r="JJ14" i="4"/>
  <c r="JJ16" i="4"/>
  <c r="JJ20" i="4"/>
  <c r="JJ24" i="4"/>
  <c r="JQ24" i="4" s="1"/>
  <c r="KR13" i="4"/>
  <c r="KY13" i="4" s="1"/>
  <c r="QE7" i="4"/>
  <c r="QE15" i="4"/>
  <c r="RM20" i="4"/>
  <c r="ED10" i="4"/>
  <c r="EK10" i="4" s="1"/>
  <c r="ED12" i="4"/>
  <c r="EK12" i="4" s="1"/>
  <c r="ED14" i="4"/>
  <c r="EK14" i="4" s="1"/>
  <c r="ED16" i="4"/>
  <c r="EK16" i="4" s="1"/>
  <c r="ED17" i="4"/>
  <c r="EK17" i="4" s="1"/>
  <c r="ED20" i="4"/>
  <c r="EK20" i="4" s="1"/>
  <c r="ED22" i="4"/>
  <c r="EK22" i="4" s="1"/>
  <c r="ED24" i="4"/>
  <c r="EK24" i="4" s="1"/>
  <c r="FL19" i="4"/>
  <c r="FS19" i="4" s="1"/>
  <c r="FL24" i="4"/>
  <c r="FS24" i="4" s="1"/>
  <c r="GT7" i="4"/>
  <c r="GT23" i="4"/>
  <c r="HA23" i="4" s="1"/>
  <c r="JJ11" i="4"/>
  <c r="JQ11" i="4" s="1"/>
  <c r="JJ15" i="4"/>
  <c r="JQ15" i="4" s="1"/>
  <c r="QE10" i="4"/>
  <c r="QE12" i="4"/>
  <c r="QE14" i="4"/>
  <c r="QE16" i="4"/>
  <c r="QE20" i="4"/>
  <c r="QE24" i="4"/>
  <c r="RM9" i="4"/>
  <c r="RM19" i="4"/>
  <c r="RM18" i="4"/>
  <c r="LZ14" i="4"/>
  <c r="LZ16" i="4"/>
  <c r="MG16" i="4" s="1"/>
  <c r="LZ20" i="4"/>
  <c r="MG20" i="4" s="1"/>
  <c r="LZ24" i="4"/>
  <c r="MG24" i="4" s="1"/>
  <c r="NH9" i="4"/>
  <c r="NO9" i="4" s="1"/>
  <c r="NH20" i="4"/>
  <c r="NH24" i="4"/>
  <c r="NO24" i="4" s="1"/>
  <c r="NH13" i="4"/>
  <c r="NH19" i="4"/>
  <c r="ED5" i="4"/>
  <c r="ED9" i="4"/>
  <c r="FL4" i="4"/>
  <c r="FS4" i="4" s="1"/>
  <c r="FL6" i="4"/>
  <c r="FS6" i="4" s="1"/>
  <c r="FL8" i="4"/>
  <c r="FS8" i="4" s="1"/>
  <c r="FL10" i="4"/>
  <c r="FS10" i="4" s="1"/>
  <c r="FL12" i="4"/>
  <c r="FS12" i="4" s="1"/>
  <c r="FL14" i="4"/>
  <c r="FL16" i="4"/>
  <c r="FL17" i="4"/>
  <c r="GT16" i="4"/>
  <c r="GT20" i="4"/>
  <c r="HA20" i="4" s="1"/>
  <c r="GT24" i="4"/>
  <c r="LZ12" i="4"/>
  <c r="MG12" i="4" s="1"/>
  <c r="OP12" i="4"/>
  <c r="OP17" i="4"/>
  <c r="OW17" i="4" s="1"/>
  <c r="OP20" i="4"/>
  <c r="OW20" i="4" s="1"/>
  <c r="OP22" i="4"/>
  <c r="OW22" i="4" s="1"/>
  <c r="EH7" i="21"/>
  <c r="EH11" i="21"/>
  <c r="EH15" i="21"/>
  <c r="FJ4" i="21"/>
  <c r="FJ8" i="21"/>
  <c r="FJ12" i="21"/>
  <c r="FJ16" i="21"/>
  <c r="IP7" i="21"/>
  <c r="IP11" i="21"/>
  <c r="IP15" i="21"/>
  <c r="JR4" i="21"/>
  <c r="JR8" i="21"/>
  <c r="JR12" i="21"/>
  <c r="JR16" i="21"/>
  <c r="MX7" i="21"/>
  <c r="MX11" i="21"/>
  <c r="MX15" i="21"/>
  <c r="NZ4" i="21"/>
  <c r="NZ8" i="21"/>
  <c r="NZ12" i="21"/>
  <c r="NZ16" i="21"/>
  <c r="FJ7" i="21"/>
  <c r="FJ11" i="21"/>
  <c r="FJ15" i="21"/>
  <c r="GL4" i="21"/>
  <c r="GL8" i="21"/>
  <c r="GL12" i="21"/>
  <c r="GI16" i="21"/>
  <c r="JR7" i="21"/>
  <c r="JR11" i="21"/>
  <c r="JR15" i="21"/>
  <c r="KT4" i="21"/>
  <c r="KT8" i="21"/>
  <c r="KT12" i="21"/>
  <c r="KT16" i="21"/>
  <c r="NZ7" i="21"/>
  <c r="NZ11" i="21"/>
  <c r="NZ15" i="21"/>
  <c r="PB4" i="21"/>
  <c r="PB8" i="21"/>
  <c r="PB12" i="21"/>
  <c r="PB16" i="21"/>
  <c r="HN4" i="27"/>
  <c r="HN8" i="27"/>
  <c r="HN12" i="27"/>
  <c r="LV4" i="27"/>
  <c r="LV8" i="27"/>
  <c r="LV12" i="27"/>
  <c r="MX5" i="27"/>
  <c r="MX7" i="27"/>
  <c r="MX11" i="27"/>
  <c r="EH6" i="27"/>
  <c r="EH10" i="27"/>
  <c r="IP6" i="27"/>
  <c r="IP10" i="27"/>
  <c r="MX6" i="27"/>
  <c r="MX10" i="27"/>
  <c r="NZ5" i="27"/>
  <c r="NZ9" i="27"/>
  <c r="FJ12" i="27"/>
  <c r="JR4" i="27"/>
  <c r="JR8" i="27"/>
  <c r="JR12" i="27"/>
  <c r="NZ4" i="27"/>
  <c r="NZ8" i="27"/>
  <c r="NZ12" i="27"/>
  <c r="PB7" i="27"/>
  <c r="PB11" i="27"/>
  <c r="DV5" i="23"/>
  <c r="EC5" i="23" s="1"/>
  <c r="DV7" i="23"/>
  <c r="EC7" i="23" s="1"/>
  <c r="DV13" i="23"/>
  <c r="EC13" i="23" s="1"/>
  <c r="FD5" i="23"/>
  <c r="FK5" i="23" s="1"/>
  <c r="FD13" i="23"/>
  <c r="FK13" i="23" s="1"/>
  <c r="HT4" i="23"/>
  <c r="IA4" i="23" s="1"/>
  <c r="OH4" i="23"/>
  <c r="OO4" i="23" s="1"/>
  <c r="OH6" i="23"/>
  <c r="OO6" i="23" s="1"/>
  <c r="PP4" i="23"/>
  <c r="PW4" i="23" s="1"/>
  <c r="PP6" i="23"/>
  <c r="PW6" i="23" s="1"/>
  <c r="PP8" i="23"/>
  <c r="PW8" i="23" s="1"/>
  <c r="PP10" i="23"/>
  <c r="PW10" i="23" s="1"/>
  <c r="PP12" i="23"/>
  <c r="PW12" i="23" s="1"/>
  <c r="QX11" i="23"/>
  <c r="QX15" i="23"/>
  <c r="RE15" i="23" s="1"/>
  <c r="GL5" i="23"/>
  <c r="GS5" i="23" s="1"/>
  <c r="GL13" i="23"/>
  <c r="GS13" i="23" s="1"/>
  <c r="HT5" i="23"/>
  <c r="IA5" i="23" s="1"/>
  <c r="HT7" i="23"/>
  <c r="IA7" i="23" s="1"/>
  <c r="HT9" i="23"/>
  <c r="HT11" i="23"/>
  <c r="IA11" i="23" s="1"/>
  <c r="OO15" i="23"/>
  <c r="OO11" i="23"/>
  <c r="DV4" i="23"/>
  <c r="EC4" i="23" s="1"/>
  <c r="DV12" i="23"/>
  <c r="EC12" i="23" s="1"/>
  <c r="FD4" i="23"/>
  <c r="FK4" i="23" s="1"/>
  <c r="FD12" i="23"/>
  <c r="FK12" i="23" s="1"/>
  <c r="PP5" i="23"/>
  <c r="MX6" i="21"/>
  <c r="MX10" i="21"/>
  <c r="MX14" i="21"/>
  <c r="MX18" i="21"/>
  <c r="GI17" i="21"/>
  <c r="MX5" i="21"/>
  <c r="MX9" i="21"/>
  <c r="MX13" i="21"/>
  <c r="MX17" i="21"/>
  <c r="GL17" i="21"/>
  <c r="GL16" i="21"/>
  <c r="GL15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EH6" i="21"/>
  <c r="EH10" i="21"/>
  <c r="EH14" i="21"/>
  <c r="EH18" i="21"/>
  <c r="FJ6" i="21"/>
  <c r="FJ10" i="21"/>
  <c r="FJ14" i="21"/>
  <c r="FJ18" i="21"/>
  <c r="GL6" i="21"/>
  <c r="GL10" i="21"/>
  <c r="GL14" i="21"/>
  <c r="HN6" i="21"/>
  <c r="HN10" i="21"/>
  <c r="HN14" i="21"/>
  <c r="HN18" i="21"/>
  <c r="IP6" i="21"/>
  <c r="IP10" i="21"/>
  <c r="IP14" i="21"/>
  <c r="IP18" i="21"/>
  <c r="JR6" i="21"/>
  <c r="JR10" i="21"/>
  <c r="JR14" i="21"/>
  <c r="JR18" i="21"/>
  <c r="KT6" i="21"/>
  <c r="KT10" i="21"/>
  <c r="KT14" i="21"/>
  <c r="KT18" i="21"/>
  <c r="LV6" i="21"/>
  <c r="LV10" i="21"/>
  <c r="LV14" i="21"/>
  <c r="LV18" i="21"/>
  <c r="NZ6" i="21"/>
  <c r="NZ10" i="21"/>
  <c r="NZ14" i="21"/>
  <c r="NZ18" i="21"/>
  <c r="PB6" i="21"/>
  <c r="PB10" i="21"/>
  <c r="PB14" i="21"/>
  <c r="PB18" i="21"/>
  <c r="GL18" i="21"/>
  <c r="EH5" i="21"/>
  <c r="EH9" i="21"/>
  <c r="EH13" i="21"/>
  <c r="EH17" i="21"/>
  <c r="FJ5" i="21"/>
  <c r="FJ9" i="21"/>
  <c r="FJ13" i="21"/>
  <c r="FJ17" i="21"/>
  <c r="GL5" i="21"/>
  <c r="GL9" i="21"/>
  <c r="GL13" i="21"/>
  <c r="HN5" i="21"/>
  <c r="HN9" i="21"/>
  <c r="HN13" i="21"/>
  <c r="HN17" i="21"/>
  <c r="IP5" i="21"/>
  <c r="IP9" i="21"/>
  <c r="IP13" i="21"/>
  <c r="IP17" i="21"/>
  <c r="JR5" i="21"/>
  <c r="JR9" i="21"/>
  <c r="JR13" i="21"/>
  <c r="JR17" i="21"/>
  <c r="KT5" i="21"/>
  <c r="KT9" i="21"/>
  <c r="KT13" i="21"/>
  <c r="KT17" i="21"/>
  <c r="LV5" i="21"/>
  <c r="LV9" i="21"/>
  <c r="LV13" i="21"/>
  <c r="LV17" i="21"/>
  <c r="NZ5" i="21"/>
  <c r="NZ9" i="21"/>
  <c r="NZ13" i="21"/>
  <c r="NZ17" i="21"/>
  <c r="PB5" i="21"/>
  <c r="PB9" i="21"/>
  <c r="PB13" i="21"/>
  <c r="PB17" i="21"/>
  <c r="PB23" i="19"/>
  <c r="GL25" i="19"/>
  <c r="GL29" i="19"/>
  <c r="HN6" i="19"/>
  <c r="HN10" i="19"/>
  <c r="HN14" i="19"/>
  <c r="HN18" i="19"/>
  <c r="HN22" i="19"/>
  <c r="HN26" i="19"/>
  <c r="HN30" i="19"/>
  <c r="IP7" i="19"/>
  <c r="IP11" i="19"/>
  <c r="IP15" i="19"/>
  <c r="IP19" i="19"/>
  <c r="IP23" i="19"/>
  <c r="IP27" i="19"/>
  <c r="KT17" i="19"/>
  <c r="KT21" i="19"/>
  <c r="KT25" i="19"/>
  <c r="PB12" i="19"/>
  <c r="EH6" i="19"/>
  <c r="EH10" i="19"/>
  <c r="EH14" i="19"/>
  <c r="EH18" i="19"/>
  <c r="EH22" i="19"/>
  <c r="EH26" i="19"/>
  <c r="EH30" i="19"/>
  <c r="FJ7" i="19"/>
  <c r="FJ11" i="19"/>
  <c r="FJ15" i="19"/>
  <c r="FJ19" i="19"/>
  <c r="FJ23" i="19"/>
  <c r="FJ27" i="19"/>
  <c r="GL4" i="19"/>
  <c r="GL8" i="19"/>
  <c r="GL13" i="19"/>
  <c r="GL16" i="19"/>
  <c r="GL20" i="19"/>
  <c r="GL24" i="19"/>
  <c r="GL28" i="19"/>
  <c r="HN5" i="19"/>
  <c r="HN9" i="19"/>
  <c r="HN12" i="19"/>
  <c r="HN17" i="19"/>
  <c r="HN21" i="19"/>
  <c r="HN25" i="19"/>
  <c r="HN29" i="19"/>
  <c r="IP6" i="19"/>
  <c r="IP10" i="19"/>
  <c r="IP14" i="19"/>
  <c r="HN4" i="19"/>
  <c r="HN8" i="19"/>
  <c r="HN13" i="19"/>
  <c r="HN16" i="19"/>
  <c r="HN24" i="19"/>
  <c r="HN28" i="19"/>
  <c r="KT23" i="19"/>
  <c r="PB27" i="19"/>
  <c r="EH4" i="19"/>
  <c r="EH8" i="19"/>
  <c r="EH13" i="19"/>
  <c r="EH16" i="19"/>
  <c r="EH20" i="19"/>
  <c r="EH24" i="19"/>
  <c r="EH28" i="19"/>
  <c r="FJ5" i="19"/>
  <c r="FJ9" i="19"/>
  <c r="FJ21" i="19"/>
  <c r="FJ25" i="19"/>
  <c r="GL22" i="19"/>
  <c r="GL26" i="19"/>
  <c r="GL30" i="19"/>
  <c r="IP8" i="19"/>
  <c r="PB22" i="19"/>
  <c r="PB26" i="19"/>
  <c r="PB30" i="19"/>
  <c r="EH7" i="19"/>
  <c r="EH11" i="19"/>
  <c r="EH15" i="19"/>
  <c r="EH19" i="19"/>
  <c r="EH23" i="19"/>
  <c r="EH27" i="19"/>
  <c r="FJ4" i="19"/>
  <c r="FJ8" i="19"/>
  <c r="FJ13" i="19"/>
  <c r="FJ16" i="19"/>
  <c r="FJ20" i="19"/>
  <c r="FJ24" i="19"/>
  <c r="FJ28" i="19"/>
  <c r="GL5" i="19"/>
  <c r="GL9" i="19"/>
  <c r="GL12" i="19"/>
  <c r="GL17" i="19"/>
  <c r="GL21" i="19"/>
  <c r="JR4" i="19"/>
  <c r="JR8" i="19"/>
  <c r="JR13" i="19"/>
  <c r="JR16" i="19"/>
  <c r="JR20" i="19"/>
  <c r="JR24" i="19"/>
  <c r="JR28" i="19"/>
  <c r="KT5" i="19"/>
  <c r="KT9" i="19"/>
  <c r="KT12" i="19"/>
  <c r="KT29" i="19"/>
  <c r="LV6" i="19"/>
  <c r="LV10" i="19"/>
  <c r="LV14" i="19"/>
  <c r="LV18" i="19"/>
  <c r="LV22" i="19"/>
  <c r="LV26" i="19"/>
  <c r="LV30" i="19"/>
  <c r="MX7" i="19"/>
  <c r="MX11" i="19"/>
  <c r="MX15" i="19"/>
  <c r="MX19" i="19"/>
  <c r="MX23" i="19"/>
  <c r="MX27" i="19"/>
  <c r="NZ4" i="19"/>
  <c r="NZ8" i="19"/>
  <c r="NZ13" i="19"/>
  <c r="NZ16" i="19"/>
  <c r="NZ20" i="19"/>
  <c r="NZ24" i="19"/>
  <c r="NZ28" i="19"/>
  <c r="PB5" i="19"/>
  <c r="PB9" i="19"/>
  <c r="PB17" i="19"/>
  <c r="IP18" i="19"/>
  <c r="IP22" i="19"/>
  <c r="IP26" i="19"/>
  <c r="IP30" i="19"/>
  <c r="JR7" i="19"/>
  <c r="JR11" i="19"/>
  <c r="JR15" i="19"/>
  <c r="JR19" i="19"/>
  <c r="JR23" i="19"/>
  <c r="JR27" i="19"/>
  <c r="KT4" i="19"/>
  <c r="KT8" i="19"/>
  <c r="KT13" i="19"/>
  <c r="KT16" i="19"/>
  <c r="KT20" i="19"/>
  <c r="KT24" i="19"/>
  <c r="KT28" i="19"/>
  <c r="LV5" i="19"/>
  <c r="LV9" i="19"/>
  <c r="LV12" i="19"/>
  <c r="LV17" i="19"/>
  <c r="LV21" i="19"/>
  <c r="LV25" i="19"/>
  <c r="LV29" i="19"/>
  <c r="MX6" i="19"/>
  <c r="MX10" i="19"/>
  <c r="MX14" i="19"/>
  <c r="MX18" i="19"/>
  <c r="MX22" i="19"/>
  <c r="MX26" i="19"/>
  <c r="MX30" i="19"/>
  <c r="NZ7" i="19"/>
  <c r="NZ11" i="19"/>
  <c r="NZ15" i="19"/>
  <c r="NZ19" i="19"/>
  <c r="NZ23" i="19"/>
  <c r="NZ27" i="19"/>
  <c r="PB4" i="19"/>
  <c r="PB8" i="19"/>
  <c r="PB13" i="19"/>
  <c r="PB16" i="19"/>
  <c r="PB20" i="19"/>
  <c r="PB24" i="19"/>
  <c r="PB28" i="19"/>
  <c r="EH5" i="27"/>
  <c r="EH9" i="27"/>
  <c r="FJ7" i="27"/>
  <c r="FJ11" i="27"/>
  <c r="GL5" i="27"/>
  <c r="GL9" i="27"/>
  <c r="HN7" i="27"/>
  <c r="HN11" i="27"/>
  <c r="IP5" i="27"/>
  <c r="IP9" i="27"/>
  <c r="JR7" i="27"/>
  <c r="JR11" i="27"/>
  <c r="KT5" i="27"/>
  <c r="KT9" i="27"/>
  <c r="LV7" i="27"/>
  <c r="LV11" i="27"/>
  <c r="MU4" i="27"/>
  <c r="MX4" i="27"/>
  <c r="MU5" i="27"/>
  <c r="EH4" i="27"/>
  <c r="EH8" i="27"/>
  <c r="EH12" i="27"/>
  <c r="FJ6" i="27"/>
  <c r="FJ10" i="27"/>
  <c r="GL4" i="27"/>
  <c r="GL8" i="27"/>
  <c r="GL12" i="27"/>
  <c r="HN6" i="27"/>
  <c r="HN10" i="27"/>
  <c r="IP4" i="27"/>
  <c r="IP8" i="27"/>
  <c r="IP12" i="27"/>
  <c r="JR6" i="27"/>
  <c r="JR10" i="27"/>
  <c r="KT4" i="27"/>
  <c r="KT8" i="27"/>
  <c r="KT12" i="27"/>
  <c r="LV6" i="27"/>
  <c r="LV10" i="27"/>
  <c r="MX9" i="27"/>
  <c r="NZ7" i="27"/>
  <c r="NZ11" i="27"/>
  <c r="PB5" i="27"/>
  <c r="PB9" i="27"/>
  <c r="EH7" i="27"/>
  <c r="EH11" i="27"/>
  <c r="FJ5" i="27"/>
  <c r="FJ9" i="27"/>
  <c r="GL7" i="27"/>
  <c r="GL11" i="27"/>
  <c r="HN5" i="27"/>
  <c r="HN9" i="27"/>
  <c r="IP7" i="27"/>
  <c r="IP11" i="27"/>
  <c r="JR5" i="27"/>
  <c r="JR9" i="27"/>
  <c r="KT7" i="27"/>
  <c r="KT11" i="27"/>
  <c r="LV5" i="27"/>
  <c r="LV9" i="27"/>
  <c r="MX8" i="27"/>
  <c r="MX12" i="27"/>
  <c r="NZ6" i="27"/>
  <c r="NZ10" i="27"/>
  <c r="PB4" i="27"/>
  <c r="PB8" i="27"/>
  <c r="PB12" i="27"/>
  <c r="EH5" i="26"/>
  <c r="EH9" i="26"/>
  <c r="FJ5" i="26"/>
  <c r="FJ9" i="26"/>
  <c r="GL5" i="26"/>
  <c r="GL9" i="26"/>
  <c r="HN5" i="26"/>
  <c r="HN9" i="26"/>
  <c r="IP5" i="26"/>
  <c r="IP9" i="26"/>
  <c r="JR5" i="26"/>
  <c r="JR9" i="26"/>
  <c r="KT5" i="26"/>
  <c r="KT11" i="26"/>
  <c r="LV5" i="26"/>
  <c r="LV9" i="26"/>
  <c r="MX5" i="26"/>
  <c r="MX9" i="26"/>
  <c r="NZ5" i="26"/>
  <c r="NZ9" i="26"/>
  <c r="PB5" i="26"/>
  <c r="PB9" i="26"/>
  <c r="EH4" i="26"/>
  <c r="EH8" i="26"/>
  <c r="FJ4" i="26"/>
  <c r="FJ8" i="26"/>
  <c r="GL4" i="26"/>
  <c r="GL8" i="26"/>
  <c r="HN4" i="26"/>
  <c r="HN8" i="26"/>
  <c r="IP4" i="26"/>
  <c r="IP8" i="26"/>
  <c r="JR4" i="26"/>
  <c r="JR8" i="26"/>
  <c r="KT4" i="26"/>
  <c r="KT8" i="26"/>
  <c r="KT10" i="26"/>
  <c r="LV4" i="26"/>
  <c r="LV8" i="26"/>
  <c r="MX4" i="26"/>
  <c r="MX8" i="26"/>
  <c r="NZ4" i="26"/>
  <c r="NZ8" i="26"/>
  <c r="PB4" i="26"/>
  <c r="PB8" i="26"/>
  <c r="EH7" i="26"/>
  <c r="EH11" i="26"/>
  <c r="FJ7" i="26"/>
  <c r="FJ11" i="26"/>
  <c r="GL7" i="26"/>
  <c r="GL11" i="26"/>
  <c r="HN7" i="26"/>
  <c r="HN11" i="26"/>
  <c r="IP7" i="26"/>
  <c r="IP11" i="26"/>
  <c r="JR7" i="26"/>
  <c r="JR11" i="26"/>
  <c r="KT7" i="26"/>
  <c r="KT9" i="26"/>
  <c r="LV7" i="26"/>
  <c r="LV11" i="26"/>
  <c r="MX7" i="26"/>
  <c r="MX11" i="26"/>
  <c r="NZ7" i="26"/>
  <c r="NZ11" i="26"/>
  <c r="PB7" i="26"/>
  <c r="PB11" i="26"/>
  <c r="HT14" i="24"/>
  <c r="IA14" i="24" s="1"/>
  <c r="JB6" i="24"/>
  <c r="JI6" i="24" s="1"/>
  <c r="JB10" i="24"/>
  <c r="JI10" i="24" s="1"/>
  <c r="MZ8" i="24"/>
  <c r="MZ10" i="24"/>
  <c r="NG10" i="24" s="1"/>
  <c r="MZ15" i="24"/>
  <c r="NG15" i="24" s="1"/>
  <c r="EC8" i="24"/>
  <c r="DV15" i="24"/>
  <c r="EC15" i="24" s="1"/>
  <c r="FD7" i="24"/>
  <c r="IA9" i="24"/>
  <c r="JI7" i="24"/>
  <c r="MZ12" i="24"/>
  <c r="NG12" i="24" s="1"/>
  <c r="PW8" i="24"/>
  <c r="PP15" i="24"/>
  <c r="PW15" i="24" s="1"/>
  <c r="DV12" i="24"/>
  <c r="FD4" i="24"/>
  <c r="FK4" i="24" s="1"/>
  <c r="FD6" i="24"/>
  <c r="FK6" i="24" s="1"/>
  <c r="FD8" i="24"/>
  <c r="FK8" i="24" s="1"/>
  <c r="FD10" i="24"/>
  <c r="FK10" i="24" s="1"/>
  <c r="LR6" i="24"/>
  <c r="LY6" i="24" s="1"/>
  <c r="LR10" i="24"/>
  <c r="LY10" i="24" s="1"/>
  <c r="LR14" i="24"/>
  <c r="LY14" i="24" s="1"/>
  <c r="MZ6" i="24"/>
  <c r="NG6" i="24" s="1"/>
  <c r="PP12" i="24"/>
  <c r="PW12" i="24" s="1"/>
  <c r="QX4" i="24"/>
  <c r="RE4" i="24" s="1"/>
  <c r="QX6" i="24"/>
  <c r="RE6" i="24" s="1"/>
  <c r="GL10" i="24"/>
  <c r="GS10" i="24" s="1"/>
  <c r="LR5" i="24"/>
  <c r="LY5" i="24" s="1"/>
  <c r="LR7" i="24"/>
  <c r="LY7" i="24" s="1"/>
  <c r="LR9" i="24"/>
  <c r="LY9" i="24" s="1"/>
  <c r="LR11" i="24"/>
  <c r="LY11" i="24" s="1"/>
  <c r="LR13" i="24"/>
  <c r="LY13" i="24" s="1"/>
  <c r="LR15" i="24"/>
  <c r="LY15" i="24" s="1"/>
  <c r="MZ5" i="24"/>
  <c r="NG5" i="24" s="1"/>
  <c r="QX8" i="24"/>
  <c r="RE8" i="24" s="1"/>
  <c r="QX10" i="24"/>
  <c r="RE10" i="24" s="1"/>
  <c r="DV6" i="24"/>
  <c r="EC6" i="24" s="1"/>
  <c r="GL12" i="24"/>
  <c r="GL14" i="24"/>
  <c r="GS14" i="24" s="1"/>
  <c r="HT7" i="24"/>
  <c r="IA7" i="24" s="1"/>
  <c r="EC7" i="24"/>
  <c r="JI12" i="24"/>
  <c r="OO5" i="24"/>
  <c r="OO7" i="24"/>
  <c r="OO11" i="24"/>
  <c r="OO15" i="24"/>
  <c r="PW7" i="24"/>
  <c r="EC12" i="24"/>
  <c r="GS12" i="24"/>
  <c r="KQ4" i="24"/>
  <c r="KQ6" i="24"/>
  <c r="NG8" i="24"/>
  <c r="OO9" i="24"/>
  <c r="FK7" i="24"/>
  <c r="GS5" i="24"/>
  <c r="GS15" i="24"/>
  <c r="KQ8" i="24"/>
  <c r="KQ11" i="24"/>
  <c r="NG11" i="24"/>
  <c r="OO13" i="24"/>
  <c r="PW6" i="24"/>
  <c r="RE7" i="24"/>
  <c r="EC5" i="24"/>
  <c r="DV10" i="24"/>
  <c r="EC10" i="24" s="1"/>
  <c r="FD11" i="24"/>
  <c r="FK11" i="24" s="1"/>
  <c r="IA4" i="24"/>
  <c r="JI9" i="24"/>
  <c r="JB14" i="24"/>
  <c r="JI14" i="24" s="1"/>
  <c r="KQ12" i="24"/>
  <c r="PW5" i="24"/>
  <c r="PP10" i="24"/>
  <c r="PW10" i="24" s="1"/>
  <c r="EC9" i="24"/>
  <c r="DV14" i="24"/>
  <c r="EC14" i="24" s="1"/>
  <c r="FD15" i="24"/>
  <c r="FK15" i="24" s="1"/>
  <c r="GS9" i="24"/>
  <c r="IA8" i="24"/>
  <c r="JI13" i="24"/>
  <c r="LR4" i="24"/>
  <c r="LY4" i="24" s="1"/>
  <c r="OH4" i="24"/>
  <c r="OO4" i="24" s="1"/>
  <c r="PW9" i="24"/>
  <c r="PP14" i="24"/>
  <c r="PW14" i="24" s="1"/>
  <c r="QX12" i="24"/>
  <c r="RE12" i="24" s="1"/>
  <c r="DV13" i="24"/>
  <c r="EC13" i="24" s="1"/>
  <c r="FD14" i="24"/>
  <c r="FK14" i="24" s="1"/>
  <c r="GL13" i="24"/>
  <c r="GS13" i="24" s="1"/>
  <c r="HT12" i="24"/>
  <c r="IA12" i="24" s="1"/>
  <c r="KJ5" i="24"/>
  <c r="KQ5" i="24" s="1"/>
  <c r="KJ10" i="24"/>
  <c r="KQ10" i="24" s="1"/>
  <c r="LR8" i="24"/>
  <c r="LY8" i="24" s="1"/>
  <c r="MZ9" i="24"/>
  <c r="NG9" i="24" s="1"/>
  <c r="OH8" i="24"/>
  <c r="OO8" i="24" s="1"/>
  <c r="PP13" i="24"/>
  <c r="PW13" i="24" s="1"/>
  <c r="GL6" i="24"/>
  <c r="GS6" i="24" s="1"/>
  <c r="HT6" i="24"/>
  <c r="IA6" i="24" s="1"/>
  <c r="JB4" i="24"/>
  <c r="JI4" i="24" s="1"/>
  <c r="KJ9" i="24"/>
  <c r="KQ9" i="24" s="1"/>
  <c r="KJ14" i="24"/>
  <c r="KQ14" i="24" s="1"/>
  <c r="LR12" i="24"/>
  <c r="LY12" i="24" s="1"/>
  <c r="MZ14" i="24"/>
  <c r="NG14" i="24" s="1"/>
  <c r="OH12" i="24"/>
  <c r="OO12" i="24" s="1"/>
  <c r="QX5" i="24"/>
  <c r="RE5" i="24" s="1"/>
  <c r="DV4" i="24"/>
  <c r="EC4" i="24" s="1"/>
  <c r="FD5" i="24"/>
  <c r="FK5" i="24" s="1"/>
  <c r="HT5" i="24"/>
  <c r="IA5" i="24" s="1"/>
  <c r="HT10" i="24"/>
  <c r="IA10" i="24" s="1"/>
  <c r="JB8" i="24"/>
  <c r="JI8" i="24" s="1"/>
  <c r="KJ13" i="24"/>
  <c r="KQ13" i="24" s="1"/>
  <c r="MZ4" i="24"/>
  <c r="NG4" i="24" s="1"/>
  <c r="MZ13" i="24"/>
  <c r="NG13" i="24" s="1"/>
  <c r="OO6" i="24"/>
  <c r="PP4" i="24"/>
  <c r="PW4" i="24" s="1"/>
  <c r="QX9" i="24"/>
  <c r="RE9" i="24" s="1"/>
  <c r="RE14" i="24"/>
  <c r="FD11" i="23"/>
  <c r="FK11" i="23" s="1"/>
  <c r="JB7" i="23"/>
  <c r="JI7" i="23" s="1"/>
  <c r="OH8" i="23"/>
  <c r="OO8" i="23" s="1"/>
  <c r="OH10" i="23"/>
  <c r="OO10" i="23" s="1"/>
  <c r="OH12" i="23"/>
  <c r="OO12" i="23" s="1"/>
  <c r="IA9" i="23"/>
  <c r="JI4" i="23"/>
  <c r="JI15" i="23"/>
  <c r="NG11" i="23"/>
  <c r="NG15" i="23"/>
  <c r="RE11" i="23"/>
  <c r="DV11" i="23"/>
  <c r="EC11" i="23" s="1"/>
  <c r="GL8" i="23"/>
  <c r="GS8" i="23" s="1"/>
  <c r="JB10" i="23"/>
  <c r="JI10" i="23" s="1"/>
  <c r="JB12" i="23"/>
  <c r="JI12" i="23" s="1"/>
  <c r="JB14" i="23"/>
  <c r="JI14" i="23" s="1"/>
  <c r="KJ7" i="23"/>
  <c r="KQ7" i="23" s="1"/>
  <c r="MZ6" i="23"/>
  <c r="NG6" i="23" s="1"/>
  <c r="MZ8" i="23"/>
  <c r="NG8" i="23" s="1"/>
  <c r="MZ10" i="23"/>
  <c r="NG10" i="23" s="1"/>
  <c r="MZ12" i="23"/>
  <c r="NG12" i="23" s="1"/>
  <c r="QX6" i="23"/>
  <c r="RE6" i="23" s="1"/>
  <c r="QX8" i="23"/>
  <c r="RE8" i="23" s="1"/>
  <c r="QX10" i="23"/>
  <c r="RE10" i="23" s="1"/>
  <c r="QX12" i="23"/>
  <c r="RE12" i="23" s="1"/>
  <c r="LR11" i="23"/>
  <c r="LY11" i="23" s="1"/>
  <c r="LR15" i="23"/>
  <c r="LY15" i="23" s="1"/>
  <c r="FD8" i="23"/>
  <c r="FK8" i="23" s="1"/>
  <c r="HT15" i="23"/>
  <c r="IA15" i="23" s="1"/>
  <c r="LR6" i="23"/>
  <c r="LY6" i="23" s="1"/>
  <c r="LR8" i="23"/>
  <c r="LY8" i="23" s="1"/>
  <c r="LR10" i="23"/>
  <c r="LY10" i="23" s="1"/>
  <c r="LR12" i="23"/>
  <c r="LY12" i="23" s="1"/>
  <c r="OH5" i="23"/>
  <c r="OO5" i="23" s="1"/>
  <c r="PP11" i="23"/>
  <c r="PW11" i="23" s="1"/>
  <c r="PP15" i="23"/>
  <c r="PW15" i="23" s="1"/>
  <c r="DV8" i="23"/>
  <c r="EC8" i="23" s="1"/>
  <c r="GL11" i="23"/>
  <c r="GS11" i="23" s="1"/>
  <c r="KJ4" i="23"/>
  <c r="KQ4" i="23" s="1"/>
  <c r="KJ8" i="23"/>
  <c r="KQ8" i="23" s="1"/>
  <c r="KJ10" i="23"/>
  <c r="KQ10" i="23" s="1"/>
  <c r="KJ12" i="23"/>
  <c r="KQ12" i="23" s="1"/>
  <c r="QX5" i="23"/>
  <c r="RE5" i="23" s="1"/>
  <c r="DV9" i="23"/>
  <c r="EC9" i="23" s="1"/>
  <c r="FD9" i="23"/>
  <c r="FK9" i="23" s="1"/>
  <c r="GL9" i="23"/>
  <c r="GS9" i="23" s="1"/>
  <c r="KJ14" i="23"/>
  <c r="KQ14" i="23" s="1"/>
  <c r="LR14" i="23"/>
  <c r="LY14" i="23" s="1"/>
  <c r="MZ14" i="23"/>
  <c r="NG14" i="23" s="1"/>
  <c r="OH14" i="23"/>
  <c r="OO14" i="23" s="1"/>
  <c r="PP14" i="23"/>
  <c r="PW14" i="23" s="1"/>
  <c r="QX14" i="23"/>
  <c r="RE14" i="23" s="1"/>
  <c r="JB5" i="23"/>
  <c r="JI5" i="23" s="1"/>
  <c r="JI8" i="23"/>
  <c r="KJ5" i="23"/>
  <c r="KQ5" i="23" s="1"/>
  <c r="LY4" i="23"/>
  <c r="NG4" i="23"/>
  <c r="RE4" i="23"/>
  <c r="DV6" i="23"/>
  <c r="EC6" i="23" s="1"/>
  <c r="FD7" i="23"/>
  <c r="FK7" i="23" s="1"/>
  <c r="GL7" i="23"/>
  <c r="GS7" i="23" s="1"/>
  <c r="JB9" i="23"/>
  <c r="JI9" i="23" s="1"/>
  <c r="LR5" i="23"/>
  <c r="LY5" i="23" s="1"/>
  <c r="MZ5" i="23"/>
  <c r="NG5" i="23" s="1"/>
  <c r="PW5" i="23"/>
  <c r="FD6" i="23"/>
  <c r="FK6" i="23" s="1"/>
  <c r="GL6" i="23"/>
  <c r="GS6" i="23" s="1"/>
  <c r="HT6" i="23"/>
  <c r="IA6" i="23" s="1"/>
  <c r="HT13" i="23"/>
  <c r="IA13" i="23" s="1"/>
  <c r="JB13" i="23"/>
  <c r="JI13" i="23" s="1"/>
  <c r="KJ9" i="23"/>
  <c r="KQ9" i="23" s="1"/>
  <c r="LR9" i="23"/>
  <c r="LY9" i="23" s="1"/>
  <c r="MZ9" i="23"/>
  <c r="NG9" i="23" s="1"/>
  <c r="OH9" i="23"/>
  <c r="OO9" i="23" s="1"/>
  <c r="PP9" i="23"/>
  <c r="PW9" i="23" s="1"/>
  <c r="QX9" i="23"/>
  <c r="RE9" i="23" s="1"/>
  <c r="DV10" i="23"/>
  <c r="EC10" i="23" s="1"/>
  <c r="DV15" i="23"/>
  <c r="EC15" i="23" s="1"/>
  <c r="FD10" i="23"/>
  <c r="FK10" i="23" s="1"/>
  <c r="FD15" i="23"/>
  <c r="FK15" i="23" s="1"/>
  <c r="GL10" i="23"/>
  <c r="GS10" i="23" s="1"/>
  <c r="GL15" i="23"/>
  <c r="GS15" i="23" s="1"/>
  <c r="KJ13" i="23"/>
  <c r="KQ13" i="23" s="1"/>
  <c r="LR13" i="23"/>
  <c r="LY13" i="23" s="1"/>
  <c r="MZ13" i="23"/>
  <c r="NG13" i="23" s="1"/>
  <c r="OH13" i="23"/>
  <c r="OO13" i="23" s="1"/>
  <c r="PP13" i="23"/>
  <c r="PW13" i="23" s="1"/>
  <c r="QX13" i="23"/>
  <c r="RE13" i="23" s="1"/>
  <c r="DV14" i="23"/>
  <c r="EC14" i="23" s="1"/>
  <c r="FD14" i="23"/>
  <c r="FK14" i="23" s="1"/>
  <c r="GL14" i="23"/>
  <c r="GS14" i="23" s="1"/>
  <c r="HT10" i="23"/>
  <c r="IA10" i="23" s="1"/>
  <c r="JB6" i="23"/>
  <c r="JI6" i="23" s="1"/>
  <c r="JI11" i="23"/>
  <c r="KJ6" i="23"/>
  <c r="KQ6" i="23" s="1"/>
  <c r="LY7" i="23"/>
  <c r="NG7" i="23"/>
  <c r="OH7" i="23"/>
  <c r="OO7" i="23" s="1"/>
  <c r="PP7" i="23"/>
  <c r="PW7" i="23" s="1"/>
  <c r="QX7" i="23"/>
  <c r="RE7" i="23" s="1"/>
  <c r="MG6" i="22"/>
  <c r="RM9" i="22"/>
  <c r="FS16" i="22"/>
  <c r="FS18" i="22"/>
  <c r="II8" i="22"/>
  <c r="IB13" i="22"/>
  <c r="II13" i="22" s="1"/>
  <c r="IB17" i="22"/>
  <c r="II17" i="22" s="1"/>
  <c r="NO9" i="22"/>
  <c r="NH14" i="22"/>
  <c r="NO14" i="22" s="1"/>
  <c r="NH18" i="22"/>
  <c r="NO18" i="22" s="1"/>
  <c r="OP5" i="22"/>
  <c r="RM11" i="22"/>
  <c r="RM13" i="22"/>
  <c r="EK9" i="22"/>
  <c r="HA10" i="22"/>
  <c r="II10" i="22"/>
  <c r="II18" i="22"/>
  <c r="JJ18" i="22"/>
  <c r="JQ18" i="22" s="1"/>
  <c r="KR5" i="22"/>
  <c r="KY5" i="22" s="1"/>
  <c r="NO13" i="22"/>
  <c r="OW6" i="22"/>
  <c r="EK13" i="22"/>
  <c r="FS17" i="22"/>
  <c r="ED5" i="22"/>
  <c r="EK5" i="22" s="1"/>
  <c r="JJ15" i="22"/>
  <c r="JQ15" i="22" s="1"/>
  <c r="JJ17" i="22"/>
  <c r="JQ17" i="22" s="1"/>
  <c r="KR4" i="22"/>
  <c r="KY4" i="22" s="1"/>
  <c r="KR6" i="22"/>
  <c r="KY6" i="22" s="1"/>
  <c r="KR8" i="22"/>
  <c r="KY8" i="22" s="1"/>
  <c r="PX7" i="22"/>
  <c r="QE7" i="22" s="1"/>
  <c r="PX14" i="22"/>
  <c r="QE14" i="22" s="1"/>
  <c r="PX18" i="22"/>
  <c r="QE18" i="22" s="1"/>
  <c r="RF5" i="22"/>
  <c r="KY11" i="22"/>
  <c r="RM7" i="22"/>
  <c r="ED4" i="22"/>
  <c r="EK4" i="22" s="1"/>
  <c r="ED6" i="22"/>
  <c r="EK6" i="22" s="1"/>
  <c r="ED8" i="22"/>
  <c r="EK8" i="22" s="1"/>
  <c r="ED16" i="22"/>
  <c r="EK16" i="22" s="1"/>
  <c r="FL6" i="22"/>
  <c r="FS6" i="22" s="1"/>
  <c r="FL10" i="22"/>
  <c r="FS10" i="22" s="1"/>
  <c r="GT17" i="22"/>
  <c r="HA17" i="22" s="1"/>
  <c r="IB6" i="22"/>
  <c r="II6" i="22" s="1"/>
  <c r="LZ7" i="22"/>
  <c r="MG7" i="22" s="1"/>
  <c r="LZ14" i="22"/>
  <c r="MG14" i="22" s="1"/>
  <c r="LZ18" i="22"/>
  <c r="MG18" i="22" s="1"/>
  <c r="PX11" i="22"/>
  <c r="QE11" i="22" s="1"/>
  <c r="PX15" i="22"/>
  <c r="QE15" i="22" s="1"/>
  <c r="RF4" i="22"/>
  <c r="RM4" i="22" s="1"/>
  <c r="RF6" i="22"/>
  <c r="RM6" i="22" s="1"/>
  <c r="RF8" i="22"/>
  <c r="EK7" i="22"/>
  <c r="HA6" i="22"/>
  <c r="RM14" i="22"/>
  <c r="ED18" i="22"/>
  <c r="EK18" i="22" s="1"/>
  <c r="FL7" i="22"/>
  <c r="FS7" i="22" s="1"/>
  <c r="GT12" i="22"/>
  <c r="HA12" i="22" s="1"/>
  <c r="GT14" i="22"/>
  <c r="HA14" i="22" s="1"/>
  <c r="GT16" i="22"/>
  <c r="HA16" i="22" s="1"/>
  <c r="GT18" i="22"/>
  <c r="HA18" i="22" s="1"/>
  <c r="IB5" i="22"/>
  <c r="II5" i="22" s="1"/>
  <c r="IB7" i="22"/>
  <c r="II7" i="22" s="1"/>
  <c r="JJ7" i="22"/>
  <c r="JQ7" i="22" s="1"/>
  <c r="JJ11" i="22"/>
  <c r="JQ11" i="22" s="1"/>
  <c r="LZ11" i="22"/>
  <c r="MG11" i="22" s="1"/>
  <c r="LZ15" i="22"/>
  <c r="MG15" i="22" s="1"/>
  <c r="NH4" i="22"/>
  <c r="NO4" i="22" s="1"/>
  <c r="NH6" i="22"/>
  <c r="NO6" i="22" s="1"/>
  <c r="NH8" i="22"/>
  <c r="NO8" i="22" s="1"/>
  <c r="KY15" i="22"/>
  <c r="RM15" i="22"/>
  <c r="II16" i="22"/>
  <c r="KR9" i="22"/>
  <c r="KY9" i="22" s="1"/>
  <c r="OW4" i="22"/>
  <c r="OP9" i="22"/>
  <c r="OW9" i="22" s="1"/>
  <c r="PX9" i="22"/>
  <c r="QE9" i="22" s="1"/>
  <c r="EK15" i="22"/>
  <c r="FL11" i="22"/>
  <c r="FS11" i="22" s="1"/>
  <c r="HA11" i="22"/>
  <c r="JQ5" i="22"/>
  <c r="JQ12" i="22"/>
  <c r="KR13" i="22"/>
  <c r="KY13" i="22" s="1"/>
  <c r="MG8" i="22"/>
  <c r="LZ13" i="22"/>
  <c r="MG13" i="22" s="1"/>
  <c r="NH11" i="22"/>
  <c r="NO11" i="22" s="1"/>
  <c r="OW8" i="22"/>
  <c r="OP13" i="22"/>
  <c r="OW13" i="22" s="1"/>
  <c r="QE8" i="22"/>
  <c r="PX13" i="22"/>
  <c r="QE13" i="22" s="1"/>
  <c r="RM8" i="22"/>
  <c r="JQ8" i="22"/>
  <c r="NO15" i="22"/>
  <c r="RM5" i="22"/>
  <c r="QE4" i="22"/>
  <c r="FL5" i="22"/>
  <c r="FS5" i="22" s="1"/>
  <c r="FL15" i="22"/>
  <c r="FS15" i="22" s="1"/>
  <c r="GT5" i="22"/>
  <c r="HA5" i="22" s="1"/>
  <c r="GT15" i="22"/>
  <c r="HA15" i="22" s="1"/>
  <c r="KR12" i="22"/>
  <c r="KY12" i="22" s="1"/>
  <c r="KR17" i="22"/>
  <c r="KY17" i="22" s="1"/>
  <c r="LZ12" i="22"/>
  <c r="MG12" i="22" s="1"/>
  <c r="LZ17" i="22"/>
  <c r="MG17" i="22" s="1"/>
  <c r="NH12" i="22"/>
  <c r="NO12" i="22" s="1"/>
  <c r="NH17" i="22"/>
  <c r="NO17" i="22" s="1"/>
  <c r="OP12" i="22"/>
  <c r="OW12" i="22" s="1"/>
  <c r="OP17" i="22"/>
  <c r="OW17" i="22" s="1"/>
  <c r="PX12" i="22"/>
  <c r="QE12" i="22" s="1"/>
  <c r="PX17" i="22"/>
  <c r="QE17" i="22" s="1"/>
  <c r="RF12" i="22"/>
  <c r="RM12" i="22" s="1"/>
  <c r="RF17" i="22"/>
  <c r="RM17" i="22" s="1"/>
  <c r="MG5" i="22"/>
  <c r="OW5" i="22"/>
  <c r="ED12" i="22"/>
  <c r="EK12" i="22" s="1"/>
  <c r="FL4" i="22"/>
  <c r="FS4" i="22" s="1"/>
  <c r="FL9" i="22"/>
  <c r="FS9" i="22" s="1"/>
  <c r="GT4" i="22"/>
  <c r="HA4" i="22" s="1"/>
  <c r="GT9" i="22"/>
  <c r="HA9" i="22" s="1"/>
  <c r="IB4" i="22"/>
  <c r="II4" i="22" s="1"/>
  <c r="IB11" i="22"/>
  <c r="II11" i="22" s="1"/>
  <c r="JJ9" i="22"/>
  <c r="JQ9" i="22" s="1"/>
  <c r="JJ16" i="22"/>
  <c r="JQ16" i="22" s="1"/>
  <c r="KR16" i="22"/>
  <c r="KY16" i="22" s="1"/>
  <c r="LZ16" i="22"/>
  <c r="MG16" i="22" s="1"/>
  <c r="NH16" i="22"/>
  <c r="NO16" i="22" s="1"/>
  <c r="OP16" i="22"/>
  <c r="OW16" i="22" s="1"/>
  <c r="PX16" i="22"/>
  <c r="QE16" i="22" s="1"/>
  <c r="RF16" i="22"/>
  <c r="RM16" i="22" s="1"/>
  <c r="EK11" i="22"/>
  <c r="OW15" i="22"/>
  <c r="QE5" i="22"/>
  <c r="MG4" i="22"/>
  <c r="LZ9" i="22"/>
  <c r="MG9" i="22" s="1"/>
  <c r="NH7" i="22"/>
  <c r="NO7" i="22" s="1"/>
  <c r="FL8" i="22"/>
  <c r="FS8" i="22" s="1"/>
  <c r="FS13" i="22"/>
  <c r="GT8" i="22"/>
  <c r="HA8" i="22" s="1"/>
  <c r="GT13" i="22"/>
  <c r="HA13" i="22" s="1"/>
  <c r="IB15" i="22"/>
  <c r="II15" i="22" s="1"/>
  <c r="NH5" i="22"/>
  <c r="NO5" i="22" s="1"/>
  <c r="IB8" i="4"/>
  <c r="II8" i="4" s="1"/>
  <c r="IB12" i="4"/>
  <c r="II12" i="4" s="1"/>
  <c r="JJ18" i="4"/>
  <c r="JQ18" i="4" s="1"/>
  <c r="LZ5" i="4"/>
  <c r="MG5" i="4" s="1"/>
  <c r="LZ7" i="4"/>
  <c r="MG7" i="4" s="1"/>
  <c r="LZ9" i="4"/>
  <c r="MG9" i="4" s="1"/>
  <c r="RM21" i="4"/>
  <c r="FL7" i="4"/>
  <c r="FS7" i="4" s="1"/>
  <c r="FL11" i="4"/>
  <c r="FS11" i="4" s="1"/>
  <c r="FL15" i="4"/>
  <c r="II5" i="4"/>
  <c r="II11" i="4"/>
  <c r="JQ6" i="4"/>
  <c r="JQ8" i="4"/>
  <c r="JQ12" i="4"/>
  <c r="JQ16" i="4"/>
  <c r="JQ20" i="4"/>
  <c r="JJ22" i="4"/>
  <c r="NH7" i="4"/>
  <c r="OP8" i="4"/>
  <c r="OW8" i="4" s="1"/>
  <c r="OP10" i="4"/>
  <c r="OW10" i="4" s="1"/>
  <c r="OP15" i="4"/>
  <c r="OW15" i="4" s="1"/>
  <c r="OP23" i="4"/>
  <c r="OW23" i="4" s="1"/>
  <c r="FS16" i="4"/>
  <c r="OP24" i="4"/>
  <c r="OW24" i="4" s="1"/>
  <c r="PX8" i="4"/>
  <c r="QE8" i="4" s="1"/>
  <c r="GT9" i="4"/>
  <c r="HA9" i="4" s="1"/>
  <c r="HA16" i="4"/>
  <c r="HA24" i="4"/>
  <c r="KR19" i="4"/>
  <c r="KY19" i="4" s="1"/>
  <c r="KR21" i="4"/>
  <c r="KY21" i="4" s="1"/>
  <c r="NH16" i="4"/>
  <c r="NO16" i="4" s="1"/>
  <c r="NH17" i="4"/>
  <c r="NO17" i="4" s="1"/>
  <c r="NO23" i="4"/>
  <c r="PX9" i="4"/>
  <c r="QE9" i="4" s="1"/>
  <c r="PX19" i="4"/>
  <c r="QE19" i="4" s="1"/>
  <c r="RF4" i="4"/>
  <c r="RM4" i="4" s="1"/>
  <c r="RF6" i="4"/>
  <c r="RM6" i="4" s="1"/>
  <c r="RF8" i="4"/>
  <c r="RM8" i="4" s="1"/>
  <c r="RF10" i="4"/>
  <c r="RF12" i="4"/>
  <c r="RM12" i="4" s="1"/>
  <c r="RF14" i="4"/>
  <c r="RM14" i="4" s="1"/>
  <c r="RF16" i="4"/>
  <c r="RM16" i="4" s="1"/>
  <c r="RF17" i="4"/>
  <c r="RM17" i="4" s="1"/>
  <c r="GT13" i="4"/>
  <c r="HA13" i="4" s="1"/>
  <c r="GT19" i="4"/>
  <c r="IB18" i="4"/>
  <c r="II18" i="4" s="1"/>
  <c r="IB23" i="4"/>
  <c r="II23" i="4" s="1"/>
  <c r="JJ4" i="4"/>
  <c r="JQ4" i="4" s="1"/>
  <c r="LZ4" i="4"/>
  <c r="MG4" i="4" s="1"/>
  <c r="LZ8" i="4"/>
  <c r="MG8" i="4" s="1"/>
  <c r="MG13" i="4"/>
  <c r="OW4" i="4"/>
  <c r="RF24" i="4"/>
  <c r="RM24" i="4" s="1"/>
  <c r="ED4" i="4"/>
  <c r="EK4" i="4" s="1"/>
  <c r="ED8" i="4"/>
  <c r="EK8" i="4" s="1"/>
  <c r="ED15" i="4"/>
  <c r="EK15" i="4" s="1"/>
  <c r="ED18" i="4"/>
  <c r="EK18" i="4" s="1"/>
  <c r="ED23" i="4"/>
  <c r="EK23" i="4" s="1"/>
  <c r="II14" i="4"/>
  <c r="II16" i="4"/>
  <c r="II17" i="4"/>
  <c r="II20" i="4"/>
  <c r="IB24" i="4"/>
  <c r="II24" i="4" s="1"/>
  <c r="JJ5" i="4"/>
  <c r="JQ5" i="4" s="1"/>
  <c r="JQ21" i="4"/>
  <c r="KR7" i="4"/>
  <c r="KY7" i="4" s="1"/>
  <c r="KR11" i="4"/>
  <c r="KY11" i="4" s="1"/>
  <c r="OP16" i="4"/>
  <c r="OW16" i="4" s="1"/>
  <c r="MG14" i="4"/>
  <c r="MG23" i="4"/>
  <c r="NO13" i="4"/>
  <c r="OW5" i="4"/>
  <c r="PX18" i="4"/>
  <c r="QE18" i="4" s="1"/>
  <c r="FS15" i="4"/>
  <c r="HA7" i="4"/>
  <c r="HA19" i="4"/>
  <c r="II9" i="4"/>
  <c r="II22" i="4"/>
  <c r="JQ14" i="4"/>
  <c r="KY6" i="4"/>
  <c r="KY24" i="4"/>
  <c r="MG19" i="4"/>
  <c r="NO7" i="4"/>
  <c r="NO19" i="4"/>
  <c r="NO20" i="4"/>
  <c r="OW9" i="4"/>
  <c r="OW12" i="4"/>
  <c r="QE4" i="4"/>
  <c r="QE17" i="4"/>
  <c r="QE23" i="4"/>
  <c r="RM10" i="4"/>
  <c r="EK5" i="4"/>
  <c r="FS14" i="4"/>
  <c r="FL18" i="4"/>
  <c r="FS18" i="4" s="1"/>
  <c r="HA6" i="4"/>
  <c r="GT11" i="4"/>
  <c r="HA11" i="4" s="1"/>
  <c r="GT21" i="4"/>
  <c r="HA21" i="4" s="1"/>
  <c r="JJ17" i="4"/>
  <c r="JQ17" i="4" s="1"/>
  <c r="JJ23" i="4"/>
  <c r="JQ23" i="4" s="1"/>
  <c r="KR10" i="4"/>
  <c r="KY10" i="4" s="1"/>
  <c r="KR15" i="4"/>
  <c r="KY15" i="4" s="1"/>
  <c r="LZ11" i="4"/>
  <c r="MG11" i="4" s="1"/>
  <c r="LZ17" i="4"/>
  <c r="MG17" i="4" s="1"/>
  <c r="NH6" i="4"/>
  <c r="NO6" i="4" s="1"/>
  <c r="NH11" i="4"/>
  <c r="NO11" i="4" s="1"/>
  <c r="NH21" i="4"/>
  <c r="NO21" i="4" s="1"/>
  <c r="OP13" i="4"/>
  <c r="OW13" i="4" s="1"/>
  <c r="PX5" i="4"/>
  <c r="QE5" i="4" s="1"/>
  <c r="PX22" i="4"/>
  <c r="QE22" i="4" s="1"/>
  <c r="FS17" i="4"/>
  <c r="FL23" i="4"/>
  <c r="FS23" i="4" s="1"/>
  <c r="GT15" i="4"/>
  <c r="HA15" i="4" s="1"/>
  <c r="IB7" i="4"/>
  <c r="II7" i="4" s="1"/>
  <c r="II13" i="4"/>
  <c r="JQ22" i="4"/>
  <c r="KY14" i="4"/>
  <c r="KR18" i="4"/>
  <c r="KY18" i="4" s="1"/>
  <c r="NO10" i="4"/>
  <c r="NH15" i="4"/>
  <c r="NO15" i="4" s="1"/>
  <c r="OP7" i="4"/>
  <c r="OW7" i="4" s="1"/>
  <c r="OW19" i="4"/>
  <c r="RF23" i="4"/>
  <c r="RM23" i="4" s="1"/>
  <c r="FL5" i="4"/>
  <c r="FS5" i="4" s="1"/>
  <c r="FL22" i="4"/>
  <c r="FS22" i="4" s="1"/>
  <c r="GT14" i="4"/>
  <c r="HA14" i="4" s="1"/>
  <c r="GT18" i="4"/>
  <c r="HA18" i="4" s="1"/>
  <c r="IB6" i="4"/>
  <c r="II6" i="4" s="1"/>
  <c r="IB19" i="4"/>
  <c r="II19" i="4" s="1"/>
  <c r="JJ9" i="4"/>
  <c r="JQ9" i="4" s="1"/>
  <c r="KR17" i="4"/>
  <c r="KY17" i="4" s="1"/>
  <c r="KR23" i="4"/>
  <c r="KY23" i="4" s="1"/>
  <c r="LZ6" i="4"/>
  <c r="MG6" i="4" s="1"/>
  <c r="LZ15" i="4"/>
  <c r="MG15" i="4" s="1"/>
  <c r="LZ22" i="4"/>
  <c r="MG22" i="4" s="1"/>
  <c r="NH14" i="4"/>
  <c r="NO14" i="4" s="1"/>
  <c r="NH18" i="4"/>
  <c r="NO18" i="4" s="1"/>
  <c r="OP6" i="4"/>
  <c r="OW6" i="4" s="1"/>
  <c r="OP11" i="4"/>
  <c r="OW11" i="4" s="1"/>
  <c r="OP21" i="4"/>
  <c r="OW21" i="4" s="1"/>
  <c r="PX13" i="4"/>
  <c r="QE13" i="4" s="1"/>
  <c r="RF5" i="4"/>
  <c r="RM5" i="4" s="1"/>
  <c r="RF7" i="4"/>
  <c r="RM7" i="4" s="1"/>
  <c r="RF22" i="4"/>
  <c r="RM22" i="4" s="1"/>
  <c r="ED13" i="4"/>
  <c r="EK13" i="4" s="1"/>
  <c r="FL9" i="4"/>
  <c r="FS9" i="4" s="1"/>
  <c r="GT17" i="4"/>
  <c r="HA17" i="4" s="1"/>
  <c r="IB10" i="4"/>
  <c r="II10" i="4" s="1"/>
  <c r="IB21" i="4"/>
  <c r="II21" i="4" s="1"/>
  <c r="JJ13" i="4"/>
  <c r="JQ13" i="4" s="1"/>
  <c r="KR5" i="4"/>
  <c r="KY5" i="4" s="1"/>
  <c r="KR22" i="4"/>
  <c r="KY22" i="4" s="1"/>
  <c r="RF11" i="4"/>
  <c r="RM11" i="4" s="1"/>
  <c r="EK9" i="4"/>
  <c r="ED7" i="4"/>
  <c r="EK7" i="4" s="1"/>
  <c r="ED19" i="4"/>
  <c r="EK19" i="4" s="1"/>
  <c r="ED6" i="4"/>
  <c r="EK6" i="4" s="1"/>
  <c r="ED11" i="4"/>
  <c r="EK11" i="4" s="1"/>
  <c r="ED21" i="4"/>
  <c r="EK21" i="4" s="1"/>
  <c r="FL13" i="4"/>
  <c r="FS13" i="4" s="1"/>
  <c r="GT5" i="4"/>
  <c r="HA5" i="4" s="1"/>
  <c r="GT22" i="4"/>
  <c r="HA22" i="4" s="1"/>
  <c r="IB15" i="4"/>
  <c r="II15" i="4" s="1"/>
  <c r="JJ7" i="4"/>
  <c r="JQ7" i="4" s="1"/>
  <c r="JJ19" i="4"/>
  <c r="JQ19" i="4" s="1"/>
  <c r="KR9" i="4"/>
  <c r="KY9" i="4" s="1"/>
  <c r="LZ10" i="4"/>
  <c r="MG10" i="4" s="1"/>
  <c r="LZ18" i="4"/>
  <c r="MG18" i="4" s="1"/>
  <c r="NH5" i="4"/>
  <c r="NO5" i="4" s="1"/>
  <c r="NH22" i="4"/>
  <c r="NO22" i="4" s="1"/>
  <c r="OP14" i="4"/>
  <c r="OW14" i="4" s="1"/>
  <c r="OP18" i="4"/>
  <c r="OW18" i="4" s="1"/>
  <c r="PX6" i="4"/>
  <c r="QE6" i="4" s="1"/>
  <c r="PX11" i="4"/>
  <c r="QE11" i="4" s="1"/>
  <c r="PX21" i="4"/>
  <c r="QE21" i="4" s="1"/>
  <c r="RM13" i="4"/>
  <c r="RM15" i="4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GI4" i="21"/>
  <c r="GI5" i="21"/>
  <c r="GI6" i="21"/>
  <c r="GI7" i="21"/>
  <c r="GI8" i="21"/>
  <c r="GI9" i="21"/>
  <c r="GI10" i="21"/>
  <c r="GI11" i="21"/>
  <c r="GI12" i="21"/>
  <c r="GI13" i="21"/>
  <c r="GI14" i="21"/>
  <c r="FG4" i="21"/>
  <c r="FG5" i="21"/>
  <c r="FG6" i="21"/>
  <c r="FG7" i="21"/>
  <c r="FG8" i="21"/>
  <c r="FG9" i="21"/>
  <c r="FG10" i="21"/>
  <c r="FG11" i="21"/>
  <c r="FG12" i="21"/>
  <c r="FG13" i="21"/>
  <c r="FG14" i="21"/>
  <c r="FG15" i="21"/>
  <c r="FG16" i="21"/>
  <c r="FG17" i="21"/>
  <c r="FG18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OY4" i="19"/>
  <c r="OY5" i="19"/>
  <c r="OY6" i="19"/>
  <c r="OY7" i="19"/>
  <c r="OY8" i="19"/>
  <c r="OY9" i="19"/>
  <c r="OY10" i="19"/>
  <c r="OY11" i="19"/>
  <c r="OY13" i="19"/>
  <c r="OY12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OY28" i="19"/>
  <c r="OY29" i="19"/>
  <c r="OY30" i="19"/>
  <c r="NW4" i="19"/>
  <c r="NW5" i="19"/>
  <c r="NW6" i="19"/>
  <c r="NW7" i="19"/>
  <c r="NW8" i="19"/>
  <c r="NW9" i="19"/>
  <c r="NW10" i="19"/>
  <c r="NW11" i="19"/>
  <c r="NW13" i="19"/>
  <c r="NW12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MU4" i="19"/>
  <c r="MU5" i="19"/>
  <c r="MU6" i="19"/>
  <c r="MU7" i="19"/>
  <c r="MU8" i="19"/>
  <c r="MU9" i="19"/>
  <c r="MU10" i="19"/>
  <c r="MU11" i="19"/>
  <c r="MU13" i="19"/>
  <c r="MU12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MU28" i="19"/>
  <c r="MU29" i="19"/>
  <c r="MU30" i="19"/>
  <c r="LS4" i="19"/>
  <c r="LS5" i="19"/>
  <c r="LS6" i="19"/>
  <c r="LS7" i="19"/>
  <c r="LS8" i="19"/>
  <c r="LS9" i="19"/>
  <c r="LS10" i="19"/>
  <c r="LS11" i="19"/>
  <c r="LS13" i="19"/>
  <c r="LS12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KQ4" i="19"/>
  <c r="KQ5" i="19"/>
  <c r="KQ6" i="19"/>
  <c r="KQ7" i="19"/>
  <c r="KQ8" i="19"/>
  <c r="KQ9" i="19"/>
  <c r="KQ10" i="19"/>
  <c r="KQ11" i="19"/>
  <c r="KQ13" i="19"/>
  <c r="KQ12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JO4" i="19"/>
  <c r="JO5" i="19"/>
  <c r="JO6" i="19"/>
  <c r="JO7" i="19"/>
  <c r="JO8" i="19"/>
  <c r="JO9" i="19"/>
  <c r="JO10" i="19"/>
  <c r="JO11" i="19"/>
  <c r="JO13" i="19"/>
  <c r="JO12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IM4" i="19"/>
  <c r="IM5" i="19"/>
  <c r="IM6" i="19"/>
  <c r="IM7" i="19"/>
  <c r="IM8" i="19"/>
  <c r="IM9" i="19"/>
  <c r="IM10" i="19"/>
  <c r="IM11" i="19"/>
  <c r="IM13" i="19"/>
  <c r="IM12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IM28" i="19"/>
  <c r="IM29" i="19"/>
  <c r="IM30" i="19"/>
  <c r="HK4" i="19"/>
  <c r="HK5" i="19"/>
  <c r="HK6" i="19"/>
  <c r="HK7" i="19"/>
  <c r="HK8" i="19"/>
  <c r="HK9" i="19"/>
  <c r="HK10" i="19"/>
  <c r="HK11" i="19"/>
  <c r="HK13" i="19"/>
  <c r="HK12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GI4" i="19"/>
  <c r="GI5" i="19"/>
  <c r="GI6" i="19"/>
  <c r="GI7" i="19"/>
  <c r="GI8" i="19"/>
  <c r="GI9" i="19"/>
  <c r="GI10" i="19"/>
  <c r="GI11" i="19"/>
  <c r="GI13" i="19"/>
  <c r="GI12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GI28" i="19"/>
  <c r="GI29" i="19"/>
  <c r="GI30" i="19"/>
  <c r="FG4" i="19"/>
  <c r="FG5" i="19"/>
  <c r="FG6" i="19"/>
  <c r="FG7" i="19"/>
  <c r="FG8" i="19"/>
  <c r="FG9" i="19"/>
  <c r="FG10" i="19"/>
  <c r="FG11" i="19"/>
  <c r="FG13" i="19"/>
  <c r="FG12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EE4" i="19"/>
  <c r="EE5" i="19"/>
  <c r="EE6" i="19"/>
  <c r="EE7" i="19"/>
  <c r="EE8" i="19"/>
  <c r="EE9" i="19"/>
  <c r="EE10" i="19"/>
  <c r="EE11" i="19"/>
  <c r="EE13" i="19"/>
  <c r="EE12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OY4" i="27"/>
  <c r="OY5" i="27"/>
  <c r="OY6" i="27"/>
  <c r="OY7" i="27"/>
  <c r="OY8" i="27"/>
  <c r="OY9" i="27"/>
  <c r="OY10" i="27"/>
  <c r="OY11" i="27"/>
  <c r="OY12" i="27"/>
  <c r="NW4" i="27"/>
  <c r="NW5" i="27"/>
  <c r="NW6" i="27"/>
  <c r="NW7" i="27"/>
  <c r="NW8" i="27"/>
  <c r="NW9" i="27"/>
  <c r="NW10" i="27"/>
  <c r="NW11" i="27"/>
  <c r="NW12" i="27"/>
  <c r="MU6" i="27"/>
  <c r="MU7" i="27"/>
  <c r="MU8" i="27"/>
  <c r="MU9" i="27"/>
  <c r="MU10" i="27"/>
  <c r="MU11" i="27"/>
  <c r="MU12" i="27"/>
  <c r="LS4" i="27"/>
  <c r="LS5" i="27"/>
  <c r="LS6" i="27"/>
  <c r="LS7" i="27"/>
  <c r="LS8" i="27"/>
  <c r="LS9" i="27"/>
  <c r="LS10" i="27"/>
  <c r="LS11" i="27"/>
  <c r="LS12" i="27"/>
  <c r="KQ4" i="27"/>
  <c r="KQ5" i="27"/>
  <c r="KQ6" i="27"/>
  <c r="KQ7" i="27"/>
  <c r="KQ8" i="27"/>
  <c r="KQ9" i="27"/>
  <c r="KQ10" i="27"/>
  <c r="KQ11" i="27"/>
  <c r="KQ12" i="27"/>
  <c r="JO4" i="27"/>
  <c r="JO5" i="27"/>
  <c r="JO6" i="27"/>
  <c r="JO7" i="27"/>
  <c r="JO8" i="27"/>
  <c r="JO9" i="27"/>
  <c r="JO10" i="27"/>
  <c r="JO11" i="27"/>
  <c r="JO12" i="27"/>
  <c r="IM4" i="27"/>
  <c r="IM5" i="27"/>
  <c r="IM6" i="27"/>
  <c r="IM7" i="27"/>
  <c r="IM8" i="27"/>
  <c r="IM9" i="27"/>
  <c r="IM10" i="27"/>
  <c r="IM11" i="27"/>
  <c r="IM12" i="27"/>
  <c r="HK4" i="27"/>
  <c r="HK5" i="27"/>
  <c r="HK6" i="27"/>
  <c r="HK7" i="27"/>
  <c r="HK8" i="27"/>
  <c r="HK9" i="27"/>
  <c r="HK10" i="27"/>
  <c r="HK11" i="27"/>
  <c r="HK12" i="27"/>
  <c r="GI4" i="27"/>
  <c r="GI7" i="27"/>
  <c r="GI9" i="27"/>
  <c r="GI10" i="27"/>
  <c r="GI6" i="27"/>
  <c r="GI11" i="27"/>
  <c r="GI5" i="27"/>
  <c r="GI8" i="27"/>
  <c r="GI12" i="27"/>
  <c r="FG4" i="27"/>
  <c r="FG5" i="27"/>
  <c r="FG6" i="27"/>
  <c r="FG7" i="27"/>
  <c r="FG8" i="27"/>
  <c r="FG9" i="27"/>
  <c r="FG10" i="27"/>
  <c r="FG11" i="27"/>
  <c r="FG12" i="27"/>
  <c r="EE4" i="27"/>
  <c r="EE5" i="27"/>
  <c r="EE6" i="27"/>
  <c r="EE7" i="27"/>
  <c r="EE8" i="27"/>
  <c r="EE9" i="27"/>
  <c r="EE10" i="27"/>
  <c r="EE11" i="27"/>
  <c r="EE12" i="27"/>
  <c r="OY4" i="26"/>
  <c r="OY5" i="26"/>
  <c r="OY6" i="26"/>
  <c r="OY7" i="26"/>
  <c r="OY8" i="26"/>
  <c r="OY9" i="26"/>
  <c r="OY10" i="26"/>
  <c r="OY11" i="26"/>
  <c r="NW4" i="26"/>
  <c r="NW5" i="26"/>
  <c r="NW6" i="26"/>
  <c r="NW7" i="26"/>
  <c r="NW8" i="26"/>
  <c r="NW9" i="26"/>
  <c r="NW10" i="26"/>
  <c r="NW11" i="26"/>
  <c r="MU8" i="26"/>
  <c r="MU4" i="26"/>
  <c r="MU6" i="26"/>
  <c r="MU11" i="26"/>
  <c r="MU5" i="26"/>
  <c r="MU7" i="26"/>
  <c r="MU10" i="26"/>
  <c r="LS4" i="26"/>
  <c r="LS5" i="26"/>
  <c r="LS6" i="26"/>
  <c r="LS7" i="26"/>
  <c r="LS8" i="26"/>
  <c r="LS9" i="26"/>
  <c r="LS10" i="26"/>
  <c r="LS11" i="26"/>
  <c r="KQ4" i="26"/>
  <c r="KQ5" i="26"/>
  <c r="KQ6" i="26"/>
  <c r="KQ7" i="26"/>
  <c r="KQ8" i="26"/>
  <c r="JO4" i="26"/>
  <c r="JO5" i="26"/>
  <c r="JO6" i="26"/>
  <c r="JO7" i="26"/>
  <c r="JO8" i="26"/>
  <c r="JO9" i="26"/>
  <c r="JO10" i="26"/>
  <c r="JO11" i="26"/>
  <c r="IM4" i="26"/>
  <c r="IM5" i="26"/>
  <c r="IM6" i="26"/>
  <c r="IM7" i="26"/>
  <c r="IM8" i="26"/>
  <c r="IM9" i="26"/>
  <c r="IM10" i="26"/>
  <c r="IM11" i="26"/>
  <c r="HK4" i="26"/>
  <c r="HK5" i="26"/>
  <c r="HK6" i="26"/>
  <c r="HK7" i="26"/>
  <c r="HK8" i="26"/>
  <c r="HK9" i="26"/>
  <c r="HK10" i="26"/>
  <c r="HK11" i="26"/>
  <c r="GI4" i="26"/>
  <c r="GI5" i="26"/>
  <c r="GI6" i="26"/>
  <c r="GI7" i="26"/>
  <c r="GI8" i="26"/>
  <c r="GI9" i="26"/>
  <c r="GI10" i="26"/>
  <c r="GI11" i="26"/>
  <c r="FG4" i="26"/>
  <c r="FG5" i="26"/>
  <c r="FG6" i="26"/>
  <c r="FG7" i="26"/>
  <c r="FG8" i="26"/>
  <c r="FG9" i="26"/>
  <c r="FG10" i="26"/>
  <c r="FG11" i="26"/>
  <c r="EE4" i="26"/>
  <c r="EE5" i="26"/>
  <c r="EE6" i="26"/>
  <c r="EE7" i="26"/>
  <c r="EE8" i="26"/>
  <c r="EE9" i="26"/>
  <c r="EE10" i="26"/>
  <c r="EE11" i="26"/>
  <c r="AP10" i="21"/>
  <c r="AQ10" i="21"/>
  <c r="AR10" i="21"/>
  <c r="AS10" i="21"/>
  <c r="AU10" i="21"/>
  <c r="AV10" i="21"/>
  <c r="BS10" i="21"/>
  <c r="BT10" i="21"/>
  <c r="BU10" i="21"/>
  <c r="BV10" i="21"/>
  <c r="BX10" i="21"/>
  <c r="BY10" i="21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AP16" i="19"/>
  <c r="AQ16" i="19"/>
  <c r="AR16" i="19"/>
  <c r="AS16" i="19"/>
  <c r="AU16" i="19"/>
  <c r="AV16" i="19"/>
  <c r="BS16" i="19"/>
  <c r="BT16" i="19"/>
  <c r="BU16" i="19"/>
  <c r="BV16" i="19"/>
  <c r="BX16" i="19"/>
  <c r="BY16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AP25" i="19"/>
  <c r="AQ25" i="19"/>
  <c r="AR25" i="19"/>
  <c r="AS25" i="19"/>
  <c r="AU25" i="19"/>
  <c r="AV25" i="19"/>
  <c r="BS25" i="19"/>
  <c r="BT25" i="19"/>
  <c r="BU25" i="19"/>
  <c r="BV25" i="19"/>
  <c r="BX25" i="19"/>
  <c r="BY25" i="19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AP20" i="19"/>
  <c r="AQ20" i="19"/>
  <c r="AR20" i="19"/>
  <c r="AS20" i="19"/>
  <c r="AU20" i="19"/>
  <c r="AV20" i="19"/>
  <c r="BS20" i="19"/>
  <c r="BT20" i="19"/>
  <c r="BU20" i="19"/>
  <c r="BV20" i="19"/>
  <c r="BX20" i="19"/>
  <c r="BY20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AO15" i="22"/>
  <c r="AP15" i="22"/>
  <c r="AQ15" i="22"/>
  <c r="AR15" i="22"/>
  <c r="AS15" i="22"/>
  <c r="AT15" i="22"/>
  <c r="AV15" i="22"/>
  <c r="AW15" i="22"/>
  <c r="AX15" i="22"/>
  <c r="BP15" i="22"/>
  <c r="BQ15" i="22"/>
  <c r="BR15" i="22"/>
  <c r="BS15" i="22"/>
  <c r="BT15" i="22"/>
  <c r="BU15" i="22"/>
  <c r="BW15" i="22"/>
  <c r="BX15" i="22"/>
  <c r="BY15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G11" i="23"/>
  <c r="AH11" i="23"/>
  <c r="AI11" i="23"/>
  <c r="AM11" i="23" s="1"/>
  <c r="AJ11" i="23"/>
  <c r="AK11" i="23"/>
  <c r="AL11" i="23"/>
  <c r="AN11" i="23"/>
  <c r="AO11" i="23"/>
  <c r="AP11" i="23"/>
  <c r="BH11" i="23"/>
  <c r="BI11" i="23"/>
  <c r="BJ11" i="23"/>
  <c r="BN11" i="23" s="1"/>
  <c r="BR11" i="23" s="1"/>
  <c r="BK11" i="23"/>
  <c r="BL11" i="23"/>
  <c r="BM11" i="23"/>
  <c r="BO11" i="23"/>
  <c r="BP11" i="23"/>
  <c r="BQ11" i="23"/>
  <c r="CI11" i="23"/>
  <c r="CJ11" i="23"/>
  <c r="CK11" i="23"/>
  <c r="CO11" i="23" s="1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S11" i="23" l="1"/>
  <c r="BW10" i="21"/>
  <c r="AT16" i="19"/>
  <c r="QZ16" i="19"/>
  <c r="RE16" i="19"/>
  <c r="QA25" i="19"/>
  <c r="AQ11" i="23"/>
  <c r="BV15" i="22"/>
  <c r="BZ15" i="22" s="1"/>
  <c r="QA10" i="21"/>
  <c r="AT10" i="21"/>
  <c r="QZ10" i="21"/>
  <c r="QA16" i="19"/>
  <c r="BW25" i="19"/>
  <c r="BW16" i="19"/>
  <c r="AT20" i="19"/>
  <c r="P16" i="19"/>
  <c r="Q16" i="19" s="1"/>
  <c r="AT25" i="19"/>
  <c r="SN15" i="22"/>
  <c r="SU15" i="22" s="1"/>
  <c r="SN18" i="4"/>
  <c r="SU18" i="4" s="1"/>
  <c r="DC10" i="21"/>
  <c r="N10" i="21"/>
  <c r="DE10" i="21" s="1"/>
  <c r="RC25" i="19"/>
  <c r="DC25" i="19"/>
  <c r="DC16" i="19"/>
  <c r="P20" i="19"/>
  <c r="Q20" i="19" s="1"/>
  <c r="P25" i="19"/>
  <c r="Q25" i="19" s="1"/>
  <c r="QZ20" i="19"/>
  <c r="RE20" i="19"/>
  <c r="CW15" i="22"/>
  <c r="DA15" i="22" s="1"/>
  <c r="TQ15" i="22"/>
  <c r="TN15" i="22"/>
  <c r="CW18" i="4"/>
  <c r="DA18" i="4" s="1"/>
  <c r="RF10" i="21"/>
  <c r="P10" i="21"/>
  <c r="DF10" i="21" s="1"/>
  <c r="CZ10" i="21"/>
  <c r="RE10" i="21"/>
  <c r="L10" i="21"/>
  <c r="DD10" i="21" s="1"/>
  <c r="BZ10" i="21"/>
  <c r="RB10" i="21"/>
  <c r="RA10" i="21"/>
  <c r="F10" i="21"/>
  <c r="J10" i="21"/>
  <c r="K10" i="21" s="1"/>
  <c r="RC10" i="21"/>
  <c r="QD10" i="21"/>
  <c r="G10" i="21"/>
  <c r="AW10" i="21"/>
  <c r="CZ16" i="19"/>
  <c r="N16" i="19"/>
  <c r="O16" i="19" s="1"/>
  <c r="RF16" i="19"/>
  <c r="L16" i="19"/>
  <c r="DD16" i="19" s="1"/>
  <c r="BZ16" i="19"/>
  <c r="RB16" i="19"/>
  <c r="RA16" i="19"/>
  <c r="RD16" i="19" s="1"/>
  <c r="F16" i="19"/>
  <c r="J16" i="19"/>
  <c r="K16" i="19" s="1"/>
  <c r="RC16" i="19"/>
  <c r="QD16" i="19"/>
  <c r="G16" i="19"/>
  <c r="AW16" i="19"/>
  <c r="RB25" i="19"/>
  <c r="RA25" i="19"/>
  <c r="BW20" i="19"/>
  <c r="RF25" i="19"/>
  <c r="CZ25" i="19"/>
  <c r="RE25" i="19"/>
  <c r="L25" i="19"/>
  <c r="M25" i="19" s="1"/>
  <c r="N25" i="19"/>
  <c r="DE25" i="19" s="1"/>
  <c r="BZ25" i="19"/>
  <c r="F25" i="19"/>
  <c r="DF25" i="19"/>
  <c r="J25" i="19"/>
  <c r="K25" i="19" s="1"/>
  <c r="G25" i="19"/>
  <c r="QD25" i="19"/>
  <c r="QZ25" i="19"/>
  <c r="AW25" i="19"/>
  <c r="QA20" i="19"/>
  <c r="RA20" i="19"/>
  <c r="RB20" i="19"/>
  <c r="DC20" i="19"/>
  <c r="RF20" i="19"/>
  <c r="CZ20" i="19"/>
  <c r="N20" i="19"/>
  <c r="DE20" i="19" s="1"/>
  <c r="L20" i="19"/>
  <c r="M20" i="19" s="1"/>
  <c r="BZ20" i="19"/>
  <c r="F20" i="19"/>
  <c r="DF20" i="19"/>
  <c r="J20" i="19"/>
  <c r="K20" i="19" s="1"/>
  <c r="RC20" i="19"/>
  <c r="QD20" i="19"/>
  <c r="G20" i="19"/>
  <c r="AW20" i="19"/>
  <c r="J15" i="22"/>
  <c r="K15" i="22" s="1"/>
  <c r="TU15" i="22"/>
  <c r="P15" i="22"/>
  <c r="Q15" i="22" s="1"/>
  <c r="L15" i="22"/>
  <c r="M15" i="22" s="1"/>
  <c r="R15" i="22"/>
  <c r="S15" i="22" s="1"/>
  <c r="I15" i="22"/>
  <c r="AU15" i="22"/>
  <c r="AY15" i="22" s="1"/>
  <c r="G15" i="22"/>
  <c r="N15" i="22"/>
  <c r="F15" i="22"/>
  <c r="T15" i="22"/>
  <c r="U15" i="22" s="1"/>
  <c r="L18" i="4"/>
  <c r="M18" i="4" s="1"/>
  <c r="N18" i="4"/>
  <c r="O18" i="4" s="1"/>
  <c r="TU18" i="4"/>
  <c r="TQ18" i="4"/>
  <c r="TN18" i="4"/>
  <c r="P18" i="4"/>
  <c r="DC18" i="4" s="1"/>
  <c r="G18" i="4"/>
  <c r="T18" i="4"/>
  <c r="U18" i="4" s="1"/>
  <c r="I18" i="4"/>
  <c r="BV18" i="4"/>
  <c r="BZ18" i="4" s="1"/>
  <c r="R18" i="4"/>
  <c r="S18" i="4" s="1"/>
  <c r="J18" i="4"/>
  <c r="AU18" i="4"/>
  <c r="AY18" i="4" s="1"/>
  <c r="F18" i="4"/>
  <c r="L11" i="23"/>
  <c r="CU11" i="23" s="1"/>
  <c r="TI11" i="23"/>
  <c r="SF11" i="23"/>
  <c r="SM11" i="23" s="1"/>
  <c r="TF11" i="23"/>
  <c r="TM11" i="23"/>
  <c r="J11" i="23"/>
  <c r="K11" i="23" s="1"/>
  <c r="I11" i="23"/>
  <c r="G11" i="23"/>
  <c r="F11" i="23"/>
  <c r="DE16" i="19" l="1"/>
  <c r="DF16" i="19"/>
  <c r="I10" i="21"/>
  <c r="H10" i="21" s="1"/>
  <c r="I16" i="19"/>
  <c r="H16" i="19" s="1"/>
  <c r="TR15" i="22"/>
  <c r="RD10" i="21"/>
  <c r="O10" i="21"/>
  <c r="I20" i="19"/>
  <c r="I25" i="19"/>
  <c r="H25" i="19" s="1"/>
  <c r="A25" i="19" s="1" a="1"/>
  <c r="A25" i="19" s="1"/>
  <c r="RG20" i="19"/>
  <c r="RG25" i="19"/>
  <c r="M11" i="23"/>
  <c r="DC15" i="22"/>
  <c r="M10" i="21"/>
  <c r="Q10" i="21"/>
  <c r="M16" i="19"/>
  <c r="RD20" i="19"/>
  <c r="RG16" i="19"/>
  <c r="RD25" i="19"/>
  <c r="O25" i="19"/>
  <c r="DB18" i="4"/>
  <c r="V18" i="4" s="1"/>
  <c r="TR18" i="4"/>
  <c r="TV18" i="4" s="1"/>
  <c r="RG10" i="21"/>
  <c r="R10" i="21"/>
  <c r="R16" i="19"/>
  <c r="DD25" i="19"/>
  <c r="R25" i="19" s="1"/>
  <c r="H20" i="19"/>
  <c r="O20" i="19"/>
  <c r="DD20" i="19"/>
  <c r="R20" i="19" s="1"/>
  <c r="TV15" i="22"/>
  <c r="O15" i="22"/>
  <c r="DB15" i="22"/>
  <c r="H15" i="22"/>
  <c r="Q18" i="4"/>
  <c r="H18" i="4"/>
  <c r="A18" i="4" s="1" a="1"/>
  <c r="A18" i="4" s="1"/>
  <c r="K18" i="4"/>
  <c r="TJ11" i="23"/>
  <c r="TN11" i="23" s="1"/>
  <c r="CT11" i="23"/>
  <c r="N11" i="23" s="1"/>
  <c r="H11" i="23"/>
  <c r="A11" i="23" s="1" a="1"/>
  <c r="A11" i="23" s="1"/>
  <c r="E16" i="19" l="1"/>
  <c r="V15" i="22"/>
  <c r="X15" i="22" s="1"/>
  <c r="E10" i="21"/>
  <c r="E20" i="19"/>
  <c r="T16" i="19"/>
  <c r="S16" i="19"/>
  <c r="T10" i="21"/>
  <c r="S10" i="21"/>
  <c r="E25" i="19"/>
  <c r="T25" i="19"/>
  <c r="S25" i="19"/>
  <c r="T20" i="19"/>
  <c r="S20" i="19"/>
  <c r="E18" i="4"/>
  <c r="W18" i="4"/>
  <c r="X18" i="4"/>
  <c r="E11" i="23"/>
  <c r="P11" i="23"/>
  <c r="O11" i="23"/>
  <c r="E15" i="22" l="1"/>
  <c r="W15" i="22"/>
  <c r="CX4" i="27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W11" i="27" l="1"/>
  <c r="BZ11" i="27"/>
  <c r="RE11" i="27"/>
  <c r="QD11" i="27"/>
  <c r="DC11" i="27"/>
  <c r="P11" i="27"/>
  <c r="DF11" i="27" s="1"/>
  <c r="QA11" i="27"/>
  <c r="QZ11" i="27"/>
  <c r="N11" i="27"/>
  <c r="DE11" i="27" s="1"/>
  <c r="RB11" i="27"/>
  <c r="RF11" i="27"/>
  <c r="RA11" i="27"/>
  <c r="L11" i="27"/>
  <c r="M11" i="27" s="1"/>
  <c r="RC11" i="27"/>
  <c r="F11" i="27"/>
  <c r="CZ11" i="27"/>
  <c r="BW11" i="27"/>
  <c r="AT11" i="27"/>
  <c r="J11" i="27"/>
  <c r="G11" i="27"/>
  <c r="AP7" i="26"/>
  <c r="AQ7" i="26"/>
  <c r="AR7" i="26"/>
  <c r="AS7" i="26"/>
  <c r="AU7" i="26"/>
  <c r="AV7" i="26"/>
  <c r="BS7" i="26"/>
  <c r="BT7" i="26"/>
  <c r="BU7" i="26"/>
  <c r="BV7" i="26"/>
  <c r="BX7" i="26"/>
  <c r="BY7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2" i="4"/>
  <c r="AP22" i="4"/>
  <c r="AQ22" i="4"/>
  <c r="AR22" i="4"/>
  <c r="AS22" i="4"/>
  <c r="AT22" i="4"/>
  <c r="AV22" i="4"/>
  <c r="AW22" i="4"/>
  <c r="AX22" i="4"/>
  <c r="BP22" i="4"/>
  <c r="BQ22" i="4"/>
  <c r="BR22" i="4"/>
  <c r="BV22" i="4" s="1"/>
  <c r="BS22" i="4"/>
  <c r="BT22" i="4"/>
  <c r="BU22" i="4"/>
  <c r="BW22" i="4"/>
  <c r="BX22" i="4"/>
  <c r="BY22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BZ22" i="4" l="1"/>
  <c r="BZ7" i="26"/>
  <c r="RG11" i="27"/>
  <c r="Q11" i="27"/>
  <c r="DC7" i="26"/>
  <c r="AW7" i="26"/>
  <c r="QD7" i="26"/>
  <c r="QA7" i="26"/>
  <c r="BV15" i="4"/>
  <c r="BZ15" i="4" s="1"/>
  <c r="AT7" i="26"/>
  <c r="BW7" i="26"/>
  <c r="CW22" i="4"/>
  <c r="DA22" i="4" s="1"/>
  <c r="SN22" i="4"/>
  <c r="SU22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7" i="26"/>
  <c r="DE7" i="26" s="1"/>
  <c r="RF7" i="26"/>
  <c r="RB7" i="26"/>
  <c r="RA7" i="26"/>
  <c r="RE7" i="26"/>
  <c r="CZ7" i="26"/>
  <c r="QZ7" i="26"/>
  <c r="P7" i="26"/>
  <c r="DF7" i="26" s="1"/>
  <c r="L7" i="26"/>
  <c r="M7" i="26" s="1"/>
  <c r="F7" i="26"/>
  <c r="J7" i="26"/>
  <c r="K7" i="26" s="1"/>
  <c r="G7" i="26"/>
  <c r="RC7" i="26"/>
  <c r="SN15" i="4"/>
  <c r="SU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2" i="4"/>
  <c r="TN22" i="4"/>
  <c r="L22" i="4"/>
  <c r="M22" i="4" s="1"/>
  <c r="TU22" i="4"/>
  <c r="P22" i="4"/>
  <c r="DC22" i="4" s="1"/>
  <c r="R22" i="4"/>
  <c r="S22" i="4" s="1"/>
  <c r="N22" i="4"/>
  <c r="O22" i="4" s="1"/>
  <c r="T22" i="4"/>
  <c r="U22" i="4" s="1"/>
  <c r="J22" i="4"/>
  <c r="K22" i="4" s="1"/>
  <c r="I22" i="4"/>
  <c r="AU22" i="4"/>
  <c r="AY22" i="4" s="1"/>
  <c r="G22" i="4"/>
  <c r="F22" i="4"/>
  <c r="RG7" i="26" l="1"/>
  <c r="TR22" i="4"/>
  <c r="TV22" i="4" s="1"/>
  <c r="DD7" i="26"/>
  <c r="R7" i="26" s="1"/>
  <c r="E11" i="27"/>
  <c r="T11" i="27"/>
  <c r="S11" i="27"/>
  <c r="RD7" i="26"/>
  <c r="O7" i="26"/>
  <c r="Q7" i="26"/>
  <c r="I7" i="26"/>
  <c r="H7" i="26" s="1"/>
  <c r="TR15" i="4"/>
  <c r="TV15" i="4" s="1"/>
  <c r="Q15" i="4"/>
  <c r="H15" i="4"/>
  <c r="DB15" i="4"/>
  <c r="V15" i="4" s="1"/>
  <c r="O15" i="4"/>
  <c r="Q22" i="4"/>
  <c r="DB22" i="4"/>
  <c r="V22" i="4" s="1"/>
  <c r="H22" i="4"/>
  <c r="A22" i="4" s="1" a="1"/>
  <c r="A22" i="4" s="1"/>
  <c r="E7" i="26" l="1"/>
  <c r="T7" i="26"/>
  <c r="S7" i="26"/>
  <c r="E15" i="4"/>
  <c r="W15" i="4"/>
  <c r="X15" i="4"/>
  <c r="W22" i="4"/>
  <c r="X22" i="4"/>
  <c r="E22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4" i="21"/>
  <c r="BX14" i="21"/>
  <c r="BV14" i="21"/>
  <c r="BU14" i="21"/>
  <c r="BT14" i="21"/>
  <c r="BS14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1" i="21"/>
  <c r="BX11" i="21"/>
  <c r="BV11" i="21"/>
  <c r="BU11" i="21"/>
  <c r="BT11" i="21"/>
  <c r="BS11" i="21"/>
  <c r="BY12" i="21"/>
  <c r="BX12" i="21"/>
  <c r="BV12" i="21"/>
  <c r="BU12" i="21"/>
  <c r="BT12" i="21"/>
  <c r="BS12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4" i="21"/>
  <c r="AU14" i="21"/>
  <c r="AS14" i="21"/>
  <c r="AR14" i="21"/>
  <c r="AQ14" i="21"/>
  <c r="AP14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1" i="21"/>
  <c r="AU11" i="21"/>
  <c r="AS11" i="21"/>
  <c r="AR11" i="21"/>
  <c r="AQ11" i="21"/>
  <c r="AP11" i="21"/>
  <c r="AV12" i="21"/>
  <c r="AU12" i="21"/>
  <c r="AS12" i="21"/>
  <c r="AR12" i="21"/>
  <c r="AQ12" i="21"/>
  <c r="AP12" i="21"/>
  <c r="AV5" i="21"/>
  <c r="AU5" i="21"/>
  <c r="AS5" i="21"/>
  <c r="AR5" i="21"/>
  <c r="AQ5" i="2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30" i="19"/>
  <c r="BX30" i="19"/>
  <c r="BV30" i="19"/>
  <c r="BU30" i="19"/>
  <c r="BT30" i="19"/>
  <c r="BS30" i="19"/>
  <c r="BY17" i="19"/>
  <c r="BX17" i="19"/>
  <c r="BV17" i="19"/>
  <c r="BU17" i="19"/>
  <c r="BT17" i="19"/>
  <c r="BS17" i="19"/>
  <c r="BY29" i="19"/>
  <c r="BX29" i="19"/>
  <c r="BV29" i="19"/>
  <c r="BU29" i="19"/>
  <c r="BT29" i="19"/>
  <c r="BS29" i="19"/>
  <c r="BY28" i="19"/>
  <c r="BX28" i="19"/>
  <c r="BV28" i="19"/>
  <c r="BU28" i="19"/>
  <c r="BT28" i="19"/>
  <c r="BS28" i="19"/>
  <c r="BY27" i="19"/>
  <c r="BX27" i="19"/>
  <c r="BV27" i="19"/>
  <c r="BU27" i="19"/>
  <c r="BT27" i="19"/>
  <c r="BS27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2" i="19"/>
  <c r="BX22" i="19"/>
  <c r="BV22" i="19"/>
  <c r="BU22" i="19"/>
  <c r="BT22" i="19"/>
  <c r="BS22" i="19"/>
  <c r="BY24" i="19"/>
  <c r="BX24" i="19"/>
  <c r="BV24" i="19"/>
  <c r="BU24" i="19"/>
  <c r="BT24" i="19"/>
  <c r="BS24" i="19"/>
  <c r="BY21" i="19"/>
  <c r="BX21" i="19"/>
  <c r="BV21" i="19"/>
  <c r="BU21" i="19"/>
  <c r="BT21" i="19"/>
  <c r="BS21" i="19"/>
  <c r="BY12" i="19"/>
  <c r="BX12" i="19"/>
  <c r="BV12" i="19"/>
  <c r="BU12" i="19"/>
  <c r="BT12" i="19"/>
  <c r="BS12" i="19"/>
  <c r="BY19" i="19"/>
  <c r="BX19" i="19"/>
  <c r="BV19" i="19"/>
  <c r="BU19" i="19"/>
  <c r="BT19" i="19"/>
  <c r="BS19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14" i="19"/>
  <c r="BX14" i="19"/>
  <c r="BV14" i="19"/>
  <c r="BU14" i="19"/>
  <c r="BT14" i="19"/>
  <c r="BS14" i="19"/>
  <c r="BY8" i="19"/>
  <c r="BX8" i="19"/>
  <c r="BV8" i="19"/>
  <c r="BU8" i="19"/>
  <c r="BT8" i="19"/>
  <c r="BS8" i="19"/>
  <c r="BY15" i="19"/>
  <c r="BX15" i="19"/>
  <c r="BV15" i="19"/>
  <c r="BU15" i="19"/>
  <c r="BT15" i="19"/>
  <c r="BS15" i="19"/>
  <c r="BY11" i="19"/>
  <c r="BX11" i="19"/>
  <c r="BV11" i="19"/>
  <c r="BU11" i="19"/>
  <c r="BT11" i="19"/>
  <c r="BS11" i="19"/>
  <c r="BY13" i="19"/>
  <c r="BX13" i="19"/>
  <c r="BV13" i="19"/>
  <c r="BU13" i="19"/>
  <c r="BT13" i="19"/>
  <c r="BS13" i="19"/>
  <c r="BY18" i="19"/>
  <c r="BX18" i="19"/>
  <c r="BV18" i="19"/>
  <c r="BU18" i="19"/>
  <c r="BT18" i="19"/>
  <c r="BS18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30" i="19"/>
  <c r="AU30" i="19"/>
  <c r="AS30" i="19"/>
  <c r="AR30" i="19"/>
  <c r="AQ30" i="19"/>
  <c r="AP30" i="19"/>
  <c r="AV17" i="19"/>
  <c r="AU17" i="19"/>
  <c r="AS17" i="19"/>
  <c r="AR17" i="19"/>
  <c r="AQ17" i="19"/>
  <c r="AP17" i="19"/>
  <c r="AV29" i="19"/>
  <c r="AU29" i="19"/>
  <c r="AS29" i="19"/>
  <c r="AR29" i="19"/>
  <c r="AQ29" i="19"/>
  <c r="AP29" i="19"/>
  <c r="AV28" i="19"/>
  <c r="AU28" i="19"/>
  <c r="AS28" i="19"/>
  <c r="AR28" i="19"/>
  <c r="AQ28" i="19"/>
  <c r="AP28" i="19"/>
  <c r="AV27" i="19"/>
  <c r="AU27" i="19"/>
  <c r="AS27" i="19"/>
  <c r="AR27" i="19"/>
  <c r="AQ27" i="19"/>
  <c r="AP27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2" i="19"/>
  <c r="AU22" i="19"/>
  <c r="AS22" i="19"/>
  <c r="AR22" i="19"/>
  <c r="AQ22" i="19"/>
  <c r="AP22" i="19"/>
  <c r="AV24" i="19"/>
  <c r="AU24" i="19"/>
  <c r="AS24" i="19"/>
  <c r="AR24" i="19"/>
  <c r="AQ24" i="19"/>
  <c r="AP24" i="19"/>
  <c r="AV21" i="19"/>
  <c r="AU21" i="19"/>
  <c r="AS21" i="19"/>
  <c r="AR21" i="19"/>
  <c r="AQ21" i="19"/>
  <c r="AP21" i="19"/>
  <c r="AV12" i="19"/>
  <c r="AU12" i="19"/>
  <c r="AS12" i="19"/>
  <c r="AR12" i="19"/>
  <c r="AQ12" i="19"/>
  <c r="AP12" i="19"/>
  <c r="AV19" i="19"/>
  <c r="AU19" i="19"/>
  <c r="AS19" i="19"/>
  <c r="AR19" i="19"/>
  <c r="AQ19" i="19"/>
  <c r="AP19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4" i="19"/>
  <c r="AU14" i="19"/>
  <c r="AS14" i="19"/>
  <c r="AR14" i="19"/>
  <c r="AQ14" i="19"/>
  <c r="AP14" i="19"/>
  <c r="AV8" i="19"/>
  <c r="AU8" i="19"/>
  <c r="AS8" i="19"/>
  <c r="AR8" i="19"/>
  <c r="AQ8" i="19"/>
  <c r="AP8" i="19"/>
  <c r="AV15" i="19"/>
  <c r="AU15" i="19"/>
  <c r="AS15" i="19"/>
  <c r="AR15" i="19"/>
  <c r="AQ15" i="19"/>
  <c r="AP15" i="19"/>
  <c r="AV11" i="19"/>
  <c r="AU11" i="19"/>
  <c r="AS11" i="19"/>
  <c r="AR11" i="19"/>
  <c r="AQ11" i="19"/>
  <c r="AP11" i="19"/>
  <c r="AV13" i="19"/>
  <c r="AU13" i="19"/>
  <c r="AS13" i="19"/>
  <c r="AR13" i="19"/>
  <c r="AQ13" i="19"/>
  <c r="AP13" i="19"/>
  <c r="AV18" i="19"/>
  <c r="AU18" i="19"/>
  <c r="AS18" i="19"/>
  <c r="AR18" i="19"/>
  <c r="AQ18" i="19"/>
  <c r="AP18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2" i="27"/>
  <c r="BX12" i="27"/>
  <c r="BV12" i="27"/>
  <c r="BU12" i="27"/>
  <c r="BT12" i="27"/>
  <c r="BS12" i="27"/>
  <c r="BY8" i="27"/>
  <c r="BX8" i="27"/>
  <c r="BV8" i="27"/>
  <c r="BU8" i="27"/>
  <c r="BT8" i="27"/>
  <c r="BS8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5" i="27"/>
  <c r="BX5" i="27"/>
  <c r="BV5" i="27"/>
  <c r="BU5" i="27"/>
  <c r="BT5" i="27"/>
  <c r="BS5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12" i="27"/>
  <c r="AU12" i="27"/>
  <c r="AS12" i="27"/>
  <c r="AR12" i="27"/>
  <c r="AQ12" i="27"/>
  <c r="AP12" i="27"/>
  <c r="AV8" i="27"/>
  <c r="AU8" i="27"/>
  <c r="AS8" i="27"/>
  <c r="AR8" i="27"/>
  <c r="AQ8" i="27"/>
  <c r="AP8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5" i="27"/>
  <c r="AU5" i="27"/>
  <c r="AS5" i="27"/>
  <c r="AR5" i="27"/>
  <c r="AQ5" i="27"/>
  <c r="AP5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11" i="26"/>
  <c r="BX11" i="26"/>
  <c r="BV11" i="26"/>
  <c r="BU11" i="26"/>
  <c r="BT11" i="26"/>
  <c r="BS11" i="26"/>
  <c r="BY8" i="26"/>
  <c r="BX8" i="26"/>
  <c r="BV8" i="26"/>
  <c r="BU8" i="26"/>
  <c r="BT8" i="26"/>
  <c r="BS8" i="26"/>
  <c r="BY6" i="26"/>
  <c r="BX6" i="26"/>
  <c r="BV6" i="26"/>
  <c r="BU6" i="26"/>
  <c r="BT6" i="26"/>
  <c r="BS6" i="26"/>
  <c r="BY10" i="26"/>
  <c r="BX10" i="26"/>
  <c r="BV10" i="26"/>
  <c r="BU10" i="26"/>
  <c r="BT10" i="26"/>
  <c r="BS10" i="26"/>
  <c r="BY9" i="26"/>
  <c r="BX9" i="26"/>
  <c r="BV9" i="26"/>
  <c r="BU9" i="26"/>
  <c r="BT9" i="26"/>
  <c r="BS9" i="26"/>
  <c r="BY4" i="26"/>
  <c r="BX4" i="26"/>
  <c r="BV4" i="26"/>
  <c r="BU4" i="26"/>
  <c r="BT4" i="26"/>
  <c r="BS4" i="26"/>
  <c r="BY5" i="26"/>
  <c r="BX5" i="26"/>
  <c r="BV5" i="26"/>
  <c r="BU5" i="26"/>
  <c r="BT5" i="26"/>
  <c r="BS5" i="26"/>
  <c r="AV11" i="26"/>
  <c r="AU11" i="26"/>
  <c r="AS11" i="26"/>
  <c r="AR11" i="26"/>
  <c r="AQ11" i="26"/>
  <c r="AP11" i="26"/>
  <c r="AV8" i="26"/>
  <c r="AU8" i="26"/>
  <c r="AS8" i="26"/>
  <c r="AR8" i="26"/>
  <c r="AQ8" i="26"/>
  <c r="AW8" i="26" s="1"/>
  <c r="AP8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9" i="26"/>
  <c r="AU9" i="26"/>
  <c r="AS9" i="26"/>
  <c r="AR9" i="26"/>
  <c r="AQ9" i="26"/>
  <c r="AP9" i="26"/>
  <c r="AV4" i="26"/>
  <c r="AU4" i="26"/>
  <c r="AS4" i="26"/>
  <c r="AR4" i="26"/>
  <c r="AQ4" i="26"/>
  <c r="AW4" i="26" s="1"/>
  <c r="AP4" i="26"/>
  <c r="AV5" i="26"/>
  <c r="AU5" i="26"/>
  <c r="AS5" i="26"/>
  <c r="AR5" i="26"/>
  <c r="AQ5" i="26"/>
  <c r="AP5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6" i="24"/>
  <c r="BP6" i="24"/>
  <c r="BO6" i="24"/>
  <c r="BM6" i="24"/>
  <c r="BL6" i="24"/>
  <c r="BK6" i="24"/>
  <c r="BJ6" i="24"/>
  <c r="BN6" i="24" s="1"/>
  <c r="BI6" i="24"/>
  <c r="BH6" i="24"/>
  <c r="BQ7" i="24"/>
  <c r="BP7" i="24"/>
  <c r="BO7" i="24"/>
  <c r="BM7" i="24"/>
  <c r="BL7" i="24"/>
  <c r="BK7" i="24"/>
  <c r="BJ7" i="24"/>
  <c r="BI7" i="24"/>
  <c r="BH7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M9" i="24" s="1"/>
  <c r="AH9" i="24"/>
  <c r="AG9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5" i="23"/>
  <c r="BP15" i="23"/>
  <c r="BO15" i="23"/>
  <c r="BM15" i="23"/>
  <c r="BL15" i="23"/>
  <c r="BK15" i="23"/>
  <c r="BJ15" i="23"/>
  <c r="BI15" i="23"/>
  <c r="BH15" i="23"/>
  <c r="BQ13" i="23"/>
  <c r="BP13" i="23"/>
  <c r="BO13" i="23"/>
  <c r="BM13" i="23"/>
  <c r="BL13" i="23"/>
  <c r="BK13" i="23"/>
  <c r="BJ13" i="23"/>
  <c r="BI13" i="23"/>
  <c r="BH13" i="23"/>
  <c r="BQ14" i="23"/>
  <c r="BP14" i="23"/>
  <c r="BO14" i="23"/>
  <c r="BM14" i="23"/>
  <c r="BL14" i="23"/>
  <c r="BK14" i="23"/>
  <c r="BJ14" i="23"/>
  <c r="BN14" i="23" s="1"/>
  <c r="BI14" i="23"/>
  <c r="BH14" i="23"/>
  <c r="BQ7" i="23"/>
  <c r="BP7" i="23"/>
  <c r="BO7" i="23"/>
  <c r="BM7" i="23"/>
  <c r="BL7" i="23"/>
  <c r="BK7" i="23"/>
  <c r="BJ7" i="23"/>
  <c r="BN7" i="23" s="1"/>
  <c r="BI7" i="23"/>
  <c r="BH7" i="23"/>
  <c r="BQ12" i="23"/>
  <c r="BP12" i="23"/>
  <c r="BO12" i="23"/>
  <c r="BM12" i="23"/>
  <c r="BL12" i="23"/>
  <c r="BK12" i="23"/>
  <c r="BJ12" i="23"/>
  <c r="BN12" i="23" s="1"/>
  <c r="BI12" i="23"/>
  <c r="BH12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8" i="23"/>
  <c r="BP8" i="23"/>
  <c r="BO8" i="23"/>
  <c r="BM8" i="23"/>
  <c r="BL8" i="23"/>
  <c r="BK8" i="23"/>
  <c r="BJ8" i="23"/>
  <c r="BI8" i="23"/>
  <c r="BH8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5" i="23"/>
  <c r="AO15" i="23"/>
  <c r="AN15" i="23"/>
  <c r="AL15" i="23"/>
  <c r="AK15" i="23"/>
  <c r="AJ15" i="23"/>
  <c r="AI15" i="23"/>
  <c r="AM15" i="23" s="1"/>
  <c r="AH15" i="23"/>
  <c r="AG15" i="23"/>
  <c r="AP13" i="23"/>
  <c r="AO13" i="23"/>
  <c r="AN13" i="23"/>
  <c r="AL13" i="23"/>
  <c r="AK13" i="23"/>
  <c r="AJ13" i="23"/>
  <c r="AI13" i="23"/>
  <c r="AM13" i="23" s="1"/>
  <c r="AH13" i="23"/>
  <c r="AG13" i="23"/>
  <c r="AP14" i="23"/>
  <c r="AO14" i="23"/>
  <c r="AN14" i="23"/>
  <c r="AL14" i="23"/>
  <c r="AK14" i="23"/>
  <c r="AJ14" i="23"/>
  <c r="AI14" i="23"/>
  <c r="AM14" i="23" s="1"/>
  <c r="AH14" i="23"/>
  <c r="AG14" i="23"/>
  <c r="AP7" i="23"/>
  <c r="AO7" i="23"/>
  <c r="AN7" i="23"/>
  <c r="AL7" i="23"/>
  <c r="AK7" i="23"/>
  <c r="AJ7" i="23"/>
  <c r="AI7" i="23"/>
  <c r="AM7" i="23" s="1"/>
  <c r="AH7" i="23"/>
  <c r="AG7" i="23"/>
  <c r="AP12" i="23"/>
  <c r="AO12" i="23"/>
  <c r="AN12" i="23"/>
  <c r="AL12" i="23"/>
  <c r="AK12" i="23"/>
  <c r="AJ12" i="23"/>
  <c r="AI12" i="23"/>
  <c r="AM12" i="23" s="1"/>
  <c r="AH12" i="23"/>
  <c r="AG12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H9" i="23"/>
  <c r="AG9" i="23"/>
  <c r="AP8" i="23"/>
  <c r="AO8" i="23"/>
  <c r="AN8" i="23"/>
  <c r="AL8" i="23"/>
  <c r="AK8" i="23"/>
  <c r="AJ8" i="23"/>
  <c r="AI8" i="23"/>
  <c r="AH8" i="23"/>
  <c r="AG8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8" i="22"/>
  <c r="BX18" i="22"/>
  <c r="BW18" i="22"/>
  <c r="BU18" i="22"/>
  <c r="BT18" i="22"/>
  <c r="BS18" i="22"/>
  <c r="BR18" i="22"/>
  <c r="BV18" i="22" s="1"/>
  <c r="BQ18" i="22"/>
  <c r="BP18" i="22"/>
  <c r="BY16" i="22"/>
  <c r="BX16" i="22"/>
  <c r="BW16" i="22"/>
  <c r="BU16" i="22"/>
  <c r="BT16" i="22"/>
  <c r="BS16" i="22"/>
  <c r="BR16" i="22"/>
  <c r="BQ16" i="22"/>
  <c r="BP16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P17" i="22"/>
  <c r="AO17" i="22"/>
  <c r="AX18" i="22"/>
  <c r="AW18" i="22"/>
  <c r="AV18" i="22"/>
  <c r="AT18" i="22"/>
  <c r="AS18" i="22"/>
  <c r="AR18" i="22"/>
  <c r="AQ18" i="22"/>
  <c r="AP18" i="22"/>
  <c r="AO18" i="22"/>
  <c r="AX16" i="22"/>
  <c r="AW16" i="22"/>
  <c r="AV16" i="22"/>
  <c r="AT16" i="22"/>
  <c r="AS16" i="22"/>
  <c r="AR16" i="22"/>
  <c r="AQ16" i="22"/>
  <c r="AU16" i="22" s="1"/>
  <c r="AP16" i="22"/>
  <c r="AO16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Q23" i="4"/>
  <c r="BP23" i="4"/>
  <c r="BY12" i="4"/>
  <c r="BX12" i="4"/>
  <c r="BW12" i="4"/>
  <c r="BU12" i="4"/>
  <c r="BT12" i="4"/>
  <c r="BS12" i="4"/>
  <c r="BR12" i="4"/>
  <c r="BQ12" i="4"/>
  <c r="BP12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V16" i="4" s="1"/>
  <c r="BQ16" i="4"/>
  <c r="BP16" i="4"/>
  <c r="BY19" i="4"/>
  <c r="BX19" i="4"/>
  <c r="BW19" i="4"/>
  <c r="BU19" i="4"/>
  <c r="BT19" i="4"/>
  <c r="BS19" i="4"/>
  <c r="BR19" i="4"/>
  <c r="BQ19" i="4"/>
  <c r="BP19" i="4"/>
  <c r="BY21" i="4"/>
  <c r="BX21" i="4"/>
  <c r="BW21" i="4"/>
  <c r="BU21" i="4"/>
  <c r="BT21" i="4"/>
  <c r="BS21" i="4"/>
  <c r="BR21" i="4"/>
  <c r="BQ21" i="4"/>
  <c r="BP21" i="4"/>
  <c r="BY9" i="4"/>
  <c r="BX9" i="4"/>
  <c r="BW9" i="4"/>
  <c r="BU9" i="4"/>
  <c r="BT9" i="4"/>
  <c r="BS9" i="4"/>
  <c r="BR9" i="4"/>
  <c r="BQ9" i="4"/>
  <c r="BP9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U24" i="4" s="1"/>
  <c r="AP24" i="4"/>
  <c r="AO24" i="4"/>
  <c r="AX23" i="4"/>
  <c r="AW23" i="4"/>
  <c r="AV23" i="4"/>
  <c r="AT23" i="4"/>
  <c r="AS23" i="4"/>
  <c r="AR23" i="4"/>
  <c r="AQ23" i="4"/>
  <c r="AP23" i="4"/>
  <c r="AO23" i="4"/>
  <c r="AX12" i="4"/>
  <c r="AW12" i="4"/>
  <c r="AV12" i="4"/>
  <c r="AT12" i="4"/>
  <c r="AS12" i="4"/>
  <c r="AR12" i="4"/>
  <c r="AQ12" i="4"/>
  <c r="AU12" i="4" s="1"/>
  <c r="AP12" i="4"/>
  <c r="AO12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19" i="4"/>
  <c r="AW19" i="4"/>
  <c r="AV19" i="4"/>
  <c r="AT19" i="4"/>
  <c r="AS19" i="4"/>
  <c r="AR19" i="4"/>
  <c r="AQ19" i="4"/>
  <c r="AP19" i="4"/>
  <c r="AO19" i="4"/>
  <c r="AX21" i="4"/>
  <c r="AW21" i="4"/>
  <c r="AV21" i="4"/>
  <c r="AT21" i="4"/>
  <c r="AS21" i="4"/>
  <c r="AR21" i="4"/>
  <c r="AQ21" i="4"/>
  <c r="AP21" i="4"/>
  <c r="AO21" i="4"/>
  <c r="AX9" i="4"/>
  <c r="AW9" i="4"/>
  <c r="AV9" i="4"/>
  <c r="AT9" i="4"/>
  <c r="AS9" i="4"/>
  <c r="AR9" i="4"/>
  <c r="AQ9" i="4"/>
  <c r="AP9" i="4"/>
  <c r="AO9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CI10" i="24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AW6" i="21" l="1"/>
  <c r="AW5" i="21"/>
  <c r="BZ9" i="26"/>
  <c r="BZ11" i="26"/>
  <c r="AW9" i="26"/>
  <c r="AW4" i="27"/>
  <c r="AW9" i="27"/>
  <c r="AW12" i="27"/>
  <c r="BZ5" i="27"/>
  <c r="AW5" i="27"/>
  <c r="AW15" i="21"/>
  <c r="AW10" i="19"/>
  <c r="AW21" i="19"/>
  <c r="AW17" i="19"/>
  <c r="BZ5" i="19"/>
  <c r="BZ11" i="19"/>
  <c r="BZ10" i="19"/>
  <c r="BZ21" i="19"/>
  <c r="BZ26" i="19"/>
  <c r="BZ7" i="27"/>
  <c r="AW11" i="26"/>
  <c r="BZ10" i="26"/>
  <c r="AW5" i="19"/>
  <c r="AW11" i="19"/>
  <c r="BZ8" i="27"/>
  <c r="BZ17" i="19"/>
  <c r="AW7" i="27"/>
  <c r="AW8" i="27"/>
  <c r="BZ6" i="27"/>
  <c r="BZ10" i="27"/>
  <c r="AU10" i="22"/>
  <c r="AY10" i="22" s="1"/>
  <c r="AW8" i="21"/>
  <c r="AW12" i="21"/>
  <c r="AW16" i="21"/>
  <c r="BZ7" i="21"/>
  <c r="BZ11" i="21"/>
  <c r="BZ14" i="21"/>
  <c r="AW18" i="21"/>
  <c r="BZ8" i="21"/>
  <c r="BZ12" i="21"/>
  <c r="BZ16" i="21"/>
  <c r="DC14" i="21"/>
  <c r="DC16" i="21"/>
  <c r="QD14" i="21"/>
  <c r="QD16" i="21"/>
  <c r="AW4" i="21"/>
  <c r="AW9" i="21"/>
  <c r="AW13" i="21"/>
  <c r="AW17" i="21"/>
  <c r="BZ6" i="21"/>
  <c r="BZ5" i="21"/>
  <c r="BZ15" i="21"/>
  <c r="BZ18" i="21"/>
  <c r="AW7" i="21"/>
  <c r="AW11" i="21"/>
  <c r="AW14" i="21"/>
  <c r="BZ4" i="21"/>
  <c r="BZ9" i="21"/>
  <c r="BZ13" i="21"/>
  <c r="BZ17" i="21"/>
  <c r="AW13" i="19"/>
  <c r="AW14" i="19"/>
  <c r="AW12" i="19"/>
  <c r="AW23" i="19"/>
  <c r="BZ6" i="19"/>
  <c r="BZ13" i="19"/>
  <c r="BZ14" i="19"/>
  <c r="BZ12" i="19"/>
  <c r="BZ23" i="19"/>
  <c r="BZ29" i="19"/>
  <c r="AT26" i="19"/>
  <c r="AW26" i="19"/>
  <c r="DC12" i="19"/>
  <c r="AT6" i="19"/>
  <c r="AW6" i="19"/>
  <c r="AT29" i="19"/>
  <c r="AW29" i="19"/>
  <c r="AT4" i="19"/>
  <c r="AW4" i="19"/>
  <c r="AW18" i="19"/>
  <c r="AW8" i="19"/>
  <c r="AT19" i="19"/>
  <c r="AW19" i="19"/>
  <c r="AW22" i="19"/>
  <c r="AT28" i="19"/>
  <c r="AW28" i="19"/>
  <c r="BZ4" i="19"/>
  <c r="BZ18" i="19"/>
  <c r="BZ8" i="19"/>
  <c r="BZ19" i="19"/>
  <c r="BZ22" i="19"/>
  <c r="BZ28" i="19"/>
  <c r="QD12" i="19"/>
  <c r="AW7" i="19"/>
  <c r="AW15" i="19"/>
  <c r="AW9" i="19"/>
  <c r="AW24" i="19"/>
  <c r="AW27" i="19"/>
  <c r="AW30" i="19"/>
  <c r="BZ7" i="19"/>
  <c r="BZ15" i="19"/>
  <c r="BZ9" i="19"/>
  <c r="BZ24" i="19"/>
  <c r="BZ27" i="19"/>
  <c r="BZ30" i="19"/>
  <c r="AW6" i="27"/>
  <c r="AW10" i="27"/>
  <c r="BZ4" i="27"/>
  <c r="BZ9" i="27"/>
  <c r="BZ12" i="27"/>
  <c r="AW5" i="26"/>
  <c r="AW6" i="26"/>
  <c r="BZ4" i="26"/>
  <c r="BZ8" i="26"/>
  <c r="AW10" i="26"/>
  <c r="BZ5" i="26"/>
  <c r="BZ6" i="26"/>
  <c r="AM6" i="24"/>
  <c r="AQ6" i="24" s="1"/>
  <c r="BR6" i="24"/>
  <c r="BR15" i="24"/>
  <c r="BR8" i="24"/>
  <c r="AT15" i="19"/>
  <c r="AT24" i="19"/>
  <c r="AQ8" i="24"/>
  <c r="AQ10" i="24"/>
  <c r="AQ13" i="24"/>
  <c r="AQ10" i="23"/>
  <c r="BZ18" i="22"/>
  <c r="AY13" i="22"/>
  <c r="AY16" i="22"/>
  <c r="AU7" i="22"/>
  <c r="AY7" i="22" s="1"/>
  <c r="BV9" i="22"/>
  <c r="BZ9" i="22" s="1"/>
  <c r="AU5" i="4"/>
  <c r="AY5" i="4" s="1"/>
  <c r="AU9" i="4"/>
  <c r="AY9" i="4" s="1"/>
  <c r="BV13" i="4"/>
  <c r="BZ13" i="4" s="1"/>
  <c r="AT10" i="19"/>
  <c r="AQ15" i="24"/>
  <c r="BR4" i="24"/>
  <c r="AQ9" i="24"/>
  <c r="AM7" i="24"/>
  <c r="AQ7" i="24" s="1"/>
  <c r="BR9" i="23"/>
  <c r="AQ6" i="23"/>
  <c r="AQ13" i="23"/>
  <c r="AQ15" i="23"/>
  <c r="BV17" i="22"/>
  <c r="BZ17" i="22" s="1"/>
  <c r="BV4" i="22"/>
  <c r="BZ4" i="22" s="1"/>
  <c r="BV5" i="4"/>
  <c r="BZ5" i="4" s="1"/>
  <c r="BV9" i="4"/>
  <c r="BZ9" i="4" s="1"/>
  <c r="BV23" i="4"/>
  <c r="BZ23" i="4" s="1"/>
  <c r="AU23" i="4"/>
  <c r="AY23" i="4" s="1"/>
  <c r="BV11" i="4"/>
  <c r="BZ11" i="4" s="1"/>
  <c r="AU20" i="4"/>
  <c r="AY20" i="4" s="1"/>
  <c r="BV24" i="4"/>
  <c r="BZ24" i="4" s="1"/>
  <c r="BV14" i="4"/>
  <c r="BZ14" i="4" s="1"/>
  <c r="BV6" i="4"/>
  <c r="BZ6" i="4" s="1"/>
  <c r="BZ16" i="4"/>
  <c r="AU13" i="4"/>
  <c r="AY13" i="4" s="1"/>
  <c r="BV21" i="4"/>
  <c r="BZ21" i="4" s="1"/>
  <c r="BV20" i="4"/>
  <c r="BZ20" i="4" s="1"/>
  <c r="AT18" i="19"/>
  <c r="AT12" i="19"/>
  <c r="AT8" i="19"/>
  <c r="AT5" i="19"/>
  <c r="AT22" i="19"/>
  <c r="AT13" i="19"/>
  <c r="AT30" i="19"/>
  <c r="AT7" i="19"/>
  <c r="AT9" i="19"/>
  <c r="AT27" i="19"/>
  <c r="AT14" i="19"/>
  <c r="AT23" i="19"/>
  <c r="AT11" i="19"/>
  <c r="AT21" i="19"/>
  <c r="AT17" i="19"/>
  <c r="AQ12" i="24"/>
  <c r="BR14" i="24"/>
  <c r="BN12" i="24"/>
  <c r="BR12" i="24" s="1"/>
  <c r="BN7" i="24"/>
  <c r="BR7" i="24" s="1"/>
  <c r="BR10" i="24"/>
  <c r="BN11" i="24"/>
  <c r="BR11" i="24" s="1"/>
  <c r="AM11" i="24"/>
  <c r="AQ11" i="24" s="1"/>
  <c r="BN5" i="24"/>
  <c r="BR5" i="24" s="1"/>
  <c r="AM5" i="24"/>
  <c r="AQ5" i="24" s="1"/>
  <c r="BR9" i="24"/>
  <c r="BN13" i="24"/>
  <c r="BR13" i="24" s="1"/>
  <c r="AM4" i="24"/>
  <c r="AQ4" i="24" s="1"/>
  <c r="AM8" i="23"/>
  <c r="AQ8" i="23" s="1"/>
  <c r="BN4" i="23"/>
  <c r="BR4" i="23" s="1"/>
  <c r="AQ7" i="23"/>
  <c r="AQ4" i="23"/>
  <c r="BR6" i="23"/>
  <c r="BR14" i="23"/>
  <c r="BN8" i="23"/>
  <c r="BR8" i="23" s="1"/>
  <c r="BN13" i="23"/>
  <c r="BR13" i="23" s="1"/>
  <c r="AM9" i="23"/>
  <c r="AQ9" i="23" s="1"/>
  <c r="BN10" i="23"/>
  <c r="BR10" i="23" s="1"/>
  <c r="BR12" i="23"/>
  <c r="AQ14" i="23"/>
  <c r="BR5" i="23"/>
  <c r="BR7" i="23"/>
  <c r="BN15" i="23"/>
  <c r="BR15" i="23" s="1"/>
  <c r="AQ5" i="23"/>
  <c r="AQ12" i="23"/>
  <c r="AU18" i="22"/>
  <c r="AY18" i="22" s="1"/>
  <c r="BV5" i="22"/>
  <c r="BZ5" i="22" s="1"/>
  <c r="BV11" i="22"/>
  <c r="BZ11" i="22" s="1"/>
  <c r="AU4" i="22"/>
  <c r="AY4" i="22" s="1"/>
  <c r="AU17" i="22"/>
  <c r="AY17" i="22" s="1"/>
  <c r="AU11" i="22"/>
  <c r="AY11" i="22" s="1"/>
  <c r="BZ13" i="22"/>
  <c r="AU6" i="22"/>
  <c r="AY6" i="22" s="1"/>
  <c r="BV7" i="22"/>
  <c r="BZ7" i="22" s="1"/>
  <c r="BV8" i="22"/>
  <c r="BZ8" i="22" s="1"/>
  <c r="BV12" i="22"/>
  <c r="BZ12" i="22" s="1"/>
  <c r="AU5" i="22"/>
  <c r="AY5" i="22" s="1"/>
  <c r="AU9" i="22"/>
  <c r="AY9" i="22" s="1"/>
  <c r="BV16" i="22"/>
  <c r="BZ16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V14" i="22"/>
  <c r="BZ14" i="22" s="1"/>
  <c r="BV17" i="4"/>
  <c r="BZ17" i="4" s="1"/>
  <c r="AY24" i="4"/>
  <c r="AU6" i="4"/>
  <c r="AY6" i="4" s="1"/>
  <c r="AU21" i="4"/>
  <c r="AY21" i="4" s="1"/>
  <c r="AU17" i="4"/>
  <c r="AY17" i="4" s="1"/>
  <c r="BV12" i="4"/>
  <c r="BZ12" i="4" s="1"/>
  <c r="AU10" i="4"/>
  <c r="AY10" i="4" s="1"/>
  <c r="AU14" i="4"/>
  <c r="AY14" i="4" s="1"/>
  <c r="BV4" i="4"/>
  <c r="BZ4" i="4" s="1"/>
  <c r="AU7" i="4"/>
  <c r="AY7" i="4" s="1"/>
  <c r="AU16" i="4"/>
  <c r="AY16" i="4" s="1"/>
  <c r="AY12" i="4"/>
  <c r="AU11" i="4"/>
  <c r="AY11" i="4" s="1"/>
  <c r="BV7" i="4"/>
  <c r="BZ7" i="4" s="1"/>
  <c r="AU4" i="4"/>
  <c r="AY4" i="4" s="1"/>
  <c r="BV8" i="4"/>
  <c r="BZ8" i="4" s="1"/>
  <c r="BV19" i="4"/>
  <c r="BZ19" i="4" s="1"/>
  <c r="AU19" i="4"/>
  <c r="AY19" i="4" s="1"/>
  <c r="BV10" i="4"/>
  <c r="BZ10" i="4" s="1"/>
  <c r="AU8" i="4"/>
  <c r="AY8" i="4" s="1"/>
  <c r="BW4" i="21"/>
  <c r="BW6" i="21"/>
  <c r="BW8" i="21"/>
  <c r="BW7" i="21"/>
  <c r="BW9" i="21"/>
  <c r="BW5" i="21"/>
  <c r="BW12" i="21"/>
  <c r="BW11" i="21"/>
  <c r="BW13" i="21"/>
  <c r="BW15" i="21"/>
  <c r="BW16" i="21"/>
  <c r="BW14" i="21"/>
  <c r="BW17" i="21"/>
  <c r="BW18" i="21"/>
  <c r="AT4" i="21"/>
  <c r="AT6" i="21"/>
  <c r="AT8" i="21"/>
  <c r="AT7" i="21"/>
  <c r="AT9" i="21"/>
  <c r="AT5" i="21"/>
  <c r="AT12" i="21"/>
  <c r="AT11" i="21"/>
  <c r="AT13" i="21"/>
  <c r="AT15" i="21"/>
  <c r="AT16" i="21"/>
  <c r="AT14" i="21"/>
  <c r="AT17" i="21"/>
  <c r="AT18" i="21"/>
  <c r="BW4" i="19"/>
  <c r="BW6" i="19"/>
  <c r="BW5" i="19"/>
  <c r="BW7" i="19"/>
  <c r="BW18" i="19"/>
  <c r="BW13" i="19"/>
  <c r="BW11" i="19"/>
  <c r="BW15" i="19"/>
  <c r="BW8" i="19"/>
  <c r="BW14" i="19"/>
  <c r="BW10" i="19"/>
  <c r="BW9" i="19"/>
  <c r="BW19" i="19"/>
  <c r="BW12" i="19"/>
  <c r="BW21" i="19"/>
  <c r="BW24" i="19"/>
  <c r="BW22" i="19"/>
  <c r="BW23" i="19"/>
  <c r="BW26" i="19"/>
  <c r="BW27" i="19"/>
  <c r="BW28" i="19"/>
  <c r="BW29" i="19"/>
  <c r="BW17" i="19"/>
  <c r="BW30" i="19"/>
  <c r="BW4" i="27"/>
  <c r="BW6" i="27"/>
  <c r="BW7" i="27"/>
  <c r="BW5" i="27"/>
  <c r="BW9" i="27"/>
  <c r="BW10" i="27"/>
  <c r="BW8" i="27"/>
  <c r="BW12" i="27"/>
  <c r="AT4" i="27"/>
  <c r="AT6" i="27"/>
  <c r="AT7" i="27"/>
  <c r="AT5" i="27"/>
  <c r="AT9" i="27"/>
  <c r="AT10" i="27"/>
  <c r="AT8" i="27"/>
  <c r="AT12" i="27"/>
  <c r="BW5" i="26"/>
  <c r="BW4" i="26"/>
  <c r="BW9" i="26"/>
  <c r="BW10" i="26"/>
  <c r="BW6" i="26"/>
  <c r="BW8" i="26"/>
  <c r="BW11" i="26"/>
  <c r="AT5" i="26"/>
  <c r="AT4" i="26"/>
  <c r="AT9" i="26"/>
  <c r="AT10" i="26"/>
  <c r="AT6" i="26"/>
  <c r="AT8" i="26"/>
  <c r="AT11" i="26"/>
  <c r="CS10" i="24"/>
  <c r="TI7" i="23"/>
  <c r="SF10" i="24"/>
  <c r="SM10" i="24" s="1"/>
  <c r="TF10" i="24"/>
  <c r="CS7" i="23"/>
  <c r="L10" i="24"/>
  <c r="M10" i="24" s="1"/>
  <c r="TM10" i="24"/>
  <c r="TI10" i="24"/>
  <c r="J10" i="24"/>
  <c r="K10" i="24" s="1"/>
  <c r="I10" i="24"/>
  <c r="G10" i="24"/>
  <c r="F10" i="24"/>
  <c r="SF7" i="23"/>
  <c r="SM7" i="23" s="1"/>
  <c r="TM7" i="23"/>
  <c r="G7" i="23"/>
  <c r="L7" i="23"/>
  <c r="CU7" i="23" s="1"/>
  <c r="F7" i="23"/>
  <c r="J7" i="23"/>
  <c r="I7" i="23"/>
  <c r="TF7" i="23"/>
  <c r="G14" i="21"/>
  <c r="F14" i="21"/>
  <c r="G16" i="21"/>
  <c r="F16" i="21"/>
  <c r="RE14" i="21"/>
  <c r="G12" i="19"/>
  <c r="F12" i="19"/>
  <c r="RC14" i="21"/>
  <c r="RE16" i="21"/>
  <c r="RC16" i="21"/>
  <c r="P16" i="21"/>
  <c r="DF16" i="21" s="1"/>
  <c r="P14" i="21"/>
  <c r="DF14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4" i="21"/>
  <c r="RA14" i="21"/>
  <c r="RF14" i="21"/>
  <c r="RB14" i="21"/>
  <c r="N14" i="21"/>
  <c r="O14" i="21" s="1"/>
  <c r="L14" i="21"/>
  <c r="M14" i="21" s="1"/>
  <c r="QZ14" i="21"/>
  <c r="J14" i="21"/>
  <c r="K14" i="21" s="1"/>
  <c r="CZ14" i="21"/>
  <c r="QZ12" i="19"/>
  <c r="QA12" i="19"/>
  <c r="RF12" i="19"/>
  <c r="N12" i="19"/>
  <c r="O12" i="19" s="1"/>
  <c r="RE12" i="19"/>
  <c r="CZ12" i="19"/>
  <c r="RB12" i="19"/>
  <c r="RA12" i="19"/>
  <c r="L12" i="19"/>
  <c r="M12" i="19" s="1"/>
  <c r="J12" i="19"/>
  <c r="K12" i="19" s="1"/>
  <c r="P12" i="19"/>
  <c r="RC12" i="19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RG14" i="21" l="1"/>
  <c r="RG16" i="21"/>
  <c r="RG12" i="19"/>
  <c r="DC10" i="27"/>
  <c r="QD10" i="27"/>
  <c r="G10" i="27"/>
  <c r="TJ7" i="23"/>
  <c r="TN7" i="23" s="1"/>
  <c r="M7" i="23"/>
  <c r="CT10" i="24"/>
  <c r="CU10" i="24"/>
  <c r="TJ10" i="24"/>
  <c r="TN10" i="24" s="1"/>
  <c r="CT7" i="23"/>
  <c r="N7" i="23" s="1"/>
  <c r="H10" i="24"/>
  <c r="H7" i="23"/>
  <c r="K7" i="23"/>
  <c r="Q14" i="21"/>
  <c r="F10" i="27"/>
  <c r="DE12" i="19"/>
  <c r="QA10" i="27"/>
  <c r="QZ10" i="27"/>
  <c r="P10" i="27"/>
  <c r="DF10" i="27" s="1"/>
  <c r="RD14" i="21"/>
  <c r="Q16" i="21"/>
  <c r="DE16" i="21"/>
  <c r="R16" i="21" s="1"/>
  <c r="DE14" i="21"/>
  <c r="RD16" i="21"/>
  <c r="M16" i="21"/>
  <c r="I16" i="21"/>
  <c r="DD14" i="21"/>
  <c r="I14" i="21"/>
  <c r="RD12" i="19"/>
  <c r="I12" i="19"/>
  <c r="DD12" i="19"/>
  <c r="Q12" i="19"/>
  <c r="DF12" i="19"/>
  <c r="N10" i="27"/>
  <c r="O10" i="27" s="1"/>
  <c r="RB10" i="27"/>
  <c r="RA10" i="27"/>
  <c r="RE10" i="27"/>
  <c r="CZ10" i="27"/>
  <c r="L10" i="27"/>
  <c r="DD10" i="27" s="1"/>
  <c r="RF10" i="27"/>
  <c r="J10" i="27"/>
  <c r="K10" i="27" s="1"/>
  <c r="RC10" i="27"/>
  <c r="RG10" i="27" l="1"/>
  <c r="N10" i="24"/>
  <c r="P10" i="24" s="1"/>
  <c r="O7" i="23"/>
  <c r="P7" i="23"/>
  <c r="E7" i="23"/>
  <c r="Q10" i="27"/>
  <c r="I10" i="27"/>
  <c r="R12" i="19"/>
  <c r="E12" i="19" s="1"/>
  <c r="DE10" i="27"/>
  <c r="R10" i="27" s="1"/>
  <c r="S10" i="27" s="1"/>
  <c r="R14" i="21"/>
  <c r="E14" i="21" s="1"/>
  <c r="T16" i="21"/>
  <c r="S16" i="21"/>
  <c r="E16" i="21"/>
  <c r="M10" i="27"/>
  <c r="RD10" i="27"/>
  <c r="E10" i="24" l="1"/>
  <c r="O10" i="24"/>
  <c r="H14" i="21"/>
  <c r="H16" i="21"/>
  <c r="A16" i="21" s="1" a="1"/>
  <c r="A16" i="21" s="1"/>
  <c r="H12" i="19"/>
  <c r="S14" i="21"/>
  <c r="T12" i="19"/>
  <c r="S12" i="19"/>
  <c r="T14" i="21"/>
  <c r="E10" i="27"/>
  <c r="T10" i="27"/>
  <c r="H10" i="27" l="1"/>
  <c r="A10" i="27" s="1" a="1"/>
  <c r="A10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I9" i="24"/>
  <c r="CJ9" i="24"/>
  <c r="CK9" i="24"/>
  <c r="CO9" i="24" s="1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6" i="23"/>
  <c r="CJ6" i="23"/>
  <c r="CK6" i="23"/>
  <c r="CO6" i="23" s="1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2" i="23"/>
  <c r="CJ12" i="23"/>
  <c r="CK12" i="23"/>
  <c r="CO12" i="23" s="1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F10" i="23" l="1"/>
  <c r="F9" i="24"/>
  <c r="G9" i="24"/>
  <c r="F14" i="24"/>
  <c r="G13" i="24"/>
  <c r="F15" i="24"/>
  <c r="G14" i="24"/>
  <c r="F13" i="24"/>
  <c r="G15" i="24"/>
  <c r="F12" i="23"/>
  <c r="F13" i="23"/>
  <c r="G12" i="23"/>
  <c r="G4" i="23"/>
  <c r="F6" i="23"/>
  <c r="F4" i="23"/>
  <c r="G10" i="23"/>
  <c r="G13" i="23"/>
  <c r="G6" i="23"/>
  <c r="G20" i="4"/>
  <c r="F20" i="4"/>
  <c r="CO13" i="24"/>
  <c r="CS13" i="24" s="1"/>
  <c r="TM13" i="23"/>
  <c r="SF13" i="24"/>
  <c r="SM13" i="24" s="1"/>
  <c r="TF13" i="24"/>
  <c r="L13" i="24"/>
  <c r="CU13" i="24" s="1"/>
  <c r="TM13" i="24"/>
  <c r="TI13" i="24"/>
  <c r="J13" i="24"/>
  <c r="K13" i="24" s="1"/>
  <c r="I13" i="24"/>
  <c r="CO10" i="23"/>
  <c r="CS10" i="23" s="1"/>
  <c r="CO4" i="23"/>
  <c r="CS4" i="23" s="1"/>
  <c r="CO13" i="23"/>
  <c r="CS13" i="23" s="1"/>
  <c r="SF13" i="23"/>
  <c r="SM13" i="23" s="1"/>
  <c r="TI13" i="23"/>
  <c r="J13" i="23"/>
  <c r="K13" i="23" s="1"/>
  <c r="L13" i="23"/>
  <c r="CU13" i="23" s="1"/>
  <c r="I13" i="23"/>
  <c r="TF13" i="23"/>
  <c r="SF10" i="23"/>
  <c r="SM10" i="23" s="1"/>
  <c r="TI10" i="23"/>
  <c r="TF10" i="23"/>
  <c r="TM10" i="23"/>
  <c r="L10" i="23"/>
  <c r="CU10" i="23" s="1"/>
  <c r="J10" i="23"/>
  <c r="I10" i="23"/>
  <c r="J4" i="23"/>
  <c r="K4" i="23" s="1"/>
  <c r="SF4" i="23"/>
  <c r="SM4" i="23" s="1"/>
  <c r="TF4" i="23"/>
  <c r="TM4" i="23"/>
  <c r="L4" i="23"/>
  <c r="TI4" i="23"/>
  <c r="I4" i="23"/>
  <c r="CW20" i="4"/>
  <c r="DA20" i="4" s="1"/>
  <c r="TN20" i="4"/>
  <c r="SN20" i="4"/>
  <c r="SU20" i="4" s="1"/>
  <c r="L20" i="4"/>
  <c r="M20" i="4" s="1"/>
  <c r="J20" i="4"/>
  <c r="K20" i="4" s="1"/>
  <c r="TU20" i="4"/>
  <c r="TQ20" i="4"/>
  <c r="T20" i="4"/>
  <c r="U20" i="4" s="1"/>
  <c r="R20" i="4"/>
  <c r="S20" i="4" s="1"/>
  <c r="I20" i="4"/>
  <c r="P20" i="4"/>
  <c r="N20" i="4"/>
  <c r="SF6" i="23"/>
  <c r="SM6" i="23" s="1"/>
  <c r="CS9" i="24"/>
  <c r="CS6" i="23"/>
  <c r="CS15" i="24"/>
  <c r="TF9" i="24"/>
  <c r="CS12" i="23"/>
  <c r="SF12" i="23"/>
  <c r="SM12" i="23" s="1"/>
  <c r="TM6" i="23"/>
  <c r="SF9" i="24"/>
  <c r="SM9" i="24" s="1"/>
  <c r="L9" i="24"/>
  <c r="J9" i="24"/>
  <c r="K9" i="24" s="1"/>
  <c r="TM9" i="24"/>
  <c r="TI9" i="24"/>
  <c r="I9" i="24"/>
  <c r="J6" i="23"/>
  <c r="K6" i="23" s="1"/>
  <c r="TI6" i="23"/>
  <c r="TF6" i="23"/>
  <c r="L6" i="23"/>
  <c r="M6" i="23" s="1"/>
  <c r="I6" i="23"/>
  <c r="SF15" i="24"/>
  <c r="SM15" i="24" s="1"/>
  <c r="TF15" i="24"/>
  <c r="TF12" i="23"/>
  <c r="L15" i="24"/>
  <c r="CU15" i="24" s="1"/>
  <c r="TM15" i="24"/>
  <c r="J15" i="24"/>
  <c r="K15" i="24" s="1"/>
  <c r="TI15" i="24"/>
  <c r="I15" i="24"/>
  <c r="TF14" i="24"/>
  <c r="TI12" i="23"/>
  <c r="L12" i="23"/>
  <c r="M12" i="23" s="1"/>
  <c r="TM12" i="23"/>
  <c r="J12" i="23"/>
  <c r="K12" i="23" s="1"/>
  <c r="I12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10" i="23"/>
  <c r="TN10" i="23" s="1"/>
  <c r="M13" i="23"/>
  <c r="TJ4" i="23"/>
  <c r="TN4" i="23" s="1"/>
  <c r="M10" i="23"/>
  <c r="CT10" i="23"/>
  <c r="N10" i="23" s="1"/>
  <c r="E10" i="23" s="1"/>
  <c r="K10" i="23"/>
  <c r="CT4" i="23"/>
  <c r="M4" i="23"/>
  <c r="CU4" i="23"/>
  <c r="TR20" i="4"/>
  <c r="TV20" i="4" s="1"/>
  <c r="O20" i="4"/>
  <c r="DB20" i="4"/>
  <c r="DC20" i="4"/>
  <c r="Q20" i="4"/>
  <c r="TJ9" i="24"/>
  <c r="TN9" i="24" s="1"/>
  <c r="CT9" i="24"/>
  <c r="TJ12" i="23"/>
  <c r="TN12" i="23" s="1"/>
  <c r="CU6" i="23"/>
  <c r="M9" i="24"/>
  <c r="CU9" i="24"/>
  <c r="CT6" i="23"/>
  <c r="TJ6" i="23"/>
  <c r="TN6" i="23" s="1"/>
  <c r="TJ14" i="24"/>
  <c r="TN14" i="24" s="1"/>
  <c r="TJ15" i="24"/>
  <c r="TN15" i="24" s="1"/>
  <c r="H6" i="23"/>
  <c r="CU12" i="23"/>
  <c r="CT15" i="24"/>
  <c r="N15" i="24" s="1"/>
  <c r="E15" i="24" s="1"/>
  <c r="M15" i="24"/>
  <c r="CT14" i="24"/>
  <c r="N14" i="24" s="1"/>
  <c r="E14" i="24" s="1"/>
  <c r="M14" i="24"/>
  <c r="H12" i="23"/>
  <c r="A12" i="23" s="1" a="1"/>
  <c r="A12" i="23" s="1"/>
  <c r="CT12" i="23"/>
  <c r="H9" i="24" l="1"/>
  <c r="H15" i="24"/>
  <c r="A15" i="24" s="1" a="1"/>
  <c r="A15" i="24" s="1"/>
  <c r="H4" i="23"/>
  <c r="H10" i="23"/>
  <c r="A10" i="23" s="1" a="1"/>
  <c r="A10" i="23" s="1"/>
  <c r="H20" i="4"/>
  <c r="A20" i="4" s="1" a="1"/>
  <c r="A20" i="4" s="1"/>
  <c r="N9" i="24"/>
  <c r="E9" i="24" s="1"/>
  <c r="P13" i="24"/>
  <c r="O13" i="24"/>
  <c r="O13" i="23"/>
  <c r="P13" i="23"/>
  <c r="E13" i="23"/>
  <c r="N4" i="23"/>
  <c r="P4" i="23" s="1"/>
  <c r="P10" i="23"/>
  <c r="O10" i="23"/>
  <c r="V20" i="4"/>
  <c r="E20" i="4" s="1"/>
  <c r="N6" i="23"/>
  <c r="E6" i="23" s="1"/>
  <c r="N12" i="23"/>
  <c r="P12" i="23" s="1"/>
  <c r="O15" i="24"/>
  <c r="P15" i="24"/>
  <c r="P14" i="24"/>
  <c r="O14" i="24"/>
  <c r="P9" i="24" l="1"/>
  <c r="O9" i="24"/>
  <c r="E4" i="23"/>
  <c r="O4" i="23"/>
  <c r="O6" i="23"/>
  <c r="P6" i="23"/>
  <c r="W20" i="4"/>
  <c r="X20" i="4"/>
  <c r="O12" i="23"/>
  <c r="E12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6" i="24" l="1"/>
  <c r="G11" i="24"/>
  <c r="F11" i="24"/>
  <c r="G6" i="24"/>
  <c r="G9" i="23"/>
  <c r="F9" i="23"/>
  <c r="SF6" i="24"/>
  <c r="SM6" i="24" s="1"/>
  <c r="CO9" i="23"/>
  <c r="CS9" i="23" s="1"/>
  <c r="SF9" i="23"/>
  <c r="SM9" i="23" s="1"/>
  <c r="CO6" i="24"/>
  <c r="CS6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6" i="24"/>
  <c r="J6" i="24"/>
  <c r="K6" i="24" s="1"/>
  <c r="L6" i="24"/>
  <c r="M6" i="24" s="1"/>
  <c r="TM6" i="24"/>
  <c r="TI6" i="24"/>
  <c r="I6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6" i="24"/>
  <c r="TN6" i="24" s="1"/>
  <c r="CT11" i="24"/>
  <c r="N11" i="24" s="1"/>
  <c r="O11" i="24" s="1"/>
  <c r="M11" i="24"/>
  <c r="CT6" i="24"/>
  <c r="CU6" i="24"/>
  <c r="K11" i="24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DC15" i="21" l="1"/>
  <c r="DC18" i="21"/>
  <c r="QD15" i="21"/>
  <c r="QD18" i="21"/>
  <c r="DC24" i="19"/>
  <c r="DC21" i="19"/>
  <c r="DC27" i="19"/>
  <c r="QD21" i="19"/>
  <c r="QD24" i="19"/>
  <c r="QD23" i="19"/>
  <c r="QD27" i="19"/>
  <c r="DC29" i="19"/>
  <c r="DC23" i="19"/>
  <c r="QD29" i="19"/>
  <c r="DC8" i="27"/>
  <c r="DC12" i="27"/>
  <c r="QD8" i="27"/>
  <c r="QD12" i="27"/>
  <c r="DC4" i="26"/>
  <c r="DC11" i="26"/>
  <c r="QD4" i="26"/>
  <c r="QD11" i="26"/>
  <c r="G15" i="21"/>
  <c r="G18" i="21"/>
  <c r="F15" i="21"/>
  <c r="F18" i="21"/>
  <c r="G29" i="19"/>
  <c r="G21" i="19"/>
  <c r="G24" i="19"/>
  <c r="G23" i="19"/>
  <c r="G27" i="19"/>
  <c r="F21" i="19"/>
  <c r="F24" i="19"/>
  <c r="F23" i="19"/>
  <c r="F27" i="19"/>
  <c r="F29" i="19"/>
  <c r="G8" i="27"/>
  <c r="F8" i="27"/>
  <c r="F12" i="27"/>
  <c r="G12" i="27"/>
  <c r="G4" i="26"/>
  <c r="G11" i="26"/>
  <c r="F11" i="26"/>
  <c r="F4" i="26"/>
  <c r="G17" i="22"/>
  <c r="F17" i="22"/>
  <c r="H11" i="24"/>
  <c r="H6" i="24"/>
  <c r="H9" i="23"/>
  <c r="A9" i="23" s="1" a="1"/>
  <c r="A9" i="23" s="1"/>
  <c r="RE12" i="27"/>
  <c r="N6" i="24"/>
  <c r="E6" i="24" s="1"/>
  <c r="RE27" i="19"/>
  <c r="O9" i="23"/>
  <c r="P9" i="23"/>
  <c r="E9" i="23"/>
  <c r="QZ4" i="26"/>
  <c r="RE4" i="26"/>
  <c r="SN17" i="22"/>
  <c r="SU17" i="22" s="1"/>
  <c r="CW17" i="22"/>
  <c r="DA17" i="22" s="1"/>
  <c r="QA15" i="21"/>
  <c r="P18" i="21"/>
  <c r="Q18" i="21" s="1"/>
  <c r="QZ18" i="21"/>
  <c r="RE23" i="19"/>
  <c r="QZ23" i="19"/>
  <c r="CZ27" i="19"/>
  <c r="CZ24" i="19"/>
  <c r="QA12" i="27"/>
  <c r="RB12" i="27"/>
  <c r="RA12" i="27"/>
  <c r="RG12" i="27" s="1"/>
  <c r="QA8" i="27"/>
  <c r="P8" i="27"/>
  <c r="DF8" i="27" s="1"/>
  <c r="P11" i="26"/>
  <c r="Q11" i="26" s="1"/>
  <c r="T17" i="22"/>
  <c r="U17" i="22" s="1"/>
  <c r="E11" i="24"/>
  <c r="P11" i="24"/>
  <c r="QA18" i="21"/>
  <c r="RB18" i="21"/>
  <c r="RA18" i="21"/>
  <c r="QZ15" i="21"/>
  <c r="N15" i="21"/>
  <c r="DE15" i="21" s="1"/>
  <c r="RE18" i="21"/>
  <c r="CZ18" i="21"/>
  <c r="N18" i="21"/>
  <c r="DE18" i="21" s="1"/>
  <c r="L18" i="21"/>
  <c r="M18" i="21" s="1"/>
  <c r="RF18" i="21"/>
  <c r="J18" i="21"/>
  <c r="K18" i="21" s="1"/>
  <c r="RC18" i="21"/>
  <c r="RB15" i="21"/>
  <c r="RA15" i="21"/>
  <c r="P15" i="21"/>
  <c r="DF15" i="21" s="1"/>
  <c r="CZ15" i="21"/>
  <c r="L15" i="21"/>
  <c r="M15" i="21" s="1"/>
  <c r="RE15" i="21"/>
  <c r="RF15" i="21"/>
  <c r="J15" i="21"/>
  <c r="K15" i="21" s="1"/>
  <c r="RC15" i="21"/>
  <c r="QA27" i="19"/>
  <c r="N27" i="19"/>
  <c r="DE27" i="19" s="1"/>
  <c r="QZ27" i="19"/>
  <c r="RF27" i="19"/>
  <c r="RB27" i="19"/>
  <c r="L27" i="19"/>
  <c r="M27" i="19" s="1"/>
  <c r="RA27" i="19"/>
  <c r="J27" i="19"/>
  <c r="K27" i="19" s="1"/>
  <c r="P27" i="19"/>
  <c r="RC27" i="19"/>
  <c r="QA21" i="19"/>
  <c r="QA23" i="19"/>
  <c r="RB23" i="19"/>
  <c r="RA23" i="19"/>
  <c r="CZ23" i="19"/>
  <c r="L23" i="19"/>
  <c r="DD23" i="19" s="1"/>
  <c r="P23" i="19"/>
  <c r="Q23" i="19" s="1"/>
  <c r="N23" i="19"/>
  <c r="DE23" i="19" s="1"/>
  <c r="RF23" i="19"/>
  <c r="J23" i="19"/>
  <c r="K23" i="19" s="1"/>
  <c r="RC23" i="19"/>
  <c r="RF24" i="19"/>
  <c r="QZ21" i="19"/>
  <c r="QZ24" i="19"/>
  <c r="QA24" i="19"/>
  <c r="N24" i="19"/>
  <c r="DE24" i="19" s="1"/>
  <c r="RE24" i="19"/>
  <c r="RB24" i="19"/>
  <c r="RA24" i="19"/>
  <c r="L24" i="19"/>
  <c r="M24" i="19" s="1"/>
  <c r="J24" i="19"/>
  <c r="K24" i="19" s="1"/>
  <c r="P24" i="19"/>
  <c r="RC24" i="19"/>
  <c r="QZ29" i="19"/>
  <c r="RB21" i="19"/>
  <c r="RA21" i="19"/>
  <c r="RG21" i="19" s="1"/>
  <c r="P21" i="19"/>
  <c r="Q21" i="19" s="1"/>
  <c r="N21" i="19"/>
  <c r="O21" i="19" s="1"/>
  <c r="RE21" i="19"/>
  <c r="CZ21" i="19"/>
  <c r="L21" i="19"/>
  <c r="M21" i="19" s="1"/>
  <c r="RF21" i="19"/>
  <c r="J21" i="19"/>
  <c r="K21" i="19" s="1"/>
  <c r="RC21" i="19"/>
  <c r="QA29" i="19"/>
  <c r="RB29" i="19"/>
  <c r="RA29" i="19"/>
  <c r="P29" i="19"/>
  <c r="DF29" i="19" s="1"/>
  <c r="N29" i="19"/>
  <c r="O29" i="19" s="1"/>
  <c r="RE29" i="19"/>
  <c r="CZ29" i="19"/>
  <c r="L29" i="19"/>
  <c r="M29" i="19" s="1"/>
  <c r="RF29" i="19"/>
  <c r="J29" i="19"/>
  <c r="K29" i="19" s="1"/>
  <c r="RC29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7" i="22"/>
  <c r="N17" i="22"/>
  <c r="O17" i="22" s="1"/>
  <c r="TU17" i="22"/>
  <c r="TQ17" i="22"/>
  <c r="L17" i="22"/>
  <c r="M17" i="22" s="1"/>
  <c r="R17" i="22"/>
  <c r="S17" i="22" s="1"/>
  <c r="J17" i="22"/>
  <c r="K17" i="22" s="1"/>
  <c r="P17" i="22"/>
  <c r="I17" i="22"/>
  <c r="RG29" i="19" l="1"/>
  <c r="RG11" i="26"/>
  <c r="RG18" i="21"/>
  <c r="RG15" i="21"/>
  <c r="RG27" i="19"/>
  <c r="RG23" i="19"/>
  <c r="RG24" i="19"/>
  <c r="RG8" i="27"/>
  <c r="RG4" i="26"/>
  <c r="RD12" i="27"/>
  <c r="P6" i="24"/>
  <c r="O6" i="24"/>
  <c r="RD18" i="21"/>
  <c r="RD27" i="19"/>
  <c r="RD8" i="27"/>
  <c r="O27" i="19"/>
  <c r="RD23" i="19"/>
  <c r="DD4" i="26"/>
  <c r="DF11" i="26"/>
  <c r="DD15" i="21"/>
  <c r="R15" i="21" s="1"/>
  <c r="T15" i="21" s="1"/>
  <c r="DF18" i="21"/>
  <c r="RD15" i="21"/>
  <c r="O15" i="21"/>
  <c r="DF21" i="19"/>
  <c r="DD27" i="19"/>
  <c r="M23" i="19"/>
  <c r="RD24" i="19"/>
  <c r="O24" i="19"/>
  <c r="RD21" i="19"/>
  <c r="I12" i="27"/>
  <c r="M8" i="27"/>
  <c r="DD12" i="27"/>
  <c r="O8" i="27"/>
  <c r="I8" i="27"/>
  <c r="Q8" i="27"/>
  <c r="O12" i="27"/>
  <c r="I11" i="26"/>
  <c r="I4" i="26"/>
  <c r="Q15" i="21"/>
  <c r="I18" i="21"/>
  <c r="O18" i="21"/>
  <c r="DD18" i="21"/>
  <c r="I15" i="21"/>
  <c r="I27" i="19"/>
  <c r="DF27" i="19"/>
  <c r="Q27" i="19"/>
  <c r="RD29" i="19"/>
  <c r="I23" i="19"/>
  <c r="O23" i="19"/>
  <c r="DF23" i="19"/>
  <c r="R23" i="19" s="1"/>
  <c r="DD24" i="19"/>
  <c r="I29" i="19"/>
  <c r="Q29" i="19"/>
  <c r="I21" i="19"/>
  <c r="I24" i="19"/>
  <c r="DF24" i="19"/>
  <c r="Q24" i="19"/>
  <c r="DE29" i="19"/>
  <c r="DE21" i="19"/>
  <c r="DD21" i="19"/>
  <c r="DD29" i="19"/>
  <c r="Q12" i="27"/>
  <c r="DF12" i="27"/>
  <c r="R8" i="27"/>
  <c r="O11" i="26"/>
  <c r="DD11" i="26"/>
  <c r="RD11" i="26"/>
  <c r="K11" i="26"/>
  <c r="RD4" i="26"/>
  <c r="O4" i="26"/>
  <c r="DF4" i="26"/>
  <c r="Q4" i="26"/>
  <c r="DB17" i="22"/>
  <c r="TR17" i="22"/>
  <c r="TV17" i="22" s="1"/>
  <c r="DC17" i="22"/>
  <c r="Q17" i="22"/>
  <c r="H18" i="21" l="1"/>
  <c r="A18" i="21" s="1" a="1"/>
  <c r="A18" i="21" s="1"/>
  <c r="H29" i="19"/>
  <c r="A29" i="19" s="1" a="1"/>
  <c r="A29" i="19" s="1"/>
  <c r="H4" i="26"/>
  <c r="H17" i="22"/>
  <c r="A17" i="22" s="1" a="1"/>
  <c r="A17" i="22" s="1"/>
  <c r="R4" i="26"/>
  <c r="T4" i="26" s="1"/>
  <c r="R27" i="19"/>
  <c r="E27" i="19" s="1"/>
  <c r="R11" i="26"/>
  <c r="S11" i="26" s="1"/>
  <c r="R18" i="21"/>
  <c r="T18" i="21" s="1"/>
  <c r="R12" i="27"/>
  <c r="S12" i="27" s="1"/>
  <c r="E15" i="21"/>
  <c r="S15" i="21"/>
  <c r="R24" i="19"/>
  <c r="T24" i="19" s="1"/>
  <c r="E23" i="19"/>
  <c r="S23" i="19"/>
  <c r="T23" i="19"/>
  <c r="R29" i="19"/>
  <c r="S29" i="19" s="1"/>
  <c r="R21" i="19"/>
  <c r="T21" i="19" s="1"/>
  <c r="T8" i="27"/>
  <c r="S8" i="27"/>
  <c r="E8" i="27"/>
  <c r="V17" i="22"/>
  <c r="W17" i="22" s="1"/>
  <c r="H15" i="21" l="1"/>
  <c r="A15" i="21" s="1" a="1"/>
  <c r="A15" i="21" s="1"/>
  <c r="H23" i="19"/>
  <c r="A23" i="19" s="1" a="1"/>
  <c r="A23" i="19" s="1"/>
  <c r="H24" i="19"/>
  <c r="A24" i="19" s="1" a="1"/>
  <c r="A24" i="19" s="1"/>
  <c r="H21" i="19"/>
  <c r="A21" i="19" s="1" a="1"/>
  <c r="A21" i="19" s="1"/>
  <c r="H27" i="19"/>
  <c r="A27" i="19" s="1" a="1"/>
  <c r="A27" i="19" s="1"/>
  <c r="H8" i="27"/>
  <c r="H12" i="27"/>
  <c r="A12" i="27" s="1" a="1"/>
  <c r="A12" i="27" s="1"/>
  <c r="H11" i="26"/>
  <c r="A11" i="26" s="1" a="1"/>
  <c r="A11" i="26" s="1"/>
  <c r="E4" i="26"/>
  <c r="S4" i="26"/>
  <c r="S18" i="21"/>
  <c r="E18" i="21"/>
  <c r="S27" i="19"/>
  <c r="T27" i="19"/>
  <c r="T11" i="26"/>
  <c r="E11" i="26"/>
  <c r="S24" i="19"/>
  <c r="T12" i="27"/>
  <c r="E12" i="27"/>
  <c r="E24" i="19"/>
  <c r="E21" i="19"/>
  <c r="S21" i="19"/>
  <c r="E29" i="19"/>
  <c r="T29" i="19"/>
  <c r="E17" i="22"/>
  <c r="X17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0" i="22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9" i="27" l="1"/>
  <c r="QD4" i="27"/>
  <c r="QD5" i="27"/>
  <c r="QD6" i="27"/>
  <c r="QD7" i="27"/>
  <c r="DC9" i="27"/>
  <c r="DC5" i="27"/>
  <c r="DC6" i="27"/>
  <c r="DC7" i="27"/>
  <c r="DC4" i="27"/>
  <c r="QD5" i="26"/>
  <c r="DC5" i="26"/>
  <c r="DC8" i="26"/>
  <c r="DC10" i="26"/>
  <c r="DC9" i="26"/>
  <c r="DC6" i="26"/>
  <c r="QD8" i="26"/>
  <c r="QD10" i="26"/>
  <c r="QD9" i="26"/>
  <c r="QD6" i="26"/>
  <c r="F5" i="27"/>
  <c r="F6" i="27"/>
  <c r="F7" i="27"/>
  <c r="F4" i="27"/>
  <c r="F9" i="27"/>
  <c r="G4" i="27"/>
  <c r="G9" i="27"/>
  <c r="G5" i="27"/>
  <c r="G7" i="27"/>
  <c r="G6" i="27"/>
  <c r="G5" i="26"/>
  <c r="G8" i="26"/>
  <c r="G10" i="26"/>
  <c r="F5" i="26"/>
  <c r="F8" i="26"/>
  <c r="F10" i="26"/>
  <c r="F9" i="26"/>
  <c r="F6" i="26"/>
  <c r="G9" i="26"/>
  <c r="G6" i="26"/>
  <c r="G9" i="4"/>
  <c r="F9" i="4"/>
  <c r="P8" i="26"/>
  <c r="Q8" i="26" s="1"/>
  <c r="CW9" i="4"/>
  <c r="DA9" i="4" s="1"/>
  <c r="J9" i="4"/>
  <c r="K9" i="4" s="1"/>
  <c r="T9" i="4"/>
  <c r="U9" i="4" s="1"/>
  <c r="RC9" i="27"/>
  <c r="RE9" i="27"/>
  <c r="QA7" i="27"/>
  <c r="CZ9" i="27"/>
  <c r="QA10" i="26"/>
  <c r="TU9" i="4"/>
  <c r="SN9" i="4"/>
  <c r="SU9" i="4" s="1"/>
  <c r="TQ9" i="4"/>
  <c r="TN9" i="4"/>
  <c r="N9" i="4"/>
  <c r="P9" i="4"/>
  <c r="DC9" i="4" s="1"/>
  <c r="L9" i="4"/>
  <c r="M9" i="4" s="1"/>
  <c r="R9" i="4"/>
  <c r="S9" i="4" s="1"/>
  <c r="I9" i="4"/>
  <c r="QZ5" i="26"/>
  <c r="QZ6" i="26"/>
  <c r="P9" i="27"/>
  <c r="Q9" i="27" s="1"/>
  <c r="P4" i="27"/>
  <c r="Q4" i="27" s="1"/>
  <c r="QA9" i="27"/>
  <c r="RB9" i="27"/>
  <c r="QZ6" i="27"/>
  <c r="RE6" i="27"/>
  <c r="RB6" i="26"/>
  <c r="N10" i="26"/>
  <c r="O10" i="26" s="1"/>
  <c r="QA5" i="26"/>
  <c r="QZ9" i="26"/>
  <c r="QA6" i="26"/>
  <c r="CZ9" i="26"/>
  <c r="QA9" i="26"/>
  <c r="QZ9" i="27"/>
  <c r="RA6" i="27"/>
  <c r="RB6" i="27"/>
  <c r="N7" i="27"/>
  <c r="O7" i="27" s="1"/>
  <c r="P5" i="27"/>
  <c r="Q5" i="27" s="1"/>
  <c r="QZ7" i="27"/>
  <c r="RE7" i="27"/>
  <c r="P7" i="27"/>
  <c r="Q7" i="27" s="1"/>
  <c r="RF9" i="27"/>
  <c r="RB7" i="27"/>
  <c r="RA4" i="27"/>
  <c r="RB4" i="27"/>
  <c r="N5" i="27"/>
  <c r="DE5" i="27" s="1"/>
  <c r="L4" i="27"/>
  <c r="M4" i="27" s="1"/>
  <c r="N9" i="27"/>
  <c r="DE9" i="27" s="1"/>
  <c r="J5" i="27"/>
  <c r="K5" i="27" s="1"/>
  <c r="P6" i="27"/>
  <c r="Q6" i="27" s="1"/>
  <c r="RA9" i="27"/>
  <c r="RA5" i="27"/>
  <c r="RB5" i="27"/>
  <c r="J4" i="27"/>
  <c r="K4" i="27" s="1"/>
  <c r="QA4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6" i="26"/>
  <c r="DE6" i="26" s="1"/>
  <c r="RB10" i="26"/>
  <c r="P5" i="26"/>
  <c r="Q5" i="26" s="1"/>
  <c r="RB9" i="26"/>
  <c r="RA8" i="26"/>
  <c r="N8" i="26"/>
  <c r="DE8" i="26" s="1"/>
  <c r="RC8" i="26"/>
  <c r="N9" i="26"/>
  <c r="DE9" i="26" s="1"/>
  <c r="RA5" i="26"/>
  <c r="RB8" i="26"/>
  <c r="P9" i="26"/>
  <c r="Q9" i="26" s="1"/>
  <c r="RA9" i="26"/>
  <c r="RF9" i="26"/>
  <c r="RC9" i="26"/>
  <c r="RE9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5" i="26"/>
  <c r="O5" i="26" s="1"/>
  <c r="RC5" i="26"/>
  <c r="QA8" i="26"/>
  <c r="QZ8" i="26"/>
  <c r="CZ10" i="26"/>
  <c r="CZ5" i="27"/>
  <c r="RA7" i="27"/>
  <c r="RC6" i="27"/>
  <c r="L7" i="27"/>
  <c r="RC7" i="27"/>
  <c r="RC4" i="27"/>
  <c r="CZ6" i="27"/>
  <c r="L6" i="27"/>
  <c r="RF6" i="27"/>
  <c r="CZ7" i="27"/>
  <c r="CZ4" i="27"/>
  <c r="L5" i="27"/>
  <c r="RF5" i="27"/>
  <c r="QZ5" i="27"/>
  <c r="QA5" i="27"/>
  <c r="RF7" i="27"/>
  <c r="RF4" i="27"/>
  <c r="L9" i="27"/>
  <c r="J9" i="27"/>
  <c r="RA10" i="26"/>
  <c r="L5" i="26"/>
  <c r="J5" i="26"/>
  <c r="L8" i="26"/>
  <c r="J8" i="26"/>
  <c r="J10" i="26"/>
  <c r="CZ6" i="26"/>
  <c r="CZ5" i="26"/>
  <c r="J9" i="26"/>
  <c r="RF5" i="26"/>
  <c r="RE5" i="26"/>
  <c r="CZ8" i="26"/>
  <c r="L10" i="26"/>
  <c r="J6" i="26"/>
  <c r="RC10" i="26"/>
  <c r="RF8" i="26"/>
  <c r="RE8" i="26"/>
  <c r="RF10" i="26"/>
  <c r="L9" i="26"/>
  <c r="RG7" i="27" l="1"/>
  <c r="RG5" i="27"/>
  <c r="RG6" i="27"/>
  <c r="RG4" i="27"/>
  <c r="RG9" i="27"/>
  <c r="RG6" i="26"/>
  <c r="RG8" i="26"/>
  <c r="RG10" i="26"/>
  <c r="RG9" i="26"/>
  <c r="RG5" i="26"/>
  <c r="I10" i="26"/>
  <c r="DF8" i="26"/>
  <c r="DF4" i="27"/>
  <c r="DB9" i="4"/>
  <c r="V9" i="4" s="1"/>
  <c r="TR9" i="4"/>
  <c r="TV9" i="4" s="1"/>
  <c r="O5" i="27"/>
  <c r="O8" i="26"/>
  <c r="O9" i="4"/>
  <c r="Q9" i="4"/>
  <c r="RD6" i="27"/>
  <c r="DF9" i="27"/>
  <c r="RD5" i="26"/>
  <c r="RD6" i="26"/>
  <c r="O9" i="26"/>
  <c r="DE10" i="26"/>
  <c r="RD4" i="27"/>
  <c r="DF6" i="26"/>
  <c r="DF5" i="26"/>
  <c r="RD8" i="26"/>
  <c r="O6" i="26"/>
  <c r="RD9" i="27"/>
  <c r="DE7" i="27"/>
  <c r="DF6" i="27"/>
  <c r="DF7" i="27"/>
  <c r="RD5" i="27"/>
  <c r="I6" i="27"/>
  <c r="O4" i="27"/>
  <c r="DF5" i="27"/>
  <c r="O9" i="27"/>
  <c r="DE6" i="27"/>
  <c r="I7" i="27"/>
  <c r="I5" i="27"/>
  <c r="DD4" i="27"/>
  <c r="RD9" i="26"/>
  <c r="DE5" i="26"/>
  <c r="DF10" i="26"/>
  <c r="I5" i="26"/>
  <c r="DF9" i="26"/>
  <c r="DD6" i="26"/>
  <c r="I8" i="26"/>
  <c r="DD7" i="27"/>
  <c r="M7" i="27"/>
  <c r="DD6" i="27"/>
  <c r="M6" i="27"/>
  <c r="RD7" i="27"/>
  <c r="I4" i="27"/>
  <c r="DD5" i="27"/>
  <c r="M5" i="27"/>
  <c r="K9" i="27"/>
  <c r="DD9" i="27"/>
  <c r="M9" i="27"/>
  <c r="I9" i="27"/>
  <c r="M9" i="26"/>
  <c r="DD9" i="26"/>
  <c r="M10" i="26"/>
  <c r="DD10" i="26"/>
  <c r="M8" i="26"/>
  <c r="DD8" i="26"/>
  <c r="K10" i="26"/>
  <c r="RD10" i="26"/>
  <c r="K9" i="26"/>
  <c r="K6" i="26"/>
  <c r="DD5" i="26"/>
  <c r="M5" i="26"/>
  <c r="K8" i="26"/>
  <c r="I6" i="26"/>
  <c r="I9" i="26"/>
  <c r="K5" i="26"/>
  <c r="H4" i="27" l="1"/>
  <c r="H7" i="27"/>
  <c r="H9" i="26"/>
  <c r="H8" i="26"/>
  <c r="H9" i="4"/>
  <c r="R8" i="26"/>
  <c r="S8" i="26" s="1"/>
  <c r="R4" i="27"/>
  <c r="T4" i="27" s="1"/>
  <c r="E9" i="4"/>
  <c r="R9" i="27"/>
  <c r="E9" i="27" s="1"/>
  <c r="W9" i="4"/>
  <c r="X9" i="4"/>
  <c r="R6" i="26"/>
  <c r="S6" i="26" s="1"/>
  <c r="R5" i="27"/>
  <c r="R7" i="27"/>
  <c r="R6" i="27"/>
  <c r="R5" i="26"/>
  <c r="R10" i="26"/>
  <c r="R9" i="26"/>
  <c r="H9" i="27" l="1"/>
  <c r="H5" i="27"/>
  <c r="H6" i="27"/>
  <c r="H6" i="26"/>
  <c r="H5" i="26"/>
  <c r="H10" i="26"/>
  <c r="S4" i="27"/>
  <c r="E4" i="27"/>
  <c r="T8" i="26"/>
  <c r="E8" i="26"/>
  <c r="S9" i="27"/>
  <c r="T9" i="27"/>
  <c r="E6" i="26"/>
  <c r="E6" i="27"/>
  <c r="S6" i="27"/>
  <c r="T6" i="27"/>
  <c r="E7" i="27"/>
  <c r="T7" i="27"/>
  <c r="S7" i="27"/>
  <c r="E5" i="27"/>
  <c r="S5" i="27"/>
  <c r="T5" i="27"/>
  <c r="T6" i="26"/>
  <c r="S9" i="26"/>
  <c r="T9" i="26"/>
  <c r="S5" i="26"/>
  <c r="T5" i="26"/>
  <c r="E10" i="26"/>
  <c r="S10" i="26"/>
  <c r="T10" i="26"/>
  <c r="E5" i="26"/>
  <c r="E9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A8" i="27" l="1" a="1"/>
  <c r="A8" i="27" s="1"/>
  <c r="DC11" i="19"/>
  <c r="QD11" i="19"/>
  <c r="A7" i="26" a="1"/>
  <c r="A7" i="26" s="1"/>
  <c r="A7" i="27" a="1"/>
  <c r="A7" i="27" s="1"/>
  <c r="A9" i="26" a="1"/>
  <c r="A9" i="26" s="1"/>
  <c r="G11" i="19"/>
  <c r="F11" i="19"/>
  <c r="A4" i="27" a="1"/>
  <c r="A4" i="27" s="1"/>
  <c r="A6" i="27" a="1"/>
  <c r="A6" i="27" s="1"/>
  <c r="A5" i="27" a="1"/>
  <c r="A5" i="27" s="1"/>
  <c r="A9" i="27" a="1"/>
  <c r="A9" i="27" s="1"/>
  <c r="A5" i="26" a="1"/>
  <c r="A5" i="26" s="1"/>
  <c r="A4" i="26" a="1"/>
  <c r="A4" i="26" s="1"/>
  <c r="A8" i="26" a="1"/>
  <c r="A8" i="26" s="1"/>
  <c r="A10" i="26" a="1"/>
  <c r="A10" i="26" s="1"/>
  <c r="A6" i="26" a="1"/>
  <c r="A6" i="26" s="1"/>
  <c r="QA11" i="19"/>
  <c r="QZ11" i="19"/>
  <c r="P11" i="19"/>
  <c r="N11" i="19"/>
  <c r="DE11" i="19" s="1"/>
  <c r="RE11" i="19"/>
  <c r="CZ11" i="19"/>
  <c r="RB11" i="19"/>
  <c r="RF11" i="19"/>
  <c r="RA11" i="19"/>
  <c r="L11" i="19"/>
  <c r="J11" i="19"/>
  <c r="RC11" i="19"/>
  <c r="RG11" i="19" l="1"/>
  <c r="M11" i="19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I11" i="19"/>
  <c r="RD11" i="19"/>
  <c r="K11" i="19"/>
  <c r="R11" i="19" l="1"/>
  <c r="H11" i="19" l="1"/>
  <c r="S11" i="19"/>
  <c r="T11" i="19"/>
  <c r="E11" i="19"/>
  <c r="CV22" i="19" l="1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8" i="19"/>
  <c r="QD19" i="19"/>
  <c r="QD22" i="19"/>
  <c r="DC9" i="19"/>
  <c r="DC19" i="19"/>
  <c r="DC18" i="19"/>
  <c r="DC22" i="19"/>
  <c r="G9" i="19"/>
  <c r="G19" i="19"/>
  <c r="G18" i="19"/>
  <c r="G22" i="19"/>
  <c r="F9" i="19"/>
  <c r="F19" i="19"/>
  <c r="F18" i="19"/>
  <c r="F22" i="19"/>
  <c r="CZ18" i="19"/>
  <c r="RE22" i="19"/>
  <c r="QZ22" i="19"/>
  <c r="P22" i="19"/>
  <c r="QA22" i="19"/>
  <c r="CZ22" i="19"/>
  <c r="N22" i="19"/>
  <c r="DE22" i="19" s="1"/>
  <c r="RB22" i="19"/>
  <c r="RA22" i="19"/>
  <c r="RF22" i="19"/>
  <c r="L22" i="19"/>
  <c r="J22" i="19"/>
  <c r="RC22" i="19"/>
  <c r="QZ18" i="19"/>
  <c r="RE19" i="19"/>
  <c r="QA18" i="19"/>
  <c r="RB18" i="19"/>
  <c r="RA18" i="19"/>
  <c r="P18" i="19"/>
  <c r="DF18" i="19" s="1"/>
  <c r="RF18" i="19"/>
  <c r="N18" i="19"/>
  <c r="DE18" i="19" s="1"/>
  <c r="RE18" i="19"/>
  <c r="L18" i="19"/>
  <c r="DD18" i="19" s="1"/>
  <c r="J18" i="19"/>
  <c r="RC18" i="19"/>
  <c r="QZ19" i="19"/>
  <c r="QA19" i="19"/>
  <c r="P19" i="19"/>
  <c r="DF19" i="19" s="1"/>
  <c r="N19" i="19"/>
  <c r="DE19" i="19" s="1"/>
  <c r="CZ19" i="19"/>
  <c r="RA19" i="19"/>
  <c r="RB19" i="19"/>
  <c r="RF19" i="19"/>
  <c r="L19" i="19"/>
  <c r="DD19" i="19" s="1"/>
  <c r="J19" i="19"/>
  <c r="K19" i="19" s="1"/>
  <c r="RC19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2" i="19" l="1"/>
  <c r="RG19" i="19"/>
  <c r="RG18" i="19"/>
  <c r="RG9" i="19"/>
  <c r="Q22" i="19"/>
  <c r="DF22" i="19"/>
  <c r="M22" i="19"/>
  <c r="DD22" i="19"/>
  <c r="O18" i="19"/>
  <c r="O22" i="19"/>
  <c r="O9" i="19"/>
  <c r="R9" i="19"/>
  <c r="O19" i="19"/>
  <c r="R19" i="19"/>
  <c r="RD18" i="19"/>
  <c r="I18" i="19"/>
  <c r="I22" i="19"/>
  <c r="Q19" i="19"/>
  <c r="RD9" i="19"/>
  <c r="RD22" i="19"/>
  <c r="K22" i="19"/>
  <c r="Q18" i="19"/>
  <c r="M18" i="19"/>
  <c r="R18" i="19"/>
  <c r="K18" i="19"/>
  <c r="Q9" i="19"/>
  <c r="I19" i="19"/>
  <c r="RD19" i="19"/>
  <c r="M19" i="19"/>
  <c r="I9" i="19"/>
  <c r="M9" i="19"/>
  <c r="K9" i="19"/>
  <c r="H9" i="19" l="1"/>
  <c r="H22" i="19"/>
  <c r="A22" i="19" s="1" a="1"/>
  <c r="A22" i="19" s="1"/>
  <c r="H19" i="19"/>
  <c r="S9" i="19"/>
  <c r="T9" i="19"/>
  <c r="T18" i="19"/>
  <c r="S18" i="19"/>
  <c r="T19" i="19"/>
  <c r="S19" i="19"/>
  <c r="R22" i="19"/>
  <c r="E18" i="19"/>
  <c r="E19" i="19"/>
  <c r="E9" i="19"/>
  <c r="H18" i="19" l="1"/>
  <c r="S22" i="19"/>
  <c r="T22" i="19"/>
  <c r="E22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2" i="24" l="1"/>
  <c r="G16" i="22"/>
  <c r="G14" i="4"/>
  <c r="G15" i="23"/>
  <c r="F12" i="24"/>
  <c r="F15" i="23"/>
  <c r="G8" i="22"/>
  <c r="G11" i="22"/>
  <c r="F16" i="22"/>
  <c r="F11" i="22"/>
  <c r="F8" i="22"/>
  <c r="F14" i="4"/>
  <c r="G23" i="4"/>
  <c r="F23" i="4"/>
  <c r="T14" i="4"/>
  <c r="U14" i="4" s="1"/>
  <c r="T8" i="22"/>
  <c r="U8" i="22" s="1"/>
  <c r="T16" i="22"/>
  <c r="U16" i="22" s="1"/>
  <c r="T11" i="22"/>
  <c r="U11" i="22" s="1"/>
  <c r="T23" i="4"/>
  <c r="U23" i="4" s="1"/>
  <c r="L12" i="24"/>
  <c r="L15" i="23"/>
  <c r="CO15" i="23"/>
  <c r="CS15" i="23" s="1"/>
  <c r="CW11" i="22"/>
  <c r="DA11" i="22" s="1"/>
  <c r="SN23" i="4"/>
  <c r="SU23" i="4" s="1"/>
  <c r="SF12" i="24"/>
  <c r="SM12" i="24" s="1"/>
  <c r="SF15" i="23"/>
  <c r="SM15" i="23" s="1"/>
  <c r="CW8" i="22"/>
  <c r="DA8" i="22" s="1"/>
  <c r="CO12" i="24"/>
  <c r="CS12" i="24" s="1"/>
  <c r="TI12" i="24"/>
  <c r="TF12" i="24"/>
  <c r="TM12" i="24"/>
  <c r="J12" i="24"/>
  <c r="I12" i="24"/>
  <c r="TM15" i="23"/>
  <c r="TI15" i="23"/>
  <c r="TF15" i="23"/>
  <c r="J15" i="23"/>
  <c r="I15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6" i="22"/>
  <c r="DA16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3" i="4"/>
  <c r="DA23" i="4" s="1"/>
  <c r="TQ23" i="4"/>
  <c r="J23" i="4"/>
  <c r="K23" i="4" s="1"/>
  <c r="TN23" i="4"/>
  <c r="CW14" i="4"/>
  <c r="DA14" i="4" s="1"/>
  <c r="R23" i="4"/>
  <c r="S23" i="4" s="1"/>
  <c r="TU23" i="4"/>
  <c r="L23" i="4"/>
  <c r="M23" i="4" s="1"/>
  <c r="I23" i="4"/>
  <c r="P23" i="4"/>
  <c r="DC23" i="4" s="1"/>
  <c r="N23" i="4"/>
  <c r="SN14" i="4"/>
  <c r="SU14" i="4" s="1"/>
  <c r="TN14" i="4"/>
  <c r="L14" i="4"/>
  <c r="M14" i="4" s="1"/>
  <c r="TU14" i="4"/>
  <c r="TQ14" i="4"/>
  <c r="P14" i="4"/>
  <c r="DC14" i="4" s="1"/>
  <c r="N14" i="4"/>
  <c r="R14" i="4"/>
  <c r="S14" i="4" s="1"/>
  <c r="J14" i="4"/>
  <c r="K14" i="4" s="1"/>
  <c r="I14" i="4"/>
  <c r="H15" i="23" l="1"/>
  <c r="A15" i="23" s="1" a="1"/>
  <c r="A15" i="23" s="1"/>
  <c r="H11" i="22"/>
  <c r="H16" i="22"/>
  <c r="A16" i="22" s="1" a="1"/>
  <c r="A16" i="22" s="1"/>
  <c r="DB8" i="22"/>
  <c r="CT12" i="24"/>
  <c r="M12" i="24"/>
  <c r="CU12" i="24"/>
  <c r="M15" i="23"/>
  <c r="CT15" i="23"/>
  <c r="CU15" i="23"/>
  <c r="DB16" i="22"/>
  <c r="DB11" i="22"/>
  <c r="DB14" i="4"/>
  <c r="V14" i="4" s="1"/>
  <c r="DB23" i="4"/>
  <c r="TR11" i="22"/>
  <c r="TV11" i="22" s="1"/>
  <c r="TR8" i="22"/>
  <c r="TV8" i="22" s="1"/>
  <c r="TJ12" i="24"/>
  <c r="TN12" i="24" s="1"/>
  <c r="K12" i="24"/>
  <c r="TJ15" i="23"/>
  <c r="TN15" i="23" s="1"/>
  <c r="K15" i="23"/>
  <c r="O11" i="22"/>
  <c r="Q11" i="22"/>
  <c r="TR16" i="22"/>
  <c r="TV16" i="22" s="1"/>
  <c r="Q8" i="22"/>
  <c r="H8" i="22"/>
  <c r="O8" i="22"/>
  <c r="O16" i="22"/>
  <c r="Q16" i="22"/>
  <c r="TR23" i="4"/>
  <c r="TV23" i="4" s="1"/>
  <c r="O23" i="4"/>
  <c r="Q23" i="4"/>
  <c r="TR14" i="4"/>
  <c r="TV14" i="4" s="1"/>
  <c r="O14" i="4"/>
  <c r="Q14" i="4"/>
  <c r="H12" i="24" l="1"/>
  <c r="H14" i="4"/>
  <c r="H23" i="4"/>
  <c r="A23" i="4" s="1" a="1"/>
  <c r="A23" i="4" s="1"/>
  <c r="N12" i="24"/>
  <c r="N15" i="23"/>
  <c r="V11" i="22"/>
  <c r="W11" i="22" s="1"/>
  <c r="V8" i="22"/>
  <c r="W8" i="22" s="1"/>
  <c r="V16" i="22"/>
  <c r="W16" i="22" s="1"/>
  <c r="E14" i="4"/>
  <c r="V23" i="4"/>
  <c r="X14" i="4"/>
  <c r="W14" i="4"/>
  <c r="E12" i="24" l="1"/>
  <c r="P12" i="24"/>
  <c r="O15" i="23"/>
  <c r="P15" i="23"/>
  <c r="E15" i="23"/>
  <c r="O12" i="24"/>
  <c r="X11" i="22"/>
  <c r="E11" i="22"/>
  <c r="E8" i="22"/>
  <c r="X8" i="22"/>
  <c r="X16" i="22"/>
  <c r="E16" i="22"/>
  <c r="W23" i="4"/>
  <c r="X23" i="4"/>
  <c r="E23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D11" i="21" l="1"/>
  <c r="QD13" i="19"/>
  <c r="DC11" i="21"/>
  <c r="DC13" i="19"/>
  <c r="F11" i="21"/>
  <c r="G11" i="21"/>
  <c r="F13" i="19"/>
  <c r="G13" i="19"/>
  <c r="DB8" i="4"/>
  <c r="CU5" i="24"/>
  <c r="CT5" i="24"/>
  <c r="M5" i="24"/>
  <c r="TR8" i="4"/>
  <c r="TV8" i="4" s="1"/>
  <c r="O8" i="4"/>
  <c r="Q8" i="4"/>
  <c r="TJ5" i="24"/>
  <c r="TN5" i="24" s="1"/>
  <c r="QA11" i="21"/>
  <c r="H5" i="24"/>
  <c r="K5" i="24"/>
  <c r="QA13" i="19"/>
  <c r="QZ11" i="21"/>
  <c r="RE11" i="21"/>
  <c r="N11" i="21"/>
  <c r="DE11" i="21" s="1"/>
  <c r="CZ11" i="21"/>
  <c r="P11" i="21"/>
  <c r="DF11" i="21" s="1"/>
  <c r="RB11" i="21"/>
  <c r="RA11" i="21"/>
  <c r="RF11" i="21"/>
  <c r="L11" i="21"/>
  <c r="J11" i="21"/>
  <c r="RC11" i="21"/>
  <c r="QZ13" i="19"/>
  <c r="RE13" i="19"/>
  <c r="P13" i="19"/>
  <c r="CZ13" i="19"/>
  <c r="RB13" i="19"/>
  <c r="RA13" i="19"/>
  <c r="RF13" i="19"/>
  <c r="N13" i="19"/>
  <c r="DE13" i="19" s="1"/>
  <c r="L13" i="19"/>
  <c r="J13" i="19"/>
  <c r="K13" i="19" s="1"/>
  <c r="RC13" i="19"/>
  <c r="RG11" i="21" l="1"/>
  <c r="RG13" i="19"/>
  <c r="H8" i="4"/>
  <c r="M11" i="21"/>
  <c r="DD11" i="21"/>
  <c r="Q13" i="19"/>
  <c r="DF13" i="19"/>
  <c r="M13" i="19"/>
  <c r="DD13" i="19"/>
  <c r="O11" i="21"/>
  <c r="K11" i="21"/>
  <c r="O13" i="19"/>
  <c r="RD13" i="19"/>
  <c r="V8" i="4"/>
  <c r="E8" i="4" s="1"/>
  <c r="N5" i="24"/>
  <c r="RD11" i="21"/>
  <c r="I11" i="21"/>
  <c r="Q11" i="21"/>
  <c r="I13" i="19"/>
  <c r="H11" i="21" l="1"/>
  <c r="E5" i="24"/>
  <c r="P5" i="24"/>
  <c r="W8" i="4"/>
  <c r="X8" i="4"/>
  <c r="R11" i="21"/>
  <c r="O5" i="24"/>
  <c r="R13" i="19"/>
  <c r="H13" i="19" l="1"/>
  <c r="S11" i="21"/>
  <c r="T11" i="21"/>
  <c r="T13" i="19"/>
  <c r="S13" i="19"/>
  <c r="E11" i="21"/>
  <c r="E13" i="19"/>
  <c r="CI14" i="23" l="1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7" i="24"/>
  <c r="TA7" i="24"/>
  <c r="TL7" i="24" s="1"/>
  <c r="SZ7" i="24"/>
  <c r="TK7" i="24" s="1"/>
  <c r="SY7" i="24"/>
  <c r="SX7" i="24"/>
  <c r="SW7" i="24"/>
  <c r="SV7" i="24"/>
  <c r="TH7" i="24" s="1"/>
  <c r="SU7" i="24"/>
  <c r="TG7" i="24" s="1"/>
  <c r="ST7" i="24"/>
  <c r="SS7" i="24"/>
  <c r="SR7" i="24"/>
  <c r="SQ7" i="24"/>
  <c r="TE7" i="24" s="1"/>
  <c r="SP7" i="24"/>
  <c r="TD7" i="24" s="1"/>
  <c r="SO7" i="24"/>
  <c r="SN7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CR7" i="24"/>
  <c r="CQ7" i="24"/>
  <c r="CP7" i="24"/>
  <c r="CN7" i="24"/>
  <c r="CM7" i="24"/>
  <c r="CL7" i="24"/>
  <c r="CK7" i="24"/>
  <c r="CJ7" i="24"/>
  <c r="CI7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SV8" i="23"/>
  <c r="TH8" i="23" s="1"/>
  <c r="SW8" i="23"/>
  <c r="SX8" i="23"/>
  <c r="SY8" i="23"/>
  <c r="SZ8" i="23"/>
  <c r="TK8" i="23" s="1"/>
  <c r="TA8" i="23"/>
  <c r="TL8" i="23" s="1"/>
  <c r="TB8" i="23"/>
  <c r="TJ18" i="22"/>
  <c r="TI18" i="22"/>
  <c r="TT18" i="22" s="1"/>
  <c r="TH18" i="22"/>
  <c r="TS18" i="22" s="1"/>
  <c r="TG18" i="22"/>
  <c r="TF18" i="22"/>
  <c r="TE18" i="22"/>
  <c r="TD18" i="22"/>
  <c r="TP18" i="22" s="1"/>
  <c r="TC18" i="22"/>
  <c r="TO18" i="22" s="1"/>
  <c r="TB18" i="22"/>
  <c r="TA18" i="22"/>
  <c r="SZ18" i="22"/>
  <c r="SY18" i="22"/>
  <c r="TM18" i="22" s="1"/>
  <c r="SX18" i="22"/>
  <c r="TL18" i="22" s="1"/>
  <c r="SW18" i="22"/>
  <c r="SV18" i="22"/>
  <c r="ST18" i="22"/>
  <c r="SS18" i="22"/>
  <c r="SR18" i="22"/>
  <c r="SQ18" i="22"/>
  <c r="SP18" i="22"/>
  <c r="SO18" i="22"/>
  <c r="SM18" i="22"/>
  <c r="SL18" i="22"/>
  <c r="SK18" i="22"/>
  <c r="SJ18" i="22"/>
  <c r="SI18" i="22"/>
  <c r="SH18" i="22"/>
  <c r="CZ18" i="22"/>
  <c r="CY18" i="22"/>
  <c r="CX18" i="22"/>
  <c r="CV18" i="22"/>
  <c r="CU18" i="22"/>
  <c r="CT18" i="22"/>
  <c r="CS18" i="22"/>
  <c r="CR18" i="22"/>
  <c r="CQ18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F4" i="22" l="1"/>
  <c r="QD28" i="19"/>
  <c r="DC28" i="19"/>
  <c r="F7" i="22"/>
  <c r="F4" i="24"/>
  <c r="F9" i="22"/>
  <c r="G14" i="23"/>
  <c r="F5" i="22"/>
  <c r="G28" i="19"/>
  <c r="F28" i="19"/>
  <c r="F7" i="24"/>
  <c r="G7" i="24"/>
  <c r="G8" i="24"/>
  <c r="G4" i="24"/>
  <c r="F8" i="24"/>
  <c r="G8" i="23"/>
  <c r="G5" i="23"/>
  <c r="F8" i="23"/>
  <c r="F5" i="23"/>
  <c r="F14" i="23"/>
  <c r="F6" i="22"/>
  <c r="F13" i="22"/>
  <c r="G4" i="22"/>
  <c r="G5" i="22"/>
  <c r="G7" i="22"/>
  <c r="G9" i="22"/>
  <c r="F12" i="22"/>
  <c r="F18" i="22"/>
  <c r="G13" i="22"/>
  <c r="G12" i="22"/>
  <c r="G18" i="22"/>
  <c r="G6" i="22"/>
  <c r="T6" i="22"/>
  <c r="U6" i="22" s="1"/>
  <c r="T13" i="22"/>
  <c r="U13" i="22" s="1"/>
  <c r="T12" i="22"/>
  <c r="U12" i="22" s="1"/>
  <c r="T18" i="22"/>
  <c r="U18" i="22" s="1"/>
  <c r="T5" i="22"/>
  <c r="U5" i="22" s="1"/>
  <c r="T7" i="22"/>
  <c r="U7" i="22" s="1"/>
  <c r="T9" i="22"/>
  <c r="U9" i="22" s="1"/>
  <c r="T4" i="22"/>
  <c r="U4" i="22" s="1"/>
  <c r="L8" i="23"/>
  <c r="CU8" i="23" s="1"/>
  <c r="L7" i="24"/>
  <c r="L4" i="24"/>
  <c r="L8" i="24"/>
  <c r="L14" i="23"/>
  <c r="CO5" i="23"/>
  <c r="CS5" i="23" s="1"/>
  <c r="L5" i="23"/>
  <c r="CO7" i="24"/>
  <c r="CS7" i="24" s="1"/>
  <c r="CO4" i="24"/>
  <c r="CS4" i="24" s="1"/>
  <c r="CO8" i="24"/>
  <c r="CS8" i="24" s="1"/>
  <c r="CO8" i="23"/>
  <c r="CS8" i="23" s="1"/>
  <c r="CO14" i="23"/>
  <c r="CS14" i="23" s="1"/>
  <c r="CW13" i="22"/>
  <c r="DA13" i="22" s="1"/>
  <c r="SF8" i="24"/>
  <c r="SM8" i="24" s="1"/>
  <c r="CW18" i="22"/>
  <c r="DA18" i="22" s="1"/>
  <c r="TU18" i="22"/>
  <c r="SF14" i="23"/>
  <c r="SM14" i="23" s="1"/>
  <c r="P5" i="22"/>
  <c r="DC5" i="22" s="1"/>
  <c r="TM14" i="23"/>
  <c r="TI14" i="23"/>
  <c r="TF14" i="23"/>
  <c r="J14" i="23"/>
  <c r="K14" i="23" s="1"/>
  <c r="I14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8" i="22"/>
  <c r="I7" i="24"/>
  <c r="I4" i="24"/>
  <c r="J4" i="24"/>
  <c r="TI7" i="24"/>
  <c r="J7" i="24"/>
  <c r="K7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7" i="24"/>
  <c r="SF7" i="24"/>
  <c r="SM7" i="24" s="1"/>
  <c r="TM7" i="24"/>
  <c r="SF4" i="24"/>
  <c r="SM4" i="24" s="1"/>
  <c r="J8" i="23"/>
  <c r="K8" i="23" s="1"/>
  <c r="SF8" i="23"/>
  <c r="SM8" i="23" s="1"/>
  <c r="TF8" i="23"/>
  <c r="TI8" i="23"/>
  <c r="TM8" i="23"/>
  <c r="I8" i="23"/>
  <c r="TG8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8" i="22"/>
  <c r="TN5" i="22"/>
  <c r="SN18" i="22"/>
  <c r="SU18" i="22" s="1"/>
  <c r="TQ18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8" i="22"/>
  <c r="N18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8" i="22"/>
  <c r="R9" i="22"/>
  <c r="S9" i="22" s="1"/>
  <c r="J18" i="22"/>
  <c r="R18" i="22"/>
  <c r="S18" i="22" s="1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QZ28" i="19"/>
  <c r="J28" i="19"/>
  <c r="K28" i="19" s="1"/>
  <c r="RC28" i="19"/>
  <c r="RG28" i="19" l="1"/>
  <c r="H8" i="23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8" i="23"/>
  <c r="DB7" i="22"/>
  <c r="DB12" i="22"/>
  <c r="V12" i="22" s="1"/>
  <c r="X12" i="22" s="1"/>
  <c r="DB18" i="22"/>
  <c r="CU8" i="24"/>
  <c r="CT8" i="24"/>
  <c r="M8" i="24"/>
  <c r="CU4" i="24"/>
  <c r="M4" i="24"/>
  <c r="CT4" i="24"/>
  <c r="CT7" i="24"/>
  <c r="M7" i="24"/>
  <c r="CU7" i="24"/>
  <c r="CU5" i="23"/>
  <c r="M5" i="23"/>
  <c r="CT5" i="23"/>
  <c r="M14" i="23"/>
  <c r="CT14" i="23"/>
  <c r="CU14" i="23"/>
  <c r="CT8" i="23"/>
  <c r="DB13" i="22"/>
  <c r="Q18" i="22"/>
  <c r="DC18" i="22"/>
  <c r="Q6" i="22"/>
  <c r="DC6" i="22"/>
  <c r="Q7" i="22"/>
  <c r="DC7" i="22"/>
  <c r="O28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8" i="22"/>
  <c r="Q4" i="22"/>
  <c r="O5" i="22"/>
  <c r="TR12" i="22"/>
  <c r="TV12" i="22" s="1"/>
  <c r="TR5" i="22"/>
  <c r="TV5" i="22" s="1"/>
  <c r="H7" i="22"/>
  <c r="TR18" i="22"/>
  <c r="TV18" i="22" s="1"/>
  <c r="TR9" i="22"/>
  <c r="TV9" i="22" s="1"/>
  <c r="TJ8" i="24"/>
  <c r="TN8" i="24" s="1"/>
  <c r="K8" i="24"/>
  <c r="TJ14" i="23"/>
  <c r="TN14" i="23" s="1"/>
  <c r="H5" i="23"/>
  <c r="TJ5" i="23"/>
  <c r="TN5" i="23" s="1"/>
  <c r="K5" i="23"/>
  <c r="H8" i="24"/>
  <c r="H4" i="24"/>
  <c r="TJ7" i="24"/>
  <c r="TN7" i="24" s="1"/>
  <c r="K4" i="24"/>
  <c r="TJ4" i="24"/>
  <c r="TN4" i="24" s="1"/>
  <c r="TJ8" i="23"/>
  <c r="TN8" i="23" s="1"/>
  <c r="H4" i="22"/>
  <c r="TR6" i="22"/>
  <c r="TV6" i="22" s="1"/>
  <c r="K7" i="22"/>
  <c r="M18" i="22"/>
  <c r="M5" i="22"/>
  <c r="K6" i="22"/>
  <c r="K18" i="22"/>
  <c r="K12" i="22"/>
  <c r="M6" i="22"/>
  <c r="M9" i="22"/>
  <c r="Q13" i="22"/>
  <c r="K9" i="22"/>
  <c r="Q28" i="19"/>
  <c r="M28" i="19"/>
  <c r="RD28" i="19"/>
  <c r="I28" i="19"/>
  <c r="H28" i="19" l="1"/>
  <c r="A28" i="19" s="1" a="1"/>
  <c r="A28" i="19" s="1"/>
  <c r="H7" i="24"/>
  <c r="H14" i="23"/>
  <c r="A14" i="23" s="1" a="1"/>
  <c r="A14" i="23" s="1"/>
  <c r="H12" i="22"/>
  <c r="H18" i="22"/>
  <c r="A18" i="22" s="1" a="1"/>
  <c r="A18" i="22" s="1"/>
  <c r="V18" i="22"/>
  <c r="X18" i="22" s="1"/>
  <c r="N14" i="23"/>
  <c r="V7" i="22"/>
  <c r="X7" i="22" s="1"/>
  <c r="V13" i="22"/>
  <c r="X13" i="22" s="1"/>
  <c r="R28" i="19"/>
  <c r="N8" i="24"/>
  <c r="P8" i="24" s="1"/>
  <c r="N5" i="23"/>
  <c r="N4" i="24"/>
  <c r="N8" i="23"/>
  <c r="N7" i="24"/>
  <c r="P7" i="24" s="1"/>
  <c r="V6" i="22"/>
  <c r="X6" i="22" s="1"/>
  <c r="V4" i="22"/>
  <c r="X4" i="22" s="1"/>
  <c r="E5" i="22"/>
  <c r="E12" i="22"/>
  <c r="E9" i="22"/>
  <c r="W12" i="22"/>
  <c r="W9" i="22"/>
  <c r="W5" i="22"/>
  <c r="E18" i="22" l="1"/>
  <c r="W18" i="22"/>
  <c r="S28" i="19"/>
  <c r="T28" i="19"/>
  <c r="E4" i="24"/>
  <c r="P4" i="24"/>
  <c r="E8" i="23"/>
  <c r="O8" i="23"/>
  <c r="P8" i="23"/>
  <c r="E5" i="23"/>
  <c r="O5" i="23"/>
  <c r="P5" i="23"/>
  <c r="P14" i="23"/>
  <c r="O14" i="23"/>
  <c r="E8" i="24"/>
  <c r="E14" i="23"/>
  <c r="E7" i="24"/>
  <c r="W7" i="22"/>
  <c r="E7" i="22"/>
  <c r="W6" i="22"/>
  <c r="E4" i="22"/>
  <c r="E28" i="19"/>
  <c r="O8" i="24"/>
  <c r="E13" i="22"/>
  <c r="W13" i="22"/>
  <c r="O4" i="24"/>
  <c r="O7" i="24"/>
  <c r="W4" i="22"/>
  <c r="E6" i="22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15" i="22" l="1" a="1"/>
  <c r="A15" i="22" s="1"/>
  <c r="A7" i="23" a="1"/>
  <c r="A7" i="23" s="1"/>
  <c r="QD26" i="19"/>
  <c r="DC26" i="19"/>
  <c r="A10" i="24" a="1"/>
  <c r="A10" i="24" s="1"/>
  <c r="A11" i="22" a="1"/>
  <c r="A11" i="22" s="1"/>
  <c r="G26" i="19"/>
  <c r="A10" i="22" a="1"/>
  <c r="A10" i="22" s="1"/>
  <c r="A12" i="22" a="1"/>
  <c r="A12" i="22" s="1"/>
  <c r="A12" i="24" a="1"/>
  <c r="A12" i="24" s="1"/>
  <c r="A7" i="24" a="1"/>
  <c r="A7" i="24" s="1"/>
  <c r="A6" i="23" a="1"/>
  <c r="A6" i="23" s="1"/>
  <c r="A8" i="23" a="1"/>
  <c r="A8" i="23" s="1"/>
  <c r="F26" i="19"/>
  <c r="A5" i="24" a="1"/>
  <c r="A5" i="24" s="1"/>
  <c r="A8" i="24" a="1"/>
  <c r="A8" i="24" s="1"/>
  <c r="A6" i="24" a="1"/>
  <c r="A6" i="24" s="1"/>
  <c r="A9" i="24" a="1"/>
  <c r="A9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QA26" i="19"/>
  <c r="N26" i="19"/>
  <c r="DE26" i="19" s="1"/>
  <c r="RE26" i="19"/>
  <c r="CZ26" i="19"/>
  <c r="L26" i="19"/>
  <c r="DD26" i="19" s="1"/>
  <c r="RF26" i="19"/>
  <c r="RB26" i="19"/>
  <c r="RA26" i="19"/>
  <c r="QZ26" i="19"/>
  <c r="P26" i="19"/>
  <c r="DF26" i="19" s="1"/>
  <c r="J26" i="19"/>
  <c r="K26" i="19" s="1"/>
  <c r="RC26" i="19"/>
  <c r="RG26" i="19" l="1"/>
  <c r="O26" i="19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6" i="19"/>
  <c r="Q26" i="19"/>
  <c r="I26" i="19"/>
  <c r="RD26" i="19"/>
  <c r="H26" i="19" l="1"/>
  <c r="A26" i="19" s="1" a="1"/>
  <c r="A26" i="19" s="1"/>
  <c r="R26" i="19"/>
  <c r="T26" i="19" l="1"/>
  <c r="S26" i="19"/>
  <c r="E26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3" i="4" l="1"/>
  <c r="F13" i="4"/>
  <c r="T13" i="4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J13" i="4"/>
  <c r="I13" i="4"/>
  <c r="TN13" i="4"/>
  <c r="N13" i="4"/>
  <c r="DB13" i="4" l="1"/>
  <c r="V13" i="4" s="1"/>
  <c r="X13" i="4" s="1"/>
  <c r="O13" i="4"/>
  <c r="M13" i="4"/>
  <c r="TR13" i="4"/>
  <c r="TV13" i="4" s="1"/>
  <c r="Q13" i="4"/>
  <c r="K13" i="4"/>
  <c r="H13" i="4" l="1"/>
  <c r="W13" i="4"/>
  <c r="E13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F13" i="21"/>
  <c r="QE13" i="21"/>
  <c r="QC13" i="21"/>
  <c r="QB13" i="21"/>
  <c r="PZ13" i="21"/>
  <c r="PY13" i="21"/>
  <c r="PX13" i="21"/>
  <c r="PW13" i="21"/>
  <c r="DB13" i="21"/>
  <c r="DA13" i="21"/>
  <c r="CY13" i="21"/>
  <c r="CX13" i="21"/>
  <c r="CW13" i="21"/>
  <c r="CV13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DC6" i="21" s="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0" i="19"/>
  <c r="PZ8" i="19"/>
  <c r="PZ17" i="19"/>
  <c r="PZ30" i="19"/>
  <c r="PZ7" i="19"/>
  <c r="PZ15" i="19"/>
  <c r="PZ5" i="19"/>
  <c r="PZ14" i="19"/>
  <c r="PZ4" i="19"/>
  <c r="PZ6" i="19"/>
  <c r="CY10" i="19"/>
  <c r="CY8" i="19"/>
  <c r="CY17" i="19"/>
  <c r="CY30" i="19"/>
  <c r="CY7" i="19"/>
  <c r="CY15" i="19"/>
  <c r="CY5" i="19"/>
  <c r="CY14" i="19"/>
  <c r="CY4" i="19"/>
  <c r="CY6" i="19"/>
  <c r="PY4" i="19"/>
  <c r="PY14" i="19"/>
  <c r="PY5" i="19"/>
  <c r="PY15" i="19"/>
  <c r="PY7" i="19"/>
  <c r="PY30" i="19"/>
  <c r="PY17" i="19"/>
  <c r="PY8" i="19"/>
  <c r="PY10" i="19"/>
  <c r="PY6" i="19"/>
  <c r="CX6" i="19"/>
  <c r="CX4" i="19"/>
  <c r="CX14" i="19"/>
  <c r="CX5" i="19"/>
  <c r="CX15" i="19"/>
  <c r="CX7" i="19"/>
  <c r="CX30" i="19"/>
  <c r="CX17" i="19"/>
  <c r="CX8" i="19"/>
  <c r="CX10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30" i="19"/>
  <c r="CW30" i="19"/>
  <c r="DA30" i="19"/>
  <c r="DB30" i="19"/>
  <c r="PW30" i="19"/>
  <c r="PX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CV17" i="19"/>
  <c r="CW17" i="19"/>
  <c r="DA17" i="19"/>
  <c r="DB17" i="19"/>
  <c r="PW17" i="19"/>
  <c r="PX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F14" i="19"/>
  <c r="QE14" i="19"/>
  <c r="QC14" i="19"/>
  <c r="QB14" i="19"/>
  <c r="PX14" i="19"/>
  <c r="PW14" i="19"/>
  <c r="DB14" i="19"/>
  <c r="DA14" i="19"/>
  <c r="CW14" i="19"/>
  <c r="CV1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8" i="21" l="1"/>
  <c r="DC7" i="21"/>
  <c r="DC12" i="21"/>
  <c r="DC13" i="21"/>
  <c r="DC17" i="21"/>
  <c r="DC4" i="21"/>
  <c r="DC5" i="21"/>
  <c r="DC9" i="21"/>
  <c r="QD14" i="19"/>
  <c r="DC14" i="19"/>
  <c r="QD8" i="21"/>
  <c r="QD6" i="21"/>
  <c r="QD4" i="21"/>
  <c r="QD7" i="21"/>
  <c r="QD12" i="21"/>
  <c r="QD13" i="21"/>
  <c r="QD17" i="21"/>
  <c r="QD5" i="21"/>
  <c r="QD9" i="21"/>
  <c r="DC6" i="19"/>
  <c r="QD4" i="19"/>
  <c r="QD10" i="19"/>
  <c r="DC8" i="19"/>
  <c r="QD17" i="19"/>
  <c r="QD7" i="19"/>
  <c r="QD5" i="19"/>
  <c r="DC10" i="19"/>
  <c r="QD8" i="19"/>
  <c r="DC17" i="19"/>
  <c r="QD30" i="19"/>
  <c r="DC7" i="19"/>
  <c r="QD15" i="19"/>
  <c r="DC5" i="19"/>
  <c r="DC4" i="19"/>
  <c r="DC30" i="19"/>
  <c r="DC15" i="19"/>
  <c r="QD6" i="19"/>
  <c r="F8" i="21"/>
  <c r="F4" i="21"/>
  <c r="F7" i="21"/>
  <c r="F12" i="21"/>
  <c r="F13" i="21"/>
  <c r="F17" i="21"/>
  <c r="F5" i="21"/>
  <c r="F9" i="21"/>
  <c r="G4" i="21"/>
  <c r="G7" i="21"/>
  <c r="G12" i="21"/>
  <c r="G13" i="21"/>
  <c r="G17" i="21"/>
  <c r="G5" i="21"/>
  <c r="G9" i="21"/>
  <c r="F6" i="21"/>
  <c r="G6" i="21"/>
  <c r="G8" i="21"/>
  <c r="G6" i="19"/>
  <c r="F4" i="19"/>
  <c r="G5" i="19"/>
  <c r="G4" i="19"/>
  <c r="G30" i="19"/>
  <c r="G15" i="19"/>
  <c r="G8" i="19"/>
  <c r="F14" i="19"/>
  <c r="F6" i="19"/>
  <c r="G14" i="19"/>
  <c r="G10" i="19"/>
  <c r="G17" i="19"/>
  <c r="G7" i="19"/>
  <c r="F10" i="19"/>
  <c r="F17" i="19"/>
  <c r="F7" i="19"/>
  <c r="F5" i="19"/>
  <c r="F8" i="19"/>
  <c r="F30" i="19"/>
  <c r="F15" i="19"/>
  <c r="QA30" i="19"/>
  <c r="CZ5" i="19"/>
  <c r="CZ15" i="19"/>
  <c r="QA15" i="19"/>
  <c r="QA7" i="19"/>
  <c r="QA8" i="19"/>
  <c r="CZ17" i="19"/>
  <c r="CZ4" i="19"/>
  <c r="QA4" i="19"/>
  <c r="QA14" i="19"/>
  <c r="N10" i="19"/>
  <c r="DE10" i="19" s="1"/>
  <c r="CZ10" i="19"/>
  <c r="QA6" i="19"/>
  <c r="P5" i="21"/>
  <c r="DF5" i="21" s="1"/>
  <c r="QZ9" i="21"/>
  <c r="RE9" i="21"/>
  <c r="QA17" i="19"/>
  <c r="CZ5" i="21"/>
  <c r="RF9" i="21"/>
  <c r="QA6" i="21"/>
  <c r="QA5" i="21"/>
  <c r="L9" i="21"/>
  <c r="DD9" i="21" s="1"/>
  <c r="RB7" i="21"/>
  <c r="QZ6" i="21"/>
  <c r="RE6" i="21"/>
  <c r="P4" i="21"/>
  <c r="DF4" i="21" s="1"/>
  <c r="QA4" i="21"/>
  <c r="RC17" i="21"/>
  <c r="L5" i="21"/>
  <c r="DD5" i="21" s="1"/>
  <c r="P17" i="21"/>
  <c r="DF17" i="21" s="1"/>
  <c r="P9" i="21"/>
  <c r="DF9" i="21" s="1"/>
  <c r="RB9" i="21"/>
  <c r="N8" i="21"/>
  <c r="DE8" i="21" s="1"/>
  <c r="QZ4" i="21"/>
  <c r="RC7" i="21"/>
  <c r="QA10" i="19"/>
  <c r="CZ8" i="19"/>
  <c r="CZ14" i="19"/>
  <c r="QA5" i="19"/>
  <c r="QZ12" i="21"/>
  <c r="P13" i="21"/>
  <c r="DF13" i="21" s="1"/>
  <c r="CZ13" i="21"/>
  <c r="P8" i="21"/>
  <c r="DF8" i="21" s="1"/>
  <c r="QZ8" i="21"/>
  <c r="CZ6" i="21"/>
  <c r="RC5" i="21"/>
  <c r="CZ9" i="21"/>
  <c r="RE17" i="21"/>
  <c r="CZ4" i="21"/>
  <c r="RA17" i="21"/>
  <c r="RB17" i="21"/>
  <c r="RF17" i="21"/>
  <c r="QA9" i="21"/>
  <c r="RB12" i="21"/>
  <c r="RF5" i="21"/>
  <c r="RB6" i="21"/>
  <c r="N7" i="21"/>
  <c r="DE7" i="21" s="1"/>
  <c r="P7" i="21"/>
  <c r="DF7" i="21" s="1"/>
  <c r="QA7" i="21"/>
  <c r="N12" i="21"/>
  <c r="DE12" i="21" s="1"/>
  <c r="N5" i="21"/>
  <c r="DE5" i="21" s="1"/>
  <c r="QZ5" i="21"/>
  <c r="RE5" i="21"/>
  <c r="RE7" i="21"/>
  <c r="L12" i="21"/>
  <c r="DD12" i="21" s="1"/>
  <c r="QA12" i="21"/>
  <c r="RF12" i="21"/>
  <c r="L13" i="21"/>
  <c r="DD13" i="21" s="1"/>
  <c r="RC13" i="21"/>
  <c r="RE13" i="21"/>
  <c r="CZ17" i="21"/>
  <c r="N9" i="21"/>
  <c r="DE9" i="21" s="1"/>
  <c r="RF8" i="21"/>
  <c r="N6" i="21"/>
  <c r="DE6" i="21" s="1"/>
  <c r="RE12" i="21"/>
  <c r="N13" i="21"/>
  <c r="DE13" i="21" s="1"/>
  <c r="RB13" i="21"/>
  <c r="RB5" i="21"/>
  <c r="RC9" i="21"/>
  <c r="RE8" i="21"/>
  <c r="RA4" i="21"/>
  <c r="RB4" i="21"/>
  <c r="CZ12" i="21"/>
  <c r="RF13" i="21"/>
  <c r="QA8" i="21"/>
  <c r="RB8" i="21"/>
  <c r="RC6" i="19"/>
  <c r="RC5" i="19"/>
  <c r="CZ30" i="19"/>
  <c r="CZ7" i="19"/>
  <c r="RC15" i="19"/>
  <c r="RC10" i="19"/>
  <c r="RC4" i="19"/>
  <c r="RC8" i="19"/>
  <c r="RC17" i="19"/>
  <c r="RC14" i="19"/>
  <c r="RC30" i="19"/>
  <c r="RC7" i="19"/>
  <c r="CZ6" i="19"/>
  <c r="L6" i="21"/>
  <c r="DD6" i="21" s="1"/>
  <c r="RA13" i="21"/>
  <c r="RC6" i="21"/>
  <c r="RA12" i="21"/>
  <c r="RA8" i="21"/>
  <c r="RC4" i="21"/>
  <c r="QZ7" i="21"/>
  <c r="J12" i="21"/>
  <c r="RC8" i="21"/>
  <c r="RC12" i="21"/>
  <c r="J13" i="21"/>
  <c r="RA9" i="21"/>
  <c r="L8" i="21"/>
  <c r="DD8" i="21" s="1"/>
  <c r="J6" i="21"/>
  <c r="J17" i="21"/>
  <c r="L17" i="21"/>
  <c r="DD17" i="21" s="1"/>
  <c r="RF6" i="21"/>
  <c r="RA7" i="21"/>
  <c r="J8" i="21"/>
  <c r="P6" i="21"/>
  <c r="DF6" i="21" s="1"/>
  <c r="CZ8" i="21"/>
  <c r="N4" i="21"/>
  <c r="DE4" i="21" s="1"/>
  <c r="L4" i="21"/>
  <c r="DD4" i="21" s="1"/>
  <c r="J4" i="21"/>
  <c r="CZ7" i="21"/>
  <c r="P12" i="21"/>
  <c r="DF12" i="21" s="1"/>
  <c r="RF4" i="21"/>
  <c r="RE4" i="21"/>
  <c r="RA6" i="21"/>
  <c r="RF7" i="21"/>
  <c r="L7" i="21"/>
  <c r="DD7" i="21" s="1"/>
  <c r="J7" i="21"/>
  <c r="RA5" i="21"/>
  <c r="RG5" i="21" s="1"/>
  <c r="QA13" i="21"/>
  <c r="QZ13" i="21"/>
  <c r="QA17" i="21"/>
  <c r="QZ17" i="21"/>
  <c r="J5" i="21"/>
  <c r="N17" i="21"/>
  <c r="DE17" i="21" s="1"/>
  <c r="J9" i="21"/>
  <c r="J6" i="19"/>
  <c r="N8" i="19"/>
  <c r="DE8" i="19" s="1"/>
  <c r="N6" i="19"/>
  <c r="DE6" i="19" s="1"/>
  <c r="N17" i="19"/>
  <c r="DE17" i="19" s="1"/>
  <c r="N14" i="19"/>
  <c r="DE14" i="19" s="1"/>
  <c r="N15" i="19"/>
  <c r="DE15" i="19" s="1"/>
  <c r="N5" i="19"/>
  <c r="DE5" i="19" s="1"/>
  <c r="N30" i="19"/>
  <c r="DE30" i="19" s="1"/>
  <c r="N7" i="19"/>
  <c r="DE7" i="19" s="1"/>
  <c r="RE17" i="19"/>
  <c r="RB17" i="19"/>
  <c r="J8" i="19"/>
  <c r="K8" i="19" s="1"/>
  <c r="QZ17" i="19"/>
  <c r="P7" i="19"/>
  <c r="DF7" i="19" s="1"/>
  <c r="RE10" i="19"/>
  <c r="QZ10" i="19"/>
  <c r="RA7" i="19"/>
  <c r="RE8" i="19"/>
  <c r="P17" i="19"/>
  <c r="DF17" i="19" s="1"/>
  <c r="RB30" i="19"/>
  <c r="RB7" i="19"/>
  <c r="RA17" i="19"/>
  <c r="RF10" i="19"/>
  <c r="RB10" i="19"/>
  <c r="P10" i="19"/>
  <c r="DF10" i="19" s="1"/>
  <c r="P15" i="19"/>
  <c r="DF15" i="19" s="1"/>
  <c r="RF8" i="19"/>
  <c r="RB8" i="19"/>
  <c r="RA8" i="19"/>
  <c r="RF17" i="19"/>
  <c r="J17" i="19"/>
  <c r="RA30" i="19"/>
  <c r="RA10" i="19"/>
  <c r="RE30" i="19"/>
  <c r="QZ30" i="19"/>
  <c r="L10" i="19"/>
  <c r="DD10" i="19" s="1"/>
  <c r="P8" i="19"/>
  <c r="DF8" i="19" s="1"/>
  <c r="RF30" i="19"/>
  <c r="RE7" i="19"/>
  <c r="QZ7" i="19"/>
  <c r="QZ8" i="19"/>
  <c r="RF7" i="19"/>
  <c r="RB15" i="19"/>
  <c r="RA15" i="19"/>
  <c r="RE15" i="19"/>
  <c r="QZ15" i="19"/>
  <c r="L15" i="19"/>
  <c r="DD15" i="19" s="1"/>
  <c r="P30" i="19"/>
  <c r="DF30" i="19" s="1"/>
  <c r="J10" i="19"/>
  <c r="L7" i="19"/>
  <c r="DD7" i="19" s="1"/>
  <c r="J15" i="19"/>
  <c r="L30" i="19"/>
  <c r="DD30" i="19" s="1"/>
  <c r="RF15" i="19"/>
  <c r="L17" i="19"/>
  <c r="DD17" i="19" s="1"/>
  <c r="J7" i="19"/>
  <c r="L8" i="19"/>
  <c r="DD8" i="19" s="1"/>
  <c r="J30" i="19"/>
  <c r="RF5" i="19"/>
  <c r="RE5" i="19"/>
  <c r="P14" i="19"/>
  <c r="DF14" i="19" s="1"/>
  <c r="QZ4" i="19"/>
  <c r="RE6" i="19"/>
  <c r="L6" i="19"/>
  <c r="DD6" i="19" s="1"/>
  <c r="QZ14" i="19"/>
  <c r="RF4" i="19"/>
  <c r="P6" i="19"/>
  <c r="DF6" i="19" s="1"/>
  <c r="RA14" i="19"/>
  <c r="RF6" i="19"/>
  <c r="RF14" i="19"/>
  <c r="L5" i="19"/>
  <c r="DD5" i="19" s="1"/>
  <c r="RA4" i="19"/>
  <c r="RB4" i="19"/>
  <c r="RE14" i="19"/>
  <c r="P5" i="19"/>
  <c r="DF5" i="19" s="1"/>
  <c r="QZ6" i="19"/>
  <c r="J5" i="19"/>
  <c r="QZ5" i="19"/>
  <c r="RA6" i="19"/>
  <c r="RB6" i="19"/>
  <c r="J14" i="19"/>
  <c r="RA5" i="19"/>
  <c r="RB5" i="19"/>
  <c r="RB14" i="19"/>
  <c r="RE4" i="19"/>
  <c r="L14" i="19"/>
  <c r="DD14" i="19" s="1"/>
  <c r="RG6" i="21" l="1"/>
  <c r="RG5" i="19"/>
  <c r="RG8" i="21"/>
  <c r="RG8" i="19"/>
  <c r="RG4" i="21"/>
  <c r="RG17" i="21"/>
  <c r="RG9" i="21"/>
  <c r="RG12" i="21"/>
  <c r="RG7" i="21"/>
  <c r="RG13" i="21"/>
  <c r="RG10" i="19"/>
  <c r="RG7" i="19"/>
  <c r="RG6" i="19"/>
  <c r="RG15" i="19"/>
  <c r="RG14" i="19"/>
  <c r="RG30" i="19"/>
  <c r="RG4" i="19"/>
  <c r="RG17" i="19"/>
  <c r="O17" i="21"/>
  <c r="O4" i="21"/>
  <c r="O6" i="21"/>
  <c r="O5" i="21"/>
  <c r="O12" i="21"/>
  <c r="K13" i="21"/>
  <c r="O9" i="21"/>
  <c r="O8" i="21"/>
  <c r="O7" i="21"/>
  <c r="O13" i="21"/>
  <c r="O30" i="19"/>
  <c r="O5" i="19"/>
  <c r="O15" i="19"/>
  <c r="R15" i="19"/>
  <c r="O6" i="19"/>
  <c r="O8" i="19"/>
  <c r="O14" i="19"/>
  <c r="O17" i="19"/>
  <c r="O7" i="19"/>
  <c r="O10" i="19"/>
  <c r="RD9" i="21"/>
  <c r="Q13" i="21"/>
  <c r="Q9" i="21"/>
  <c r="Q4" i="21"/>
  <c r="M9" i="21"/>
  <c r="Q5" i="21"/>
  <c r="R12" i="21"/>
  <c r="M6" i="21"/>
  <c r="R17" i="21"/>
  <c r="Q7" i="21"/>
  <c r="Q8" i="21"/>
  <c r="R13" i="21"/>
  <c r="Q14" i="19"/>
  <c r="M6" i="19"/>
  <c r="R10" i="19"/>
  <c r="M5" i="19"/>
  <c r="Q17" i="19"/>
  <c r="Q8" i="19"/>
  <c r="Q7" i="19"/>
  <c r="Q5" i="19"/>
  <c r="M5" i="21"/>
  <c r="M13" i="21"/>
  <c r="I9" i="21"/>
  <c r="RD13" i="21"/>
  <c r="RD17" i="21"/>
  <c r="I5" i="21"/>
  <c r="I8" i="19"/>
  <c r="I17" i="19"/>
  <c r="I15" i="19"/>
  <c r="RD8" i="19"/>
  <c r="RD5" i="19"/>
  <c r="RD4" i="21"/>
  <c r="RD8" i="21"/>
  <c r="Q17" i="21"/>
  <c r="K6" i="21"/>
  <c r="K12" i="21"/>
  <c r="K17" i="21"/>
  <c r="I7" i="19"/>
  <c r="K5" i="19"/>
  <c r="K14" i="19"/>
  <c r="K17" i="19"/>
  <c r="I10" i="19"/>
  <c r="RD12" i="21"/>
  <c r="M17" i="21"/>
  <c r="RD15" i="19"/>
  <c r="I14" i="19"/>
  <c r="I30" i="19"/>
  <c r="I5" i="19"/>
  <c r="M12" i="21"/>
  <c r="I12" i="21"/>
  <c r="I4" i="21"/>
  <c r="I13" i="21"/>
  <c r="I17" i="21"/>
  <c r="RD4" i="19"/>
  <c r="RD30" i="19"/>
  <c r="RD14" i="19"/>
  <c r="I6" i="19"/>
  <c r="RD7" i="19"/>
  <c r="RD6" i="19"/>
  <c r="RD10" i="19"/>
  <c r="RD17" i="19"/>
  <c r="I8" i="21"/>
  <c r="I7" i="21"/>
  <c r="M8" i="21"/>
  <c r="M4" i="21"/>
  <c r="I6" i="21"/>
  <c r="K4" i="21"/>
  <c r="RD6" i="21"/>
  <c r="RD5" i="21"/>
  <c r="K7" i="21"/>
  <c r="Q12" i="21"/>
  <c r="RD7" i="21"/>
  <c r="K9" i="21"/>
  <c r="M7" i="21"/>
  <c r="Q6" i="21"/>
  <c r="K5" i="21"/>
  <c r="K8" i="21"/>
  <c r="Q15" i="19"/>
  <c r="M10" i="19"/>
  <c r="Q10" i="19"/>
  <c r="M7" i="19"/>
  <c r="M8" i="19"/>
  <c r="M15" i="19"/>
  <c r="M17" i="19"/>
  <c r="K15" i="19"/>
  <c r="Q30" i="19"/>
  <c r="M30" i="19"/>
  <c r="K30" i="19"/>
  <c r="K10" i="19"/>
  <c r="K7" i="19"/>
  <c r="Q6" i="19"/>
  <c r="M14" i="19"/>
  <c r="K6" i="19"/>
  <c r="H9" i="21" l="1"/>
  <c r="H6" i="21"/>
  <c r="H4" i="21"/>
  <c r="H5" i="19"/>
  <c r="H30" i="19"/>
  <c r="A30" i="19" s="1" a="1"/>
  <c r="A30" i="19" s="1"/>
  <c r="H15" i="19"/>
  <c r="H7" i="19"/>
  <c r="H14" i="19"/>
  <c r="H8" i="19"/>
  <c r="H6" i="19"/>
  <c r="T12" i="21"/>
  <c r="S12" i="21"/>
  <c r="T13" i="21"/>
  <c r="S13" i="21"/>
  <c r="T17" i="21"/>
  <c r="S17" i="21"/>
  <c r="S15" i="19"/>
  <c r="T15" i="19"/>
  <c r="T10" i="19"/>
  <c r="S10" i="19"/>
  <c r="E13" i="21"/>
  <c r="E17" i="21"/>
  <c r="E12" i="21"/>
  <c r="R6" i="21"/>
  <c r="R5" i="21"/>
  <c r="R8" i="21"/>
  <c r="R6" i="19"/>
  <c r="R9" i="21"/>
  <c r="R7" i="21"/>
  <c r="R4" i="21"/>
  <c r="E10" i="19"/>
  <c r="E15" i="19"/>
  <c r="R7" i="19"/>
  <c r="R17" i="19"/>
  <c r="R8" i="19"/>
  <c r="R30" i="19"/>
  <c r="R14" i="19"/>
  <c r="R5" i="19"/>
  <c r="H7" i="21" l="1"/>
  <c r="H13" i="21"/>
  <c r="H8" i="21"/>
  <c r="H5" i="21"/>
  <c r="H12" i="21"/>
  <c r="H17" i="21"/>
  <c r="A17" i="21" s="1" a="1"/>
  <c r="A17" i="21" s="1"/>
  <c r="H17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S8" i="19"/>
  <c r="T8" i="19"/>
  <c r="S14" i="19"/>
  <c r="T14" i="19"/>
  <c r="E30" i="19"/>
  <c r="S30" i="19"/>
  <c r="T30" i="19"/>
  <c r="E17" i="19"/>
  <c r="S17" i="19"/>
  <c r="T17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4" i="19"/>
  <c r="E8" i="19"/>
  <c r="A10" i="21" l="1" a="1"/>
  <c r="A10" i="21" s="1"/>
  <c r="A14" i="21" a="1"/>
  <c r="A14" i="21" s="1"/>
  <c r="A13" i="21" a="1"/>
  <c r="A13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1" i="21" a="1"/>
  <c r="A11" i="21" s="1"/>
  <c r="A8" i="21" a="1"/>
  <c r="A8" i="21" s="1"/>
  <c r="A12" i="21" a="1"/>
  <c r="A12" i="21" s="1"/>
  <c r="ST11" i="4"/>
  <c r="SS11" i="4"/>
  <c r="SR11" i="4"/>
  <c r="SQ11" i="4"/>
  <c r="SP11" i="4"/>
  <c r="SO11" i="4"/>
  <c r="SM11" i="4"/>
  <c r="SL11" i="4"/>
  <c r="SK11" i="4"/>
  <c r="SJ11" i="4"/>
  <c r="SI11" i="4"/>
  <c r="SH11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CY5" i="4"/>
  <c r="CY6" i="4"/>
  <c r="CY7" i="4"/>
  <c r="CY12" i="4"/>
  <c r="CY10" i="4"/>
  <c r="CY24" i="4"/>
  <c r="CY21" i="4"/>
  <c r="CY17" i="4"/>
  <c r="CY16" i="4"/>
  <c r="CY19" i="4"/>
  <c r="CY11" i="4"/>
  <c r="CY4" i="4"/>
  <c r="CX4" i="4"/>
  <c r="CU4" i="4"/>
  <c r="CU6" i="4"/>
  <c r="CU7" i="4"/>
  <c r="CU12" i="4"/>
  <c r="CU10" i="4"/>
  <c r="CU24" i="4"/>
  <c r="CU21" i="4"/>
  <c r="CU17" i="4"/>
  <c r="CU16" i="4"/>
  <c r="CU19" i="4"/>
  <c r="CU11" i="4"/>
  <c r="CU5" i="4"/>
  <c r="CT5" i="4"/>
  <c r="CR4" i="4"/>
  <c r="CR6" i="4"/>
  <c r="CR7" i="4"/>
  <c r="CR12" i="4"/>
  <c r="CR10" i="4"/>
  <c r="CR24" i="4"/>
  <c r="CR21" i="4"/>
  <c r="CR17" i="4"/>
  <c r="CR16" i="4"/>
  <c r="CR19" i="4"/>
  <c r="CR11" i="4"/>
  <c r="CR5" i="4"/>
  <c r="CQ5" i="4"/>
  <c r="CQ4" i="4"/>
  <c r="CQ6" i="4"/>
  <c r="CQ7" i="4"/>
  <c r="CQ12" i="4"/>
  <c r="CQ10" i="4"/>
  <c r="CQ24" i="4"/>
  <c r="CQ21" i="4"/>
  <c r="CQ17" i="4"/>
  <c r="CQ16" i="4"/>
  <c r="CQ19" i="4"/>
  <c r="CQ11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9" i="4"/>
  <c r="SU19" i="4" s="1"/>
  <c r="SN24" i="4"/>
  <c r="SU24" i="4" s="1"/>
  <c r="SN5" i="4"/>
  <c r="SU5" i="4" s="1"/>
  <c r="SN4" i="4"/>
  <c r="SU4" i="4" s="1"/>
  <c r="SN6" i="4"/>
  <c r="SU6" i="4" s="1"/>
  <c r="SN12" i="4"/>
  <c r="SU12" i="4" s="1"/>
  <c r="SN10" i="4"/>
  <c r="SU10" i="4" s="1"/>
  <c r="SN21" i="4"/>
  <c r="SU21" i="4" s="1"/>
  <c r="SN17" i="4"/>
  <c r="SU17" i="4" s="1"/>
  <c r="SN16" i="4"/>
  <c r="SU16" i="4" s="1"/>
  <c r="SN7" i="4"/>
  <c r="SU7" i="4" s="1"/>
  <c r="SN11" i="4"/>
  <c r="SU11" i="4" s="1"/>
  <c r="CS11" i="4" l="1"/>
  <c r="CT11" i="4"/>
  <c r="CV11" i="4"/>
  <c r="CX11" i="4"/>
  <c r="CZ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G11" i="4" l="1"/>
  <c r="F11" i="4"/>
  <c r="T11" i="4"/>
  <c r="U11" i="4" s="1"/>
  <c r="R11" i="4"/>
  <c r="S11" i="4" s="1"/>
  <c r="N11" i="4"/>
  <c r="DB11" i="4" s="1"/>
  <c r="L11" i="4"/>
  <c r="J11" i="4"/>
  <c r="TU11" i="4"/>
  <c r="I11" i="4"/>
  <c r="TQ11" i="4"/>
  <c r="TN11" i="4"/>
  <c r="CW11" i="4"/>
  <c r="DA11" i="4" s="1"/>
  <c r="P11" i="4"/>
  <c r="DC11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G12" i="4" l="1"/>
  <c r="F12" i="4"/>
  <c r="G19" i="4"/>
  <c r="F19" i="4"/>
  <c r="G16" i="4"/>
  <c r="F16" i="4"/>
  <c r="T12" i="4"/>
  <c r="U12" i="4" s="1"/>
  <c r="T19" i="4"/>
  <c r="U19" i="4" s="1"/>
  <c r="T16" i="4"/>
  <c r="U16" i="4" s="1"/>
  <c r="O11" i="4"/>
  <c r="V11" i="4"/>
  <c r="X11" i="4" s="1"/>
  <c r="R16" i="4"/>
  <c r="S16" i="4" s="1"/>
  <c r="R19" i="4"/>
  <c r="S19" i="4" s="1"/>
  <c r="R12" i="4"/>
  <c r="S12" i="4" s="1"/>
  <c r="N19" i="4"/>
  <c r="DB19" i="4" s="1"/>
  <c r="N12" i="4"/>
  <c r="DB12" i="4" s="1"/>
  <c r="N16" i="4"/>
  <c r="DB16" i="4" s="1"/>
  <c r="K11" i="4"/>
  <c r="L12" i="4"/>
  <c r="J16" i="4"/>
  <c r="K16" i="4" s="1"/>
  <c r="I12" i="4"/>
  <c r="J12" i="4"/>
  <c r="I16" i="4"/>
  <c r="L19" i="4"/>
  <c r="L16" i="4"/>
  <c r="J19" i="4"/>
  <c r="TR11" i="4"/>
  <c r="TV11" i="4" s="1"/>
  <c r="I19" i="4"/>
  <c r="TU12" i="4"/>
  <c r="TN12" i="4"/>
  <c r="H11" i="4"/>
  <c r="A11" i="4" s="1" a="1"/>
  <c r="A11" i="4" s="1"/>
  <c r="Q19" i="4"/>
  <c r="Q16" i="4"/>
  <c r="TQ19" i="4"/>
  <c r="TQ16" i="4"/>
  <c r="Q12" i="4"/>
  <c r="M11" i="4"/>
  <c r="TU19" i="4"/>
  <c r="TU16" i="4"/>
  <c r="TQ12" i="4"/>
  <c r="TN19" i="4"/>
  <c r="TN16" i="4"/>
  <c r="Q11" i="4"/>
  <c r="CW12" i="4"/>
  <c r="DA12" i="4" s="1"/>
  <c r="CW19" i="4"/>
  <c r="DA19" i="4" s="1"/>
  <c r="CW16" i="4"/>
  <c r="DA16" i="4" s="1"/>
  <c r="H19" i="4" l="1"/>
  <c r="A19" i="4" s="1" a="1"/>
  <c r="A19" i="4" s="1"/>
  <c r="H16" i="4"/>
  <c r="A16" i="4" s="1" a="1"/>
  <c r="A16" i="4" s="1"/>
  <c r="O16" i="4"/>
  <c r="V16" i="4"/>
  <c r="X16" i="4" s="1"/>
  <c r="O12" i="4"/>
  <c r="V12" i="4"/>
  <c r="O19" i="4"/>
  <c r="V19" i="4"/>
  <c r="W11" i="4"/>
  <c r="TR16" i="4"/>
  <c r="TV16" i="4" s="1"/>
  <c r="K12" i="4"/>
  <c r="K19" i="4"/>
  <c r="TR19" i="4"/>
  <c r="TV19" i="4" s="1"/>
  <c r="TR12" i="4"/>
  <c r="TV12" i="4" s="1"/>
  <c r="M19" i="4"/>
  <c r="M16" i="4"/>
  <c r="M12" i="4"/>
  <c r="H12" i="4" l="1"/>
  <c r="A12" i="4" s="1" a="1"/>
  <c r="A12" i="4" s="1"/>
  <c r="X19" i="4"/>
  <c r="W19" i="4"/>
  <c r="X12" i="4"/>
  <c r="W12" i="4"/>
  <c r="W16" i="4"/>
  <c r="E19" i="4" l="1"/>
  <c r="E11" i="4"/>
  <c r="E16" i="4"/>
  <c r="E12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10" i="4"/>
  <c r="CT10" i="4"/>
  <c r="CV10" i="4"/>
  <c r="CX10" i="4"/>
  <c r="CZ10" i="4"/>
  <c r="P10" i="4" s="1"/>
  <c r="DC10" i="4" s="1"/>
  <c r="CS4" i="4"/>
  <c r="CT4" i="4"/>
  <c r="T4" i="4" s="1"/>
  <c r="CV4" i="4"/>
  <c r="CZ4" i="4"/>
  <c r="P4" i="4" s="1"/>
  <c r="DC4" i="4" s="1"/>
  <c r="CS24" i="4"/>
  <c r="CT24" i="4"/>
  <c r="CV24" i="4"/>
  <c r="CX24" i="4"/>
  <c r="CZ24" i="4"/>
  <c r="P24" i="4" s="1"/>
  <c r="DC24" i="4" s="1"/>
  <c r="CS17" i="4"/>
  <c r="CT17" i="4"/>
  <c r="CV17" i="4"/>
  <c r="CX17" i="4"/>
  <c r="CZ17" i="4"/>
  <c r="P17" i="4" s="1"/>
  <c r="DC17" i="4" s="1"/>
  <c r="CS21" i="4"/>
  <c r="CT21" i="4"/>
  <c r="CV21" i="4"/>
  <c r="CX21" i="4"/>
  <c r="CZ21" i="4"/>
  <c r="P21" i="4" s="1"/>
  <c r="DC21" i="4" s="1"/>
  <c r="CV5" i="4"/>
  <c r="CS5" i="4"/>
  <c r="G4" i="4" l="1"/>
  <c r="F4" i="4"/>
  <c r="G17" i="4"/>
  <c r="F17" i="4"/>
  <c r="G21" i="4"/>
  <c r="F21" i="4"/>
  <c r="G7" i="4"/>
  <c r="F7" i="4"/>
  <c r="G24" i="4"/>
  <c r="F24" i="4"/>
  <c r="G10" i="4"/>
  <c r="F10" i="4"/>
  <c r="G6" i="4"/>
  <c r="F6" i="4"/>
  <c r="T24" i="4"/>
  <c r="U24" i="4" s="1"/>
  <c r="T7" i="4"/>
  <c r="U7" i="4" s="1"/>
  <c r="T17" i="4"/>
  <c r="U17" i="4" s="1"/>
  <c r="T10" i="4"/>
  <c r="U10" i="4" s="1"/>
  <c r="T21" i="4"/>
  <c r="U21" i="4" s="1"/>
  <c r="T6" i="4"/>
  <c r="U6" i="4" s="1"/>
  <c r="L5" i="4"/>
  <c r="R6" i="4"/>
  <c r="S6" i="4" s="1"/>
  <c r="R10" i="4"/>
  <c r="S10" i="4" s="1"/>
  <c r="R17" i="4"/>
  <c r="S17" i="4" s="1"/>
  <c r="R21" i="4"/>
  <c r="S21" i="4" s="1"/>
  <c r="R7" i="4"/>
  <c r="S7" i="4" s="1"/>
  <c r="R24" i="4"/>
  <c r="S24" i="4" s="1"/>
  <c r="N10" i="4"/>
  <c r="DB10" i="4" s="1"/>
  <c r="N17" i="4"/>
  <c r="DB17" i="4" s="1"/>
  <c r="N6" i="4"/>
  <c r="DB6" i="4" s="1"/>
  <c r="N21" i="4"/>
  <c r="DB21" i="4" s="1"/>
  <c r="N5" i="4"/>
  <c r="DB5" i="4" s="1"/>
  <c r="N24" i="4"/>
  <c r="DB24" i="4" s="1"/>
  <c r="N7" i="4"/>
  <c r="DB7" i="4" s="1"/>
  <c r="L4" i="4"/>
  <c r="M4" i="4" s="1"/>
  <c r="N4" i="4"/>
  <c r="DB4" i="4" s="1"/>
  <c r="J21" i="4"/>
  <c r="K21" i="4" s="1"/>
  <c r="L21" i="4"/>
  <c r="J5" i="4"/>
  <c r="L24" i="4"/>
  <c r="J24" i="4"/>
  <c r="K24" i="4" s="1"/>
  <c r="L7" i="4"/>
  <c r="J7" i="4"/>
  <c r="L6" i="4"/>
  <c r="J6" i="4"/>
  <c r="K6" i="4" s="1"/>
  <c r="J17" i="4"/>
  <c r="K17" i="4" s="1"/>
  <c r="L17" i="4"/>
  <c r="J10" i="4"/>
  <c r="K10" i="4" s="1"/>
  <c r="L10" i="4"/>
  <c r="J4" i="4"/>
  <c r="K4" i="4" s="1"/>
  <c r="I24" i="4"/>
  <c r="I7" i="4"/>
  <c r="I6" i="4"/>
  <c r="I17" i="4"/>
  <c r="I10" i="4"/>
  <c r="I21" i="4"/>
  <c r="TQ10" i="4"/>
  <c r="TU4" i="4"/>
  <c r="TU21" i="4"/>
  <c r="TQ17" i="4"/>
  <c r="TQ6" i="4"/>
  <c r="Q21" i="4"/>
  <c r="TU10" i="4"/>
  <c r="TQ7" i="4"/>
  <c r="TQ24" i="4"/>
  <c r="TU6" i="4"/>
  <c r="Q24" i="4"/>
  <c r="TQ5" i="4"/>
  <c r="Q4" i="4"/>
  <c r="TU17" i="4"/>
  <c r="Q6" i="4"/>
  <c r="TQ21" i="4"/>
  <c r="TU7" i="4"/>
  <c r="Q7" i="4"/>
  <c r="Q17" i="4"/>
  <c r="Q10" i="4"/>
  <c r="TU5" i="4"/>
  <c r="TU24" i="4"/>
  <c r="TQ4" i="4"/>
  <c r="CW24" i="4"/>
  <c r="DA24" i="4" s="1"/>
  <c r="CW7" i="4"/>
  <c r="DA7" i="4" s="1"/>
  <c r="CW6" i="4"/>
  <c r="DA6" i="4" s="1"/>
  <c r="CW5" i="4"/>
  <c r="CW4" i="4"/>
  <c r="DA4" i="4" s="1"/>
  <c r="CW17" i="4"/>
  <c r="DA17" i="4" s="1"/>
  <c r="CW10" i="4"/>
  <c r="DA10" i="4" s="1"/>
  <c r="CW21" i="4"/>
  <c r="DA21" i="4" s="1"/>
  <c r="SV5" i="4"/>
  <c r="SW5" i="4"/>
  <c r="SX5" i="4"/>
  <c r="TL5" i="4" s="1"/>
  <c r="SY5" i="4"/>
  <c r="TM5" i="4" s="1"/>
  <c r="SZ5" i="4"/>
  <c r="SW6" i="4"/>
  <c r="SX6" i="4"/>
  <c r="TL6" i="4" s="1"/>
  <c r="SY6" i="4"/>
  <c r="TM6" i="4" s="1"/>
  <c r="SW7" i="4"/>
  <c r="SX7" i="4"/>
  <c r="TL7" i="4" s="1"/>
  <c r="SY7" i="4"/>
  <c r="TM7" i="4" s="1"/>
  <c r="SW10" i="4"/>
  <c r="SX10" i="4"/>
  <c r="TL10" i="4" s="1"/>
  <c r="SY10" i="4"/>
  <c r="TM10" i="4" s="1"/>
  <c r="SW4" i="4"/>
  <c r="SX4" i="4"/>
  <c r="TL4" i="4" s="1"/>
  <c r="SY4" i="4"/>
  <c r="TM4" i="4" s="1"/>
  <c r="SW24" i="4"/>
  <c r="SX24" i="4"/>
  <c r="TL24" i="4" s="1"/>
  <c r="SY24" i="4"/>
  <c r="TM24" i="4" s="1"/>
  <c r="SW17" i="4"/>
  <c r="SX17" i="4"/>
  <c r="TL17" i="4" s="1"/>
  <c r="SY17" i="4"/>
  <c r="TM17" i="4" s="1"/>
  <c r="SW21" i="4"/>
  <c r="SX21" i="4"/>
  <c r="TL21" i="4" s="1"/>
  <c r="SY21" i="4"/>
  <c r="TM21" i="4" s="1"/>
  <c r="SV6" i="4"/>
  <c r="SV7" i="4"/>
  <c r="SV10" i="4"/>
  <c r="SV4" i="4"/>
  <c r="SV24" i="4"/>
  <c r="SV17" i="4"/>
  <c r="SV21" i="4"/>
  <c r="H17" i="4" l="1"/>
  <c r="A17" i="4" s="1" a="1"/>
  <c r="A17" i="4" s="1"/>
  <c r="O4" i="4"/>
  <c r="O21" i="4"/>
  <c r="V21" i="4"/>
  <c r="O6" i="4"/>
  <c r="V6" i="4"/>
  <c r="O17" i="4"/>
  <c r="V17" i="4"/>
  <c r="X17" i="4" s="1"/>
  <c r="O7" i="4"/>
  <c r="V7" i="4"/>
  <c r="X7" i="4" s="1"/>
  <c r="O10" i="4"/>
  <c r="V10" i="4"/>
  <c r="X10" i="4" s="1"/>
  <c r="O24" i="4"/>
  <c r="V24" i="4"/>
  <c r="O5" i="4"/>
  <c r="K7" i="4"/>
  <c r="H7" i="4"/>
  <c r="H6" i="4"/>
  <c r="H24" i="4"/>
  <c r="A24" i="4" s="1" a="1"/>
  <c r="A24" i="4" s="1"/>
  <c r="TN7" i="4"/>
  <c r="TR7" i="4" s="1"/>
  <c r="TV7" i="4" s="1"/>
  <c r="M21" i="4"/>
  <c r="M5" i="4"/>
  <c r="M7" i="4"/>
  <c r="TN10" i="4"/>
  <c r="TR10" i="4" s="1"/>
  <c r="TV10" i="4" s="1"/>
  <c r="M10" i="4"/>
  <c r="TN4" i="4"/>
  <c r="TR4" i="4" s="1"/>
  <c r="TV4" i="4" s="1"/>
  <c r="TN21" i="4"/>
  <c r="TR21" i="4" s="1"/>
  <c r="TV21" i="4" s="1"/>
  <c r="TN6" i="4"/>
  <c r="TR6" i="4" s="1"/>
  <c r="TV6" i="4" s="1"/>
  <c r="M17" i="4"/>
  <c r="M6" i="4"/>
  <c r="M24" i="4"/>
  <c r="TN17" i="4"/>
  <c r="TR17" i="4" s="1"/>
  <c r="TV17" i="4" s="1"/>
  <c r="TN5" i="4"/>
  <c r="TR5" i="4" s="1"/>
  <c r="TV5" i="4" s="1"/>
  <c r="TN24" i="4"/>
  <c r="TR24" i="4" s="1"/>
  <c r="TV24" i="4" s="1"/>
  <c r="K5" i="4"/>
  <c r="CZ5" i="4"/>
  <c r="G5" i="4" s="1"/>
  <c r="CX5" i="4"/>
  <c r="T5" i="4" l="1"/>
  <c r="U5" i="4" s="1"/>
  <c r="F5" i="4"/>
  <c r="H10" i="4"/>
  <c r="H21" i="4"/>
  <c r="A21" i="4" s="1" a="1"/>
  <c r="A21" i="4" s="1"/>
  <c r="X21" i="4"/>
  <c r="W21" i="4"/>
  <c r="X6" i="4"/>
  <c r="W6" i="4"/>
  <c r="X24" i="4"/>
  <c r="W24" i="4"/>
  <c r="W10" i="4"/>
  <c r="W17" i="4"/>
  <c r="W7" i="4"/>
  <c r="R5" i="4"/>
  <c r="S5" i="4" s="1"/>
  <c r="I5" i="4"/>
  <c r="P5" i="4"/>
  <c r="DA5" i="4"/>
  <c r="DC5" i="4" l="1"/>
  <c r="V5" i="4" s="1"/>
  <c r="H5" i="4"/>
  <c r="Q5" i="4"/>
  <c r="X5" i="4" l="1"/>
  <c r="W5" i="4"/>
  <c r="E21" i="4"/>
  <c r="E24" i="4" l="1"/>
  <c r="E5" i="4" l="1"/>
  <c r="E17" i="4" l="1"/>
  <c r="E10" i="4" l="1"/>
  <c r="E7" i="4" l="1"/>
  <c r="E6" i="4" l="1"/>
  <c r="U4" i="4" l="1"/>
  <c r="R4" i="4"/>
  <c r="S4" i="4" s="1"/>
  <c r="I4" i="4"/>
  <c r="H4" i="4" l="1"/>
  <c r="V4" i="4"/>
  <c r="X4" i="4" s="1"/>
  <c r="W4" i="4" l="1"/>
  <c r="E4" i="4"/>
  <c r="A13" i="4" s="1" a="1"/>
  <c r="A13" i="4" s="1"/>
  <c r="A15" i="4" l="1" a="1"/>
  <c r="A15" i="4" s="1"/>
  <c r="A8" i="4" a="1"/>
  <c r="A8" i="4" s="1"/>
  <c r="A14" i="4" a="1"/>
  <c r="A14" i="4" s="1"/>
  <c r="A5" i="4" a="1"/>
  <c r="A5" i="4" s="1"/>
  <c r="A9" i="4" a="1"/>
  <c r="A9" i="4" s="1"/>
  <c r="A7" i="4" a="1"/>
  <c r="A7" i="4" s="1"/>
  <c r="A4" i="4" a="1"/>
  <c r="A4" i="4" s="1"/>
  <c r="A6" i="4" a="1"/>
  <c r="A6" i="4" s="1"/>
  <c r="A10" i="4" a="1"/>
  <c r="A10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6" i="19" l="1" a="1"/>
  <c r="A16" i="19" s="1"/>
  <c r="A20" i="19" a="1"/>
  <c r="A20" i="19" s="1"/>
  <c r="A12" i="19" a="1"/>
  <c r="A12" i="19" s="1"/>
  <c r="A17" i="19" a="1"/>
  <c r="A17" i="19" s="1"/>
  <c r="A4" i="19" a="1"/>
  <c r="A4" i="19" s="1"/>
  <c r="A11" i="19" a="1"/>
  <c r="A11" i="19" s="1"/>
  <c r="A19" i="19" a="1"/>
  <c r="A19" i="19" s="1"/>
  <c r="A9" i="19" a="1"/>
  <c r="A9" i="19" s="1"/>
  <c r="A18" i="19" a="1"/>
  <c r="A18" i="19" s="1"/>
  <c r="A13" i="19" a="1"/>
  <c r="A13" i="19" s="1"/>
  <c r="A15" i="19" a="1"/>
  <c r="A15" i="19" s="1"/>
  <c r="A6" i="19" a="1"/>
  <c r="A6" i="19" s="1"/>
  <c r="A7" i="19" a="1"/>
  <c r="A7" i="19" s="1"/>
  <c r="A5" i="19" a="1"/>
  <c r="A5" i="19" s="1"/>
  <c r="A8" i="19" a="1"/>
  <c r="A8" i="19" s="1"/>
  <c r="A14" i="19" a="1"/>
  <c r="A14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<sst xmlns="http://schemas.openxmlformats.org/spreadsheetml/2006/main" count="5207" uniqueCount="258">
  <si>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</si>
  <si>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</si>
  <si>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</si>
  <si>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</si>
  <si>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</si>
  <si>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</si>
  <si>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</si>
  <si>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</si>
  <si>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</si>
  <si>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</si>
  <si>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</si>
  <si>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</si>
  <si>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</si>
  <si>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</si>
  <si>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</si>
  <si>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</si>
  <si>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</si>
  <si>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</si>
  <si>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</si>
  <si>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</si>
  <si>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</si>
  <si>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</si>
  <si>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</si>
  <si>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</si>
  <si>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</si>
  <si>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</si>
  <si>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</si>
  <si>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</si>
  <si>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</si>
  <si>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</si>
  <si>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</si>
  <si>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</si>
  <si>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</si>
  <si>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</si>
  <si>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</si>
  <si>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</si>
  <si>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</si>
  <si>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</si>
  <si>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</si>
  <si>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</si>
  <si>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</si>
  <si>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</si>
  <si>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</si>
  <si>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</si>
  <si>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</si>
  <si>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</si>
  <si>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</si>
  <si>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</si>
  <si>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</si>
  <si>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</si>
  <si>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</si>
  <si>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</si>
  <si>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</si>
  <si>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</si>
  <si>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</si>
  <si>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</si>
  <si>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</si>
  <si>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</si>
  <si>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</si>
  <si>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</si>
  <si>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</si>
  <si>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</si>
  <si>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</si>
  <si>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</si>
  <si>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</si>
  <si>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</si>
  <si>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</si>
  <si>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</si>
  <si>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</si>
  <si>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</si>
  <si>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</si>
  <si>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</si>
  <si>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</si>
  <si>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</si>
  <si>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</si>
  <si>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</si>
  <si>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</si>
  <si>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</si>
  <si>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</si>
  <si>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</si>
  <si>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</si>
  <si>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</si>
  <si>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</si>
  <si>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</si>
  <si>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</si>
  <si>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</si>
  <si>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</si>
  <si>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</si>
  <si>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</si>
  <si>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</si>
  <si>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</si>
  <si>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</si>
  <si>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</si>
  <si>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</si>
  <si>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</si>
  <si>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</si>
  <si>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</si>
  <si>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</si>
  <si>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</si>
  <si>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</si>
  <si>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</si>
  <si>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</si>
  <si>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</si>
  <si>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</si>
  <si>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</si>
  <si>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</si>
  <si>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</si>
  <si>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</si>
  <si>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</si>
  <si>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</si>
  <si>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</si>
  <si>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</si>
  <si>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</si>
  <si>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</si>
  <si>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</si>
  <si>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</si>
  <si>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</si>
  <si>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</si>
  <si>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</si>
  <si>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</si>
  <si>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</si>
  <si>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</si>
  <si>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</si>
  <si>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</si>
  <si>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</si>
  <si>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</si>
  <si>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</si>
  <si>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</si>
  <si>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</si>
  <si>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</si>
  <si>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</si>
  <si>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</si>
  <si>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</si>
  <si>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</si>
  <si>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</si>
  <si>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</si>
  <si>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</si>
  <si>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</si>
  <si>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</si>
  <si>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</si>
  <si>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</si>
  <si>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</si>
  <si>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</si>
  <si>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</si>
  <si>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</si>
  <si>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</si>
  <si>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</si>
  <si>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</si>
  <si>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</si>
  <si>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</si>
  <si>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</si>
  <si>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</si>
  <si>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</si>
  <si>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</si>
  <si>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</si>
  <si>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</si>
  <si>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</si>
  <si>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</si>
  <si>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</si>
  <si>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</si>
  <si>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</si>
  <si>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</si>
  <si>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</si>
  <si>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</si>
  <si>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</si>
  <si>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</si>
  <si>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</si>
  <si>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</si>
  <si>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</si>
  <si>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</si>
  <si>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</si>
  <si>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</si>
  <si>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</si>
  <si>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</si>
  <si>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</si>
  <si>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</si>
  <si>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</si>
  <si>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</si>
  <si>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</si>
  <si>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</si>
  <si>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</si>
  <si>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</si>
  <si>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</si>
  <si>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</si>
  <si>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</si>
  <si>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</si>
  <si>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</si>
  <si>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</si>
  <si>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</si>
  <si>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</si>
  <si>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</si>
  <si>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</si>
  <si>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</si>
  <si>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</si>
  <si>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</si>
  <si>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</si>
  <si>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</si>
  <si>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</si>
  <si>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</si>
  <si>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</si>
  <si>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</si>
  <si>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</si>
  <si>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</si>
  <si>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</si>
  <si>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</si>
  <si>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</si>
  <si>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</si>
  <si>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</si>
  <si>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</si>
  <si>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</si>
  <si>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</si>
  <si>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</si>
  <si>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</si>
  <si>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</si>
  <si>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</si>
  <si>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</si>
  <si>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</si>
  <si>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</si>
  <si>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</si>
  <si>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</si>
  <si>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</si>
  <si>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</si>
  <si>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</si>
  <si>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</si>
  <si>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</si>
  <si>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</si>
  <si>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</si>
  <si>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</si>
  <si>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</si>
  <si>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</si>
  <si>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</si>
  <si>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</si>
  <si>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</si>
  <si>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</si>
  <si>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</si>
  <si>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</si>
  <si>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</si>
  <si>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Pan Am [Club] Championships (May 14)</t>
  </si>
  <si>
    <t>2023 World Championships (Nov 9)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</si>
  <si>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</si>
  <si>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</si>
  <si>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</si>
  <si>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</si>
  <si>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</si>
  <si>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</si>
  <si>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</si>
  <si>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</si>
  <si>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</si>
  <si>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</si>
  <si>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</si>
  <si>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</si>
  <si>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</si>
  <si>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CORRIVEAU, Melina</t>
  </si>
  <si>
    <t>HARBO, Owen</t>
  </si>
  <si>
    <t>ROBERTSON, Griffyn</t>
  </si>
  <si>
    <t>KUZNAK, Sienna</t>
  </si>
  <si>
    <t>2024 Age Update</t>
  </si>
  <si>
    <t>2023 Junior Worlds (Nov 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</si>
</sst>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CHARTIER, Jérémy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Worlds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ADJEMIAN, Alexan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BLAKELY, Zachary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CLOUTIER, Etienne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SOEHN &amp; TAM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JAMES &amp; NOGA-BARD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CANUEL, Victor</v>
      </c>
      <c r="D29" s="14" t="str">
        <f ca="1"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PEDERSEN, Mitchel</v>
      </c>
      <c r="D30" s="14" t="str">
        <f ca="1"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NEUFELD, Simon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BOWDITCH, Courtney</v>
      </c>
      <c r="D39" s="13" t="str">
        <f>IF(B7&gt;MAX('TUM-W'!A:A),"",INDEX('TUM-W'!H:H,MATCH(B7,'TUM-W'!A:A,0)))</f>
        <v>No DD</v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KUZNAK, Sienna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44937</v>
      </c>
      <c r="C66" s="65"/>
    </row>
    <row r="67" spans="1:3" x14ac:dyDescent="0.2">
      <c r="B67" t="s">
        <v>256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100</v>
      </c>
      <c r="K1" s="71" t="s">
        <v>33</v>
      </c>
      <c r="L1" s="73" t="s">
        <v>101</v>
      </c>
      <c r="M1" s="71" t="s">
        <v>33</v>
      </c>
      <c r="N1" s="73" t="s">
        <v>125</v>
      </c>
      <c r="O1" s="71" t="s">
        <v>33</v>
      </c>
      <c r="P1" s="71" t="s">
        <v>13</v>
      </c>
      <c r="Q1" s="71" t="s">
        <v>33</v>
      </c>
      <c r="R1" s="71" t="s">
        <v>102</v>
      </c>
      <c r="S1" s="71" t="s">
        <v>33</v>
      </c>
      <c r="T1" s="73" t="s">
        <v>103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175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212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197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196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198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205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211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224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234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236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238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239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 t="s">
        <v>244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104</v>
      </c>
      <c r="AP2" s="14" t="s">
        <v>105</v>
      </c>
      <c r="AQ2" s="14" t="s">
        <v>21</v>
      </c>
      <c r="AR2" s="14" t="s">
        <v>81</v>
      </c>
      <c r="AS2" s="14" t="s">
        <v>106</v>
      </c>
      <c r="AT2" s="14" t="s">
        <v>22</v>
      </c>
      <c r="AU2" s="14" t="s">
        <v>24</v>
      </c>
      <c r="AV2" s="14" t="s">
        <v>107</v>
      </c>
      <c r="AW2" s="14" t="s">
        <v>108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104</v>
      </c>
      <c r="BQ2" s="13" t="s">
        <v>105</v>
      </c>
      <c r="BR2" s="13" t="s">
        <v>21</v>
      </c>
      <c r="BS2" s="13" t="s">
        <v>81</v>
      </c>
      <c r="BT2" s="13" t="s">
        <v>106</v>
      </c>
      <c r="BU2" s="13" t="s">
        <v>22</v>
      </c>
      <c r="BV2" s="13" t="s">
        <v>24</v>
      </c>
      <c r="BW2" s="13" t="s">
        <v>107</v>
      </c>
      <c r="BX2" s="13" t="s">
        <v>108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104</v>
      </c>
      <c r="CR2" s="14" t="s">
        <v>105</v>
      </c>
      <c r="CS2" s="14" t="s">
        <v>21</v>
      </c>
      <c r="CT2" s="14" t="s">
        <v>81</v>
      </c>
      <c r="CU2" s="14" t="s">
        <v>106</v>
      </c>
      <c r="CV2" s="14" t="s">
        <v>22</v>
      </c>
      <c r="CW2" s="14" t="s">
        <v>24</v>
      </c>
      <c r="CX2" s="14" t="s">
        <v>107</v>
      </c>
      <c r="CY2" s="14" t="s">
        <v>108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109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104</v>
      </c>
      <c r="DY2" s="14" t="s">
        <v>105</v>
      </c>
      <c r="DZ2" s="14" t="s">
        <v>21</v>
      </c>
      <c r="EA2" s="14" t="s">
        <v>81</v>
      </c>
      <c r="EB2" s="14" t="s">
        <v>106</v>
      </c>
      <c r="EC2" s="14" t="s">
        <v>22</v>
      </c>
      <c r="ED2" s="14" t="s">
        <v>24</v>
      </c>
      <c r="EE2" s="14" t="s">
        <v>110</v>
      </c>
      <c r="EF2" s="14" t="s">
        <v>111</v>
      </c>
      <c r="EG2" s="14" t="s">
        <v>109</v>
      </c>
      <c r="EH2" s="14" t="s">
        <v>107</v>
      </c>
      <c r="EI2" s="14" t="s">
        <v>108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109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104</v>
      </c>
      <c r="FG2" s="13" t="s">
        <v>105</v>
      </c>
      <c r="FH2" s="13" t="s">
        <v>21</v>
      </c>
      <c r="FI2" s="13" t="s">
        <v>81</v>
      </c>
      <c r="FJ2" s="13" t="s">
        <v>106</v>
      </c>
      <c r="FK2" s="13" t="s">
        <v>22</v>
      </c>
      <c r="FL2" s="13" t="s">
        <v>24</v>
      </c>
      <c r="FM2" s="13" t="s">
        <v>110</v>
      </c>
      <c r="FN2" s="13" t="s">
        <v>111</v>
      </c>
      <c r="FO2" s="13" t="s">
        <v>109</v>
      </c>
      <c r="FP2" s="13" t="s">
        <v>107</v>
      </c>
      <c r="FQ2" s="13" t="s">
        <v>108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109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104</v>
      </c>
      <c r="GO2" s="14" t="s">
        <v>105</v>
      </c>
      <c r="GP2" s="14" t="s">
        <v>21</v>
      </c>
      <c r="GQ2" s="14" t="s">
        <v>81</v>
      </c>
      <c r="GR2" s="14" t="s">
        <v>106</v>
      </c>
      <c r="GS2" s="14" t="s">
        <v>22</v>
      </c>
      <c r="GT2" s="14" t="s">
        <v>24</v>
      </c>
      <c r="GU2" s="14" t="s">
        <v>110</v>
      </c>
      <c r="GV2" s="14" t="s">
        <v>111</v>
      </c>
      <c r="GW2" s="14" t="s">
        <v>109</v>
      </c>
      <c r="GX2" s="14" t="s">
        <v>107</v>
      </c>
      <c r="GY2" s="14" t="s">
        <v>108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109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104</v>
      </c>
      <c r="HW2" s="13" t="s">
        <v>105</v>
      </c>
      <c r="HX2" s="13" t="s">
        <v>21</v>
      </c>
      <c r="HY2" s="13" t="s">
        <v>81</v>
      </c>
      <c r="HZ2" s="13" t="s">
        <v>106</v>
      </c>
      <c r="IA2" s="13" t="s">
        <v>22</v>
      </c>
      <c r="IB2" s="13" t="s">
        <v>24</v>
      </c>
      <c r="IC2" s="13" t="s">
        <v>110</v>
      </c>
      <c r="ID2" s="13" t="s">
        <v>111</v>
      </c>
      <c r="IE2" s="13" t="s">
        <v>109</v>
      </c>
      <c r="IF2" s="13" t="s">
        <v>107</v>
      </c>
      <c r="IG2" s="13" t="s">
        <v>108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109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104</v>
      </c>
      <c r="JE2" s="14" t="s">
        <v>105</v>
      </c>
      <c r="JF2" s="14" t="s">
        <v>21</v>
      </c>
      <c r="JG2" s="14" t="s">
        <v>81</v>
      </c>
      <c r="JH2" s="14" t="s">
        <v>106</v>
      </c>
      <c r="JI2" s="14" t="s">
        <v>22</v>
      </c>
      <c r="JJ2" s="14" t="s">
        <v>24</v>
      </c>
      <c r="JK2" s="14" t="s">
        <v>110</v>
      </c>
      <c r="JL2" s="14" t="s">
        <v>111</v>
      </c>
      <c r="JM2" s="14" t="s">
        <v>109</v>
      </c>
      <c r="JN2" s="14" t="s">
        <v>107</v>
      </c>
      <c r="JO2" s="14" t="s">
        <v>108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109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104</v>
      </c>
      <c r="KM2" s="13" t="s">
        <v>105</v>
      </c>
      <c r="KN2" s="13" t="s">
        <v>21</v>
      </c>
      <c r="KO2" s="13" t="s">
        <v>81</v>
      </c>
      <c r="KP2" s="13" t="s">
        <v>106</v>
      </c>
      <c r="KQ2" s="13" t="s">
        <v>22</v>
      </c>
      <c r="KR2" s="13" t="s">
        <v>24</v>
      </c>
      <c r="KS2" s="13" t="s">
        <v>110</v>
      </c>
      <c r="KT2" s="13" t="s">
        <v>111</v>
      </c>
      <c r="KU2" s="13" t="s">
        <v>109</v>
      </c>
      <c r="KV2" s="13" t="s">
        <v>107</v>
      </c>
      <c r="KW2" s="13" t="s">
        <v>108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109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104</v>
      </c>
      <c r="LU2" s="14" t="s">
        <v>105</v>
      </c>
      <c r="LV2" s="14" t="s">
        <v>21</v>
      </c>
      <c r="LW2" s="14" t="s">
        <v>81</v>
      </c>
      <c r="LX2" s="14" t="s">
        <v>106</v>
      </c>
      <c r="LY2" s="14" t="s">
        <v>22</v>
      </c>
      <c r="LZ2" s="14" t="s">
        <v>24</v>
      </c>
      <c r="MA2" s="14" t="s">
        <v>110</v>
      </c>
      <c r="MB2" s="14" t="s">
        <v>111</v>
      </c>
      <c r="MC2" s="14" t="s">
        <v>109</v>
      </c>
      <c r="MD2" s="14" t="s">
        <v>107</v>
      </c>
      <c r="ME2" s="14" t="s">
        <v>108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109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104</v>
      </c>
      <c r="NC2" s="13" t="s">
        <v>105</v>
      </c>
      <c r="ND2" s="13" t="s">
        <v>21</v>
      </c>
      <c r="NE2" s="13" t="s">
        <v>81</v>
      </c>
      <c r="NF2" s="13" t="s">
        <v>106</v>
      </c>
      <c r="NG2" s="13" t="s">
        <v>22</v>
      </c>
      <c r="NH2" s="13" t="s">
        <v>24</v>
      </c>
      <c r="NI2" s="13" t="s">
        <v>110</v>
      </c>
      <c r="NJ2" s="13" t="s">
        <v>111</v>
      </c>
      <c r="NK2" s="13" t="s">
        <v>109</v>
      </c>
      <c r="NL2" s="13" t="s">
        <v>107</v>
      </c>
      <c r="NM2" s="13" t="s">
        <v>108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109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104</v>
      </c>
      <c r="OK2" s="14" t="s">
        <v>105</v>
      </c>
      <c r="OL2" s="14" t="s">
        <v>21</v>
      </c>
      <c r="OM2" s="14" t="s">
        <v>81</v>
      </c>
      <c r="ON2" s="14" t="s">
        <v>106</v>
      </c>
      <c r="OO2" s="14" t="s">
        <v>22</v>
      </c>
      <c r="OP2" s="14" t="s">
        <v>24</v>
      </c>
      <c r="OQ2" s="14" t="s">
        <v>110</v>
      </c>
      <c r="OR2" s="14" t="s">
        <v>111</v>
      </c>
      <c r="OS2" s="14" t="s">
        <v>109</v>
      </c>
      <c r="OT2" s="14" t="s">
        <v>107</v>
      </c>
      <c r="OU2" s="14" t="s">
        <v>108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109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104</v>
      </c>
      <c r="PS2" s="13" t="s">
        <v>105</v>
      </c>
      <c r="PT2" s="13" t="s">
        <v>21</v>
      </c>
      <c r="PU2" s="13" t="s">
        <v>81</v>
      </c>
      <c r="PV2" s="13" t="s">
        <v>106</v>
      </c>
      <c r="PW2" s="13" t="s">
        <v>22</v>
      </c>
      <c r="PX2" s="13" t="s">
        <v>24</v>
      </c>
      <c r="PY2" s="13" t="s">
        <v>110</v>
      </c>
      <c r="PZ2" s="13" t="s">
        <v>111</v>
      </c>
      <c r="QA2" s="13" t="s">
        <v>109</v>
      </c>
      <c r="QB2" s="13" t="s">
        <v>107</v>
      </c>
      <c r="QC2" s="13" t="s">
        <v>108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109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104</v>
      </c>
      <c r="RA2" s="14" t="s">
        <v>105</v>
      </c>
      <c r="RB2" s="14" t="s">
        <v>21</v>
      </c>
      <c r="RC2" s="14" t="s">
        <v>81</v>
      </c>
      <c r="RD2" s="14" t="s">
        <v>106</v>
      </c>
      <c r="RE2" s="14" t="s">
        <v>22</v>
      </c>
      <c r="RF2" s="14" t="s">
        <v>24</v>
      </c>
      <c r="RG2" s="14" t="s">
        <v>110</v>
      </c>
      <c r="RH2" s="14" t="s">
        <v>111</v>
      </c>
      <c r="RI2" s="14" t="s">
        <v>109</v>
      </c>
      <c r="RJ2" s="14" t="s">
        <v>107</v>
      </c>
      <c r="RK2" s="14" t="s">
        <v>108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109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104</v>
      </c>
      <c r="SI2" s="13" t="s">
        <v>105</v>
      </c>
      <c r="SJ2" s="13" t="s">
        <v>21</v>
      </c>
      <c r="SK2" s="13" t="s">
        <v>81</v>
      </c>
      <c r="SL2" s="13" t="s">
        <v>106</v>
      </c>
      <c r="SM2" s="13" t="s">
        <v>22</v>
      </c>
      <c r="SN2" s="13" t="s">
        <v>24</v>
      </c>
      <c r="SO2" s="13" t="s">
        <v>110</v>
      </c>
      <c r="SP2" s="13" t="s">
        <v>111</v>
      </c>
      <c r="SQ2" s="13" t="s">
        <v>109</v>
      </c>
      <c r="SR2" s="13" t="s">
        <v>107</v>
      </c>
      <c r="SS2" s="13" t="s">
        <v>108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104</v>
      </c>
      <c r="TM2" s="14" t="s">
        <v>105</v>
      </c>
      <c r="TN2" s="14" t="s">
        <v>21</v>
      </c>
      <c r="TO2" s="14" t="s">
        <v>81</v>
      </c>
      <c r="TP2" s="14" t="s">
        <v>106</v>
      </c>
      <c r="TQ2" s="14" t="s">
        <v>22</v>
      </c>
      <c r="TR2" s="14" t="s">
        <v>24</v>
      </c>
      <c r="TS2" s="14" t="s">
        <v>107</v>
      </c>
      <c r="TT2" s="14" t="s">
        <v>108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73</v>
      </c>
      <c r="C4" s="4" t="s">
        <v>8</v>
      </c>
      <c r="D4" s="4">
        <v>2001</v>
      </c>
      <c r="E4" s="9">
        <f t="shared" ref="E4:E24" si="0">SUM(J4:V4)+SUM(J4:T4)*0.0000001+SUM(J4)*0.0000000000001</f>
        <v>269.64002678200592</v>
      </c>
      <c r="F4" s="3" t="str">
        <f t="shared" ref="F4:F24" si="1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G4" s="3" t="str">
        <f t="shared" ref="G4:G24" si="2"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),"P","")</f>
        <v>P</v>
      </c>
      <c r="H4" s="37" t="str">
        <f t="shared" ref="H4:H24" si="3"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Excellence",IF(I4="P","Worlds Team",IF(F4="P","National Team","")))))</f>
        <v>Merit</v>
      </c>
      <c r="I4" s="3" t="str">
        <f t="shared" ref="I4:I24" si="4"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J4" s="8">
        <f>IF(COUNT(AQ4,AT4,BR4,BU4,CS4,CV4)&gt;0,LARGE((AQ4,AT4,BR4,BU4,CS4,CV4),1),0)</f>
        <v>58.83</v>
      </c>
      <c r="K4" s="8" t="str">
        <f t="shared" ref="K4:K24" si="5"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 t="shared" ref="M4:M24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56.63000000000001</v>
      </c>
      <c r="O4" s="8" t="str">
        <f t="shared" ref="O4:O24" si="7">IF(N4="","",IF(OR(N4=CS4,N4=CV4),$CA$1,IF(OR(N4=BR4,N4=BU4),$AZ$1,IF(OR(N4=AQ4,N4=AT4),$Y$1,""))))</f>
        <v>2023 Nationals</v>
      </c>
      <c r="P4" s="8">
        <f t="shared" ref="P4:P24" si="8">IF(MAX(AX4,BY4,CZ4)&gt;0,MAX(AX4,BY4,CZ4),0)</f>
        <v>59.42</v>
      </c>
      <c r="Q4" s="8" t="str">
        <f t="shared" ref="Q4:Q24" si="9">IF(P4="","",IF(P4=CZ4,$CA$1,IF(P4=BY4,$AZ$1,IF(P4=AX4,$Y$1,""))))</f>
        <v>2023 Nationals</v>
      </c>
      <c r="R4" s="8">
        <f t="shared" ref="R4:R24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 t="shared" ref="S4:S24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 t="shared" ref="T4:T24" si="12">IF(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)&gt;0,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),0)</f>
        <v>17.36</v>
      </c>
      <c r="U4" s="8" t="str">
        <f t="shared" ref="U4:U24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>
        <f t="shared" ref="V4:V24" si="14">IF(MAX(DB4,DC4)&gt;0,MAX(DB4,DC4),"")</f>
        <v>1.8199999999999932</v>
      </c>
      <c r="W4" s="11" t="str">
        <f t="shared" ref="W4:W24" si="15">IF(V4="","",IF(V4=DB4,"("&amp;DB$2&amp;")",IF(V4=DC4,"("&amp;DC$2&amp;")")))</f>
        <v>(Prelim)</v>
      </c>
      <c r="X4" s="8" t="str">
        <f t="shared" ref="X4:X24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10.199999999999999</v>
      </c>
      <c r="Z4" s="23">
        <v>6.1000000000000005</v>
      </c>
      <c r="AA4" s="23">
        <v>10.85</v>
      </c>
      <c r="AB4" s="23">
        <v>11.115</v>
      </c>
      <c r="AC4" s="23">
        <v>0</v>
      </c>
      <c r="AD4" s="23">
        <v>14.95</v>
      </c>
      <c r="AE4" s="23">
        <v>8.9</v>
      </c>
      <c r="AF4" s="23">
        <v>15.35</v>
      </c>
      <c r="AG4" s="23">
        <v>17.25</v>
      </c>
      <c r="AH4" s="23">
        <v>0</v>
      </c>
      <c r="AI4" s="23">
        <v>15.45</v>
      </c>
      <c r="AJ4" s="23">
        <v>9.4</v>
      </c>
      <c r="AK4" s="23">
        <v>16.2</v>
      </c>
      <c r="AL4" s="23">
        <v>17.36</v>
      </c>
      <c r="AM4" s="23">
        <v>0</v>
      </c>
      <c r="AN4" s="28" t="s">
        <v>57</v>
      </c>
      <c r="AO4" s="39">
        <f t="shared" ref="AO4:AO24" si="17">IF(AA4&gt;0,AA4,"")</f>
        <v>10.85</v>
      </c>
      <c r="AP4" s="39">
        <f t="shared" ref="AP4:AP24" si="18">IF(AB4&gt;0,AB4,"")</f>
        <v>11.115</v>
      </c>
      <c r="AQ4" s="41">
        <f t="shared" ref="AQ4:AQ24" si="19">IF(SUM(Y4:AB4)-AC4&gt;0,SUM(Y4:AB4)-AC4,"")</f>
        <v>38.265000000000001</v>
      </c>
      <c r="AR4" s="41">
        <f t="shared" ref="AR4:AR24" si="20">IF(AF4&gt;0,AF4,"")</f>
        <v>15.35</v>
      </c>
      <c r="AS4" s="41">
        <f t="shared" ref="AS4:AS24" si="21">IF(AG4&gt;0,AG4,"")</f>
        <v>17.25</v>
      </c>
      <c r="AT4" s="41">
        <f t="shared" ref="AT4:AT24" si="22">IF(SUM(AD4:AG4)-AH4&gt;0,SUM(AD4:AG4)-AH4,"")</f>
        <v>56.45</v>
      </c>
      <c r="AU4" s="41">
        <f t="shared" ref="AU4:AU24" si="23">IF(AQ4="","",MAX(AQ4,AT4))</f>
        <v>56.45</v>
      </c>
      <c r="AV4" s="41">
        <f t="shared" ref="AV4:AV24" si="24">IF(AK4&gt;0,AK4,"")</f>
        <v>16.2</v>
      </c>
      <c r="AW4" s="41">
        <f t="shared" ref="AW4:AW24" si="25">IF(AL4&gt;0,AL4,"")</f>
        <v>17.36</v>
      </c>
      <c r="AX4" s="41">
        <f t="shared" ref="AX4:AX24" si="26">IF(SUM(AI4:AL4)-AM4&gt;0,SUM(AI4:AL4)-AM4,"")</f>
        <v>58.41</v>
      </c>
      <c r="AY4" s="41">
        <f t="shared" ref="AY4:AY24" si="27">IF(SUM(AU4,AX4)&gt;0,SUM(AU4,AX4),"")</f>
        <v>114.86</v>
      </c>
      <c r="AZ4" s="27">
        <v>1.6</v>
      </c>
      <c r="BA4" s="27">
        <v>1</v>
      </c>
      <c r="BB4" s="27">
        <v>2.2000000000000002</v>
      </c>
      <c r="BC4" s="27">
        <v>1.83</v>
      </c>
      <c r="BD4" s="27">
        <v>0</v>
      </c>
      <c r="BE4" s="27">
        <v>15.1</v>
      </c>
      <c r="BF4" s="27">
        <v>9</v>
      </c>
      <c r="BG4" s="27">
        <v>16.3</v>
      </c>
      <c r="BH4" s="27">
        <v>16.23</v>
      </c>
      <c r="BI4" s="27">
        <v>0</v>
      </c>
      <c r="BJ4" s="27">
        <v>16.100000000000001</v>
      </c>
      <c r="BK4" s="27">
        <v>9.6</v>
      </c>
      <c r="BL4" s="27">
        <v>17.100000000000001</v>
      </c>
      <c r="BM4" s="27">
        <v>16.62</v>
      </c>
      <c r="BN4" s="27">
        <v>0</v>
      </c>
      <c r="BO4" s="29"/>
      <c r="BP4" s="40">
        <f t="shared" ref="BP4:BP24" si="28">IF(BB4&gt;0,BB4,"")</f>
        <v>2.2000000000000002</v>
      </c>
      <c r="BQ4" s="40">
        <f t="shared" ref="BQ4:BQ24" si="29">IF(BC4&gt;0,BC4,"")</f>
        <v>1.83</v>
      </c>
      <c r="BR4" s="11">
        <f t="shared" ref="BR4:BR24" si="30">IF(SUM(AZ4:BC4)-BD4&gt;0,SUM(AZ4:BC4)-BD4,"")</f>
        <v>6.6300000000000008</v>
      </c>
      <c r="BS4" s="11">
        <f t="shared" ref="BS4:BS24" si="31">IF(BG4&gt;0,BG4,"")</f>
        <v>16.3</v>
      </c>
      <c r="BT4" s="11">
        <f t="shared" ref="BT4:BT24" si="32">IF(BH4&gt;0,BH4,"")</f>
        <v>16.23</v>
      </c>
      <c r="BU4" s="11">
        <f t="shared" ref="BU4:BU24" si="33">IF(SUM(BE4:BH4)-BI4&gt;0,SUM(BE4:BH4)-BI4,"")</f>
        <v>56.63000000000001</v>
      </c>
      <c r="BV4" s="11">
        <f t="shared" ref="BV4:BV24" si="34">IF(BR4="","",MAX(BR4,BU4))</f>
        <v>56.63000000000001</v>
      </c>
      <c r="BW4" s="11">
        <f t="shared" ref="BW4:BW24" si="35">IF(BL4&gt;0,BL4,"")</f>
        <v>17.100000000000001</v>
      </c>
      <c r="BX4" s="11">
        <f t="shared" ref="BX4:BX24" si="36">IF(BM4&gt;0,BM4,"")</f>
        <v>16.62</v>
      </c>
      <c r="BY4" s="11">
        <f t="shared" ref="BY4:BY24" si="37">IF(SUM(BJ4:BM4)-BN4&gt;0,SUM(BJ4:BM4)-BN4,"")</f>
        <v>59.42</v>
      </c>
      <c r="BZ4" s="11">
        <f t="shared" ref="BZ4:BZ24" si="38">IF(SUM(BV4,BY4)&gt;0,SUM(BV4,BY4),"")</f>
        <v>116.05000000000001</v>
      </c>
      <c r="CA4" s="23">
        <v>15.5</v>
      </c>
      <c r="CB4" s="23">
        <v>9</v>
      </c>
      <c r="CC4" s="23">
        <v>17.100000000000001</v>
      </c>
      <c r="CD4" s="23">
        <v>17.23</v>
      </c>
      <c r="CE4" s="23">
        <v>0</v>
      </c>
      <c r="CF4" s="23">
        <v>15</v>
      </c>
      <c r="CG4" s="23">
        <v>9.3000000000000007</v>
      </c>
      <c r="CH4" s="23">
        <v>16.7</v>
      </c>
      <c r="CI4" s="23">
        <v>17.079999999999998</v>
      </c>
      <c r="CJ4" s="23">
        <v>0</v>
      </c>
      <c r="CK4" s="23">
        <v>14.5</v>
      </c>
      <c r="CL4" s="23">
        <v>8.9</v>
      </c>
      <c r="CM4" s="23">
        <v>17.5</v>
      </c>
      <c r="CN4" s="23">
        <v>17.07</v>
      </c>
      <c r="CO4" s="23">
        <v>0</v>
      </c>
      <c r="CP4" s="28"/>
      <c r="CQ4" s="39">
        <f t="shared" ref="CQ4:CQ24" si="39">IF(CC4&gt;0,CC4,"")</f>
        <v>17.100000000000001</v>
      </c>
      <c r="CR4" s="39">
        <f t="shared" ref="CR4:CR24" si="40">IF(CD4&gt;0,CD4,"")</f>
        <v>17.23</v>
      </c>
      <c r="CS4" s="41">
        <f t="shared" ref="CS4:CS24" si="41">IF(SUM(CA4:CD4)-CE4&gt;0,SUM(CA4:CD4)-CE4,"")</f>
        <v>58.83</v>
      </c>
      <c r="CT4" s="41">
        <f t="shared" ref="CT4:CT24" si="42">IF(CH4&gt;0,CH4,"")</f>
        <v>16.7</v>
      </c>
      <c r="CU4" s="41">
        <f t="shared" ref="CU4:CU24" si="43">IF(CI4&gt;0,CI4,"")</f>
        <v>17.079999999999998</v>
      </c>
      <c r="CV4" s="41">
        <f t="shared" ref="CV4:CV24" si="44">IF(SUM(CF4:CI4)-CJ4&gt;0,SUM(CF4:CI4)-CJ4,"")</f>
        <v>58.08</v>
      </c>
      <c r="CW4" s="41">
        <f t="shared" ref="CW4:CW24" si="45">IF(CS4="","",MAX(CS4,CV4))</f>
        <v>58.83</v>
      </c>
      <c r="CX4" s="41">
        <f t="shared" ref="CX4:CX24" si="46">IF(CM4&gt;0,CM4,"")</f>
        <v>17.5</v>
      </c>
      <c r="CY4" s="41">
        <f t="shared" ref="CY4:CY24" si="47">IF(CN4&gt;0,CN4,"")</f>
        <v>17.07</v>
      </c>
      <c r="CZ4" s="41">
        <f t="shared" ref="CZ4:CZ24" si="48">IF(SUM(CK4:CN4)-CO4&gt;0,SUM(CK4:CN4)-CO4,"")</f>
        <v>57.97</v>
      </c>
      <c r="DA4" s="41">
        <f t="shared" ref="DA4:DA24" si="49">IF(SUM(CW4,CZ4)&gt;0,SUM(CW4,CZ4),"")</f>
        <v>116.8</v>
      </c>
      <c r="DB4" s="52">
        <f t="shared" ref="DB4:DB24" si="50">IF(MAX(ED4,FL4,GT4,IB4,JJ4,KR4,LZ4,NH4,OP4,PX4,RF4,SN4)-IF(N4="",0,N4)&gt;0.001,MAX(ED4,FL4,GT4,IB4,JJ4,KR4,LZ4,NH4,OP4,PX4,RF4,SN4)-IF(N4="",0,N4),"")</f>
        <v>1.8199999999999932</v>
      </c>
      <c r="DC4" s="52" t="str">
        <f t="shared" ref="DC4:DC24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 t="shared" ref="DX4:DX24" si="52">IF(DF4&gt;0,DF4,"")</f>
        <v/>
      </c>
      <c r="DY4" s="41" t="str">
        <f t="shared" ref="DY4:DY24" si="53">IF(DG4&gt;0,DG4,"")</f>
        <v/>
      </c>
      <c r="DZ4" s="41" t="str">
        <f t="shared" ref="DZ4:DZ24" si="54">IF(SUM(DD4:DG4)-DH4&gt;0,SUM(DD4:DG4)-DH4,"")</f>
        <v/>
      </c>
      <c r="EA4" s="41" t="str">
        <f t="shared" ref="EA4:EA24" si="55">IF(DK4&gt;0,DK4,"")</f>
        <v/>
      </c>
      <c r="EB4" s="41" t="str">
        <f t="shared" ref="EB4:EB24" si="56">IF(DL4&gt;0,DL4,"")</f>
        <v/>
      </c>
      <c r="EC4" s="41" t="str">
        <f t="shared" ref="EC4:EC24" si="57">IF(SUM(DI4:DL4)-DM4&gt;0,SUM(DI4:DL4)-DM4,"")</f>
        <v/>
      </c>
      <c r="ED4" s="41" t="str">
        <f t="shared" ref="ED4:ED24" si="58">IF(MAX(DZ4,EC4)&gt;0,MAX(DZ4,EC4),"")</f>
        <v/>
      </c>
      <c r="EE4" s="41" t="str">
        <f t="shared" ref="EE4:EE24" si="59">IF(DP4&gt;0,DP4,"")</f>
        <v/>
      </c>
      <c r="EF4" s="41" t="str">
        <f t="shared" ref="EF4:EF24" si="60">IF(DQ4&gt;0,DQ4,"")</f>
        <v/>
      </c>
      <c r="EG4" s="41" t="str">
        <f t="shared" ref="EG4:EG24" si="61">IF(SUM(DN4:DQ4)-DR4&gt;0,SUM(DN4:DQ4)-DR4,"")</f>
        <v/>
      </c>
      <c r="EH4" s="41" t="str">
        <f t="shared" ref="EH4:EH24" si="62">IF(DU4&gt;0,DU4,"")</f>
        <v/>
      </c>
      <c r="EI4" s="41" t="str">
        <f t="shared" ref="EI4:EI24" si="63">IF(DV4&gt;0,DV4,"")</f>
        <v/>
      </c>
      <c r="EJ4" s="41" t="str">
        <f t="shared" ref="EJ4:EJ24" si="64">IF(SUM(DS4:DV4)-DW4&gt;0,SUM(DS4:DV4)-DW4,"")</f>
        <v/>
      </c>
      <c r="EK4" s="41" t="str">
        <f t="shared" ref="EK4:EK24" si="65">IF(SUM(ED4,EG4,EJ4)&gt;0,SUM(ED4,EG4,EJ4),"")</f>
        <v/>
      </c>
      <c r="EL4" s="18">
        <v>5</v>
      </c>
      <c r="EM4" s="18">
        <v>2.7</v>
      </c>
      <c r="EN4" s="18">
        <v>5.0999999999999996</v>
      </c>
      <c r="EO4" s="18">
        <v>5.37</v>
      </c>
      <c r="EP4" s="18">
        <v>0</v>
      </c>
      <c r="EQ4" s="18">
        <v>15.2</v>
      </c>
      <c r="ER4" s="18">
        <v>9.1999999999999993</v>
      </c>
      <c r="ES4" s="18">
        <v>15.6</v>
      </c>
      <c r="ET4" s="18">
        <v>17.079999999999998</v>
      </c>
      <c r="EU4" s="18">
        <v>0</v>
      </c>
      <c r="EV4" s="18"/>
      <c r="EW4" s="18"/>
      <c r="EX4" s="18"/>
      <c r="EY4" s="18"/>
      <c r="EZ4" s="18"/>
      <c r="FA4" s="18">
        <v>1.8</v>
      </c>
      <c r="FB4" s="18">
        <v>0.9</v>
      </c>
      <c r="FC4" s="18">
        <v>2</v>
      </c>
      <c r="FD4" s="18">
        <v>1.71</v>
      </c>
      <c r="FE4" s="18">
        <v>0</v>
      </c>
      <c r="FF4" s="11">
        <f t="shared" ref="FF4:FF24" si="66">IF(EN4&gt;0,EN4,"")</f>
        <v>5.0999999999999996</v>
      </c>
      <c r="FG4" s="11">
        <f t="shared" ref="FG4:FG24" si="67">IF(EO4&gt;0,EO4,"")</f>
        <v>5.37</v>
      </c>
      <c r="FH4" s="11">
        <f t="shared" ref="FH4:FH24" si="68">IF(SUM(EL4:EO4)-EP4&gt;0,SUM(EL4:EO4)-EP4,"")</f>
        <v>18.170000000000002</v>
      </c>
      <c r="FI4" s="11">
        <f t="shared" ref="FI4:FI24" si="69">IF(ES4&gt;0,ES4,"")</f>
        <v>15.6</v>
      </c>
      <c r="FJ4" s="11">
        <f t="shared" ref="FJ4:FJ24" si="70">IF(ET4&gt;0,ET4,"")</f>
        <v>17.079999999999998</v>
      </c>
      <c r="FK4" s="11">
        <f t="shared" ref="FK4:FK24" si="71">IF(SUM(EQ4:ET4)-EU4&gt;0,SUM(EQ4:ET4)-EU4,"")</f>
        <v>57.08</v>
      </c>
      <c r="FL4" s="11">
        <f t="shared" ref="FL4:FL24" si="72">IF(MAX(FH4,FK4)&gt;0,MAX(FH4,FK4),"")</f>
        <v>57.08</v>
      </c>
      <c r="FM4" s="11" t="str">
        <f t="shared" ref="FM4:FM24" si="73">IF(EX4&gt;0,EX4,"")</f>
        <v/>
      </c>
      <c r="FN4" s="11" t="str">
        <f t="shared" ref="FN4:FN24" si="74">IF(EY4&gt;0,EY4,"")</f>
        <v/>
      </c>
      <c r="FO4" s="11" t="str">
        <f t="shared" ref="FO4:FO24" si="75">IF(SUM(EV4:EY4)-EZ4&gt;0,SUM(EV4:EY4)-EZ4,"")</f>
        <v/>
      </c>
      <c r="FP4" s="11">
        <f t="shared" ref="FP4:FP24" si="76">IF(FC4&gt;0,FC4,"")</f>
        <v>2</v>
      </c>
      <c r="FQ4" s="11">
        <f t="shared" ref="FQ4:FQ24" si="77">IF(FD4&gt;0,FD4,"")</f>
        <v>1.71</v>
      </c>
      <c r="FR4" s="11">
        <f t="shared" ref="FR4:FR24" si="78">IF(SUM(FA4:FD4)-FE4&gt;0,SUM(FA4:FD4)-FE4,"")</f>
        <v>6.41</v>
      </c>
      <c r="FS4" s="11">
        <f t="shared" ref="FS4:FS24" si="79">IF(SUM(FL4,FO4,FR4)&gt;0,SUM(FL4,FO4,FR4),"")</f>
        <v>63.489999999999995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>
        <v>15.6</v>
      </c>
      <c r="GJ4" s="17">
        <v>8.9</v>
      </c>
      <c r="GK4" s="17">
        <v>15.6</v>
      </c>
      <c r="GL4" s="17">
        <v>17.05</v>
      </c>
      <c r="GM4" s="17">
        <v>0</v>
      </c>
      <c r="GN4" s="41" t="str">
        <f t="shared" ref="GN4:GN24" si="80">IF(FV4&gt;0,FV4,"")</f>
        <v/>
      </c>
      <c r="GO4" s="41" t="str">
        <f t="shared" ref="GO4:GO24" si="81">IF(FW4&gt;0,FW4,"")</f>
        <v/>
      </c>
      <c r="GP4" s="41" t="str">
        <f t="shared" ref="GP4:GP24" si="82">IF(SUM(FT4:FW4)-FX4&gt;0,SUM(FT4:FW4)-FX4,"")</f>
        <v/>
      </c>
      <c r="GQ4" s="41" t="str">
        <f t="shared" ref="GQ4:GQ24" si="83">IF(GA4&gt;0,GA4,"")</f>
        <v/>
      </c>
      <c r="GR4" s="41" t="str">
        <f t="shared" ref="GR4:GR24" si="84">IF(GB4&gt;0,GB4,"")</f>
        <v/>
      </c>
      <c r="GS4" s="41" t="str">
        <f t="shared" ref="GS4:GS24" si="85">IF(SUM(FY4:GB4)-GC4&gt;0,SUM(FY4:GB4)-GC4,"")</f>
        <v/>
      </c>
      <c r="GT4" s="41" t="str">
        <f t="shared" ref="GT4:GT24" si="86">IF(MAX(GP4,GS4)&gt;0,MAX(GP4,GS4),"")</f>
        <v/>
      </c>
      <c r="GU4" s="41" t="str">
        <f t="shared" ref="GU4:GU24" si="87">IF(GF4&gt;0,GF4,"")</f>
        <v/>
      </c>
      <c r="GV4" s="41" t="str">
        <f t="shared" ref="GV4:GV24" si="88">IF(GG4&gt;0,GG4,"")</f>
        <v/>
      </c>
      <c r="GW4" s="41" t="str">
        <f t="shared" ref="GW4:GW24" si="89">IF(SUM(GD4:GG4)-GH4&gt;0,SUM(GD4:GG4)-GH4,"")</f>
        <v/>
      </c>
      <c r="GX4" s="41">
        <f t="shared" ref="GX4:GX24" si="90">IF(GK4&gt;0,GK4,"")</f>
        <v>15.6</v>
      </c>
      <c r="GY4" s="41">
        <f t="shared" ref="GY4:GY24" si="91">IF(GL4&gt;0,GL4,"")</f>
        <v>17.05</v>
      </c>
      <c r="GZ4" s="41">
        <f t="shared" ref="GZ4:GZ24" si="92">IF(SUM(GI4:GL4)-GM4&gt;0,SUM(GI4:GL4)-GM4,"")</f>
        <v>57.150000000000006</v>
      </c>
      <c r="HA4" s="41">
        <f t="shared" ref="HA4:HA24" si="93">IF(SUM(GT4,GW4,GZ4)&gt;0,SUM(GT4,GW4,GZ4),"")</f>
        <v>57.150000000000006</v>
      </c>
      <c r="HB4" s="18">
        <v>10.8</v>
      </c>
      <c r="HC4" s="18">
        <v>6.3</v>
      </c>
      <c r="HD4" s="18">
        <v>12.2</v>
      </c>
      <c r="HE4" s="18">
        <v>12.18</v>
      </c>
      <c r="HF4" s="18">
        <v>0</v>
      </c>
      <c r="HG4" s="18">
        <v>14.5</v>
      </c>
      <c r="HH4" s="18">
        <v>9.1</v>
      </c>
      <c r="HI4" s="18">
        <v>16</v>
      </c>
      <c r="HJ4" s="18">
        <v>16.62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 t="shared" ref="HV4:HV24" si="94">IF(HD4&gt;0,HD4,"")</f>
        <v>12.2</v>
      </c>
      <c r="HW4" s="11">
        <f t="shared" ref="HW4:HW24" si="95">IF(HE4&gt;0,HE4,"")</f>
        <v>12.18</v>
      </c>
      <c r="HX4" s="11">
        <f t="shared" ref="HX4:HX24" si="96">IF(SUM(HB4:HE4)-HF4&gt;0,SUM(HB4:HE4)-HF4,"")</f>
        <v>41.480000000000004</v>
      </c>
      <c r="HY4" s="11">
        <f t="shared" ref="HY4:HY24" si="97">IF(HI4&gt;0,HI4,"")</f>
        <v>16</v>
      </c>
      <c r="HZ4" s="11">
        <f t="shared" ref="HZ4:HZ24" si="98">IF(HJ4&gt;0,HJ4,"")</f>
        <v>16.62</v>
      </c>
      <c r="IA4" s="11">
        <f t="shared" ref="IA4:IA24" si="99">IF(SUM(HG4:HJ4)-HK4&gt;0,SUM(HG4:HJ4)-HK4,"")</f>
        <v>56.22</v>
      </c>
      <c r="IB4" s="11">
        <f t="shared" ref="IB4:IB24" si="100">IF(MAX(HX4,IA4)&gt;0,MAX(HX4,IA4),"")</f>
        <v>56.22</v>
      </c>
      <c r="IC4" s="11" t="str">
        <f t="shared" ref="IC4:IC24" si="101">IF(HN4&gt;0,HN4,"")</f>
        <v/>
      </c>
      <c r="ID4" s="11" t="str">
        <f t="shared" ref="ID4:ID24" si="102">IF(HO4&gt;0,HO4,"")</f>
        <v/>
      </c>
      <c r="IE4" s="11" t="str">
        <f t="shared" ref="IE4:IE24" si="103">IF(SUM(HL4:HO4)-HP4&gt;0,SUM(HL4:HO4)-HP4,"")</f>
        <v/>
      </c>
      <c r="IF4" s="11" t="str">
        <f t="shared" ref="IF4:IF24" si="104">IF(HS4&gt;0,HS4,"")</f>
        <v/>
      </c>
      <c r="IG4" s="11" t="str">
        <f t="shared" ref="IG4:IG24" si="105">IF(HT4&gt;0,HT4,"")</f>
        <v/>
      </c>
      <c r="IH4" s="11" t="str">
        <f t="shared" ref="IH4:IH24" si="106">IF(SUM(HQ4:HT4)-HU4&gt;0,SUM(HQ4:HT4)-HU4,"")</f>
        <v/>
      </c>
      <c r="II4" s="11">
        <f t="shared" ref="II4:II24" si="107">IF(SUM(IB4,IE4,IH4)&gt;0,SUM(IB4,IE4,IH4),"")</f>
        <v>56.22</v>
      </c>
      <c r="IJ4" s="17">
        <v>14.6</v>
      </c>
      <c r="IK4" s="17">
        <v>9.3000000000000007</v>
      </c>
      <c r="IL4" s="17">
        <v>17.100000000000001</v>
      </c>
      <c r="IM4" s="17">
        <v>17.100000000000001</v>
      </c>
      <c r="IN4" s="17">
        <v>0</v>
      </c>
      <c r="IO4" s="17">
        <v>14.4</v>
      </c>
      <c r="IP4" s="17">
        <v>9.1</v>
      </c>
      <c r="IQ4" s="17">
        <v>16.100000000000001</v>
      </c>
      <c r="IR4" s="17">
        <v>16.760000000000002</v>
      </c>
      <c r="IS4" s="17">
        <v>0</v>
      </c>
      <c r="IT4" s="17">
        <v>1.6</v>
      </c>
      <c r="IU4" s="17">
        <v>0.9</v>
      </c>
      <c r="IV4" s="17">
        <v>2.2000000000000002</v>
      </c>
      <c r="IW4" s="17">
        <v>1.77</v>
      </c>
      <c r="IX4" s="17">
        <v>0</v>
      </c>
      <c r="IY4" s="17"/>
      <c r="IZ4" s="17"/>
      <c r="JA4" s="17"/>
      <c r="JB4" s="17"/>
      <c r="JC4" s="17"/>
      <c r="JD4" s="41">
        <f t="shared" ref="JD4:JD24" si="108">IF(IL4&gt;0,IL4,"")</f>
        <v>17.100000000000001</v>
      </c>
      <c r="JE4" s="41">
        <f t="shared" ref="JE4:JE24" si="109">IF(IM4&gt;0,IM4,"")</f>
        <v>17.100000000000001</v>
      </c>
      <c r="JF4" s="41">
        <f t="shared" ref="JF4:JF24" si="110">IF(SUM(IJ4:IM4)-IN4&gt;0,SUM(IJ4:IM4)-IN4,"")</f>
        <v>58.1</v>
      </c>
      <c r="JG4" s="41">
        <f t="shared" ref="JG4:JG24" si="111">IF(IQ4&gt;0,IQ4,"")</f>
        <v>16.100000000000001</v>
      </c>
      <c r="JH4" s="41">
        <f t="shared" ref="JH4:JH24" si="112">IF(IR4&gt;0,IR4,"")</f>
        <v>16.760000000000002</v>
      </c>
      <c r="JI4" s="41">
        <f t="shared" ref="JI4:JI24" si="113">IF(SUM(IO4:IR4)-IS4&gt;0,SUM(IO4:IR4)-IS4,"")</f>
        <v>56.36</v>
      </c>
      <c r="JJ4" s="41">
        <f t="shared" ref="JJ4:JJ24" si="114">IF(MAX(JF4,JI4)&gt;0,MAX(JF4,JI4),"")</f>
        <v>58.1</v>
      </c>
      <c r="JK4" s="41">
        <f t="shared" ref="JK4:JK24" si="115">IF(IV4&gt;0,IV4,"")</f>
        <v>2.2000000000000002</v>
      </c>
      <c r="JL4" s="41">
        <f t="shared" ref="JL4:JL24" si="116">IF(IW4&gt;0,IW4,"")</f>
        <v>1.77</v>
      </c>
      <c r="JM4" s="41">
        <f t="shared" ref="JM4:JM24" si="117">IF(SUM(IT4:IW4)-IX4&gt;0,SUM(IT4:IW4)-IX4,"")</f>
        <v>6.4700000000000006</v>
      </c>
      <c r="JN4" s="41" t="str">
        <f t="shared" ref="JN4:JN24" si="118">IF(JA4&gt;0,JA4,"")</f>
        <v/>
      </c>
      <c r="JO4" s="41" t="str">
        <f t="shared" ref="JO4:JO24" si="119">IF(JB4&gt;0,JB4,"")</f>
        <v/>
      </c>
      <c r="JP4" s="41" t="str">
        <f t="shared" ref="JP4:JP24" si="120">IF(SUM(IY4:JB4)-JC4&gt;0,SUM(IY4:JB4)-JC4,"")</f>
        <v/>
      </c>
      <c r="JQ4" s="41">
        <f t="shared" ref="JQ4:JQ24" si="121">IF(SUM(JJ4,JM4,JP4)&gt;0,SUM(JJ4,JM4,JP4),"")</f>
        <v>64.570000000000007</v>
      </c>
      <c r="JR4" s="18">
        <v>15.1</v>
      </c>
      <c r="JS4" s="18">
        <v>9.5</v>
      </c>
      <c r="JT4" s="18">
        <v>17.100000000000001</v>
      </c>
      <c r="JU4" s="18">
        <v>16.75</v>
      </c>
      <c r="JV4" s="18">
        <v>0</v>
      </c>
      <c r="JW4" s="18">
        <v>1.6</v>
      </c>
      <c r="JX4" s="18">
        <v>1</v>
      </c>
      <c r="JY4" s="18">
        <v>2.2000000000000002</v>
      </c>
      <c r="JZ4" s="18">
        <v>1.8</v>
      </c>
      <c r="KA4" s="18">
        <v>0</v>
      </c>
      <c r="KB4" s="18">
        <v>14.3</v>
      </c>
      <c r="KC4" s="18">
        <v>9</v>
      </c>
      <c r="KD4" s="18">
        <v>16.100000000000001</v>
      </c>
      <c r="KE4" s="18">
        <v>16.579999999999998</v>
      </c>
      <c r="KF4" s="18"/>
      <c r="KG4" s="18"/>
      <c r="KH4" s="18"/>
      <c r="KI4" s="18"/>
      <c r="KJ4" s="18"/>
      <c r="KK4" s="18"/>
      <c r="KL4" s="11">
        <f t="shared" ref="KL4:KL24" si="122">IF(JT4&gt;0,JT4,"")</f>
        <v>17.100000000000001</v>
      </c>
      <c r="KM4" s="11">
        <f t="shared" ref="KM4:KM24" si="123">IF(JU4&gt;0,JU4,"")</f>
        <v>16.75</v>
      </c>
      <c r="KN4" s="11">
        <f t="shared" ref="KN4:KN24" si="124">IF(SUM(JR4:JU4)-JV4&gt;0,SUM(JR4:JU4)-JV4,"")</f>
        <v>58.45</v>
      </c>
      <c r="KO4" s="11">
        <f t="shared" ref="KO4:KO24" si="125">IF(JY4&gt;0,JY4,"")</f>
        <v>2.2000000000000002</v>
      </c>
      <c r="KP4" s="11">
        <f t="shared" ref="KP4:KP24" si="126">IF(JZ4&gt;0,JZ4,"")</f>
        <v>1.8</v>
      </c>
      <c r="KQ4" s="11">
        <f t="shared" ref="KQ4:KQ24" si="127">IF(SUM(JW4:JZ4)-KA4&gt;0,SUM(JW4:JZ4)-KA4,"")</f>
        <v>6.6000000000000005</v>
      </c>
      <c r="KR4" s="11">
        <f t="shared" ref="KR4:KR24" si="128">IF(MAX(KN4,KQ4)&gt;0,MAX(KN4,KQ4),"")</f>
        <v>58.45</v>
      </c>
      <c r="KS4" s="11">
        <f t="shared" ref="KS4:KS24" si="129">IF(KD4&gt;0,KD4,"")</f>
        <v>16.100000000000001</v>
      </c>
      <c r="KT4" s="11">
        <f t="shared" ref="KT4:KT24" si="130">IF(KE4&gt;0,KE4,"")</f>
        <v>16.579999999999998</v>
      </c>
      <c r="KU4" s="11">
        <f t="shared" ref="KU4:KU24" si="131">IF(SUM(KB4:KE4)-KF4&gt;0,SUM(KB4:KE4)-KF4,"")</f>
        <v>55.980000000000004</v>
      </c>
      <c r="KV4" s="11" t="str">
        <f t="shared" ref="KV4:KV24" si="132">IF(KI4&gt;0,KI4,"")</f>
        <v/>
      </c>
      <c r="KW4" s="11" t="str">
        <f t="shared" ref="KW4:KW24" si="133">IF(KJ4&gt;0,KJ4,"")</f>
        <v/>
      </c>
      <c r="KX4" s="11" t="str">
        <f t="shared" ref="KX4:KX24" si="134">IF(SUM(KG4:KJ4)-KK4&gt;0,SUM(KG4:KJ4)-KK4,"")</f>
        <v/>
      </c>
      <c r="KY4" s="11">
        <f t="shared" ref="KY4:KY24" si="135">IF(SUM(KR4,KU4,KX4)&gt;0,SUM(KR4,KU4,KX4),"")</f>
        <v>114.43</v>
      </c>
      <c r="KZ4" s="17">
        <v>14.5</v>
      </c>
      <c r="LA4" s="17">
        <v>9.4</v>
      </c>
      <c r="LB4" s="17">
        <v>17.100000000000001</v>
      </c>
      <c r="LC4" s="17">
        <v>16.72</v>
      </c>
      <c r="LD4" s="17">
        <v>0</v>
      </c>
      <c r="LE4" s="17">
        <v>14.7</v>
      </c>
      <c r="LF4" s="17">
        <v>9</v>
      </c>
      <c r="LG4" s="17">
        <v>17.100000000000001</v>
      </c>
      <c r="LH4" s="17">
        <v>16.87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>
        <f t="shared" ref="LT4:LT24" si="136">IF(LB4&gt;0,LB4,"")</f>
        <v>17.100000000000001</v>
      </c>
      <c r="LU4" s="41">
        <f t="shared" ref="LU4:LU24" si="137">IF(LC4&gt;0,LC4,"")</f>
        <v>16.72</v>
      </c>
      <c r="LV4" s="41">
        <f t="shared" ref="LV4:LV24" si="138">IF(SUM(KZ4:LC4)-LD4&gt;0,SUM(KZ4:LC4)-LD4,"")</f>
        <v>57.72</v>
      </c>
      <c r="LW4" s="41">
        <f t="shared" ref="LW4:LW24" si="139">IF(LG4&gt;0,LG4,"")</f>
        <v>17.100000000000001</v>
      </c>
      <c r="LX4" s="41">
        <f t="shared" ref="LX4:LX24" si="140">IF(LH4&gt;0,LH4,"")</f>
        <v>16.87</v>
      </c>
      <c r="LY4" s="41">
        <f t="shared" ref="LY4:LY24" si="141">IF(SUM(LE4:LH4)-LI4&gt;0,SUM(LE4:LH4)-LI4,"")</f>
        <v>57.67</v>
      </c>
      <c r="LZ4" s="41">
        <f t="shared" ref="LZ4:LZ24" si="142">IF(MAX(LV4,LY4)&gt;0,MAX(LV4,LY4),"")</f>
        <v>57.72</v>
      </c>
      <c r="MA4" s="41" t="str">
        <f t="shared" ref="MA4:MA24" si="143">IF(LL4&gt;0,LL4,"")</f>
        <v/>
      </c>
      <c r="MB4" s="41" t="str">
        <f t="shared" ref="MB4:MB24" si="144">IF(LM4&gt;0,LM4,"")</f>
        <v/>
      </c>
      <c r="MC4" s="41" t="str">
        <f t="shared" ref="MC4:MC24" si="145">IF(SUM(LJ4:LM4)-LN4&gt;0,SUM(LJ4:LM4)-LN4,"")</f>
        <v/>
      </c>
      <c r="MD4" s="41" t="str">
        <f t="shared" ref="MD4:MD24" si="146">IF(LQ4&gt;0,LQ4,"")</f>
        <v/>
      </c>
      <c r="ME4" s="41" t="str">
        <f t="shared" ref="ME4:ME24" si="147">IF(LR4&gt;0,LR4,"")</f>
        <v/>
      </c>
      <c r="MF4" s="41" t="str">
        <f t="shared" ref="MF4:MF24" si="148">IF(SUM(LO4:LR4)-LS4&gt;0,SUM(LO4:LR4)-LS4,"")</f>
        <v/>
      </c>
      <c r="MG4" s="41">
        <f t="shared" ref="MG4:MG24" si="149">IF(SUM(LZ4,MC4,MF4)&gt;0,SUM(LZ4,MC4,MF4),"")</f>
        <v>57.72</v>
      </c>
      <c r="MH4" s="18">
        <v>1.4</v>
      </c>
      <c r="MI4" s="18">
        <v>0.8</v>
      </c>
      <c r="MJ4" s="18">
        <v>2.2000000000000002</v>
      </c>
      <c r="MK4" s="18">
        <v>1.79</v>
      </c>
      <c r="ML4" s="18">
        <v>0.2</v>
      </c>
      <c r="MM4" s="18">
        <v>7.3</v>
      </c>
      <c r="MN4" s="18">
        <v>4.5</v>
      </c>
      <c r="MO4" s="18">
        <v>7.4</v>
      </c>
      <c r="MP4" s="18">
        <v>8.84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 t="shared" ref="NB4:NB24" si="150">IF(MJ4&gt;0,MJ4,"")</f>
        <v>2.2000000000000002</v>
      </c>
      <c r="NC4" s="11">
        <f t="shared" ref="NC4:NC24" si="151">IF(MK4&gt;0,MK4,"")</f>
        <v>1.79</v>
      </c>
      <c r="ND4" s="11">
        <f t="shared" ref="ND4:ND24" si="152">IF(SUM(MH4:MK4)-ML4&gt;0,SUM(MH4:MK4)-ML4,"")</f>
        <v>5.99</v>
      </c>
      <c r="NE4" s="11">
        <f t="shared" ref="NE4:NE24" si="153">IF(MO4&gt;0,MO4,"")</f>
        <v>7.4</v>
      </c>
      <c r="NF4" s="11">
        <f t="shared" ref="NF4:NF24" si="154">IF(MP4&gt;0,MP4,"")</f>
        <v>8.84</v>
      </c>
      <c r="NG4" s="11">
        <f t="shared" ref="NG4:NG24" si="155">IF(SUM(MM4:MP4)-MQ4&gt;0,SUM(MM4:MP4)-MQ4,"")</f>
        <v>28.040000000000003</v>
      </c>
      <c r="NH4" s="11">
        <f t="shared" ref="NH4:NH24" si="156">IF(MAX(ND4,NG4)&gt;0,MAX(ND4,NG4),"")</f>
        <v>28.040000000000003</v>
      </c>
      <c r="NI4" s="11" t="str">
        <f t="shared" ref="NI4:NI24" si="157">IF(MT4&gt;0,MT4,"")</f>
        <v/>
      </c>
      <c r="NJ4" s="11" t="str">
        <f t="shared" ref="NJ4:NJ24" si="158">IF(MU4&gt;0,MU4,"")</f>
        <v/>
      </c>
      <c r="NK4" s="11" t="str">
        <f t="shared" ref="NK4:NK24" si="159">IF(SUM(MR4:MU4)-MV4&gt;0,SUM(MR4:MU4)-MV4,"")</f>
        <v/>
      </c>
      <c r="NL4" s="11" t="str">
        <f t="shared" ref="NL4:NL24" si="160">IF(MY4&gt;0,MY4,"")</f>
        <v/>
      </c>
      <c r="NM4" s="11" t="str">
        <f t="shared" ref="NM4:NM24" si="161">IF(MZ4&gt;0,MZ4,"")</f>
        <v/>
      </c>
      <c r="NN4" s="11" t="str">
        <f t="shared" ref="NN4:NN24" si="162">IF(SUM(MW4:MZ4)-NA4&gt;0,SUM(MW4:MZ4)-NA4,"")</f>
        <v/>
      </c>
      <c r="NO4" s="11">
        <f t="shared" ref="NO4:NO24" si="163">IF(SUM(NH4,NK4,NN4)&gt;0,SUM(NH4,NK4,NN4),"")</f>
        <v>28.040000000000003</v>
      </c>
      <c r="NP4" s="17">
        <v>1.6</v>
      </c>
      <c r="NQ4" s="17">
        <v>1</v>
      </c>
      <c r="NR4" s="17">
        <v>2.2000000000000002</v>
      </c>
      <c r="NS4" s="17">
        <v>1.82</v>
      </c>
      <c r="NT4" s="17">
        <v>0</v>
      </c>
      <c r="NU4" s="17">
        <v>5.8</v>
      </c>
      <c r="NV4" s="17">
        <v>3.8</v>
      </c>
      <c r="NW4" s="17">
        <v>7.4</v>
      </c>
      <c r="NX4" s="17">
        <v>7.05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 t="shared" ref="OJ4:OJ24" si="164">IF(NR4&gt;0,NR4,"")</f>
        <v>2.2000000000000002</v>
      </c>
      <c r="OK4" s="41">
        <f t="shared" ref="OK4:OK24" si="165">IF(NS4&gt;0,NS4,"")</f>
        <v>1.82</v>
      </c>
      <c r="OL4" s="41">
        <f t="shared" ref="OL4:OL24" si="166">IF(SUM(NP4:NS4)-NT4&gt;0,SUM(NP4:NS4)-NT4,"")</f>
        <v>6.620000000000001</v>
      </c>
      <c r="OM4" s="41">
        <f t="shared" ref="OM4:OM24" si="167">IF(NW4&gt;0,NW4,"")</f>
        <v>7.4</v>
      </c>
      <c r="ON4" s="41">
        <f t="shared" ref="ON4:ON24" si="168">IF(NX4&gt;0,NX4,"")</f>
        <v>7.05</v>
      </c>
      <c r="OO4" s="41">
        <f t="shared" ref="OO4:OO24" si="169">IF(SUM(NU4:NX4)-NY4&gt;0,SUM(NU4:NX4)-NY4,"")</f>
        <v>24.05</v>
      </c>
      <c r="OP4" s="41">
        <f t="shared" ref="OP4:OP24" si="170">IF(MAX(OL4,OO4)&gt;0,MAX(OL4,OO4),"")</f>
        <v>24.05</v>
      </c>
      <c r="OQ4" s="41" t="str">
        <f t="shared" ref="OQ4:OQ24" si="171">IF(OB4&gt;0,OB4,"")</f>
        <v/>
      </c>
      <c r="OR4" s="41" t="str">
        <f t="shared" ref="OR4:OR24" si="172">IF(OC4&gt;0,OC4,"")</f>
        <v/>
      </c>
      <c r="OS4" s="41" t="str">
        <f t="shared" ref="OS4:OS24" si="173">IF(SUM(NZ4:OC4)-OD4&gt;0,SUM(NZ4:OC4)-OD4,"")</f>
        <v/>
      </c>
      <c r="OT4" s="41" t="str">
        <f t="shared" ref="OT4:OT24" si="174">IF(OG4&gt;0,OG4,"")</f>
        <v/>
      </c>
      <c r="OU4" s="41" t="str">
        <f t="shared" ref="OU4:OU24" si="175">IF(OH4&gt;0,OH4,"")</f>
        <v/>
      </c>
      <c r="OV4" s="41" t="str">
        <f t="shared" ref="OV4:OV24" si="176">IF(SUM(OE4:OH4)-OI4&gt;0,SUM(OE4:OH4)-OI4,"")</f>
        <v/>
      </c>
      <c r="OW4" s="41">
        <f t="shared" ref="OW4:OW24" si="177">IF(SUM(OP4,OS4,OV4)&gt;0,SUM(OP4,OS4,OV4),"")</f>
        <v>24.05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4" si="178">IF(OZ4&gt;0,OZ4,"")</f>
        <v/>
      </c>
      <c r="PS4" s="11" t="str">
        <f t="shared" ref="PS4:PS24" si="179">IF(PA4&gt;0,PA4,"")</f>
        <v/>
      </c>
      <c r="PT4" s="11" t="str">
        <f t="shared" ref="PT4:PT24" si="180">IF(SUM(OX4:PA4)-PB4&gt;0,SUM(OX4:PA4)-PB4,"")</f>
        <v/>
      </c>
      <c r="PU4" s="11" t="str">
        <f t="shared" ref="PU4:PU24" si="181">IF(PE4&gt;0,PE4,"")</f>
        <v/>
      </c>
      <c r="PV4" s="11" t="str">
        <f t="shared" ref="PV4:PV24" si="182">IF(PF4&gt;0,PF4,"")</f>
        <v/>
      </c>
      <c r="PW4" s="11" t="str">
        <f t="shared" ref="PW4:PW24" si="183">IF(SUM(PC4:PF4)-PG4&gt;0,SUM(PC4:PF4)-PG4,"")</f>
        <v/>
      </c>
      <c r="PX4" s="11" t="str">
        <f t="shared" ref="PX4:PX24" si="184">IF(MAX(PT4,PW4)&gt;0,MAX(PT4,PW4),"")</f>
        <v/>
      </c>
      <c r="PY4" s="11" t="str">
        <f t="shared" ref="PY4:PY24" si="185">IF(PJ4&gt;0,PJ4,"")</f>
        <v/>
      </c>
      <c r="PZ4" s="11" t="str">
        <f t="shared" ref="PZ4:PZ24" si="186">IF(PK4&gt;0,PK4,"")</f>
        <v/>
      </c>
      <c r="QA4" s="11" t="str">
        <f t="shared" ref="QA4:QA24" si="187">IF(SUM(PH4:PK4)-PL4&gt;0,SUM(PH4:PK4)-PL4,"")</f>
        <v/>
      </c>
      <c r="QB4" s="11" t="str">
        <f t="shared" ref="QB4:QB24" si="188">IF(PO4&gt;0,PO4,"")</f>
        <v/>
      </c>
      <c r="QC4" s="11" t="str">
        <f t="shared" ref="QC4:QC24" si="189">IF(PP4&gt;0,PP4,"")</f>
        <v/>
      </c>
      <c r="QD4" s="11" t="str">
        <f t="shared" ref="QD4:QD24" si="190">IF(SUM(PM4:PP4)-PQ4&gt;0,SUM(PM4:PP4)-PQ4,"")</f>
        <v/>
      </c>
      <c r="QE4" s="11" t="str">
        <f t="shared" ref="QE4:QE24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24" si="192">IF(QH4&gt;0,QH4,"")</f>
        <v/>
      </c>
      <c r="RA4" s="41" t="str">
        <f t="shared" ref="RA4:RA24" si="193">IF(QI4&gt;0,QI4,"")</f>
        <v/>
      </c>
      <c r="RB4" s="41" t="str">
        <f t="shared" ref="RB4:RB24" si="194">IF(SUM(QF4:QI4)-QJ4&gt;0,SUM(QF4:QI4)-QJ4,"")</f>
        <v/>
      </c>
      <c r="RC4" s="41" t="str">
        <f t="shared" ref="RC4:RC24" si="195">IF(QM4&gt;0,QM4,"")</f>
        <v/>
      </c>
      <c r="RD4" s="41" t="str">
        <f t="shared" ref="RD4:RD24" si="196">IF(QN4&gt;0,QN4,"")</f>
        <v/>
      </c>
      <c r="RE4" s="41" t="str">
        <f t="shared" ref="RE4:RE24" si="197">IF(SUM(QK4:QN4)-QO4&gt;0,SUM(QK4:QN4)-QO4,"")</f>
        <v/>
      </c>
      <c r="RF4" s="41" t="str">
        <f t="shared" ref="RF4:RF24" si="198">IF(MAX(RB4,RE4)&gt;0,MAX(RB4,RE4),"")</f>
        <v/>
      </c>
      <c r="RG4" s="41" t="str">
        <f t="shared" ref="RG4:RG24" si="199">IF(QR4&gt;0,QR4,"")</f>
        <v/>
      </c>
      <c r="RH4" s="41" t="str">
        <f t="shared" ref="RH4:RH24" si="200">IF(QS4&gt;0,QS4,"")</f>
        <v/>
      </c>
      <c r="RI4" s="41" t="str">
        <f t="shared" ref="RI4:RI24" si="201">IF(SUM(QP4:QS4)-QT4&gt;0,SUM(QP4:QS4)-QT4,"")</f>
        <v/>
      </c>
      <c r="RJ4" s="41" t="str">
        <f t="shared" ref="RJ4:RJ24" si="202">IF(QW4&gt;0,QW4,"")</f>
        <v/>
      </c>
      <c r="RK4" s="41" t="str">
        <f t="shared" ref="RK4:RK24" si="203">IF(QX4&gt;0,QX4,"")</f>
        <v/>
      </c>
      <c r="RL4" s="41" t="str">
        <f t="shared" ref="RL4:RL24" si="204">IF(SUM(QU4:QX4)-QY4&gt;0,SUM(QU4:QX4)-QY4,"")</f>
        <v/>
      </c>
      <c r="RM4" s="41" t="str">
        <f t="shared" ref="RM4:RM24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4" si="206">IF(RP4&gt;0,RP4,"")</f>
        <v/>
      </c>
      <c r="SI4" s="11" t="str">
        <f t="shared" ref="SI4:SI24" si="207">IF(RQ4&gt;0,RQ4,"")</f>
        <v/>
      </c>
      <c r="SJ4" s="11" t="str">
        <f t="shared" ref="SJ4:SJ24" si="208">IF(SUM(RN4:RQ4)-RR4&gt;0,SUM(RN4:RQ4)-RR4,"")</f>
        <v/>
      </c>
      <c r="SK4" s="11" t="str">
        <f t="shared" ref="SK4:SK24" si="209">IF(RU4&gt;0,RU4,"")</f>
        <v/>
      </c>
      <c r="SL4" s="11" t="str">
        <f t="shared" ref="SL4:SL24" si="210">IF(RV4&gt;0,RV4,"")</f>
        <v/>
      </c>
      <c r="SM4" s="11" t="str">
        <f t="shared" ref="SM4:SM24" si="211">IF(SUM(RS4:RV4)-RW4&gt;0,SUM(RS4:RV4)-RW4,"")</f>
        <v/>
      </c>
      <c r="SN4" s="11" t="str">
        <f t="shared" ref="SN4:SN24" si="212">IF(MAX(SJ4,SM4)&gt;0,MAX(SJ4,SM4),"")</f>
        <v/>
      </c>
      <c r="SO4" s="11" t="str">
        <f t="shared" ref="SO4:SO24" si="213">IF(RZ4&gt;0,RZ4,"")</f>
        <v/>
      </c>
      <c r="SP4" s="11" t="str">
        <f t="shared" ref="SP4:SP24" si="214">IF(SA4&gt;0,SA4,"")</f>
        <v/>
      </c>
      <c r="SQ4" s="11" t="str">
        <f t="shared" ref="SQ4:SQ24" si="215">IF(SUM(RX4:SA4)-SB4&gt;0,SUM(RX4:SA4)-SB4,"")</f>
        <v/>
      </c>
      <c r="SR4" s="11" t="str">
        <f t="shared" ref="SR4:SR24" si="216">IF(SE4&gt;0,SE4,"")</f>
        <v/>
      </c>
      <c r="SS4" s="11" t="str">
        <f t="shared" ref="SS4:SS24" si="217">IF(SF4&gt;0,SF4,"")</f>
        <v/>
      </c>
      <c r="ST4" s="11" t="str">
        <f t="shared" ref="ST4:ST24" si="218">IF(SUM(SC4:SF4)-SG4&gt;0,SUM(SC4:SF4)-SG4,"")</f>
        <v/>
      </c>
      <c r="SU4" s="11" t="str">
        <f t="shared" ref="SU4:SU24" si="219">IF(SUM(SN4,SQ4,ST4)&gt;0,SUM(SN4,SQ4,ST4),"")</f>
        <v/>
      </c>
      <c r="SV4" s="23">
        <f t="shared" ref="SV4:SV24" si="220">IF($CP4="P",CA4,(CA4+AZ4)/2)</f>
        <v>8.5500000000000007</v>
      </c>
      <c r="SW4" s="23">
        <f t="shared" ref="SW4:SW24" si="221">IF($CP4="P",CB4,(CB4+BA4)/2)</f>
        <v>5</v>
      </c>
      <c r="SX4" s="23">
        <f t="shared" ref="SX4:SX24" si="222">IF($CP4="P",CC4,(CC4+BB4)/2)</f>
        <v>9.65</v>
      </c>
      <c r="SY4" s="23">
        <f t="shared" ref="SY4:SY24" si="223">IF($CP4="P",CD4,(CD4+BC4)/2)</f>
        <v>9.5300000000000011</v>
      </c>
      <c r="SZ4" s="23">
        <f t="shared" ref="SZ4:SZ24" si="224">IF($CP4="P",CE4,(CE4+BD4)/2)</f>
        <v>0</v>
      </c>
      <c r="TA4" s="23">
        <f t="shared" ref="TA4:TA24" si="225">IF($CP4="P",CF4,(CF4+BE4)/2)</f>
        <v>15.05</v>
      </c>
      <c r="TB4" s="23">
        <f t="shared" ref="TB4:TB24" si="226">IF($CP4="P",CG4,(CG4+BF4)/2)</f>
        <v>9.15</v>
      </c>
      <c r="TC4" s="23">
        <f t="shared" ref="TC4:TC24" si="227">IF($CP4="P",CH4,(CH4+BG4)/2)</f>
        <v>16.5</v>
      </c>
      <c r="TD4" s="23">
        <f t="shared" ref="TD4:TD24" si="228">IF($CP4="P",CI4,(CI4+BH4)/2)</f>
        <v>16.655000000000001</v>
      </c>
      <c r="TE4" s="23">
        <f t="shared" ref="TE4:TE24" si="229">IF($CP4="P",CJ4,(CJ4+BI4)/2)</f>
        <v>0</v>
      </c>
      <c r="TF4" s="23">
        <f t="shared" ref="TF4:TF24" si="230">IF($CP4="P",CK4,(CK4+BJ4)/2)</f>
        <v>15.3</v>
      </c>
      <c r="TG4" s="23">
        <f t="shared" ref="TG4:TG24" si="231">IF($CP4="P",CL4,(CL4+BK4)/2)</f>
        <v>9.25</v>
      </c>
      <c r="TH4" s="23">
        <f t="shared" ref="TH4:TH24" si="232">IF($CP4="P",CM4,(CM4+BL4)/2)</f>
        <v>17.3</v>
      </c>
      <c r="TI4" s="23">
        <f t="shared" ref="TI4:TI24" si="233">IF($CP4="P",CN4,(CN4+BM4)/2)</f>
        <v>16.844999999999999</v>
      </c>
      <c r="TJ4" s="23">
        <f t="shared" ref="TJ4:TJ24" si="234">IF($CP4="P",CO4,(CO4+BN4)/2)</f>
        <v>0</v>
      </c>
      <c r="TK4" s="28" t="s">
        <v>57</v>
      </c>
      <c r="TL4" s="41">
        <f t="shared" ref="TL4:TL24" si="235">IF(SX4&gt;0,SX4,"")</f>
        <v>9.65</v>
      </c>
      <c r="TM4" s="41">
        <f t="shared" ref="TM4:TM24" si="236">IF(SY4&gt;0,SY4,"")</f>
        <v>9.5300000000000011</v>
      </c>
      <c r="TN4" s="41">
        <f t="shared" ref="TN4:TN24" si="237">IF(SUM(SV4:SY4)-SZ4&gt;0,SUM(SV4:SY4)-SZ4,"")</f>
        <v>32.730000000000004</v>
      </c>
      <c r="TO4" s="41">
        <f t="shared" ref="TO4:TO24" si="238">IF(TC4&gt;0,TC4,"")</f>
        <v>16.5</v>
      </c>
      <c r="TP4" s="41">
        <f t="shared" ref="TP4:TP24" si="239">IF(TD4&gt;0,TD4,"")</f>
        <v>16.655000000000001</v>
      </c>
      <c r="TQ4" s="41">
        <f t="shared" ref="TQ4:TQ24" si="240">IF(SUM(TA4:TD4)-TE4&gt;0,SUM(TA4:TD4)-TE4,"")</f>
        <v>57.355000000000004</v>
      </c>
      <c r="TR4" s="41">
        <f t="shared" ref="TR4:TR24" si="241">IF(MAX(TN4,TQ4)&gt;0,MAX(TN4,TQ4),"")</f>
        <v>57.355000000000004</v>
      </c>
      <c r="TS4" s="41">
        <f t="shared" ref="TS4:TS24" si="242">IF(TH4&gt;0,TH4,"")</f>
        <v>17.3</v>
      </c>
      <c r="TT4" s="41">
        <f t="shared" ref="TT4:TT24" si="243">IF(TI4&gt;0,TI4,"")</f>
        <v>16.844999999999999</v>
      </c>
      <c r="TU4" s="41">
        <f t="shared" ref="TU4:TU24" si="244">IF(SUM(TF4:TI4)-TJ4&gt;0,SUM(TF4:TI4)-TJ4,"")</f>
        <v>58.695</v>
      </c>
      <c r="TV4" s="41">
        <f t="shared" ref="TV4:TV24" si="245">IF(SUM(TR4,TU4)&gt;0,SUM(TR4,TU4),"")</f>
        <v>116.05000000000001</v>
      </c>
    </row>
    <row r="5" spans="1:542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63</v>
      </c>
      <c r="C5" s="4" t="s">
        <v>8</v>
      </c>
      <c r="D5" s="4">
        <v>2001</v>
      </c>
      <c r="E5" s="9">
        <f t="shared" si="0"/>
        <v>268.86002511200599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59.84</v>
      </c>
      <c r="K5" s="8" t="str">
        <f t="shared" si="5"/>
        <v>2023 Elite Canada</v>
      </c>
      <c r="L5" s="8">
        <f>IF(COUNT(AQ5,AT5,BR5,BU5,CS5,CV5)&gt;1,LARGE((AQ5,AT5,BR5,BU5,CS5,CV5),2),0)</f>
        <v>58.85</v>
      </c>
      <c r="M5" s="8" t="str">
        <f t="shared" si="6"/>
        <v>2023 Domestic 3rd Trial</v>
      </c>
      <c r="N5" s="8">
        <f>IF(COUNT(AQ5,AT5,BR5,BU5,CS5,CV5)&gt;2,LARGE((AQ5,AT5,BR5,BU5,CS5,CV5),3),0)</f>
        <v>40.85</v>
      </c>
      <c r="O5" s="8" t="str">
        <f t="shared" si="7"/>
        <v>2023 Domestic 3rd Trial</v>
      </c>
      <c r="P5" s="8">
        <f t="shared" si="8"/>
        <v>57.769999999999996</v>
      </c>
      <c r="Q5" s="8" t="str">
        <f t="shared" si="9"/>
        <v>2023 Domestic 3rd Trial</v>
      </c>
      <c r="R5" s="8">
        <f t="shared" si="10"/>
        <v>16.649999999999999</v>
      </c>
      <c r="S5" s="8" t="str">
        <f t="shared" si="11"/>
        <v>2023 Elite Canada</v>
      </c>
      <c r="T5" s="8">
        <f t="shared" si="12"/>
        <v>17.16</v>
      </c>
      <c r="U5" s="8" t="str">
        <f t="shared" si="13"/>
        <v>2023 Pan Am Championships (May 14)</v>
      </c>
      <c r="V5" s="8">
        <f t="shared" si="14"/>
        <v>17.739999999999995</v>
      </c>
      <c r="W5" s="11" t="str">
        <f t="shared" si="15"/>
        <v>(Prelim)</v>
      </c>
      <c r="X5" s="8" t="str">
        <f t="shared" si="16"/>
        <v>2023 World Cup POR 1 (July 2)</v>
      </c>
      <c r="Y5" s="23">
        <v>16.75</v>
      </c>
      <c r="Z5" s="23">
        <v>9.3000000000000007</v>
      </c>
      <c r="AA5" s="23">
        <v>16.649999999999999</v>
      </c>
      <c r="AB5" s="23">
        <v>17.14</v>
      </c>
      <c r="AC5" s="23">
        <v>0</v>
      </c>
      <c r="AD5" s="23">
        <v>5.8</v>
      </c>
      <c r="AE5" s="23">
        <v>3.05</v>
      </c>
      <c r="AF5" s="23">
        <v>6.5</v>
      </c>
      <c r="AG5" s="23">
        <v>6.27</v>
      </c>
      <c r="AH5" s="23">
        <v>0</v>
      </c>
      <c r="AI5" s="23">
        <v>15.4</v>
      </c>
      <c r="AJ5" s="23">
        <v>8.3000000000000007</v>
      </c>
      <c r="AK5" s="23">
        <v>15.75</v>
      </c>
      <c r="AL5" s="23">
        <v>16.28</v>
      </c>
      <c r="AM5" s="23">
        <v>0</v>
      </c>
      <c r="AN5" s="28" t="s">
        <v>57</v>
      </c>
      <c r="AO5" s="39">
        <f t="shared" si="17"/>
        <v>16.649999999999999</v>
      </c>
      <c r="AP5" s="39">
        <f t="shared" si="18"/>
        <v>17.14</v>
      </c>
      <c r="AQ5" s="41">
        <f t="shared" si="19"/>
        <v>59.84</v>
      </c>
      <c r="AR5" s="41">
        <f t="shared" si="20"/>
        <v>6.5</v>
      </c>
      <c r="AS5" s="41">
        <f t="shared" si="21"/>
        <v>6.27</v>
      </c>
      <c r="AT5" s="41">
        <f t="shared" si="22"/>
        <v>21.619999999999997</v>
      </c>
      <c r="AU5" s="41">
        <f t="shared" si="23"/>
        <v>59.84</v>
      </c>
      <c r="AV5" s="41">
        <f t="shared" si="24"/>
        <v>15.75</v>
      </c>
      <c r="AW5" s="41">
        <f t="shared" si="25"/>
        <v>16.28</v>
      </c>
      <c r="AX5" s="41">
        <f t="shared" si="26"/>
        <v>55.730000000000004</v>
      </c>
      <c r="AY5" s="41">
        <f t="shared" si="27"/>
        <v>115.57000000000001</v>
      </c>
      <c r="AZ5" s="27">
        <v>1.8</v>
      </c>
      <c r="BA5" s="27">
        <v>1</v>
      </c>
      <c r="BB5" s="27">
        <v>2</v>
      </c>
      <c r="BC5" s="27">
        <v>1.78</v>
      </c>
      <c r="BD5" s="27">
        <v>0</v>
      </c>
      <c r="BE5" s="27">
        <v>1.7</v>
      </c>
      <c r="BF5" s="27">
        <v>1</v>
      </c>
      <c r="BG5" s="27">
        <v>2</v>
      </c>
      <c r="BH5" s="27">
        <v>1.78</v>
      </c>
      <c r="BI5" s="27">
        <v>0</v>
      </c>
      <c r="BJ5" s="27"/>
      <c r="BK5" s="27"/>
      <c r="BL5" s="27"/>
      <c r="BM5" s="27"/>
      <c r="BN5" s="27"/>
      <c r="BO5" s="29"/>
      <c r="BP5" s="40">
        <f t="shared" si="28"/>
        <v>2</v>
      </c>
      <c r="BQ5" s="40">
        <f t="shared" si="29"/>
        <v>1.78</v>
      </c>
      <c r="BR5" s="11">
        <f t="shared" si="30"/>
        <v>6.58</v>
      </c>
      <c r="BS5" s="11">
        <f t="shared" si="31"/>
        <v>2</v>
      </c>
      <c r="BT5" s="11">
        <f t="shared" si="32"/>
        <v>1.78</v>
      </c>
      <c r="BU5" s="11">
        <f t="shared" si="33"/>
        <v>6.48</v>
      </c>
      <c r="BV5" s="11">
        <f t="shared" si="34"/>
        <v>6.58</v>
      </c>
      <c r="BW5" s="11" t="str">
        <f t="shared" si="35"/>
        <v/>
      </c>
      <c r="BX5" s="11" t="str">
        <f t="shared" si="36"/>
        <v/>
      </c>
      <c r="BY5" s="11" t="str">
        <f t="shared" si="37"/>
        <v/>
      </c>
      <c r="BZ5" s="11">
        <f t="shared" si="38"/>
        <v>6.58</v>
      </c>
      <c r="CA5" s="23">
        <v>11.5</v>
      </c>
      <c r="CB5" s="23">
        <v>5.7</v>
      </c>
      <c r="CC5" s="23">
        <v>11.8</v>
      </c>
      <c r="CD5" s="23">
        <v>11.85</v>
      </c>
      <c r="CE5" s="23">
        <v>0</v>
      </c>
      <c r="CF5" s="23">
        <v>16.5</v>
      </c>
      <c r="CG5" s="23">
        <v>9.1999999999999993</v>
      </c>
      <c r="CH5" s="23">
        <v>16.5</v>
      </c>
      <c r="CI5" s="23">
        <v>16.649999999999999</v>
      </c>
      <c r="CJ5" s="23">
        <v>0</v>
      </c>
      <c r="CK5" s="23">
        <v>16.2</v>
      </c>
      <c r="CL5" s="23">
        <v>8.3000000000000007</v>
      </c>
      <c r="CM5" s="23">
        <v>16.5</v>
      </c>
      <c r="CN5" s="23">
        <v>16.77</v>
      </c>
      <c r="CO5" s="23">
        <v>0</v>
      </c>
      <c r="CP5" s="28"/>
      <c r="CQ5" s="39">
        <f t="shared" si="39"/>
        <v>11.8</v>
      </c>
      <c r="CR5" s="39">
        <f t="shared" si="40"/>
        <v>11.85</v>
      </c>
      <c r="CS5" s="41">
        <f t="shared" si="41"/>
        <v>40.85</v>
      </c>
      <c r="CT5" s="41">
        <f t="shared" si="42"/>
        <v>16.5</v>
      </c>
      <c r="CU5" s="41">
        <f t="shared" si="43"/>
        <v>16.649999999999999</v>
      </c>
      <c r="CV5" s="41">
        <f t="shared" si="44"/>
        <v>58.85</v>
      </c>
      <c r="CW5" s="41">
        <f t="shared" si="45"/>
        <v>58.85</v>
      </c>
      <c r="CX5" s="41">
        <f t="shared" si="46"/>
        <v>16.5</v>
      </c>
      <c r="CY5" s="41">
        <f t="shared" si="47"/>
        <v>16.77</v>
      </c>
      <c r="CZ5" s="41">
        <f t="shared" si="48"/>
        <v>57.769999999999996</v>
      </c>
      <c r="DA5" s="41">
        <f t="shared" si="49"/>
        <v>116.62</v>
      </c>
      <c r="DB5" s="52">
        <f t="shared" si="50"/>
        <v>17.739999999999995</v>
      </c>
      <c r="DC5" s="52">
        <f t="shared" si="51"/>
        <v>1.0400000000000063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 t="shared" si="52"/>
        <v/>
      </c>
      <c r="DY5" s="41" t="str">
        <f t="shared" si="53"/>
        <v/>
      </c>
      <c r="DZ5" s="41" t="str">
        <f t="shared" si="54"/>
        <v/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 t="str">
        <f t="shared" si="58"/>
        <v/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 t="str">
        <f t="shared" si="65"/>
        <v/>
      </c>
      <c r="EL5" s="18">
        <v>16.399999999999999</v>
      </c>
      <c r="EM5" s="18">
        <v>8.6999999999999993</v>
      </c>
      <c r="EN5" s="18">
        <v>15.2</v>
      </c>
      <c r="EO5" s="18">
        <v>17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16.5</v>
      </c>
      <c r="FB5" s="18">
        <v>9.1999999999999993</v>
      </c>
      <c r="FC5" s="18">
        <v>15.6</v>
      </c>
      <c r="FD5" s="18">
        <v>17.16</v>
      </c>
      <c r="FE5" s="18">
        <v>0</v>
      </c>
      <c r="FF5" s="11">
        <f t="shared" si="66"/>
        <v>15.2</v>
      </c>
      <c r="FG5" s="11">
        <f t="shared" si="67"/>
        <v>17</v>
      </c>
      <c r="FH5" s="11">
        <f t="shared" si="68"/>
        <v>57.3</v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>
        <f t="shared" si="72"/>
        <v>57.3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>
        <f t="shared" si="76"/>
        <v>15.6</v>
      </c>
      <c r="FQ5" s="11">
        <f t="shared" si="77"/>
        <v>17.16</v>
      </c>
      <c r="FR5" s="11">
        <f t="shared" si="78"/>
        <v>58.459999999999994</v>
      </c>
      <c r="FS5" s="11">
        <f t="shared" si="79"/>
        <v>115.75999999999999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>
        <v>15.8</v>
      </c>
      <c r="GJ5" s="17">
        <v>8.6999999999999993</v>
      </c>
      <c r="GK5" s="17">
        <v>15.2</v>
      </c>
      <c r="GL5" s="17">
        <v>17.07</v>
      </c>
      <c r="GM5" s="17">
        <v>0</v>
      </c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>
        <f t="shared" si="90"/>
        <v>15.2</v>
      </c>
      <c r="GY5" s="41">
        <f t="shared" si="91"/>
        <v>17.07</v>
      </c>
      <c r="GZ5" s="41">
        <f t="shared" si="92"/>
        <v>56.77</v>
      </c>
      <c r="HA5" s="41">
        <f t="shared" si="93"/>
        <v>56.77</v>
      </c>
      <c r="HB5" s="18">
        <v>12.5</v>
      </c>
      <c r="HC5" s="18">
        <v>6.8</v>
      </c>
      <c r="HD5" s="18">
        <v>12.9</v>
      </c>
      <c r="HE5" s="18">
        <v>13.23</v>
      </c>
      <c r="HF5" s="18">
        <v>0</v>
      </c>
      <c r="HG5" s="18">
        <v>16.2</v>
      </c>
      <c r="HH5" s="18">
        <v>9.4</v>
      </c>
      <c r="HI5" s="18">
        <v>16.2</v>
      </c>
      <c r="HJ5" s="18">
        <v>16.79</v>
      </c>
      <c r="HK5" s="18">
        <v>0</v>
      </c>
      <c r="HL5" s="18">
        <v>16.399999999999999</v>
      </c>
      <c r="HM5" s="18">
        <v>9.4</v>
      </c>
      <c r="HN5" s="18">
        <v>16.2</v>
      </c>
      <c r="HO5" s="18">
        <v>16.809999999999999</v>
      </c>
      <c r="HP5" s="18">
        <v>0</v>
      </c>
      <c r="HQ5" s="18">
        <v>16.600000000000001</v>
      </c>
      <c r="HR5" s="18">
        <v>9.1999999999999993</v>
      </c>
      <c r="HS5" s="18">
        <v>16.2</v>
      </c>
      <c r="HT5" s="18">
        <v>16.77</v>
      </c>
      <c r="HU5" s="18">
        <v>0</v>
      </c>
      <c r="HV5" s="11">
        <f t="shared" si="94"/>
        <v>12.9</v>
      </c>
      <c r="HW5" s="11">
        <f t="shared" si="95"/>
        <v>13.23</v>
      </c>
      <c r="HX5" s="11">
        <f t="shared" si="96"/>
        <v>45.430000000000007</v>
      </c>
      <c r="HY5" s="11">
        <f t="shared" si="97"/>
        <v>16.2</v>
      </c>
      <c r="HZ5" s="11">
        <f t="shared" si="98"/>
        <v>16.79</v>
      </c>
      <c r="IA5" s="11">
        <f t="shared" si="99"/>
        <v>58.589999999999996</v>
      </c>
      <c r="IB5" s="11">
        <f t="shared" si="100"/>
        <v>58.589999999999996</v>
      </c>
      <c r="IC5" s="11">
        <f t="shared" si="101"/>
        <v>16.2</v>
      </c>
      <c r="ID5" s="11">
        <f t="shared" si="102"/>
        <v>16.809999999999999</v>
      </c>
      <c r="IE5" s="11">
        <f t="shared" si="103"/>
        <v>58.81</v>
      </c>
      <c r="IF5" s="11">
        <f t="shared" si="104"/>
        <v>16.2</v>
      </c>
      <c r="IG5" s="11">
        <f t="shared" si="105"/>
        <v>16.77</v>
      </c>
      <c r="IH5" s="11">
        <f t="shared" si="106"/>
        <v>58.769999999999996</v>
      </c>
      <c r="II5" s="11">
        <f t="shared" si="107"/>
        <v>176.17000000000002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 t="shared" si="108"/>
        <v/>
      </c>
      <c r="JE5" s="41" t="str">
        <f t="shared" si="109"/>
        <v/>
      </c>
      <c r="JF5" s="41" t="str">
        <f t="shared" si="110"/>
        <v/>
      </c>
      <c r="JG5" s="41" t="str">
        <f t="shared" si="111"/>
        <v/>
      </c>
      <c r="JH5" s="41" t="str">
        <f t="shared" si="112"/>
        <v/>
      </c>
      <c r="JI5" s="41" t="str">
        <f t="shared" si="113"/>
        <v/>
      </c>
      <c r="JJ5" s="41" t="str">
        <f t="shared" si="114"/>
        <v/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 t="str">
        <f t="shared" si="121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>
        <v>15.7</v>
      </c>
      <c r="LA5" s="17">
        <v>9.1</v>
      </c>
      <c r="LB5" s="17">
        <v>16.5</v>
      </c>
      <c r="LC5" s="17">
        <v>16.47</v>
      </c>
      <c r="LD5" s="17">
        <v>0</v>
      </c>
      <c r="LE5" s="17">
        <v>15.4</v>
      </c>
      <c r="LF5" s="17">
        <v>8.8000000000000007</v>
      </c>
      <c r="LG5" s="17">
        <v>16.5</v>
      </c>
      <c r="LH5" s="17">
        <v>16.48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 t="shared" si="136"/>
        <v>16.5</v>
      </c>
      <c r="LU5" s="41">
        <f t="shared" si="137"/>
        <v>16.47</v>
      </c>
      <c r="LV5" s="41">
        <f t="shared" si="138"/>
        <v>57.769999999999996</v>
      </c>
      <c r="LW5" s="41">
        <f t="shared" si="139"/>
        <v>16.5</v>
      </c>
      <c r="LX5" s="41">
        <f t="shared" si="140"/>
        <v>16.48</v>
      </c>
      <c r="LY5" s="41">
        <f t="shared" si="141"/>
        <v>57.180000000000007</v>
      </c>
      <c r="LZ5" s="41">
        <f t="shared" si="142"/>
        <v>57.769999999999996</v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>
        <f t="shared" si="149"/>
        <v>57.769999999999996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6.65</v>
      </c>
      <c r="SW5" s="23">
        <f t="shared" si="221"/>
        <v>3.35</v>
      </c>
      <c r="SX5" s="23">
        <f t="shared" si="222"/>
        <v>6.9</v>
      </c>
      <c r="SY5" s="23">
        <f t="shared" si="223"/>
        <v>6.8149999999999995</v>
      </c>
      <c r="SZ5" s="23">
        <f t="shared" si="224"/>
        <v>0</v>
      </c>
      <c r="TA5" s="23">
        <f t="shared" si="225"/>
        <v>9.1</v>
      </c>
      <c r="TB5" s="23">
        <f t="shared" si="226"/>
        <v>5.0999999999999996</v>
      </c>
      <c r="TC5" s="23">
        <f t="shared" si="227"/>
        <v>9.25</v>
      </c>
      <c r="TD5" s="23">
        <f t="shared" si="228"/>
        <v>9.2149999999999999</v>
      </c>
      <c r="TE5" s="23">
        <f t="shared" si="229"/>
        <v>0</v>
      </c>
      <c r="TF5" s="23">
        <f t="shared" si="230"/>
        <v>8.1</v>
      </c>
      <c r="TG5" s="23">
        <f t="shared" si="231"/>
        <v>4.1500000000000004</v>
      </c>
      <c r="TH5" s="23">
        <f t="shared" si="232"/>
        <v>8.25</v>
      </c>
      <c r="TI5" s="23">
        <f t="shared" si="233"/>
        <v>8.3849999999999998</v>
      </c>
      <c r="TJ5" s="23">
        <f t="shared" si="234"/>
        <v>0</v>
      </c>
      <c r="TK5" s="28" t="s">
        <v>57</v>
      </c>
      <c r="TL5" s="41">
        <f t="shared" si="235"/>
        <v>6.9</v>
      </c>
      <c r="TM5" s="41">
        <f t="shared" si="236"/>
        <v>6.8149999999999995</v>
      </c>
      <c r="TN5" s="41">
        <f t="shared" si="237"/>
        <v>23.714999999999996</v>
      </c>
      <c r="TO5" s="41">
        <f t="shared" si="238"/>
        <v>9.25</v>
      </c>
      <c r="TP5" s="41">
        <f t="shared" si="239"/>
        <v>9.2149999999999999</v>
      </c>
      <c r="TQ5" s="41">
        <f t="shared" si="240"/>
        <v>32.664999999999999</v>
      </c>
      <c r="TR5" s="41">
        <f t="shared" si="241"/>
        <v>32.664999999999999</v>
      </c>
      <c r="TS5" s="41">
        <f t="shared" si="242"/>
        <v>8.25</v>
      </c>
      <c r="TT5" s="41">
        <f t="shared" si="243"/>
        <v>8.3849999999999998</v>
      </c>
      <c r="TU5" s="41">
        <f t="shared" si="244"/>
        <v>28.884999999999998</v>
      </c>
      <c r="TV5" s="41">
        <f t="shared" si="245"/>
        <v>61.55</v>
      </c>
    </row>
    <row r="6" spans="1:542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4</v>
      </c>
      <c r="C6" s="4" t="s">
        <v>5</v>
      </c>
      <c r="D6" s="4">
        <v>1992</v>
      </c>
      <c r="E6" s="9">
        <f t="shared" si="0"/>
        <v>267.2200267220058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58.67</v>
      </c>
      <c r="K6" s="8" t="str">
        <f t="shared" si="5"/>
        <v>2023 Domestic 3rd Trial</v>
      </c>
      <c r="L6" s="8">
        <f>IF(COUNT(AQ6,AT6,BR6,BU6,CS6,CV6)&gt;1,LARGE((AQ6,AT6,BR6,BU6,CS6,CV6),2),0)</f>
        <v>58.295000000000002</v>
      </c>
      <c r="M6" s="8" t="str">
        <f t="shared" si="6"/>
        <v>2023 Elite Canada</v>
      </c>
      <c r="N6" s="8">
        <f>IF(COUNT(AQ6,AT6,BR6,BU6,CS6,CV6)&gt;2,LARGE((AQ6,AT6,BR6,BU6,CS6,CV6),3),0)</f>
        <v>58.25</v>
      </c>
      <c r="O6" s="8" t="str">
        <f t="shared" si="7"/>
        <v>2023 Nationals</v>
      </c>
      <c r="P6" s="8">
        <f t="shared" si="8"/>
        <v>58.160000000000004</v>
      </c>
      <c r="Q6" s="8" t="str">
        <f t="shared" si="9"/>
        <v>2023 Elite Canada</v>
      </c>
      <c r="R6" s="8">
        <f t="shared" si="10"/>
        <v>17.100000000000001</v>
      </c>
      <c r="S6" s="8" t="str">
        <f t="shared" si="11"/>
        <v>2023 Domestic 3rd Trial</v>
      </c>
      <c r="T6" s="8">
        <f t="shared" si="12"/>
        <v>16.745000000000001</v>
      </c>
      <c r="U6" s="8" t="str">
        <f t="shared" si="13"/>
        <v>2023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 t="shared" si="17"/>
        <v>16.149999999999999</v>
      </c>
      <c r="AP6" s="39">
        <f t="shared" si="18"/>
        <v>16.745000000000001</v>
      </c>
      <c r="AQ6" s="41">
        <f t="shared" si="19"/>
        <v>58.295000000000002</v>
      </c>
      <c r="AR6" s="41">
        <f t="shared" si="20"/>
        <v>16.3</v>
      </c>
      <c r="AS6" s="41">
        <f t="shared" si="21"/>
        <v>16.125</v>
      </c>
      <c r="AT6" s="41">
        <f t="shared" si="22"/>
        <v>57.075000000000003</v>
      </c>
      <c r="AU6" s="41">
        <f t="shared" si="23"/>
        <v>58.295000000000002</v>
      </c>
      <c r="AV6" s="41">
        <f t="shared" si="24"/>
        <v>16.25</v>
      </c>
      <c r="AW6" s="41">
        <f t="shared" si="25"/>
        <v>16.259999999999998</v>
      </c>
      <c r="AX6" s="41">
        <f t="shared" si="26"/>
        <v>58.160000000000004</v>
      </c>
      <c r="AY6" s="41">
        <f t="shared" si="27"/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 t="shared" si="28"/>
        <v>8</v>
      </c>
      <c r="BQ6" s="40">
        <f t="shared" si="29"/>
        <v>8.58</v>
      </c>
      <c r="BR6" s="11">
        <f t="shared" si="30"/>
        <v>30.18</v>
      </c>
      <c r="BS6" s="11">
        <f t="shared" si="31"/>
        <v>15.2</v>
      </c>
      <c r="BT6" s="11">
        <f t="shared" si="32"/>
        <v>16.45</v>
      </c>
      <c r="BU6" s="11">
        <f t="shared" si="33"/>
        <v>58.25</v>
      </c>
      <c r="BV6" s="11">
        <f t="shared" si="34"/>
        <v>58.25</v>
      </c>
      <c r="BW6" s="11">
        <f t="shared" si="35"/>
        <v>2</v>
      </c>
      <c r="BX6" s="11">
        <f t="shared" si="36"/>
        <v>1.82</v>
      </c>
      <c r="BY6" s="11">
        <f t="shared" si="37"/>
        <v>6.7200000000000006</v>
      </c>
      <c r="BZ6" s="11">
        <f t="shared" si="38"/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 t="shared" si="39"/>
        <v>17.100000000000001</v>
      </c>
      <c r="CR6" s="39">
        <f t="shared" si="40"/>
        <v>16.57</v>
      </c>
      <c r="CS6" s="41">
        <f t="shared" si="41"/>
        <v>58.67</v>
      </c>
      <c r="CT6" s="41">
        <f t="shared" si="42"/>
        <v>16.899999999999999</v>
      </c>
      <c r="CU6" s="41">
        <f t="shared" si="43"/>
        <v>16.190000000000001</v>
      </c>
      <c r="CV6" s="41">
        <f t="shared" si="44"/>
        <v>57.59</v>
      </c>
      <c r="CW6" s="41">
        <f t="shared" si="45"/>
        <v>58.67</v>
      </c>
      <c r="CX6" s="41">
        <f t="shared" si="46"/>
        <v>17.100000000000001</v>
      </c>
      <c r="CY6" s="41">
        <f t="shared" si="47"/>
        <v>16.61</v>
      </c>
      <c r="CZ6" s="41">
        <f t="shared" si="48"/>
        <v>57.809999999999995</v>
      </c>
      <c r="DA6" s="41">
        <f t="shared" si="49"/>
        <v>116.47999999999999</v>
      </c>
      <c r="DB6" s="52" t="str">
        <f t="shared" si="50"/>
        <v/>
      </c>
      <c r="DC6" s="52" t="str">
        <f t="shared" si="51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 t="shared" si="52"/>
        <v/>
      </c>
      <c r="DY6" s="41" t="str">
        <f t="shared" si="53"/>
        <v/>
      </c>
      <c r="DZ6" s="41" t="str">
        <f t="shared" si="54"/>
        <v/>
      </c>
      <c r="EA6" s="41" t="str">
        <f t="shared" si="55"/>
        <v/>
      </c>
      <c r="EB6" s="41" t="str">
        <f t="shared" si="56"/>
        <v/>
      </c>
      <c r="EC6" s="41" t="str">
        <f t="shared" si="57"/>
        <v/>
      </c>
      <c r="ED6" s="41" t="str">
        <f t="shared" si="58"/>
        <v/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 t="str">
        <f t="shared" si="65"/>
        <v/>
      </c>
      <c r="EL6" s="18">
        <v>14.5</v>
      </c>
      <c r="EM6" s="18">
        <v>8.5</v>
      </c>
      <c r="EN6" s="18">
        <v>13.2</v>
      </c>
      <c r="EO6" s="18">
        <v>15.64</v>
      </c>
      <c r="EP6" s="18">
        <v>0</v>
      </c>
      <c r="EQ6" s="18">
        <v>15.9</v>
      </c>
      <c r="ER6" s="18">
        <v>9.1999999999999993</v>
      </c>
      <c r="ES6" s="18">
        <v>15</v>
      </c>
      <c r="ET6" s="18">
        <v>15.96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13.2</v>
      </c>
      <c r="FG6" s="11">
        <f t="shared" si="67"/>
        <v>15.64</v>
      </c>
      <c r="FH6" s="11">
        <f t="shared" si="68"/>
        <v>51.84</v>
      </c>
      <c r="FI6" s="11">
        <f t="shared" si="69"/>
        <v>15</v>
      </c>
      <c r="FJ6" s="11">
        <f t="shared" si="70"/>
        <v>15.96</v>
      </c>
      <c r="FK6" s="11">
        <f t="shared" si="71"/>
        <v>56.06</v>
      </c>
      <c r="FL6" s="11">
        <f t="shared" si="72"/>
        <v>56.06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56.06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>
        <v>16.399999999999999</v>
      </c>
      <c r="GJ6" s="17">
        <v>9.8000000000000007</v>
      </c>
      <c r="GK6" s="17">
        <v>15.2</v>
      </c>
      <c r="GL6" s="17">
        <v>16.190000000000001</v>
      </c>
      <c r="GM6" s="17">
        <v>0</v>
      </c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>
        <f t="shared" si="90"/>
        <v>15.2</v>
      </c>
      <c r="GY6" s="41">
        <f t="shared" si="91"/>
        <v>16.190000000000001</v>
      </c>
      <c r="GZ6" s="41">
        <f t="shared" si="92"/>
        <v>57.59</v>
      </c>
      <c r="HA6" s="41">
        <f t="shared" si="93"/>
        <v>57.59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9.4</v>
      </c>
      <c r="IK6" s="17">
        <v>5.5</v>
      </c>
      <c r="IL6" s="17">
        <v>10.1</v>
      </c>
      <c r="IM6" s="17">
        <v>9.9600000000000009</v>
      </c>
      <c r="IN6" s="17">
        <v>0</v>
      </c>
      <c r="IO6" s="17">
        <v>12.7</v>
      </c>
      <c r="IP6" s="17">
        <v>7.5</v>
      </c>
      <c r="IQ6" s="17">
        <v>13</v>
      </c>
      <c r="IR6" s="17">
        <v>13.39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 t="shared" si="108"/>
        <v>10.1</v>
      </c>
      <c r="JE6" s="41">
        <f t="shared" si="109"/>
        <v>9.9600000000000009</v>
      </c>
      <c r="JF6" s="41">
        <f t="shared" si="110"/>
        <v>34.96</v>
      </c>
      <c r="JG6" s="41">
        <f t="shared" si="111"/>
        <v>13</v>
      </c>
      <c r="JH6" s="41">
        <f t="shared" si="112"/>
        <v>13.39</v>
      </c>
      <c r="JI6" s="41">
        <f t="shared" si="113"/>
        <v>46.59</v>
      </c>
      <c r="JJ6" s="41">
        <f t="shared" si="114"/>
        <v>46.59</v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46.59</v>
      </c>
      <c r="JR6" s="18">
        <v>11.2</v>
      </c>
      <c r="JS6" s="18">
        <v>7.1</v>
      </c>
      <c r="JT6" s="18">
        <v>12.6</v>
      </c>
      <c r="JU6" s="18">
        <v>13.01</v>
      </c>
      <c r="JV6" s="18">
        <v>0</v>
      </c>
      <c r="JW6" s="18">
        <v>14.3</v>
      </c>
      <c r="JX6" s="18">
        <v>9.3000000000000007</v>
      </c>
      <c r="JY6" s="18">
        <v>16.100000000000001</v>
      </c>
      <c r="JZ6" s="18">
        <v>16.12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 t="shared" si="122"/>
        <v>12.6</v>
      </c>
      <c r="KM6" s="11">
        <f t="shared" si="123"/>
        <v>13.01</v>
      </c>
      <c r="KN6" s="11">
        <f t="shared" si="124"/>
        <v>43.91</v>
      </c>
      <c r="KO6" s="11">
        <f t="shared" si="125"/>
        <v>16.100000000000001</v>
      </c>
      <c r="KP6" s="11">
        <f t="shared" si="126"/>
        <v>16.12</v>
      </c>
      <c r="KQ6" s="11">
        <f t="shared" si="127"/>
        <v>55.820000000000007</v>
      </c>
      <c r="KR6" s="11">
        <f t="shared" si="128"/>
        <v>55.820000000000007</v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55.820000000000007</v>
      </c>
      <c r="KZ6" s="17">
        <v>13.7</v>
      </c>
      <c r="LA6" s="17">
        <v>9.1999999999999993</v>
      </c>
      <c r="LB6" s="17">
        <v>16.3</v>
      </c>
      <c r="LC6" s="17">
        <v>16.02</v>
      </c>
      <c r="LD6" s="17">
        <v>0</v>
      </c>
      <c r="LE6" s="17">
        <v>3</v>
      </c>
      <c r="LF6" s="17">
        <v>1.6</v>
      </c>
      <c r="LG6" s="17">
        <v>3.6</v>
      </c>
      <c r="LH6" s="17">
        <v>3.57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 t="shared" si="136"/>
        <v>16.3</v>
      </c>
      <c r="LU6" s="41">
        <f t="shared" si="137"/>
        <v>16.02</v>
      </c>
      <c r="LV6" s="41">
        <f t="shared" si="138"/>
        <v>55.22</v>
      </c>
      <c r="LW6" s="41">
        <f t="shared" si="139"/>
        <v>3.6</v>
      </c>
      <c r="LX6" s="41">
        <f t="shared" si="140"/>
        <v>3.57</v>
      </c>
      <c r="LY6" s="41">
        <f t="shared" si="141"/>
        <v>11.77</v>
      </c>
      <c r="LZ6" s="41">
        <f t="shared" si="142"/>
        <v>55.22</v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>
        <f t="shared" si="149"/>
        <v>55.22</v>
      </c>
      <c r="MH6" s="18">
        <v>12.4</v>
      </c>
      <c r="MI6" s="18">
        <v>7.5</v>
      </c>
      <c r="MJ6" s="18">
        <v>12.8</v>
      </c>
      <c r="MK6" s="18">
        <v>13.26</v>
      </c>
      <c r="ML6" s="18">
        <v>0</v>
      </c>
      <c r="MM6" s="18">
        <v>15.4</v>
      </c>
      <c r="MN6" s="18">
        <v>9</v>
      </c>
      <c r="MO6" s="18">
        <v>16.5</v>
      </c>
      <c r="MP6" s="18">
        <v>16.48</v>
      </c>
      <c r="MQ6" s="18">
        <v>0</v>
      </c>
      <c r="MR6" s="18"/>
      <c r="MS6" s="18"/>
      <c r="MT6" s="18"/>
      <c r="MU6" s="18"/>
      <c r="MV6" s="18"/>
      <c r="MW6" s="18">
        <v>3.1</v>
      </c>
      <c r="MX6" s="18">
        <v>1.9</v>
      </c>
      <c r="MY6" s="18">
        <v>3.6</v>
      </c>
      <c r="MZ6" s="18">
        <v>3.52</v>
      </c>
      <c r="NA6" s="18">
        <v>0</v>
      </c>
      <c r="NB6" s="11">
        <f t="shared" si="150"/>
        <v>12.8</v>
      </c>
      <c r="NC6" s="11">
        <f t="shared" si="151"/>
        <v>13.26</v>
      </c>
      <c r="ND6" s="11">
        <f t="shared" si="152"/>
        <v>45.96</v>
      </c>
      <c r="NE6" s="11">
        <f t="shared" si="153"/>
        <v>16.5</v>
      </c>
      <c r="NF6" s="11">
        <f t="shared" si="154"/>
        <v>16.48</v>
      </c>
      <c r="NG6" s="11">
        <f t="shared" si="155"/>
        <v>57.379999999999995</v>
      </c>
      <c r="NH6" s="11">
        <f t="shared" si="156"/>
        <v>57.379999999999995</v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>
        <f t="shared" si="160"/>
        <v>3.6</v>
      </c>
      <c r="NM6" s="11">
        <f t="shared" si="161"/>
        <v>3.52</v>
      </c>
      <c r="NN6" s="11">
        <f t="shared" si="162"/>
        <v>12.12</v>
      </c>
      <c r="NO6" s="11">
        <f t="shared" si="163"/>
        <v>69.5</v>
      </c>
      <c r="NP6" s="17">
        <v>7.5</v>
      </c>
      <c r="NQ6" s="17">
        <v>4.5999999999999996</v>
      </c>
      <c r="NR6" s="17">
        <v>9.1</v>
      </c>
      <c r="NS6" s="17">
        <v>8.56</v>
      </c>
      <c r="NT6" s="17">
        <v>0</v>
      </c>
      <c r="NU6" s="17">
        <v>14.7</v>
      </c>
      <c r="NV6" s="17">
        <v>9.5</v>
      </c>
      <c r="NW6" s="17">
        <v>17.100000000000001</v>
      </c>
      <c r="NX6" s="17">
        <v>16.260000000000002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 t="shared" si="164"/>
        <v>9.1</v>
      </c>
      <c r="OK6" s="41">
        <f t="shared" si="165"/>
        <v>8.56</v>
      </c>
      <c r="OL6" s="41">
        <f t="shared" si="166"/>
        <v>29.759999999999998</v>
      </c>
      <c r="OM6" s="41">
        <f t="shared" si="167"/>
        <v>17.100000000000001</v>
      </c>
      <c r="ON6" s="41">
        <f t="shared" si="168"/>
        <v>16.260000000000002</v>
      </c>
      <c r="OO6" s="41">
        <f t="shared" si="169"/>
        <v>57.56</v>
      </c>
      <c r="OP6" s="41">
        <f t="shared" si="170"/>
        <v>57.56</v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>
        <f t="shared" si="177"/>
        <v>57.56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>
        <v>11.2</v>
      </c>
      <c r="PN6" s="18">
        <v>6.4</v>
      </c>
      <c r="PO6" s="18">
        <v>11.4</v>
      </c>
      <c r="PP6" s="18">
        <v>11.89</v>
      </c>
      <c r="PQ6" s="18">
        <v>0</v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>
        <f t="shared" si="188"/>
        <v>11.4</v>
      </c>
      <c r="QC6" s="11">
        <f t="shared" si="189"/>
        <v>11.89</v>
      </c>
      <c r="QD6" s="11">
        <f t="shared" si="190"/>
        <v>40.89</v>
      </c>
      <c r="QE6" s="11">
        <f t="shared" si="191"/>
        <v>40.89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12.25</v>
      </c>
      <c r="SW6" s="23">
        <f t="shared" si="221"/>
        <v>7.0500000000000007</v>
      </c>
      <c r="SX6" s="23">
        <f t="shared" si="222"/>
        <v>12.55</v>
      </c>
      <c r="SY6" s="23">
        <f t="shared" si="223"/>
        <v>12.574999999999999</v>
      </c>
      <c r="SZ6" s="23">
        <f t="shared" si="224"/>
        <v>0</v>
      </c>
      <c r="TA6" s="23">
        <f t="shared" si="225"/>
        <v>16.100000000000001</v>
      </c>
      <c r="TB6" s="23">
        <f t="shared" si="226"/>
        <v>9.4499999999999993</v>
      </c>
      <c r="TC6" s="23">
        <f t="shared" si="227"/>
        <v>16.049999999999997</v>
      </c>
      <c r="TD6" s="23">
        <f t="shared" si="228"/>
        <v>16.32</v>
      </c>
      <c r="TE6" s="23">
        <f t="shared" si="229"/>
        <v>0</v>
      </c>
      <c r="TF6" s="23">
        <f t="shared" si="230"/>
        <v>8.5499999999999989</v>
      </c>
      <c r="TG6" s="23">
        <f t="shared" si="231"/>
        <v>5.05</v>
      </c>
      <c r="TH6" s="23">
        <f t="shared" si="232"/>
        <v>9.5500000000000007</v>
      </c>
      <c r="TI6" s="23">
        <f t="shared" si="233"/>
        <v>9.2149999999999999</v>
      </c>
      <c r="TJ6" s="23">
        <f t="shared" si="234"/>
        <v>0.1</v>
      </c>
      <c r="TK6" s="28" t="s">
        <v>57</v>
      </c>
      <c r="TL6" s="41">
        <f t="shared" si="235"/>
        <v>12.55</v>
      </c>
      <c r="TM6" s="41">
        <f t="shared" si="236"/>
        <v>12.574999999999999</v>
      </c>
      <c r="TN6" s="41">
        <f t="shared" si="237"/>
        <v>44.424999999999997</v>
      </c>
      <c r="TO6" s="41">
        <f t="shared" si="238"/>
        <v>16.049999999999997</v>
      </c>
      <c r="TP6" s="41">
        <f t="shared" si="239"/>
        <v>16.32</v>
      </c>
      <c r="TQ6" s="41">
        <f t="shared" si="240"/>
        <v>57.919999999999995</v>
      </c>
      <c r="TR6" s="41">
        <f t="shared" si="241"/>
        <v>57.919999999999995</v>
      </c>
      <c r="TS6" s="41">
        <f t="shared" si="242"/>
        <v>9.5500000000000007</v>
      </c>
      <c r="TT6" s="41">
        <f t="shared" si="243"/>
        <v>9.2149999999999999</v>
      </c>
      <c r="TU6" s="41">
        <f t="shared" si="244"/>
        <v>32.264999999999993</v>
      </c>
      <c r="TV6" s="41">
        <f t="shared" si="245"/>
        <v>90.184999999999988</v>
      </c>
    </row>
    <row r="7" spans="1:542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7</v>
      </c>
      <c r="C7" s="4" t="s">
        <v>3</v>
      </c>
      <c r="D7" s="4">
        <v>1997</v>
      </c>
      <c r="E7" s="9">
        <f t="shared" si="0"/>
        <v>259.61002590400579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58.109999999999992</v>
      </c>
      <c r="K7" s="8" t="str">
        <f t="shared" si="5"/>
        <v>2023 Domestic 3rd Trial</v>
      </c>
      <c r="L7" s="8">
        <f>IF(COUNT(AQ7,AT7,BR7,BU7,CS7,CV7)&gt;1,LARGE((AQ7,AT7,BR7,BU7,CS7,CV7),2),0)</f>
        <v>55.940000000000005</v>
      </c>
      <c r="M7" s="8" t="str">
        <f t="shared" si="6"/>
        <v>2023 Domestic 3rd Trial</v>
      </c>
      <c r="N7" s="8">
        <f>IF(COUNT(AQ7,AT7,BR7,BU7,CS7,CV7)&gt;2,LARGE((AQ7,AT7,BR7,BU7,CS7,CV7),3),0)</f>
        <v>55.5</v>
      </c>
      <c r="O7" s="8" t="str">
        <f t="shared" si="7"/>
        <v>2023 Nationals</v>
      </c>
      <c r="P7" s="8">
        <f t="shared" si="8"/>
        <v>56.580000000000005</v>
      </c>
      <c r="Q7" s="8" t="str">
        <f t="shared" si="9"/>
        <v>2023 Elite Canada</v>
      </c>
      <c r="R7" s="8">
        <f t="shared" si="10"/>
        <v>16.2</v>
      </c>
      <c r="S7" s="8" t="str">
        <f t="shared" si="11"/>
        <v>2023 Domestic 3rd Trial</v>
      </c>
      <c r="T7" s="8">
        <f t="shared" si="12"/>
        <v>16.71</v>
      </c>
      <c r="U7" s="8" t="str">
        <f t="shared" si="13"/>
        <v>2023 Domestic 3rd Trial</v>
      </c>
      <c r="V7" s="8">
        <f t="shared" si="14"/>
        <v>0.57000000000000028</v>
      </c>
      <c r="W7" s="11" t="str">
        <f t="shared" si="15"/>
        <v>(Prelim)</v>
      </c>
      <c r="X7" s="8" t="str">
        <f t="shared" si="16"/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 t="shared" si="17"/>
        <v>15.6</v>
      </c>
      <c r="AP7" s="39">
        <f t="shared" si="18"/>
        <v>15.38</v>
      </c>
      <c r="AQ7" s="41">
        <f t="shared" si="19"/>
        <v>54.080000000000005</v>
      </c>
      <c r="AR7" s="41">
        <f t="shared" si="20"/>
        <v>3.8</v>
      </c>
      <c r="AS7" s="41">
        <f t="shared" si="21"/>
        <v>3.38</v>
      </c>
      <c r="AT7" s="41">
        <f t="shared" si="22"/>
        <v>27.779999999999998</v>
      </c>
      <c r="AU7" s="41">
        <f t="shared" si="23"/>
        <v>54.080000000000005</v>
      </c>
      <c r="AV7" s="41">
        <f t="shared" si="24"/>
        <v>16.2</v>
      </c>
      <c r="AW7" s="41">
        <f t="shared" si="25"/>
        <v>15.88</v>
      </c>
      <c r="AX7" s="41">
        <f t="shared" si="26"/>
        <v>56.580000000000005</v>
      </c>
      <c r="AY7" s="41">
        <f t="shared" si="27"/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 t="shared" si="28"/>
        <v>16.2</v>
      </c>
      <c r="BQ7" s="40">
        <f t="shared" si="29"/>
        <v>15.8</v>
      </c>
      <c r="BR7" s="11">
        <f t="shared" si="30"/>
        <v>55.5</v>
      </c>
      <c r="BS7" s="11">
        <f t="shared" si="31"/>
        <v>2</v>
      </c>
      <c r="BT7" s="11">
        <f t="shared" si="32"/>
        <v>1.76</v>
      </c>
      <c r="BU7" s="11">
        <f t="shared" si="33"/>
        <v>5.9599999999999991</v>
      </c>
      <c r="BV7" s="11">
        <f t="shared" si="34"/>
        <v>55.5</v>
      </c>
      <c r="BW7" s="11" t="str">
        <f t="shared" si="35"/>
        <v/>
      </c>
      <c r="BX7" s="11" t="str">
        <f t="shared" si="36"/>
        <v/>
      </c>
      <c r="BY7" s="11" t="str">
        <f t="shared" si="37"/>
        <v/>
      </c>
      <c r="BZ7" s="11">
        <f t="shared" si="38"/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 t="shared" si="39"/>
        <v>16.100000000000001</v>
      </c>
      <c r="CR7" s="39">
        <f t="shared" si="40"/>
        <v>15.74</v>
      </c>
      <c r="CS7" s="41">
        <f t="shared" si="41"/>
        <v>55.940000000000005</v>
      </c>
      <c r="CT7" s="41">
        <f t="shared" si="42"/>
        <v>16.2</v>
      </c>
      <c r="CU7" s="41">
        <f t="shared" si="43"/>
        <v>16.71</v>
      </c>
      <c r="CV7" s="41">
        <f t="shared" si="44"/>
        <v>58.109999999999992</v>
      </c>
      <c r="CW7" s="41">
        <f t="shared" si="45"/>
        <v>58.109999999999992</v>
      </c>
      <c r="CX7" s="41">
        <f t="shared" si="46"/>
        <v>5.6</v>
      </c>
      <c r="CY7" s="41">
        <f t="shared" si="47"/>
        <v>5.13</v>
      </c>
      <c r="CZ7" s="41">
        <f t="shared" si="48"/>
        <v>17.53</v>
      </c>
      <c r="DA7" s="41">
        <f t="shared" si="49"/>
        <v>75.639999999999986</v>
      </c>
      <c r="DB7" s="52">
        <f t="shared" si="50"/>
        <v>0.57000000000000028</v>
      </c>
      <c r="DC7" s="52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>
        <v>9</v>
      </c>
      <c r="EM7" s="18">
        <v>5.7</v>
      </c>
      <c r="EN7" s="18">
        <v>10</v>
      </c>
      <c r="EO7" s="18">
        <v>9.76</v>
      </c>
      <c r="EP7" s="18">
        <v>0</v>
      </c>
      <c r="EQ7" s="18">
        <v>14</v>
      </c>
      <c r="ER7" s="18">
        <v>9.5</v>
      </c>
      <c r="ES7" s="18">
        <v>16.2</v>
      </c>
      <c r="ET7" s="18">
        <v>15.34</v>
      </c>
      <c r="EU7" s="18">
        <v>0.2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 t="shared" si="66"/>
        <v>10</v>
      </c>
      <c r="FG7" s="11">
        <f t="shared" si="67"/>
        <v>9.76</v>
      </c>
      <c r="FH7" s="11">
        <f t="shared" si="68"/>
        <v>34.46</v>
      </c>
      <c r="FI7" s="11">
        <f t="shared" si="69"/>
        <v>16.2</v>
      </c>
      <c r="FJ7" s="11">
        <f t="shared" si="70"/>
        <v>15.34</v>
      </c>
      <c r="FK7" s="11">
        <f t="shared" si="71"/>
        <v>54.84</v>
      </c>
      <c r="FL7" s="11">
        <f t="shared" si="72"/>
        <v>54.84</v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>
        <f t="shared" si="79"/>
        <v>54.84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>
        <v>2.8</v>
      </c>
      <c r="HC7" s="18">
        <v>1.8</v>
      </c>
      <c r="HD7" s="18">
        <v>3.8</v>
      </c>
      <c r="HE7" s="18">
        <v>3.46</v>
      </c>
      <c r="HF7" s="18">
        <v>0</v>
      </c>
      <c r="HG7" s="18">
        <v>13.9</v>
      </c>
      <c r="HH7" s="18">
        <v>9.1999999999999993</v>
      </c>
      <c r="HI7" s="18">
        <v>15.8</v>
      </c>
      <c r="HJ7" s="18">
        <v>15.57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 t="shared" si="94"/>
        <v>3.8</v>
      </c>
      <c r="HW7" s="11">
        <f t="shared" si="95"/>
        <v>3.46</v>
      </c>
      <c r="HX7" s="11">
        <f t="shared" si="96"/>
        <v>11.86</v>
      </c>
      <c r="HY7" s="11">
        <f t="shared" si="97"/>
        <v>15.8</v>
      </c>
      <c r="HZ7" s="11">
        <f t="shared" si="98"/>
        <v>15.57</v>
      </c>
      <c r="IA7" s="11">
        <f t="shared" si="99"/>
        <v>54.470000000000006</v>
      </c>
      <c r="IB7" s="11">
        <f t="shared" si="100"/>
        <v>54.470000000000006</v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>
        <f t="shared" si="107"/>
        <v>54.470000000000006</v>
      </c>
      <c r="IJ7" s="17">
        <v>14.4</v>
      </c>
      <c r="IK7" s="17">
        <v>9.4</v>
      </c>
      <c r="IL7" s="17">
        <v>16.2</v>
      </c>
      <c r="IM7" s="17">
        <v>16.07</v>
      </c>
      <c r="IN7" s="17">
        <v>0</v>
      </c>
      <c r="IO7" s="17">
        <v>13.6</v>
      </c>
      <c r="IP7" s="17">
        <v>9.1</v>
      </c>
      <c r="IQ7" s="17">
        <v>15.8</v>
      </c>
      <c r="IR7" s="17">
        <v>15.28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16.2</v>
      </c>
      <c r="JE7" s="41">
        <f t="shared" si="109"/>
        <v>16.07</v>
      </c>
      <c r="JF7" s="41">
        <f t="shared" si="110"/>
        <v>56.07</v>
      </c>
      <c r="JG7" s="41">
        <f t="shared" si="111"/>
        <v>15.8</v>
      </c>
      <c r="JH7" s="41">
        <f t="shared" si="112"/>
        <v>15.28</v>
      </c>
      <c r="JI7" s="41">
        <f t="shared" si="113"/>
        <v>53.78</v>
      </c>
      <c r="JJ7" s="41">
        <f t="shared" si="114"/>
        <v>56.07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56.07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>
        <v>1.6</v>
      </c>
      <c r="NQ7" s="17">
        <v>1</v>
      </c>
      <c r="NR7" s="17">
        <v>2</v>
      </c>
      <c r="NS7" s="17">
        <v>1.74</v>
      </c>
      <c r="NT7" s="17">
        <v>0</v>
      </c>
      <c r="NU7" s="17">
        <v>6.8</v>
      </c>
      <c r="NV7" s="17">
        <v>4.5</v>
      </c>
      <c r="NW7" s="17">
        <v>8.6</v>
      </c>
      <c r="NX7" s="17">
        <v>8.23</v>
      </c>
      <c r="NY7" s="17">
        <v>0</v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>
        <f t="shared" si="164"/>
        <v>2</v>
      </c>
      <c r="OK7" s="41">
        <f t="shared" si="165"/>
        <v>1.74</v>
      </c>
      <c r="OL7" s="41">
        <f t="shared" si="166"/>
        <v>6.34</v>
      </c>
      <c r="OM7" s="41">
        <f t="shared" si="167"/>
        <v>8.6</v>
      </c>
      <c r="ON7" s="41">
        <f t="shared" si="168"/>
        <v>8.23</v>
      </c>
      <c r="OO7" s="41">
        <f t="shared" si="169"/>
        <v>28.13</v>
      </c>
      <c r="OP7" s="41">
        <f t="shared" si="170"/>
        <v>28.13</v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>
        <f t="shared" si="177"/>
        <v>28.13</v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14.649999999999999</v>
      </c>
      <c r="SW7" s="23">
        <f t="shared" si="221"/>
        <v>9.15</v>
      </c>
      <c r="SX7" s="23">
        <f t="shared" si="222"/>
        <v>16.149999999999999</v>
      </c>
      <c r="SY7" s="23">
        <f t="shared" si="223"/>
        <v>15.77</v>
      </c>
      <c r="SZ7" s="23">
        <f t="shared" si="224"/>
        <v>0</v>
      </c>
      <c r="TA7" s="23">
        <f t="shared" si="225"/>
        <v>8.6</v>
      </c>
      <c r="TB7" s="23">
        <f t="shared" si="226"/>
        <v>5.4</v>
      </c>
      <c r="TC7" s="23">
        <f t="shared" si="227"/>
        <v>9.1</v>
      </c>
      <c r="TD7" s="23">
        <f t="shared" si="228"/>
        <v>9.2350000000000012</v>
      </c>
      <c r="TE7" s="23">
        <f t="shared" si="229"/>
        <v>0.30000000000000004</v>
      </c>
      <c r="TF7" s="23">
        <f t="shared" si="230"/>
        <v>2.1</v>
      </c>
      <c r="TG7" s="23">
        <f t="shared" si="231"/>
        <v>1.3</v>
      </c>
      <c r="TH7" s="23">
        <f t="shared" si="232"/>
        <v>2.8</v>
      </c>
      <c r="TI7" s="23">
        <f t="shared" si="233"/>
        <v>2.5649999999999999</v>
      </c>
      <c r="TJ7" s="23">
        <f t="shared" si="234"/>
        <v>0</v>
      </c>
      <c r="TK7" s="28" t="s">
        <v>57</v>
      </c>
      <c r="TL7" s="41">
        <f t="shared" si="235"/>
        <v>16.149999999999999</v>
      </c>
      <c r="TM7" s="41">
        <f t="shared" si="236"/>
        <v>15.77</v>
      </c>
      <c r="TN7" s="41">
        <f t="shared" si="237"/>
        <v>55.72</v>
      </c>
      <c r="TO7" s="41">
        <f t="shared" si="238"/>
        <v>9.1</v>
      </c>
      <c r="TP7" s="41">
        <f t="shared" si="239"/>
        <v>9.2350000000000012</v>
      </c>
      <c r="TQ7" s="41">
        <f t="shared" si="240"/>
        <v>32.035000000000004</v>
      </c>
      <c r="TR7" s="41">
        <f t="shared" si="241"/>
        <v>55.72</v>
      </c>
      <c r="TS7" s="41">
        <f t="shared" si="242"/>
        <v>2.8</v>
      </c>
      <c r="TT7" s="41">
        <f t="shared" si="243"/>
        <v>2.5649999999999999</v>
      </c>
      <c r="TU7" s="41">
        <f t="shared" si="244"/>
        <v>8.7650000000000006</v>
      </c>
      <c r="TV7" s="41">
        <f t="shared" si="245"/>
        <v>64.484999999999999</v>
      </c>
    </row>
    <row r="8" spans="1:542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90</v>
      </c>
      <c r="C8" s="4" t="s">
        <v>6</v>
      </c>
      <c r="D8" s="4">
        <v>2003</v>
      </c>
      <c r="E8" s="9">
        <f t="shared" si="0"/>
        <v>254.92002522100555</v>
      </c>
      <c r="F8" s="3" t="str">
        <f t="shared" si="1"/>
        <v>P</v>
      </c>
      <c r="G8" s="3" t="str">
        <f t="shared" si="2"/>
        <v>P</v>
      </c>
      <c r="H8" s="37" t="str">
        <f t="shared" si="3"/>
        <v>Worlds Team</v>
      </c>
      <c r="I8" s="3" t="str">
        <f t="shared" si="4"/>
        <v>P</v>
      </c>
      <c r="J8" s="8">
        <f>IF(COUNT(AQ8,AT8,BR8,BU8,CS8,CV8)&gt;0,LARGE((AQ8,AT8,BR8,BU8,CS8,CV8),1),0)</f>
        <v>55.540000000000006</v>
      </c>
      <c r="K8" s="8" t="str">
        <f t="shared" si="5"/>
        <v>2023 Elite Canada</v>
      </c>
      <c r="L8" s="8">
        <f>IF(COUNT(AQ8,AT8,BR8,BU8,CS8,CV8)&gt;1,LARGE((AQ8,AT8,BR8,BU8,CS8,CV8),2),0)</f>
        <v>54.879999999999995</v>
      </c>
      <c r="M8" s="8" t="str">
        <f t="shared" si="6"/>
        <v>2023 Nationals</v>
      </c>
      <c r="N8" s="8">
        <f>IF(COUNT(AQ8,AT8,BR8,BU8,CS8,CV8)&gt;2,LARGE((AQ8,AT8,BR8,BU8,CS8,CV8),3),0)</f>
        <v>54.08</v>
      </c>
      <c r="O8" s="8" t="str">
        <f t="shared" si="7"/>
        <v>2023 Domestic 3rd Trial</v>
      </c>
      <c r="P8" s="8">
        <f t="shared" si="8"/>
        <v>54.32</v>
      </c>
      <c r="Q8" s="8" t="str">
        <f t="shared" si="9"/>
        <v>2023 Elite Canada</v>
      </c>
      <c r="R8" s="8">
        <f t="shared" si="10"/>
        <v>16.399999999999999</v>
      </c>
      <c r="S8" s="8" t="str">
        <f t="shared" si="11"/>
        <v>2023 World Cup BUL (Oct 7)</v>
      </c>
      <c r="T8" s="8">
        <f t="shared" si="12"/>
        <v>16.989999999999998</v>
      </c>
      <c r="U8" s="8" t="str">
        <f t="shared" si="13"/>
        <v>2023 World Cup BUL (Oct 7)</v>
      </c>
      <c r="V8" s="8">
        <f t="shared" si="14"/>
        <v>2.7099999999999937</v>
      </c>
      <c r="W8" s="11" t="str">
        <f t="shared" si="15"/>
        <v>(Prelim)</v>
      </c>
      <c r="X8" s="8" t="str">
        <f t="shared" si="16"/>
        <v>2023 World Cup BUL (Oct 7)</v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 t="shared" si="17"/>
        <v>14.8</v>
      </c>
      <c r="AP8" s="39">
        <f t="shared" si="18"/>
        <v>15.62</v>
      </c>
      <c r="AQ8" s="41">
        <f t="shared" si="19"/>
        <v>54.02</v>
      </c>
      <c r="AR8" s="41">
        <f t="shared" si="20"/>
        <v>15.8</v>
      </c>
      <c r="AS8" s="41">
        <f t="shared" si="21"/>
        <v>15.84</v>
      </c>
      <c r="AT8" s="41">
        <f t="shared" si="22"/>
        <v>55.540000000000006</v>
      </c>
      <c r="AU8" s="41">
        <f t="shared" si="23"/>
        <v>55.540000000000006</v>
      </c>
      <c r="AV8" s="41">
        <f t="shared" si="24"/>
        <v>14.8</v>
      </c>
      <c r="AW8" s="41">
        <f t="shared" si="25"/>
        <v>15.82</v>
      </c>
      <c r="AX8" s="41">
        <f t="shared" si="26"/>
        <v>54.32</v>
      </c>
      <c r="AY8" s="41">
        <f t="shared" si="27"/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 t="shared" si="28"/>
        <v>15.4</v>
      </c>
      <c r="BQ8" s="40">
        <f t="shared" si="29"/>
        <v>16.38</v>
      </c>
      <c r="BR8" s="11">
        <f t="shared" si="30"/>
        <v>54.879999999999995</v>
      </c>
      <c r="BS8" s="11">
        <f t="shared" si="31"/>
        <v>2</v>
      </c>
      <c r="BT8" s="11">
        <f t="shared" si="32"/>
        <v>1.75</v>
      </c>
      <c r="BU8" s="11">
        <f t="shared" si="33"/>
        <v>6.45</v>
      </c>
      <c r="BV8" s="11">
        <f t="shared" si="34"/>
        <v>54.879999999999995</v>
      </c>
      <c r="BW8" s="11">
        <f t="shared" si="35"/>
        <v>2</v>
      </c>
      <c r="BX8" s="11">
        <f t="shared" si="36"/>
        <v>1.76</v>
      </c>
      <c r="BY8" s="11">
        <f t="shared" si="37"/>
        <v>6.26</v>
      </c>
      <c r="BZ8" s="11">
        <f t="shared" si="38"/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 t="shared" si="39"/>
        <v>10</v>
      </c>
      <c r="CR8" s="39">
        <f t="shared" si="40"/>
        <v>11.73</v>
      </c>
      <c r="CS8" s="41">
        <f t="shared" si="41"/>
        <v>38.03</v>
      </c>
      <c r="CT8" s="41">
        <f t="shared" si="42"/>
        <v>14.7</v>
      </c>
      <c r="CU8" s="41">
        <f t="shared" si="43"/>
        <v>16.48</v>
      </c>
      <c r="CV8" s="41">
        <f t="shared" si="44"/>
        <v>54.08</v>
      </c>
      <c r="CW8" s="41">
        <f t="shared" si="45"/>
        <v>54.08</v>
      </c>
      <c r="CX8" s="41">
        <f t="shared" si="46"/>
        <v>2</v>
      </c>
      <c r="CY8" s="41">
        <f t="shared" si="47"/>
        <v>1.8</v>
      </c>
      <c r="CZ8" s="41">
        <f t="shared" si="48"/>
        <v>6.3999999999999995</v>
      </c>
      <c r="DA8" s="41">
        <f t="shared" si="49"/>
        <v>60.48</v>
      </c>
      <c r="DB8" s="52">
        <f t="shared" si="50"/>
        <v>2.7099999999999937</v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>
        <v>14.5</v>
      </c>
      <c r="LA8" s="17">
        <v>9</v>
      </c>
      <c r="LB8" s="17">
        <v>16.2</v>
      </c>
      <c r="LC8" s="17">
        <v>16.100000000000001</v>
      </c>
      <c r="LD8" s="17">
        <v>0</v>
      </c>
      <c r="LE8" s="17">
        <v>14.2</v>
      </c>
      <c r="LF8" s="17">
        <v>9.1999999999999993</v>
      </c>
      <c r="LG8" s="17">
        <v>16.399999999999999</v>
      </c>
      <c r="LH8" s="17">
        <v>16.989999999999998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 t="shared" si="136"/>
        <v>16.2</v>
      </c>
      <c r="LU8" s="41">
        <f t="shared" si="137"/>
        <v>16.100000000000001</v>
      </c>
      <c r="LV8" s="41">
        <f t="shared" si="138"/>
        <v>55.800000000000004</v>
      </c>
      <c r="LW8" s="41">
        <f t="shared" si="139"/>
        <v>16.399999999999999</v>
      </c>
      <c r="LX8" s="41">
        <f t="shared" si="140"/>
        <v>16.989999999999998</v>
      </c>
      <c r="LY8" s="41">
        <f t="shared" si="141"/>
        <v>56.789999999999992</v>
      </c>
      <c r="LZ8" s="41">
        <f t="shared" si="142"/>
        <v>56.789999999999992</v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>
        <f t="shared" si="149"/>
        <v>56.789999999999992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>
        <v>13</v>
      </c>
      <c r="NQ8" s="17">
        <v>9.1999999999999993</v>
      </c>
      <c r="NR8" s="17">
        <v>15.8</v>
      </c>
      <c r="NS8" s="17">
        <v>16.510000000000002</v>
      </c>
      <c r="NT8" s="17">
        <v>0</v>
      </c>
      <c r="NU8" s="17">
        <v>13.5</v>
      </c>
      <c r="NV8" s="17">
        <v>8.9</v>
      </c>
      <c r="NW8" s="17">
        <v>15.3</v>
      </c>
      <c r="NX8" s="17">
        <v>16.62</v>
      </c>
      <c r="NY8" s="17">
        <v>0</v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>
        <f t="shared" si="164"/>
        <v>15.8</v>
      </c>
      <c r="OK8" s="41">
        <f t="shared" si="165"/>
        <v>16.510000000000002</v>
      </c>
      <c r="OL8" s="41">
        <f t="shared" si="166"/>
        <v>54.510000000000005</v>
      </c>
      <c r="OM8" s="41">
        <f t="shared" si="167"/>
        <v>15.3</v>
      </c>
      <c r="ON8" s="41">
        <f t="shared" si="168"/>
        <v>16.62</v>
      </c>
      <c r="OO8" s="41">
        <f t="shared" si="169"/>
        <v>54.320000000000007</v>
      </c>
      <c r="OP8" s="41">
        <f t="shared" si="170"/>
        <v>54.510000000000005</v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>
        <f t="shared" si="177"/>
        <v>54.510000000000005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12.2</v>
      </c>
      <c r="SW8" s="23">
        <f t="shared" si="221"/>
        <v>7.5</v>
      </c>
      <c r="SX8" s="23">
        <f t="shared" si="222"/>
        <v>12.7</v>
      </c>
      <c r="SY8" s="23">
        <f t="shared" si="223"/>
        <v>14.055</v>
      </c>
      <c r="SZ8" s="23">
        <f t="shared" si="224"/>
        <v>0</v>
      </c>
      <c r="TA8" s="23">
        <f t="shared" si="225"/>
        <v>7.8500000000000005</v>
      </c>
      <c r="TB8" s="23">
        <f t="shared" si="226"/>
        <v>4.95</v>
      </c>
      <c r="TC8" s="23">
        <f t="shared" si="227"/>
        <v>8.35</v>
      </c>
      <c r="TD8" s="23">
        <f t="shared" si="228"/>
        <v>9.1150000000000002</v>
      </c>
      <c r="TE8" s="23">
        <f t="shared" si="229"/>
        <v>0</v>
      </c>
      <c r="TF8" s="23">
        <f t="shared" si="230"/>
        <v>1.65</v>
      </c>
      <c r="TG8" s="23">
        <f t="shared" si="231"/>
        <v>0.9</v>
      </c>
      <c r="TH8" s="23">
        <f t="shared" si="232"/>
        <v>2</v>
      </c>
      <c r="TI8" s="23">
        <f t="shared" si="233"/>
        <v>1.78</v>
      </c>
      <c r="TJ8" s="23">
        <f t="shared" si="234"/>
        <v>0</v>
      </c>
      <c r="TK8" s="28" t="s">
        <v>57</v>
      </c>
      <c r="TL8" s="41">
        <f t="shared" si="235"/>
        <v>12.7</v>
      </c>
      <c r="TM8" s="41">
        <f t="shared" si="236"/>
        <v>14.055</v>
      </c>
      <c r="TN8" s="41">
        <f t="shared" si="237"/>
        <v>46.454999999999998</v>
      </c>
      <c r="TO8" s="41">
        <f t="shared" si="238"/>
        <v>8.35</v>
      </c>
      <c r="TP8" s="41">
        <f t="shared" si="239"/>
        <v>9.1150000000000002</v>
      </c>
      <c r="TQ8" s="41">
        <f t="shared" si="240"/>
        <v>30.265000000000001</v>
      </c>
      <c r="TR8" s="41">
        <f t="shared" si="241"/>
        <v>46.454999999999998</v>
      </c>
      <c r="TS8" s="41">
        <f t="shared" si="242"/>
        <v>2</v>
      </c>
      <c r="TT8" s="41">
        <f t="shared" si="243"/>
        <v>1.78</v>
      </c>
      <c r="TU8" s="41">
        <f t="shared" si="244"/>
        <v>6.33</v>
      </c>
      <c r="TV8" s="41">
        <f t="shared" si="245"/>
        <v>52.784999999999997</v>
      </c>
    </row>
    <row r="9" spans="1:542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195</v>
      </c>
      <c r="C9" s="4" t="s">
        <v>8</v>
      </c>
      <c r="D9" s="4">
        <v>2006</v>
      </c>
      <c r="E9" s="9">
        <f t="shared" si="0"/>
        <v>246.46002308000544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IF(COUNT(AQ9,AT9,BR9,BU9,CS9,CV9)&gt;0,LARGE((AQ9,AT9,BR9,BU9,CS9,CV9),1),0)</f>
        <v>54.68</v>
      </c>
      <c r="K9" s="8" t="str">
        <f t="shared" si="5"/>
        <v>2023 Elite Canada</v>
      </c>
      <c r="L9" s="8">
        <f>IF(COUNT(AQ9,AT9,BR9,BU9,CS9,CV9)&gt;1,LARGE((AQ9,AT9,BR9,BU9,CS9,CV9),2),0)</f>
        <v>54.089999999999996</v>
      </c>
      <c r="M9" s="8" t="str">
        <f t="shared" si="6"/>
        <v>2023 Nationals</v>
      </c>
      <c r="N9" s="8">
        <f>IF(COUNT(AQ9,AT9,BR9,BU9,CS9,CV9)&gt;2,LARGE((AQ9,AT9,BR9,BU9,CS9,CV9),3),0)</f>
        <v>37.56</v>
      </c>
      <c r="O9" s="8" t="str">
        <f t="shared" si="7"/>
        <v>2023 Nationals</v>
      </c>
      <c r="P9" s="8">
        <f t="shared" si="8"/>
        <v>53.35</v>
      </c>
      <c r="Q9" s="8" t="str">
        <f t="shared" si="9"/>
        <v>2023 Nationals</v>
      </c>
      <c r="R9" s="8">
        <f t="shared" si="10"/>
        <v>15.4</v>
      </c>
      <c r="S9" s="8" t="str">
        <f t="shared" si="11"/>
        <v>2023 WAGC (Nov 18)</v>
      </c>
      <c r="T9" s="8">
        <f t="shared" si="12"/>
        <v>15.72</v>
      </c>
      <c r="U9" s="8" t="str">
        <f t="shared" si="13"/>
        <v>2023 WAGC (Nov 18)</v>
      </c>
      <c r="V9" s="8">
        <f t="shared" si="14"/>
        <v>15.659999999999997</v>
      </c>
      <c r="W9" s="11" t="str">
        <f t="shared" si="15"/>
        <v>(Prelim)</v>
      </c>
      <c r="X9" s="8" t="str">
        <f t="shared" si="16"/>
        <v>2023 WAGC (Nov 18)</v>
      </c>
      <c r="Y9" s="23">
        <v>5.0999999999999996</v>
      </c>
      <c r="Z9" s="23">
        <v>3.4</v>
      </c>
      <c r="AA9" s="23">
        <v>6.1</v>
      </c>
      <c r="AB9" s="23">
        <v>6.49</v>
      </c>
      <c r="AC9" s="23">
        <v>0</v>
      </c>
      <c r="AD9" s="23">
        <v>15.7</v>
      </c>
      <c r="AE9" s="23">
        <v>9</v>
      </c>
      <c r="AF9" s="23">
        <v>14.4</v>
      </c>
      <c r="AG9" s="23">
        <v>15.58</v>
      </c>
      <c r="AH9" s="23">
        <v>0</v>
      </c>
      <c r="AI9" s="23">
        <v>2.8</v>
      </c>
      <c r="AJ9" s="23">
        <v>1.7</v>
      </c>
      <c r="AK9" s="23">
        <v>3.2</v>
      </c>
      <c r="AL9" s="23">
        <v>3.37</v>
      </c>
      <c r="AM9" s="23">
        <v>0</v>
      </c>
      <c r="AN9" s="28"/>
      <c r="AO9" s="39">
        <f t="shared" si="17"/>
        <v>6.1</v>
      </c>
      <c r="AP9" s="39">
        <f t="shared" si="18"/>
        <v>6.49</v>
      </c>
      <c r="AQ9" s="41">
        <f t="shared" si="19"/>
        <v>21.09</v>
      </c>
      <c r="AR9" s="41">
        <f t="shared" si="20"/>
        <v>14.4</v>
      </c>
      <c r="AS9" s="41">
        <f t="shared" si="21"/>
        <v>15.58</v>
      </c>
      <c r="AT9" s="41">
        <f t="shared" si="22"/>
        <v>54.68</v>
      </c>
      <c r="AU9" s="41">
        <f t="shared" si="23"/>
        <v>54.68</v>
      </c>
      <c r="AV9" s="41">
        <f t="shared" si="24"/>
        <v>3.2</v>
      </c>
      <c r="AW9" s="41">
        <f t="shared" si="25"/>
        <v>3.37</v>
      </c>
      <c r="AX9" s="41">
        <f t="shared" si="26"/>
        <v>11.07</v>
      </c>
      <c r="AY9" s="41">
        <f t="shared" si="27"/>
        <v>65.75</v>
      </c>
      <c r="AZ9" s="27">
        <v>16.3</v>
      </c>
      <c r="BA9" s="27">
        <v>9.1</v>
      </c>
      <c r="BB9" s="27">
        <v>13.5</v>
      </c>
      <c r="BC9" s="27">
        <v>15.19</v>
      </c>
      <c r="BD9" s="27">
        <v>0</v>
      </c>
      <c r="BE9" s="27">
        <v>10.8</v>
      </c>
      <c r="BF9" s="27">
        <v>6.4</v>
      </c>
      <c r="BG9" s="27">
        <v>9.6</v>
      </c>
      <c r="BH9" s="27">
        <v>10.76</v>
      </c>
      <c r="BI9" s="27">
        <v>0</v>
      </c>
      <c r="BJ9" s="27">
        <v>16</v>
      </c>
      <c r="BK9" s="27">
        <v>9.1</v>
      </c>
      <c r="BL9" s="27">
        <v>13.5</v>
      </c>
      <c r="BM9" s="27">
        <v>14.75</v>
      </c>
      <c r="BN9" s="27">
        <v>0</v>
      </c>
      <c r="BO9" s="29"/>
      <c r="BP9" s="40">
        <f t="shared" si="28"/>
        <v>13.5</v>
      </c>
      <c r="BQ9" s="40">
        <f t="shared" si="29"/>
        <v>15.19</v>
      </c>
      <c r="BR9" s="11">
        <f t="shared" si="30"/>
        <v>54.089999999999996</v>
      </c>
      <c r="BS9" s="11">
        <f t="shared" si="31"/>
        <v>9.6</v>
      </c>
      <c r="BT9" s="11">
        <f t="shared" si="32"/>
        <v>10.76</v>
      </c>
      <c r="BU9" s="11">
        <f t="shared" si="33"/>
        <v>37.56</v>
      </c>
      <c r="BV9" s="11">
        <f t="shared" si="34"/>
        <v>54.089999999999996</v>
      </c>
      <c r="BW9" s="11">
        <f t="shared" si="35"/>
        <v>13.5</v>
      </c>
      <c r="BX9" s="11">
        <f t="shared" si="36"/>
        <v>14.75</v>
      </c>
      <c r="BY9" s="11">
        <f t="shared" si="37"/>
        <v>53.35</v>
      </c>
      <c r="BZ9" s="11">
        <f t="shared" si="38"/>
        <v>107.44</v>
      </c>
      <c r="CA9" s="23">
        <v>4.5999999999999996</v>
      </c>
      <c r="CB9" s="23">
        <v>2.5</v>
      </c>
      <c r="CC9" s="23">
        <v>4.9000000000000004</v>
      </c>
      <c r="CD9" s="23">
        <v>5.0999999999999996</v>
      </c>
      <c r="CE9" s="23">
        <v>0</v>
      </c>
      <c r="CF9" s="23">
        <v>6.1</v>
      </c>
      <c r="CG9" s="23">
        <v>3.6</v>
      </c>
      <c r="CH9" s="23">
        <v>6.5</v>
      </c>
      <c r="CI9" s="23">
        <v>6.78</v>
      </c>
      <c r="CJ9" s="23">
        <v>0</v>
      </c>
      <c r="CK9" s="23"/>
      <c r="CL9" s="23"/>
      <c r="CM9" s="23"/>
      <c r="CN9" s="23"/>
      <c r="CO9" s="23"/>
      <c r="CP9" s="28"/>
      <c r="CQ9" s="39">
        <f t="shared" si="39"/>
        <v>4.9000000000000004</v>
      </c>
      <c r="CR9" s="39">
        <f t="shared" si="40"/>
        <v>5.0999999999999996</v>
      </c>
      <c r="CS9" s="41">
        <f t="shared" si="41"/>
        <v>17.100000000000001</v>
      </c>
      <c r="CT9" s="41">
        <f t="shared" si="42"/>
        <v>6.5</v>
      </c>
      <c r="CU9" s="41">
        <f t="shared" si="43"/>
        <v>6.78</v>
      </c>
      <c r="CV9" s="41">
        <f t="shared" si="44"/>
        <v>22.98</v>
      </c>
      <c r="CW9" s="41">
        <f t="shared" si="45"/>
        <v>22.98</v>
      </c>
      <c r="CX9" s="41" t="str">
        <f t="shared" si="46"/>
        <v/>
      </c>
      <c r="CY9" s="41" t="str">
        <f t="shared" si="47"/>
        <v/>
      </c>
      <c r="CZ9" s="41" t="str">
        <f t="shared" si="48"/>
        <v/>
      </c>
      <c r="DA9" s="41">
        <f t="shared" si="49"/>
        <v>22.98</v>
      </c>
      <c r="DB9" s="52">
        <f t="shared" si="50"/>
        <v>15.659999999999997</v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>
        <v>12.9</v>
      </c>
      <c r="QG9" s="17">
        <v>9.1999999999999993</v>
      </c>
      <c r="QH9" s="17">
        <v>15.4</v>
      </c>
      <c r="QI9" s="17">
        <v>15.72</v>
      </c>
      <c r="QJ9" s="17">
        <v>0</v>
      </c>
      <c r="QK9" s="17">
        <v>1.5</v>
      </c>
      <c r="QL9" s="17">
        <v>1</v>
      </c>
      <c r="QM9" s="17">
        <v>2</v>
      </c>
      <c r="QN9" s="17">
        <v>1.73</v>
      </c>
      <c r="QO9" s="17">
        <v>0</v>
      </c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>
        <f t="shared" si="192"/>
        <v>15.4</v>
      </c>
      <c r="RA9" s="41">
        <f t="shared" si="193"/>
        <v>15.72</v>
      </c>
      <c r="RB9" s="41">
        <f t="shared" si="194"/>
        <v>53.22</v>
      </c>
      <c r="RC9" s="41">
        <f t="shared" si="195"/>
        <v>2</v>
      </c>
      <c r="RD9" s="41">
        <f t="shared" si="196"/>
        <v>1.73</v>
      </c>
      <c r="RE9" s="41">
        <f t="shared" si="197"/>
        <v>6.23</v>
      </c>
      <c r="RF9" s="41">
        <f t="shared" si="198"/>
        <v>53.22</v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>
        <f t="shared" si="205"/>
        <v>53.22</v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10.45</v>
      </c>
      <c r="SW9" s="23">
        <f t="shared" si="221"/>
        <v>5.8</v>
      </c>
      <c r="SX9" s="23">
        <f t="shared" si="222"/>
        <v>9.1999999999999993</v>
      </c>
      <c r="SY9" s="23">
        <f t="shared" si="223"/>
        <v>10.145</v>
      </c>
      <c r="SZ9" s="23">
        <f t="shared" si="224"/>
        <v>0</v>
      </c>
      <c r="TA9" s="23">
        <f t="shared" si="225"/>
        <v>8.4499999999999993</v>
      </c>
      <c r="TB9" s="23">
        <f t="shared" si="226"/>
        <v>5</v>
      </c>
      <c r="TC9" s="23">
        <f t="shared" si="227"/>
        <v>8.0500000000000007</v>
      </c>
      <c r="TD9" s="23">
        <f t="shared" si="228"/>
        <v>8.77</v>
      </c>
      <c r="TE9" s="23">
        <f t="shared" si="229"/>
        <v>0</v>
      </c>
      <c r="TF9" s="23">
        <f t="shared" si="230"/>
        <v>8</v>
      </c>
      <c r="TG9" s="23">
        <f t="shared" si="231"/>
        <v>4.55</v>
      </c>
      <c r="TH9" s="23">
        <f t="shared" si="232"/>
        <v>6.75</v>
      </c>
      <c r="TI9" s="23">
        <f t="shared" si="233"/>
        <v>7.375</v>
      </c>
      <c r="TJ9" s="23">
        <f t="shared" si="234"/>
        <v>0</v>
      </c>
      <c r="TK9" s="28" t="s">
        <v>57</v>
      </c>
      <c r="TL9" s="41">
        <f t="shared" si="235"/>
        <v>9.1999999999999993</v>
      </c>
      <c r="TM9" s="41">
        <f t="shared" si="236"/>
        <v>10.145</v>
      </c>
      <c r="TN9" s="41">
        <f t="shared" si="237"/>
        <v>35.594999999999999</v>
      </c>
      <c r="TO9" s="41">
        <f t="shared" si="238"/>
        <v>8.0500000000000007</v>
      </c>
      <c r="TP9" s="41">
        <f t="shared" si="239"/>
        <v>8.77</v>
      </c>
      <c r="TQ9" s="41">
        <f t="shared" si="240"/>
        <v>30.27</v>
      </c>
      <c r="TR9" s="41">
        <f t="shared" si="241"/>
        <v>35.594999999999999</v>
      </c>
      <c r="TS9" s="41">
        <f t="shared" si="242"/>
        <v>6.75</v>
      </c>
      <c r="TT9" s="41">
        <f t="shared" si="243"/>
        <v>7.375</v>
      </c>
      <c r="TU9" s="41">
        <f t="shared" si="244"/>
        <v>26.675000000000001</v>
      </c>
      <c r="TV9" s="41">
        <f t="shared" si="245"/>
        <v>62.269999999999996</v>
      </c>
    </row>
    <row r="10" spans="1:542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55</v>
      </c>
      <c r="C10" s="4" t="s">
        <v>5</v>
      </c>
      <c r="D10" s="4">
        <v>1999</v>
      </c>
      <c r="E10" s="9">
        <f t="shared" si="0"/>
        <v>244.78252447825534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IF(COUNT(AQ10,AT10,BR10,BU10,CS10,CV10)&gt;0,LARGE((AQ10,AT10,BR10,BU10,CS10,CV10),1),0)</f>
        <v>53.349999999999994</v>
      </c>
      <c r="K10" s="8" t="str">
        <f t="shared" si="5"/>
        <v>2023 Elite Canada</v>
      </c>
      <c r="L10" s="8">
        <f>IF(COUNT(AQ10,AT10,BR10,BU10,CS10,CV10)&gt;1,LARGE((AQ10,AT10,BR10,BU10,CS10,CV10),2),0)</f>
        <v>53.29</v>
      </c>
      <c r="M10" s="8" t="str">
        <f t="shared" si="6"/>
        <v>2023 Elite Canada</v>
      </c>
      <c r="N10" s="8">
        <f>IF(COUNT(AQ10,AT10,BR10,BU10,CS10,CV10)&gt;2,LARGE((AQ10,AT10,BR10,BU10,CS10,CV10),3),0)</f>
        <v>53.182500000000005</v>
      </c>
      <c r="O10" s="8" t="str">
        <f t="shared" si="7"/>
        <v>2023 Nationals</v>
      </c>
      <c r="P10" s="8">
        <f t="shared" si="8"/>
        <v>54.61</v>
      </c>
      <c r="Q10" s="8" t="str">
        <f t="shared" si="9"/>
        <v>2023 Elite Canada</v>
      </c>
      <c r="R10" s="8">
        <f t="shared" si="10"/>
        <v>15.4</v>
      </c>
      <c r="S10" s="8" t="str">
        <f t="shared" si="11"/>
        <v>2023 Elite Canada</v>
      </c>
      <c r="T10" s="8">
        <f t="shared" si="12"/>
        <v>14.95</v>
      </c>
      <c r="U10" s="8" t="str">
        <f t="shared" si="13"/>
        <v>2023 Elite Canada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14.7</v>
      </c>
      <c r="Z10" s="23">
        <v>9</v>
      </c>
      <c r="AA10" s="23">
        <v>14.8</v>
      </c>
      <c r="AB10" s="23">
        <v>14.79</v>
      </c>
      <c r="AC10" s="23">
        <v>0</v>
      </c>
      <c r="AD10" s="23">
        <v>14.1</v>
      </c>
      <c r="AE10" s="23">
        <v>8.9</v>
      </c>
      <c r="AF10" s="23">
        <v>15.4</v>
      </c>
      <c r="AG10" s="23">
        <v>14.95</v>
      </c>
      <c r="AH10" s="23">
        <v>0</v>
      </c>
      <c r="AI10" s="23">
        <v>15.7</v>
      </c>
      <c r="AJ10" s="23">
        <v>9.6</v>
      </c>
      <c r="AK10" s="23">
        <v>14</v>
      </c>
      <c r="AL10" s="23">
        <v>15.31</v>
      </c>
      <c r="AM10" s="23">
        <v>0</v>
      </c>
      <c r="AN10" s="28"/>
      <c r="AO10" s="39">
        <f t="shared" si="17"/>
        <v>14.8</v>
      </c>
      <c r="AP10" s="39">
        <f t="shared" si="18"/>
        <v>14.79</v>
      </c>
      <c r="AQ10" s="41">
        <f t="shared" si="19"/>
        <v>53.29</v>
      </c>
      <c r="AR10" s="41">
        <f t="shared" si="20"/>
        <v>15.4</v>
      </c>
      <c r="AS10" s="41">
        <f t="shared" si="21"/>
        <v>14.95</v>
      </c>
      <c r="AT10" s="41">
        <f t="shared" si="22"/>
        <v>53.349999999999994</v>
      </c>
      <c r="AU10" s="41">
        <f t="shared" si="23"/>
        <v>53.349999999999994</v>
      </c>
      <c r="AV10" s="41">
        <f t="shared" si="24"/>
        <v>14</v>
      </c>
      <c r="AW10" s="41">
        <f t="shared" si="25"/>
        <v>15.31</v>
      </c>
      <c r="AX10" s="41">
        <f t="shared" si="26"/>
        <v>54.61</v>
      </c>
      <c r="AY10" s="41">
        <f t="shared" si="27"/>
        <v>107.96</v>
      </c>
      <c r="AZ10" s="27">
        <v>14.125</v>
      </c>
      <c r="BA10" s="27">
        <v>9</v>
      </c>
      <c r="BB10" s="27">
        <v>14.950000000000001</v>
      </c>
      <c r="BC10" s="27">
        <v>15.1075</v>
      </c>
      <c r="BD10" s="27">
        <v>0</v>
      </c>
      <c r="BE10" s="27">
        <v>13.45</v>
      </c>
      <c r="BF10" s="27">
        <v>8.3500000000000014</v>
      </c>
      <c r="BG10" s="27">
        <v>13.600000000000001</v>
      </c>
      <c r="BH10" s="27">
        <v>15.014999999999999</v>
      </c>
      <c r="BI10" s="27">
        <v>0.2</v>
      </c>
      <c r="BJ10" s="27">
        <v>13.85</v>
      </c>
      <c r="BK10" s="27">
        <v>8.4250000000000007</v>
      </c>
      <c r="BL10" s="27">
        <v>12.9</v>
      </c>
      <c r="BM10" s="27">
        <v>13.995000000000001</v>
      </c>
      <c r="BN10" s="27">
        <v>0</v>
      </c>
      <c r="BO10" s="29" t="s">
        <v>57</v>
      </c>
      <c r="BP10" s="40">
        <f t="shared" si="28"/>
        <v>14.950000000000001</v>
      </c>
      <c r="BQ10" s="40">
        <f t="shared" si="29"/>
        <v>15.1075</v>
      </c>
      <c r="BR10" s="11">
        <f t="shared" si="30"/>
        <v>53.182500000000005</v>
      </c>
      <c r="BS10" s="11">
        <f t="shared" si="31"/>
        <v>13.600000000000001</v>
      </c>
      <c r="BT10" s="11">
        <f t="shared" si="32"/>
        <v>15.014999999999999</v>
      </c>
      <c r="BU10" s="11">
        <f t="shared" si="33"/>
        <v>50.215000000000003</v>
      </c>
      <c r="BV10" s="11">
        <f t="shared" si="34"/>
        <v>53.182500000000005</v>
      </c>
      <c r="BW10" s="11">
        <f t="shared" si="35"/>
        <v>12.9</v>
      </c>
      <c r="BX10" s="11">
        <f t="shared" si="36"/>
        <v>13.995000000000001</v>
      </c>
      <c r="BY10" s="11">
        <f t="shared" si="37"/>
        <v>49.17</v>
      </c>
      <c r="BZ10" s="11">
        <f t="shared" si="38"/>
        <v>102.35250000000001</v>
      </c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8"/>
      <c r="CQ10" s="39" t="str">
        <f t="shared" si="39"/>
        <v/>
      </c>
      <c r="CR10" s="39" t="str">
        <f t="shared" si="40"/>
        <v/>
      </c>
      <c r="CS10" s="41" t="str">
        <f t="shared" si="41"/>
        <v/>
      </c>
      <c r="CT10" s="41" t="str">
        <f t="shared" si="42"/>
        <v/>
      </c>
      <c r="CU10" s="41" t="str">
        <f t="shared" si="43"/>
        <v/>
      </c>
      <c r="CV10" s="41" t="str">
        <f t="shared" si="44"/>
        <v/>
      </c>
      <c r="CW10" s="41" t="str">
        <f t="shared" si="45"/>
        <v/>
      </c>
      <c r="CX10" s="41" t="str">
        <f t="shared" si="46"/>
        <v/>
      </c>
      <c r="CY10" s="41" t="str">
        <f t="shared" si="47"/>
        <v/>
      </c>
      <c r="CZ10" s="41" t="str">
        <f t="shared" si="48"/>
        <v/>
      </c>
      <c r="DA10" s="41" t="str">
        <f t="shared" si="49"/>
        <v/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7.0625</v>
      </c>
      <c r="SW10" s="23">
        <f t="shared" si="221"/>
        <v>4.5</v>
      </c>
      <c r="SX10" s="23">
        <f t="shared" si="222"/>
        <v>7.4750000000000005</v>
      </c>
      <c r="SY10" s="23">
        <f t="shared" si="223"/>
        <v>7.55375</v>
      </c>
      <c r="SZ10" s="23">
        <f t="shared" si="224"/>
        <v>0</v>
      </c>
      <c r="TA10" s="23">
        <f t="shared" si="225"/>
        <v>6.7249999999999996</v>
      </c>
      <c r="TB10" s="23">
        <f t="shared" si="226"/>
        <v>4.1750000000000007</v>
      </c>
      <c r="TC10" s="23">
        <f t="shared" si="227"/>
        <v>6.8000000000000007</v>
      </c>
      <c r="TD10" s="23">
        <f t="shared" si="228"/>
        <v>7.5074999999999994</v>
      </c>
      <c r="TE10" s="23">
        <f t="shared" si="229"/>
        <v>0.1</v>
      </c>
      <c r="TF10" s="23">
        <f t="shared" si="230"/>
        <v>6.9249999999999998</v>
      </c>
      <c r="TG10" s="23">
        <f t="shared" si="231"/>
        <v>4.2125000000000004</v>
      </c>
      <c r="TH10" s="23">
        <f t="shared" si="232"/>
        <v>6.45</v>
      </c>
      <c r="TI10" s="23">
        <f t="shared" si="233"/>
        <v>6.9975000000000005</v>
      </c>
      <c r="TJ10" s="23">
        <f t="shared" si="234"/>
        <v>0</v>
      </c>
      <c r="TK10" s="28" t="s">
        <v>57</v>
      </c>
      <c r="TL10" s="41">
        <f t="shared" si="235"/>
        <v>7.4750000000000005</v>
      </c>
      <c r="TM10" s="41">
        <f t="shared" si="236"/>
        <v>7.55375</v>
      </c>
      <c r="TN10" s="41">
        <f t="shared" si="237"/>
        <v>26.591250000000002</v>
      </c>
      <c r="TO10" s="41">
        <f t="shared" si="238"/>
        <v>6.8000000000000007</v>
      </c>
      <c r="TP10" s="41">
        <f t="shared" si="239"/>
        <v>7.5074999999999994</v>
      </c>
      <c r="TQ10" s="41">
        <f t="shared" si="240"/>
        <v>25.107500000000002</v>
      </c>
      <c r="TR10" s="41">
        <f t="shared" si="241"/>
        <v>26.591250000000002</v>
      </c>
      <c r="TS10" s="41">
        <f t="shared" si="242"/>
        <v>6.45</v>
      </c>
      <c r="TT10" s="41">
        <f t="shared" si="243"/>
        <v>6.9975000000000005</v>
      </c>
      <c r="TU10" s="41">
        <f t="shared" si="244"/>
        <v>24.585000000000001</v>
      </c>
      <c r="TV10" s="41">
        <f t="shared" si="245"/>
        <v>51.176250000000003</v>
      </c>
    </row>
    <row r="11" spans="1:542" x14ac:dyDescent="0.2">
      <c r="A11" s="4" t="str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/>
      </c>
      <c r="B11" s="5" t="s">
        <v>94</v>
      </c>
      <c r="C11" s="4" t="s">
        <v>8</v>
      </c>
      <c r="D11" s="4">
        <v>2002</v>
      </c>
      <c r="E11" s="9">
        <f t="shared" si="0"/>
        <v>241.93002419300541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IF(COUNT(AQ11,AT11,BR11,BU11,CS11,CV11)&gt;0,LARGE((AQ11,AT11,BR11,BU11,CS11,CV11),1),0)</f>
        <v>53.97</v>
      </c>
      <c r="K11" s="8" t="str">
        <f t="shared" si="5"/>
        <v>2023 Nationals</v>
      </c>
      <c r="L11" s="8">
        <f>IF(COUNT(AQ11,AT11,BR11,BU11,CS11,CV11)&gt;1,LARGE((AQ11,AT11,BR11,BU11,CS11,CV11),2),0)</f>
        <v>52.44</v>
      </c>
      <c r="M11" s="8" t="str">
        <f t="shared" si="6"/>
        <v>2023 Domestic 3rd Trial</v>
      </c>
      <c r="N11" s="8">
        <f>IF(COUNT(AQ11,AT11,BR11,BU11,CS11,CV11)&gt;2,LARGE((AQ11,AT11,BR11,BU11,CS11,CV11),3),0)</f>
        <v>51.78</v>
      </c>
      <c r="O11" s="8" t="str">
        <f t="shared" si="7"/>
        <v>2023 Elite Canada</v>
      </c>
      <c r="P11" s="8">
        <f t="shared" si="8"/>
        <v>53.17</v>
      </c>
      <c r="Q11" s="8" t="str">
        <f t="shared" si="9"/>
        <v>2023 Elite Canada</v>
      </c>
      <c r="R11" s="8">
        <f t="shared" si="10"/>
        <v>15.6</v>
      </c>
      <c r="S11" s="8" t="str">
        <f t="shared" si="11"/>
        <v>2023 Nationals</v>
      </c>
      <c r="T11" s="8">
        <f t="shared" si="12"/>
        <v>14.97</v>
      </c>
      <c r="U11" s="8" t="str">
        <f t="shared" si="13"/>
        <v>2023 Nationals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13.9</v>
      </c>
      <c r="Z11" s="23">
        <v>9.1999999999999993</v>
      </c>
      <c r="AA11" s="23">
        <v>13.5</v>
      </c>
      <c r="AB11" s="23">
        <v>14.79</v>
      </c>
      <c r="AC11" s="23">
        <v>0</v>
      </c>
      <c r="AD11" s="23">
        <v>13.1</v>
      </c>
      <c r="AE11" s="23">
        <v>9.1</v>
      </c>
      <c r="AF11" s="23">
        <v>14.5</v>
      </c>
      <c r="AG11" s="23">
        <v>15.08</v>
      </c>
      <c r="AH11" s="23">
        <v>0</v>
      </c>
      <c r="AI11" s="23">
        <v>14.5</v>
      </c>
      <c r="AJ11" s="23">
        <v>9.1</v>
      </c>
      <c r="AK11" s="23">
        <v>14.5</v>
      </c>
      <c r="AL11" s="23">
        <v>15.07</v>
      </c>
      <c r="AM11" s="23">
        <v>0</v>
      </c>
      <c r="AN11" s="28"/>
      <c r="AO11" s="39">
        <f t="shared" si="17"/>
        <v>13.5</v>
      </c>
      <c r="AP11" s="39">
        <f t="shared" si="18"/>
        <v>14.79</v>
      </c>
      <c r="AQ11" s="41">
        <f t="shared" si="19"/>
        <v>51.39</v>
      </c>
      <c r="AR11" s="41">
        <f t="shared" si="20"/>
        <v>14.5</v>
      </c>
      <c r="AS11" s="41">
        <f t="shared" si="21"/>
        <v>15.08</v>
      </c>
      <c r="AT11" s="41">
        <f t="shared" si="22"/>
        <v>51.78</v>
      </c>
      <c r="AU11" s="41">
        <f t="shared" si="23"/>
        <v>51.78</v>
      </c>
      <c r="AV11" s="41">
        <f t="shared" si="24"/>
        <v>14.5</v>
      </c>
      <c r="AW11" s="41">
        <f t="shared" si="25"/>
        <v>15.07</v>
      </c>
      <c r="AX11" s="41">
        <f t="shared" si="26"/>
        <v>53.17</v>
      </c>
      <c r="AY11" s="41">
        <f t="shared" si="27"/>
        <v>104.95</v>
      </c>
      <c r="AZ11" s="27">
        <v>4.5999999999999996</v>
      </c>
      <c r="BA11" s="27">
        <v>2.6</v>
      </c>
      <c r="BB11" s="27">
        <v>5.5</v>
      </c>
      <c r="BC11" s="27">
        <v>4.95</v>
      </c>
      <c r="BD11" s="27">
        <v>0</v>
      </c>
      <c r="BE11" s="27">
        <v>13.9</v>
      </c>
      <c r="BF11" s="27">
        <v>9.5</v>
      </c>
      <c r="BG11" s="27">
        <v>15.6</v>
      </c>
      <c r="BH11" s="27">
        <v>14.97</v>
      </c>
      <c r="BI11" s="27">
        <v>0</v>
      </c>
      <c r="BJ11" s="27">
        <v>4.3</v>
      </c>
      <c r="BK11" s="27">
        <v>2.7</v>
      </c>
      <c r="BL11" s="27">
        <v>5.5</v>
      </c>
      <c r="BM11" s="27">
        <v>4.8899999999999997</v>
      </c>
      <c r="BN11" s="27">
        <v>0</v>
      </c>
      <c r="BO11" s="29"/>
      <c r="BP11" s="40">
        <f t="shared" si="28"/>
        <v>5.5</v>
      </c>
      <c r="BQ11" s="40">
        <f t="shared" si="29"/>
        <v>4.95</v>
      </c>
      <c r="BR11" s="11">
        <f t="shared" si="30"/>
        <v>17.649999999999999</v>
      </c>
      <c r="BS11" s="11">
        <f t="shared" si="31"/>
        <v>15.6</v>
      </c>
      <c r="BT11" s="11">
        <f t="shared" si="32"/>
        <v>14.97</v>
      </c>
      <c r="BU11" s="11">
        <f t="shared" si="33"/>
        <v>53.97</v>
      </c>
      <c r="BV11" s="11">
        <f t="shared" si="34"/>
        <v>53.97</v>
      </c>
      <c r="BW11" s="11">
        <f t="shared" si="35"/>
        <v>5.5</v>
      </c>
      <c r="BX11" s="11">
        <f t="shared" si="36"/>
        <v>4.8899999999999997</v>
      </c>
      <c r="BY11" s="11">
        <f t="shared" si="37"/>
        <v>17.39</v>
      </c>
      <c r="BZ11" s="11">
        <f t="shared" si="38"/>
        <v>71.36</v>
      </c>
      <c r="CA11" s="23">
        <v>1.5</v>
      </c>
      <c r="CB11" s="23">
        <v>1</v>
      </c>
      <c r="CC11" s="23">
        <v>2</v>
      </c>
      <c r="CD11" s="23">
        <v>1.73</v>
      </c>
      <c r="CE11" s="23">
        <v>0</v>
      </c>
      <c r="CF11" s="23">
        <v>12.8</v>
      </c>
      <c r="CG11" s="23">
        <v>9.1999999999999993</v>
      </c>
      <c r="CH11" s="23">
        <v>15</v>
      </c>
      <c r="CI11" s="23">
        <v>15.44</v>
      </c>
      <c r="CJ11" s="23">
        <v>0</v>
      </c>
      <c r="CK11" s="23">
        <v>12.5</v>
      </c>
      <c r="CL11" s="23">
        <v>8.8000000000000007</v>
      </c>
      <c r="CM11" s="23">
        <v>14</v>
      </c>
      <c r="CN11" s="23">
        <v>15.57</v>
      </c>
      <c r="CO11" s="23">
        <v>0</v>
      </c>
      <c r="CP11" s="28"/>
      <c r="CQ11" s="39">
        <f t="shared" si="39"/>
        <v>2</v>
      </c>
      <c r="CR11" s="39">
        <f t="shared" si="40"/>
        <v>1.73</v>
      </c>
      <c r="CS11" s="41">
        <f t="shared" si="41"/>
        <v>6.23</v>
      </c>
      <c r="CT11" s="41">
        <f t="shared" si="42"/>
        <v>15</v>
      </c>
      <c r="CU11" s="41">
        <f t="shared" si="43"/>
        <v>15.44</v>
      </c>
      <c r="CV11" s="41">
        <f t="shared" si="44"/>
        <v>52.44</v>
      </c>
      <c r="CW11" s="41">
        <f t="shared" si="45"/>
        <v>52.44</v>
      </c>
      <c r="CX11" s="41">
        <f t="shared" si="46"/>
        <v>14</v>
      </c>
      <c r="CY11" s="41">
        <f t="shared" si="47"/>
        <v>15.57</v>
      </c>
      <c r="CZ11" s="41">
        <f t="shared" si="48"/>
        <v>50.87</v>
      </c>
      <c r="DA11" s="41">
        <f t="shared" si="49"/>
        <v>103.31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>
        <v>1.6</v>
      </c>
      <c r="QG11" s="17">
        <v>1</v>
      </c>
      <c r="QH11" s="17">
        <v>2</v>
      </c>
      <c r="QI11" s="17">
        <v>1.77</v>
      </c>
      <c r="QJ11" s="17">
        <v>0</v>
      </c>
      <c r="QK11" s="17">
        <v>1.7</v>
      </c>
      <c r="QL11" s="17">
        <v>1</v>
      </c>
      <c r="QM11" s="17">
        <v>2</v>
      </c>
      <c r="QN11" s="17">
        <v>1.78</v>
      </c>
      <c r="QO11" s="17">
        <v>0</v>
      </c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>
        <f t="shared" si="192"/>
        <v>2</v>
      </c>
      <c r="RA11" s="41">
        <f t="shared" si="193"/>
        <v>1.77</v>
      </c>
      <c r="RB11" s="41">
        <f t="shared" si="194"/>
        <v>6.3699999999999992</v>
      </c>
      <c r="RC11" s="41">
        <f t="shared" si="195"/>
        <v>2</v>
      </c>
      <c r="RD11" s="41">
        <f t="shared" si="196"/>
        <v>1.78</v>
      </c>
      <c r="RE11" s="41">
        <f t="shared" si="197"/>
        <v>6.48</v>
      </c>
      <c r="RF11" s="41">
        <f t="shared" si="198"/>
        <v>6.48</v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>
        <f t="shared" si="205"/>
        <v>6.48</v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3.05</v>
      </c>
      <c r="SW11" s="23">
        <f t="shared" si="221"/>
        <v>1.8</v>
      </c>
      <c r="SX11" s="23">
        <f t="shared" si="222"/>
        <v>3.75</v>
      </c>
      <c r="SY11" s="23">
        <f t="shared" si="223"/>
        <v>3.34</v>
      </c>
      <c r="SZ11" s="23">
        <f t="shared" si="224"/>
        <v>0</v>
      </c>
      <c r="TA11" s="23">
        <f t="shared" si="225"/>
        <v>13.350000000000001</v>
      </c>
      <c r="TB11" s="23">
        <f t="shared" si="226"/>
        <v>9.35</v>
      </c>
      <c r="TC11" s="23">
        <f t="shared" si="227"/>
        <v>15.3</v>
      </c>
      <c r="TD11" s="23">
        <f t="shared" si="228"/>
        <v>15.205</v>
      </c>
      <c r="TE11" s="23">
        <f t="shared" si="229"/>
        <v>0</v>
      </c>
      <c r="TF11" s="23">
        <f t="shared" si="230"/>
        <v>8.4</v>
      </c>
      <c r="TG11" s="23">
        <f t="shared" si="231"/>
        <v>5.75</v>
      </c>
      <c r="TH11" s="23">
        <f t="shared" si="232"/>
        <v>9.75</v>
      </c>
      <c r="TI11" s="23">
        <f t="shared" si="233"/>
        <v>10.23</v>
      </c>
      <c r="TJ11" s="23">
        <f t="shared" si="234"/>
        <v>0</v>
      </c>
      <c r="TK11" s="28" t="s">
        <v>57</v>
      </c>
      <c r="TL11" s="41">
        <f t="shared" si="235"/>
        <v>3.75</v>
      </c>
      <c r="TM11" s="41">
        <f t="shared" si="236"/>
        <v>3.34</v>
      </c>
      <c r="TN11" s="41">
        <f t="shared" si="237"/>
        <v>11.94</v>
      </c>
      <c r="TO11" s="41">
        <f t="shared" si="238"/>
        <v>15.3</v>
      </c>
      <c r="TP11" s="41">
        <f t="shared" si="239"/>
        <v>15.205</v>
      </c>
      <c r="TQ11" s="41">
        <f t="shared" si="240"/>
        <v>53.204999999999998</v>
      </c>
      <c r="TR11" s="41">
        <f t="shared" si="241"/>
        <v>53.204999999999998</v>
      </c>
      <c r="TS11" s="41">
        <f t="shared" si="242"/>
        <v>9.75</v>
      </c>
      <c r="TT11" s="41">
        <f t="shared" si="243"/>
        <v>10.23</v>
      </c>
      <c r="TU11" s="41">
        <f t="shared" si="244"/>
        <v>34.129999999999995</v>
      </c>
      <c r="TV11" s="41">
        <f t="shared" si="245"/>
        <v>87.334999999999994</v>
      </c>
    </row>
    <row r="12" spans="1:542" x14ac:dyDescent="0.2">
      <c r="A12" s="4" t="str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/>
      </c>
      <c r="B12" s="5" t="s">
        <v>93</v>
      </c>
      <c r="C12" s="4" t="s">
        <v>3</v>
      </c>
      <c r="D12" s="4">
        <v>1988</v>
      </c>
      <c r="E12" s="9">
        <f t="shared" si="0"/>
        <v>233.38002333800529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IF(COUNT(AQ12,AT12,BR12,BU12,CS12,CV12)&gt;0,LARGE((AQ12,AT12,BR12,BU12,CS12,CV12),1),0)</f>
        <v>52.900000000000006</v>
      </c>
      <c r="K12" s="8" t="str">
        <f t="shared" si="5"/>
        <v>2023 Domestic 3rd Trial</v>
      </c>
      <c r="L12" s="8">
        <f>IF(COUNT(AQ12,AT12,BR12,BU12,CS12,CV12)&gt;1,LARGE((AQ12,AT12,BR12,BU12,CS12,CV12),2),0)</f>
        <v>51.22</v>
      </c>
      <c r="M12" s="8" t="str">
        <f t="shared" si="6"/>
        <v>2023 Domestic 3rd Trial</v>
      </c>
      <c r="N12" s="8">
        <f>IF(COUNT(AQ12,AT12,BR12,BU12,CS12,CV12)&gt;2,LARGE((AQ12,AT12,BR12,BU12,CS12,CV12),3),0)</f>
        <v>48.04</v>
      </c>
      <c r="O12" s="8" t="str">
        <f t="shared" si="7"/>
        <v>2023 Nationals</v>
      </c>
      <c r="P12" s="8">
        <f t="shared" si="8"/>
        <v>50.400000000000006</v>
      </c>
      <c r="Q12" s="8" t="str">
        <f t="shared" si="9"/>
        <v>2023 Nationals</v>
      </c>
      <c r="R12" s="8">
        <f t="shared" si="10"/>
        <v>15.4</v>
      </c>
      <c r="S12" s="8" t="str">
        <f t="shared" si="11"/>
        <v>2023 Domestic 3rd Trial</v>
      </c>
      <c r="T12" s="8">
        <f t="shared" si="12"/>
        <v>15.42</v>
      </c>
      <c r="U12" s="8" t="str">
        <f t="shared" si="13"/>
        <v>2023 Domestic 3rd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8"/>
      <c r="AO12" s="39" t="str">
        <f t="shared" si="17"/>
        <v/>
      </c>
      <c r="AP12" s="39" t="str">
        <f t="shared" si="18"/>
        <v/>
      </c>
      <c r="AQ12" s="41" t="str">
        <f t="shared" si="19"/>
        <v/>
      </c>
      <c r="AR12" s="41" t="str">
        <f t="shared" si="20"/>
        <v/>
      </c>
      <c r="AS12" s="41" t="str">
        <f t="shared" si="21"/>
        <v/>
      </c>
      <c r="AT12" s="41" t="str">
        <f t="shared" si="22"/>
        <v/>
      </c>
      <c r="AU12" s="41" t="str">
        <f t="shared" si="23"/>
        <v/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 t="str">
        <f t="shared" si="27"/>
        <v/>
      </c>
      <c r="AZ12" s="27">
        <v>13.5</v>
      </c>
      <c r="BA12" s="27">
        <v>8.8000000000000007</v>
      </c>
      <c r="BB12" s="27">
        <v>11.3</v>
      </c>
      <c r="BC12" s="27">
        <v>14.44</v>
      </c>
      <c r="BD12" s="27">
        <v>0</v>
      </c>
      <c r="BE12" s="27">
        <v>1.6</v>
      </c>
      <c r="BF12" s="27">
        <v>0.9</v>
      </c>
      <c r="BG12" s="27">
        <v>2</v>
      </c>
      <c r="BH12" s="27">
        <v>1.59</v>
      </c>
      <c r="BI12" s="27">
        <v>0</v>
      </c>
      <c r="BJ12" s="27">
        <v>12.8</v>
      </c>
      <c r="BK12" s="27">
        <v>8.9</v>
      </c>
      <c r="BL12" s="27">
        <v>14.4</v>
      </c>
      <c r="BM12" s="27">
        <v>14.3</v>
      </c>
      <c r="BN12" s="27">
        <v>0</v>
      </c>
      <c r="BO12" s="29"/>
      <c r="BP12" s="40">
        <f t="shared" si="28"/>
        <v>11.3</v>
      </c>
      <c r="BQ12" s="40">
        <f t="shared" si="29"/>
        <v>14.44</v>
      </c>
      <c r="BR12" s="11">
        <f t="shared" si="30"/>
        <v>48.04</v>
      </c>
      <c r="BS12" s="11">
        <f t="shared" si="31"/>
        <v>2</v>
      </c>
      <c r="BT12" s="11">
        <f t="shared" si="32"/>
        <v>1.59</v>
      </c>
      <c r="BU12" s="11">
        <f t="shared" si="33"/>
        <v>6.09</v>
      </c>
      <c r="BV12" s="11">
        <f t="shared" si="34"/>
        <v>48.04</v>
      </c>
      <c r="BW12" s="11">
        <f t="shared" si="35"/>
        <v>14.4</v>
      </c>
      <c r="BX12" s="11">
        <f t="shared" si="36"/>
        <v>14.3</v>
      </c>
      <c r="BY12" s="11">
        <f t="shared" si="37"/>
        <v>50.400000000000006</v>
      </c>
      <c r="BZ12" s="11">
        <f t="shared" si="38"/>
        <v>98.44</v>
      </c>
      <c r="CA12" s="23">
        <v>13.2</v>
      </c>
      <c r="CB12" s="23">
        <v>9</v>
      </c>
      <c r="CC12" s="23">
        <v>15.4</v>
      </c>
      <c r="CD12" s="23">
        <v>15.3</v>
      </c>
      <c r="CE12" s="23">
        <v>0</v>
      </c>
      <c r="CF12" s="23">
        <v>11.9</v>
      </c>
      <c r="CG12" s="23">
        <v>8.5</v>
      </c>
      <c r="CH12" s="23">
        <v>15.4</v>
      </c>
      <c r="CI12" s="23">
        <v>15.42</v>
      </c>
      <c r="CJ12" s="23">
        <v>0</v>
      </c>
      <c r="CK12" s="23">
        <v>2.8</v>
      </c>
      <c r="CL12" s="23">
        <v>1.6</v>
      </c>
      <c r="CM12" s="23">
        <v>3.4</v>
      </c>
      <c r="CN12" s="23">
        <v>3.28</v>
      </c>
      <c r="CO12" s="23">
        <v>0</v>
      </c>
      <c r="CP12" s="28"/>
      <c r="CQ12" s="39">
        <f t="shared" si="39"/>
        <v>15.4</v>
      </c>
      <c r="CR12" s="39">
        <f t="shared" si="40"/>
        <v>15.3</v>
      </c>
      <c r="CS12" s="41">
        <f t="shared" si="41"/>
        <v>52.900000000000006</v>
      </c>
      <c r="CT12" s="41">
        <f t="shared" si="42"/>
        <v>15.4</v>
      </c>
      <c r="CU12" s="41">
        <f t="shared" si="43"/>
        <v>15.42</v>
      </c>
      <c r="CV12" s="41">
        <f t="shared" si="44"/>
        <v>51.22</v>
      </c>
      <c r="CW12" s="41">
        <f t="shared" si="45"/>
        <v>52.900000000000006</v>
      </c>
      <c r="CX12" s="41">
        <f t="shared" si="46"/>
        <v>3.4</v>
      </c>
      <c r="CY12" s="41">
        <f t="shared" si="47"/>
        <v>3.28</v>
      </c>
      <c r="CZ12" s="41">
        <f t="shared" si="48"/>
        <v>11.08</v>
      </c>
      <c r="DA12" s="41">
        <f t="shared" si="49"/>
        <v>63.980000000000004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13.35</v>
      </c>
      <c r="SW12" s="23">
        <f t="shared" si="221"/>
        <v>8.9</v>
      </c>
      <c r="SX12" s="23">
        <f t="shared" si="222"/>
        <v>13.350000000000001</v>
      </c>
      <c r="SY12" s="23">
        <f t="shared" si="223"/>
        <v>14.870000000000001</v>
      </c>
      <c r="SZ12" s="23">
        <f t="shared" si="224"/>
        <v>0</v>
      </c>
      <c r="TA12" s="23">
        <f t="shared" si="225"/>
        <v>6.75</v>
      </c>
      <c r="TB12" s="23">
        <f t="shared" si="226"/>
        <v>4.7</v>
      </c>
      <c r="TC12" s="23">
        <f t="shared" si="227"/>
        <v>8.6999999999999993</v>
      </c>
      <c r="TD12" s="23">
        <f t="shared" si="228"/>
        <v>8.5050000000000008</v>
      </c>
      <c r="TE12" s="23">
        <f t="shared" si="229"/>
        <v>0</v>
      </c>
      <c r="TF12" s="23">
        <f t="shared" si="230"/>
        <v>7.8000000000000007</v>
      </c>
      <c r="TG12" s="23">
        <f t="shared" si="231"/>
        <v>5.25</v>
      </c>
      <c r="TH12" s="23">
        <f t="shared" si="232"/>
        <v>8.9</v>
      </c>
      <c r="TI12" s="23">
        <f t="shared" si="233"/>
        <v>8.7900000000000009</v>
      </c>
      <c r="TJ12" s="23">
        <f t="shared" si="234"/>
        <v>0</v>
      </c>
      <c r="TK12" s="28" t="s">
        <v>57</v>
      </c>
      <c r="TL12" s="41">
        <f t="shared" si="235"/>
        <v>13.350000000000001</v>
      </c>
      <c r="TM12" s="41">
        <f t="shared" si="236"/>
        <v>14.870000000000001</v>
      </c>
      <c r="TN12" s="41">
        <f t="shared" si="237"/>
        <v>50.47</v>
      </c>
      <c r="TO12" s="41">
        <f t="shared" si="238"/>
        <v>8.6999999999999993</v>
      </c>
      <c r="TP12" s="41">
        <f t="shared" si="239"/>
        <v>8.5050000000000008</v>
      </c>
      <c r="TQ12" s="41">
        <f t="shared" si="240"/>
        <v>28.655000000000001</v>
      </c>
      <c r="TR12" s="41">
        <f t="shared" si="241"/>
        <v>50.47</v>
      </c>
      <c r="TS12" s="41">
        <f t="shared" si="242"/>
        <v>8.9</v>
      </c>
      <c r="TT12" s="41">
        <f t="shared" si="243"/>
        <v>8.7900000000000009</v>
      </c>
      <c r="TU12" s="41">
        <f t="shared" si="244"/>
        <v>30.740000000000002</v>
      </c>
      <c r="TV12" s="41">
        <f t="shared" si="245"/>
        <v>81.210000000000008</v>
      </c>
    </row>
    <row r="13" spans="1:542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8</v>
      </c>
      <c r="B13" s="5" t="s">
        <v>126</v>
      </c>
      <c r="C13" s="4" t="s">
        <v>8</v>
      </c>
      <c r="D13" s="4">
        <v>2005</v>
      </c>
      <c r="E13" s="9">
        <f t="shared" si="0"/>
        <v>232.17002319800551</v>
      </c>
      <c r="F13" s="3" t="str">
        <f t="shared" si="1"/>
        <v/>
      </c>
      <c r="G13" s="3" t="str">
        <f t="shared" si="2"/>
        <v>P</v>
      </c>
      <c r="H13" s="37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55.14</v>
      </c>
      <c r="K13" s="8" t="str">
        <f t="shared" si="5"/>
        <v>2023 Nationals</v>
      </c>
      <c r="L13" s="8">
        <f>IF(COUNT(AQ13,AT13,BR13,BU13,CS13,CV13)&gt;1,LARGE((AQ13,AT13,BR13,BU13,CS13,CV13),2),0)</f>
        <v>54.33</v>
      </c>
      <c r="M13" s="8" t="str">
        <f t="shared" si="6"/>
        <v>2023 Nationals</v>
      </c>
      <c r="N13" s="8">
        <f>IF(COUNT(AQ13,AT13,BR13,BU13,CS13,CV13)&gt;2,LARGE((AQ13,AT13,BR13,BU13,CS13,CV13),3),0)</f>
        <v>53.98</v>
      </c>
      <c r="O13" s="8" t="str">
        <f t="shared" si="7"/>
        <v>2023 Elite Canada</v>
      </c>
      <c r="P13" s="8">
        <f t="shared" si="8"/>
        <v>54.13</v>
      </c>
      <c r="Q13" s="8" t="str">
        <f t="shared" si="9"/>
        <v>2023 Nationals</v>
      </c>
      <c r="R13" s="8">
        <f t="shared" si="10"/>
        <v>14.4</v>
      </c>
      <c r="S13" s="8" t="str">
        <f t="shared" si="11"/>
        <v>2023 Nationals</v>
      </c>
      <c r="T13" s="8">
        <f t="shared" si="12"/>
        <v>0</v>
      </c>
      <c r="U13" s="8" t="str">
        <f t="shared" si="13"/>
        <v/>
      </c>
      <c r="V13" s="8">
        <f t="shared" si="14"/>
        <v>0.18999999999999773</v>
      </c>
      <c r="W13" s="11" t="str">
        <f t="shared" si="15"/>
        <v>(Prelim)</v>
      </c>
      <c r="X13" s="8" t="str">
        <f t="shared" si="16"/>
        <v>2023 Pan Am Club Championships (May 14)</v>
      </c>
      <c r="Y13" s="23">
        <v>15.7</v>
      </c>
      <c r="Z13" s="23">
        <v>9.1</v>
      </c>
      <c r="AA13" s="23">
        <v>14.4</v>
      </c>
      <c r="AB13" s="23">
        <v>14.78</v>
      </c>
      <c r="AC13" s="23">
        <v>0</v>
      </c>
      <c r="AD13" s="23">
        <v>15.3</v>
      </c>
      <c r="AE13" s="23">
        <v>9.1999999999999993</v>
      </c>
      <c r="AF13" s="23">
        <v>14.2</v>
      </c>
      <c r="AG13" s="23">
        <v>14.51</v>
      </c>
      <c r="AH13" s="23">
        <v>0</v>
      </c>
      <c r="AI13" s="23">
        <v>6.5</v>
      </c>
      <c r="AJ13" s="23">
        <v>3.7</v>
      </c>
      <c r="AK13" s="23">
        <v>6.1</v>
      </c>
      <c r="AL13" s="23">
        <v>6.26</v>
      </c>
      <c r="AM13" s="23">
        <v>0</v>
      </c>
      <c r="AN13" s="28"/>
      <c r="AO13" s="39">
        <f t="shared" si="17"/>
        <v>14.4</v>
      </c>
      <c r="AP13" s="39">
        <f t="shared" si="18"/>
        <v>14.78</v>
      </c>
      <c r="AQ13" s="41">
        <f t="shared" si="19"/>
        <v>53.98</v>
      </c>
      <c r="AR13" s="41">
        <f t="shared" si="20"/>
        <v>14.2</v>
      </c>
      <c r="AS13" s="41">
        <f t="shared" si="21"/>
        <v>14.51</v>
      </c>
      <c r="AT13" s="41">
        <f t="shared" si="22"/>
        <v>53.21</v>
      </c>
      <c r="AU13" s="41">
        <f t="shared" si="23"/>
        <v>53.98</v>
      </c>
      <c r="AV13" s="41">
        <f t="shared" si="24"/>
        <v>6.1</v>
      </c>
      <c r="AW13" s="41">
        <f t="shared" si="25"/>
        <v>6.26</v>
      </c>
      <c r="AX13" s="41">
        <f t="shared" si="26"/>
        <v>22.559999999999995</v>
      </c>
      <c r="AY13" s="41">
        <f t="shared" si="27"/>
        <v>76.539999999999992</v>
      </c>
      <c r="AZ13" s="27">
        <v>15.9</v>
      </c>
      <c r="BA13" s="27">
        <v>9.1</v>
      </c>
      <c r="BB13" s="27">
        <v>14.4</v>
      </c>
      <c r="BC13" s="27">
        <v>14.93</v>
      </c>
      <c r="BD13" s="27">
        <v>0</v>
      </c>
      <c r="BE13" s="27">
        <v>16.399999999999999</v>
      </c>
      <c r="BF13" s="27">
        <v>9.1999999999999993</v>
      </c>
      <c r="BG13" s="27">
        <v>14.4</v>
      </c>
      <c r="BH13" s="27">
        <v>15.14</v>
      </c>
      <c r="BI13" s="27">
        <v>0</v>
      </c>
      <c r="BJ13" s="27">
        <v>15.3</v>
      </c>
      <c r="BK13" s="27">
        <v>9.4</v>
      </c>
      <c r="BL13" s="27">
        <v>14.4</v>
      </c>
      <c r="BM13" s="27">
        <v>15.03</v>
      </c>
      <c r="BN13" s="27">
        <v>0</v>
      </c>
      <c r="BO13" s="29"/>
      <c r="BP13" s="40">
        <f t="shared" si="28"/>
        <v>14.4</v>
      </c>
      <c r="BQ13" s="40">
        <f t="shared" si="29"/>
        <v>14.93</v>
      </c>
      <c r="BR13" s="11">
        <f t="shared" si="30"/>
        <v>54.33</v>
      </c>
      <c r="BS13" s="11">
        <f t="shared" si="31"/>
        <v>14.4</v>
      </c>
      <c r="BT13" s="11">
        <f t="shared" si="32"/>
        <v>15.14</v>
      </c>
      <c r="BU13" s="11">
        <f t="shared" si="33"/>
        <v>55.14</v>
      </c>
      <c r="BV13" s="11">
        <f t="shared" si="34"/>
        <v>55.14</v>
      </c>
      <c r="BW13" s="11">
        <f t="shared" si="35"/>
        <v>14.4</v>
      </c>
      <c r="BX13" s="11">
        <f t="shared" si="36"/>
        <v>15.03</v>
      </c>
      <c r="BY13" s="11">
        <f t="shared" si="37"/>
        <v>54.13</v>
      </c>
      <c r="BZ13" s="11">
        <f t="shared" si="38"/>
        <v>109.27000000000001</v>
      </c>
      <c r="CA13" s="23">
        <v>5.8</v>
      </c>
      <c r="CB13" s="23">
        <v>3.4</v>
      </c>
      <c r="CC13" s="23">
        <v>5.9</v>
      </c>
      <c r="CD13" s="23">
        <v>6.18</v>
      </c>
      <c r="CE13" s="23">
        <v>0</v>
      </c>
      <c r="CF13" s="23">
        <v>5.7</v>
      </c>
      <c r="CG13" s="23">
        <v>3.3</v>
      </c>
      <c r="CH13" s="23">
        <v>5.9</v>
      </c>
      <c r="CI13" s="23">
        <v>6.13</v>
      </c>
      <c r="CJ13" s="23">
        <v>0</v>
      </c>
      <c r="CK13" s="23"/>
      <c r="CL13" s="23"/>
      <c r="CM13" s="23"/>
      <c r="CN13" s="23"/>
      <c r="CO13" s="23"/>
      <c r="CP13" s="28"/>
      <c r="CQ13" s="39">
        <f t="shared" si="39"/>
        <v>5.9</v>
      </c>
      <c r="CR13" s="39">
        <f t="shared" si="40"/>
        <v>6.18</v>
      </c>
      <c r="CS13" s="41">
        <f t="shared" si="41"/>
        <v>21.28</v>
      </c>
      <c r="CT13" s="41">
        <f t="shared" si="42"/>
        <v>5.9</v>
      </c>
      <c r="CU13" s="41">
        <f t="shared" si="43"/>
        <v>6.13</v>
      </c>
      <c r="CV13" s="41">
        <f t="shared" si="44"/>
        <v>21.03</v>
      </c>
      <c r="CW13" s="41">
        <f t="shared" si="45"/>
        <v>21.28</v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>
        <f t="shared" si="49"/>
        <v>21.28</v>
      </c>
      <c r="DB13" s="52">
        <f t="shared" si="50"/>
        <v>0.18999999999999773</v>
      </c>
      <c r="DC13" s="52" t="str">
        <f t="shared" si="51"/>
        <v/>
      </c>
      <c r="DD13" s="17">
        <v>15.2</v>
      </c>
      <c r="DE13" s="17">
        <v>9.5</v>
      </c>
      <c r="DF13" s="17">
        <v>14.4</v>
      </c>
      <c r="DG13" s="17">
        <v>14.7</v>
      </c>
      <c r="DH13" s="17">
        <v>0</v>
      </c>
      <c r="DI13" s="17">
        <v>15.7</v>
      </c>
      <c r="DJ13" s="17">
        <v>9.1</v>
      </c>
      <c r="DK13" s="17">
        <v>14.4</v>
      </c>
      <c r="DL13" s="17">
        <v>14.97</v>
      </c>
      <c r="DM13" s="17">
        <v>0</v>
      </c>
      <c r="DN13" s="17"/>
      <c r="DO13" s="17"/>
      <c r="DP13" s="17"/>
      <c r="DQ13" s="17"/>
      <c r="DR13" s="17"/>
      <c r="DS13" s="17">
        <v>15.3</v>
      </c>
      <c r="DT13" s="17">
        <v>8.8000000000000007</v>
      </c>
      <c r="DU13" s="17">
        <v>14.4</v>
      </c>
      <c r="DV13" s="17">
        <v>14.8</v>
      </c>
      <c r="DW13" s="17">
        <v>0</v>
      </c>
      <c r="DX13" s="41">
        <f t="shared" si="52"/>
        <v>14.4</v>
      </c>
      <c r="DY13" s="41">
        <f t="shared" si="53"/>
        <v>14.7</v>
      </c>
      <c r="DZ13" s="41">
        <f t="shared" si="54"/>
        <v>53.8</v>
      </c>
      <c r="EA13" s="41">
        <f t="shared" si="55"/>
        <v>14.4</v>
      </c>
      <c r="EB13" s="41">
        <f t="shared" si="56"/>
        <v>14.97</v>
      </c>
      <c r="EC13" s="41">
        <f t="shared" si="57"/>
        <v>54.169999999999995</v>
      </c>
      <c r="ED13" s="41">
        <f t="shared" si="58"/>
        <v>54.169999999999995</v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>
        <f t="shared" si="62"/>
        <v>14.4</v>
      </c>
      <c r="EI13" s="41">
        <f t="shared" si="63"/>
        <v>14.8</v>
      </c>
      <c r="EJ13" s="41">
        <f t="shared" si="64"/>
        <v>53.3</v>
      </c>
      <c r="EK13" s="41">
        <f t="shared" si="65"/>
        <v>107.47</v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>
        <v>4.0999999999999996</v>
      </c>
      <c r="QG13" s="17">
        <v>2.5</v>
      </c>
      <c r="QH13" s="17">
        <v>5.0999999999999996</v>
      </c>
      <c r="QI13" s="17">
        <v>4.79</v>
      </c>
      <c r="QJ13" s="17">
        <v>0</v>
      </c>
      <c r="QK13" s="17">
        <v>4.3</v>
      </c>
      <c r="QL13" s="17">
        <v>2.7</v>
      </c>
      <c r="QM13" s="17">
        <v>5.0999999999999996</v>
      </c>
      <c r="QN13" s="17">
        <v>4.83</v>
      </c>
      <c r="QO13" s="17">
        <v>0</v>
      </c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>
        <f t="shared" si="192"/>
        <v>5.0999999999999996</v>
      </c>
      <c r="RA13" s="41">
        <f t="shared" si="193"/>
        <v>4.79</v>
      </c>
      <c r="RB13" s="41">
        <f t="shared" si="194"/>
        <v>16.489999999999998</v>
      </c>
      <c r="RC13" s="41">
        <f t="shared" si="195"/>
        <v>5.0999999999999996</v>
      </c>
      <c r="RD13" s="41">
        <f t="shared" si="196"/>
        <v>4.83</v>
      </c>
      <c r="RE13" s="41">
        <f t="shared" si="197"/>
        <v>16.93</v>
      </c>
      <c r="RF13" s="41">
        <f t="shared" si="198"/>
        <v>16.93</v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>
        <f t="shared" si="205"/>
        <v>16.93</v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10.85</v>
      </c>
      <c r="SW13" s="23">
        <f t="shared" si="221"/>
        <v>6.25</v>
      </c>
      <c r="SX13" s="23">
        <f t="shared" si="222"/>
        <v>10.15</v>
      </c>
      <c r="SY13" s="23">
        <f t="shared" si="223"/>
        <v>10.555</v>
      </c>
      <c r="SZ13" s="23">
        <f t="shared" si="224"/>
        <v>0</v>
      </c>
      <c r="TA13" s="23">
        <f t="shared" si="225"/>
        <v>11.049999999999999</v>
      </c>
      <c r="TB13" s="23">
        <f t="shared" si="226"/>
        <v>6.25</v>
      </c>
      <c r="TC13" s="23">
        <f t="shared" si="227"/>
        <v>10.15</v>
      </c>
      <c r="TD13" s="23">
        <f t="shared" si="228"/>
        <v>10.635</v>
      </c>
      <c r="TE13" s="23">
        <f t="shared" si="229"/>
        <v>0</v>
      </c>
      <c r="TF13" s="23">
        <f t="shared" si="230"/>
        <v>7.65</v>
      </c>
      <c r="TG13" s="23">
        <f t="shared" si="231"/>
        <v>4.7</v>
      </c>
      <c r="TH13" s="23">
        <f t="shared" si="232"/>
        <v>7.2</v>
      </c>
      <c r="TI13" s="23">
        <f t="shared" si="233"/>
        <v>7.5149999999999997</v>
      </c>
      <c r="TJ13" s="23">
        <f t="shared" si="234"/>
        <v>0</v>
      </c>
      <c r="TK13" s="28" t="s">
        <v>57</v>
      </c>
      <c r="TL13" s="41">
        <f t="shared" si="235"/>
        <v>10.15</v>
      </c>
      <c r="TM13" s="41">
        <f t="shared" si="236"/>
        <v>10.555</v>
      </c>
      <c r="TN13" s="41">
        <f t="shared" si="237"/>
        <v>37.805</v>
      </c>
      <c r="TO13" s="41">
        <f t="shared" si="238"/>
        <v>10.15</v>
      </c>
      <c r="TP13" s="41">
        <f t="shared" si="239"/>
        <v>10.635</v>
      </c>
      <c r="TQ13" s="41">
        <f t="shared" si="240"/>
        <v>38.084999999999994</v>
      </c>
      <c r="TR13" s="41">
        <f t="shared" si="241"/>
        <v>38.084999999999994</v>
      </c>
      <c r="TS13" s="41">
        <f t="shared" si="242"/>
        <v>7.2</v>
      </c>
      <c r="TT13" s="41">
        <f t="shared" si="243"/>
        <v>7.5149999999999997</v>
      </c>
      <c r="TU13" s="41">
        <f t="shared" si="244"/>
        <v>27.065000000000001</v>
      </c>
      <c r="TV13" s="41">
        <f t="shared" si="245"/>
        <v>65.149999999999991</v>
      </c>
    </row>
    <row r="14" spans="1:542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9</v>
      </c>
      <c r="B14" s="5" t="s">
        <v>152</v>
      </c>
      <c r="C14" s="4" t="s">
        <v>151</v>
      </c>
      <c r="D14" s="4">
        <v>2004</v>
      </c>
      <c r="E14" s="9">
        <f t="shared" si="0"/>
        <v>230.70002208200546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54.769999999999996</v>
      </c>
      <c r="K14" s="8" t="str">
        <f t="shared" si="5"/>
        <v>2023 Elite Canada</v>
      </c>
      <c r="L14" s="8">
        <f>IF(COUNT(AQ14,AT14,BR14,BU14,CS14,CV14)&gt;1,LARGE((AQ14,AT14,BR14,BU14,CS14,CV14),2),0)</f>
        <v>53.910000000000004</v>
      </c>
      <c r="M14" s="8" t="str">
        <f t="shared" si="6"/>
        <v>2023 Domestic 3rd Trial</v>
      </c>
      <c r="N14" s="8">
        <f>IF(COUNT(AQ14,AT14,BR14,BU14,CS14,CV14)&gt;2,LARGE((AQ14,AT14,BR14,BU14,CS14,CV14),3),0)</f>
        <v>43.65</v>
      </c>
      <c r="O14" s="8" t="str">
        <f t="shared" si="7"/>
        <v>2023 Elite Canada</v>
      </c>
      <c r="P14" s="8">
        <f t="shared" si="8"/>
        <v>54.489999999999995</v>
      </c>
      <c r="Q14" s="8" t="str">
        <f t="shared" si="9"/>
        <v>2023 Domestic 3rd Trial</v>
      </c>
      <c r="R14" s="8">
        <f t="shared" si="10"/>
        <v>14</v>
      </c>
      <c r="S14" s="8" t="str">
        <f t="shared" si="11"/>
        <v>2023 Domestic 3rd Trial</v>
      </c>
      <c r="T14" s="8">
        <f t="shared" si="12"/>
        <v>0</v>
      </c>
      <c r="U14" s="8" t="str">
        <f t="shared" si="13"/>
        <v/>
      </c>
      <c r="V14" s="8">
        <f t="shared" si="14"/>
        <v>9.8800000000000026</v>
      </c>
      <c r="W14" s="11" t="str">
        <f t="shared" si="15"/>
        <v>(Prelim)</v>
      </c>
      <c r="X14" s="8" t="str">
        <f t="shared" si="16"/>
        <v>2023 Pan Am Club Championships (May 14)</v>
      </c>
      <c r="Y14" s="23">
        <v>12.2</v>
      </c>
      <c r="Z14" s="23">
        <v>8.1999999999999993</v>
      </c>
      <c r="AA14" s="23">
        <v>10.7</v>
      </c>
      <c r="AB14" s="23">
        <v>12.55</v>
      </c>
      <c r="AC14" s="23">
        <v>0</v>
      </c>
      <c r="AD14" s="23">
        <v>16</v>
      </c>
      <c r="AE14" s="23">
        <v>9.5</v>
      </c>
      <c r="AF14" s="23">
        <v>13.4</v>
      </c>
      <c r="AG14" s="23">
        <v>15.97</v>
      </c>
      <c r="AH14" s="23">
        <v>0.1</v>
      </c>
      <c r="AI14" s="23">
        <v>14.7</v>
      </c>
      <c r="AJ14" s="23">
        <v>8.9</v>
      </c>
      <c r="AK14" s="23">
        <v>13.4</v>
      </c>
      <c r="AL14" s="23">
        <v>15.87</v>
      </c>
      <c r="AM14" s="23">
        <v>0.1</v>
      </c>
      <c r="AN14" s="28"/>
      <c r="AO14" s="39">
        <f t="shared" si="17"/>
        <v>10.7</v>
      </c>
      <c r="AP14" s="39">
        <f t="shared" si="18"/>
        <v>12.55</v>
      </c>
      <c r="AQ14" s="41">
        <f t="shared" si="19"/>
        <v>43.65</v>
      </c>
      <c r="AR14" s="41">
        <f t="shared" si="20"/>
        <v>13.4</v>
      </c>
      <c r="AS14" s="41">
        <f t="shared" si="21"/>
        <v>15.97</v>
      </c>
      <c r="AT14" s="41">
        <f t="shared" si="22"/>
        <v>54.769999999999996</v>
      </c>
      <c r="AU14" s="41">
        <f t="shared" si="23"/>
        <v>54.769999999999996</v>
      </c>
      <c r="AV14" s="41">
        <f t="shared" si="24"/>
        <v>13.4</v>
      </c>
      <c r="AW14" s="41">
        <f t="shared" si="25"/>
        <v>15.87</v>
      </c>
      <c r="AX14" s="41">
        <f t="shared" si="26"/>
        <v>52.769999999999996</v>
      </c>
      <c r="AY14" s="41">
        <f t="shared" si="27"/>
        <v>107.53999999999999</v>
      </c>
      <c r="AZ14" s="27">
        <v>6.85</v>
      </c>
      <c r="BA14" s="27">
        <v>4.5999999999999996</v>
      </c>
      <c r="BB14" s="27">
        <v>6.35</v>
      </c>
      <c r="BC14" s="27">
        <v>7.1800000000000006</v>
      </c>
      <c r="BD14" s="27">
        <v>0</v>
      </c>
      <c r="BE14" s="27">
        <v>10.9</v>
      </c>
      <c r="BF14" s="27">
        <v>6.65</v>
      </c>
      <c r="BG14" s="27">
        <v>9.4499999999999993</v>
      </c>
      <c r="BH14" s="27">
        <v>11.49</v>
      </c>
      <c r="BI14" s="27">
        <v>0.05</v>
      </c>
      <c r="BJ14" s="27">
        <v>7.35</v>
      </c>
      <c r="BK14" s="27">
        <v>4.45</v>
      </c>
      <c r="BL14" s="27">
        <v>6.7</v>
      </c>
      <c r="BM14" s="27">
        <v>7.9349999999999996</v>
      </c>
      <c r="BN14" s="27">
        <v>0.05</v>
      </c>
      <c r="BO14" s="29" t="s">
        <v>57</v>
      </c>
      <c r="BP14" s="40">
        <f t="shared" si="28"/>
        <v>6.35</v>
      </c>
      <c r="BQ14" s="40">
        <f t="shared" si="29"/>
        <v>7.1800000000000006</v>
      </c>
      <c r="BR14" s="11">
        <f t="shared" si="30"/>
        <v>24.979999999999997</v>
      </c>
      <c r="BS14" s="11">
        <f t="shared" si="31"/>
        <v>9.4499999999999993</v>
      </c>
      <c r="BT14" s="11">
        <f t="shared" si="32"/>
        <v>11.49</v>
      </c>
      <c r="BU14" s="11">
        <f t="shared" si="33"/>
        <v>38.440000000000005</v>
      </c>
      <c r="BV14" s="11">
        <f t="shared" si="34"/>
        <v>38.440000000000005</v>
      </c>
      <c r="BW14" s="11">
        <f t="shared" si="35"/>
        <v>6.7</v>
      </c>
      <c r="BX14" s="11">
        <f t="shared" si="36"/>
        <v>7.9349999999999996</v>
      </c>
      <c r="BY14" s="11">
        <f t="shared" si="37"/>
        <v>26.384999999999998</v>
      </c>
      <c r="BZ14" s="11">
        <f t="shared" si="38"/>
        <v>64.825000000000003</v>
      </c>
      <c r="CA14" s="23">
        <v>11.2</v>
      </c>
      <c r="CB14" s="23">
        <v>7.1</v>
      </c>
      <c r="CC14" s="23">
        <v>10.1</v>
      </c>
      <c r="CD14" s="23">
        <v>13.07</v>
      </c>
      <c r="CE14" s="23">
        <v>0</v>
      </c>
      <c r="CF14" s="23">
        <v>15.3</v>
      </c>
      <c r="CG14" s="23">
        <v>9</v>
      </c>
      <c r="CH14" s="23">
        <v>13.4</v>
      </c>
      <c r="CI14" s="23">
        <v>16.309999999999999</v>
      </c>
      <c r="CJ14" s="23">
        <v>0.1</v>
      </c>
      <c r="CK14" s="23">
        <v>15.8</v>
      </c>
      <c r="CL14" s="23">
        <v>8.5</v>
      </c>
      <c r="CM14" s="23">
        <v>14</v>
      </c>
      <c r="CN14" s="23">
        <v>16.190000000000001</v>
      </c>
      <c r="CO14" s="23">
        <v>0</v>
      </c>
      <c r="CP14" s="28"/>
      <c r="CQ14" s="39">
        <f t="shared" si="39"/>
        <v>10.1</v>
      </c>
      <c r="CR14" s="39">
        <f t="shared" si="40"/>
        <v>13.07</v>
      </c>
      <c r="CS14" s="41">
        <f t="shared" si="41"/>
        <v>41.47</v>
      </c>
      <c r="CT14" s="41">
        <f t="shared" si="42"/>
        <v>13.4</v>
      </c>
      <c r="CU14" s="41">
        <f t="shared" si="43"/>
        <v>16.309999999999999</v>
      </c>
      <c r="CV14" s="41">
        <f t="shared" si="44"/>
        <v>53.910000000000004</v>
      </c>
      <c r="CW14" s="41">
        <f t="shared" si="45"/>
        <v>53.910000000000004</v>
      </c>
      <c r="CX14" s="41">
        <f t="shared" si="46"/>
        <v>14</v>
      </c>
      <c r="CY14" s="41">
        <f t="shared" si="47"/>
        <v>16.190000000000001</v>
      </c>
      <c r="CZ14" s="41">
        <f t="shared" si="48"/>
        <v>54.489999999999995</v>
      </c>
      <c r="DA14" s="41">
        <f t="shared" si="49"/>
        <v>108.4</v>
      </c>
      <c r="DB14" s="52">
        <f t="shared" si="50"/>
        <v>9.8800000000000026</v>
      </c>
      <c r="DC14" s="52" t="str">
        <f t="shared" si="51"/>
        <v/>
      </c>
      <c r="DD14" s="17">
        <v>13.3</v>
      </c>
      <c r="DE14" s="17">
        <v>9.4</v>
      </c>
      <c r="DF14" s="17">
        <v>12.3</v>
      </c>
      <c r="DG14" s="17">
        <v>15.58</v>
      </c>
      <c r="DH14" s="17">
        <v>0</v>
      </c>
      <c r="DI14" s="17">
        <v>14.7</v>
      </c>
      <c r="DJ14" s="17">
        <v>9.1999999999999993</v>
      </c>
      <c r="DK14" s="17">
        <v>13.8</v>
      </c>
      <c r="DL14" s="17">
        <v>15.83</v>
      </c>
      <c r="DM14" s="17">
        <v>0</v>
      </c>
      <c r="DN14" s="17"/>
      <c r="DO14" s="17"/>
      <c r="DP14" s="17"/>
      <c r="DQ14" s="17"/>
      <c r="DR14" s="17"/>
      <c r="DS14" s="17">
        <v>15.1</v>
      </c>
      <c r="DT14" s="17">
        <v>8.8000000000000007</v>
      </c>
      <c r="DU14" s="17">
        <v>13.8</v>
      </c>
      <c r="DV14" s="17">
        <v>15.76</v>
      </c>
      <c r="DW14" s="17">
        <v>0</v>
      </c>
      <c r="DX14" s="41">
        <f t="shared" si="52"/>
        <v>12.3</v>
      </c>
      <c r="DY14" s="41">
        <f t="shared" si="53"/>
        <v>15.58</v>
      </c>
      <c r="DZ14" s="41">
        <f t="shared" si="54"/>
        <v>50.58</v>
      </c>
      <c r="EA14" s="41">
        <f t="shared" si="55"/>
        <v>13.8</v>
      </c>
      <c r="EB14" s="41">
        <f t="shared" si="56"/>
        <v>15.83</v>
      </c>
      <c r="EC14" s="41">
        <f t="shared" si="57"/>
        <v>53.53</v>
      </c>
      <c r="ED14" s="41">
        <f t="shared" si="58"/>
        <v>53.53</v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>
        <f t="shared" si="62"/>
        <v>13.8</v>
      </c>
      <c r="EI14" s="41">
        <f t="shared" si="63"/>
        <v>15.76</v>
      </c>
      <c r="EJ14" s="41">
        <f t="shared" si="64"/>
        <v>53.46</v>
      </c>
      <c r="EK14" s="41">
        <f t="shared" si="65"/>
        <v>106.99000000000001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9.0249999999999986</v>
      </c>
      <c r="SW14" s="23">
        <f t="shared" si="221"/>
        <v>5.85</v>
      </c>
      <c r="SX14" s="23">
        <f t="shared" si="222"/>
        <v>8.2249999999999996</v>
      </c>
      <c r="SY14" s="23">
        <f t="shared" si="223"/>
        <v>10.125</v>
      </c>
      <c r="SZ14" s="23">
        <f t="shared" si="224"/>
        <v>0</v>
      </c>
      <c r="TA14" s="23">
        <f t="shared" si="225"/>
        <v>13.100000000000001</v>
      </c>
      <c r="TB14" s="23">
        <f t="shared" si="226"/>
        <v>7.8250000000000002</v>
      </c>
      <c r="TC14" s="23">
        <f t="shared" si="227"/>
        <v>11.425000000000001</v>
      </c>
      <c r="TD14" s="23">
        <f t="shared" si="228"/>
        <v>13.899999999999999</v>
      </c>
      <c r="TE14" s="23">
        <f t="shared" si="229"/>
        <v>7.5000000000000011E-2</v>
      </c>
      <c r="TF14" s="23">
        <f t="shared" si="230"/>
        <v>11.574999999999999</v>
      </c>
      <c r="TG14" s="23">
        <f t="shared" si="231"/>
        <v>6.4749999999999996</v>
      </c>
      <c r="TH14" s="23">
        <f t="shared" si="232"/>
        <v>10.35</v>
      </c>
      <c r="TI14" s="23">
        <f t="shared" si="233"/>
        <v>12.0625</v>
      </c>
      <c r="TJ14" s="23">
        <f t="shared" si="234"/>
        <v>2.5000000000000001E-2</v>
      </c>
      <c r="TK14" s="28" t="s">
        <v>57</v>
      </c>
      <c r="TL14" s="41">
        <f t="shared" si="235"/>
        <v>8.2249999999999996</v>
      </c>
      <c r="TM14" s="41">
        <f t="shared" si="236"/>
        <v>10.125</v>
      </c>
      <c r="TN14" s="41">
        <f t="shared" si="237"/>
        <v>33.224999999999994</v>
      </c>
      <c r="TO14" s="41">
        <f t="shared" si="238"/>
        <v>11.425000000000001</v>
      </c>
      <c r="TP14" s="41">
        <f t="shared" si="239"/>
        <v>13.899999999999999</v>
      </c>
      <c r="TQ14" s="41">
        <f t="shared" si="240"/>
        <v>46.174999999999997</v>
      </c>
      <c r="TR14" s="41">
        <f t="shared" si="241"/>
        <v>46.174999999999997</v>
      </c>
      <c r="TS14" s="41">
        <f t="shared" si="242"/>
        <v>10.35</v>
      </c>
      <c r="TT14" s="41">
        <f t="shared" si="243"/>
        <v>12.0625</v>
      </c>
      <c r="TU14" s="41">
        <f t="shared" si="244"/>
        <v>40.4375</v>
      </c>
      <c r="TV14" s="41">
        <f t="shared" si="245"/>
        <v>86.612499999999997</v>
      </c>
    </row>
    <row r="15" spans="1:542" x14ac:dyDescent="0.2">
      <c r="A15" s="4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>10</v>
      </c>
      <c r="B15" s="5" t="s">
        <v>231</v>
      </c>
      <c r="C15" s="4" t="s">
        <v>3</v>
      </c>
      <c r="D15" s="4">
        <v>2005</v>
      </c>
      <c r="E15" s="9">
        <f t="shared" si="0"/>
        <v>226.29002261700543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54.05</v>
      </c>
      <c r="K15" s="8" t="str">
        <f t="shared" si="5"/>
        <v>2023 Nationals</v>
      </c>
      <c r="L15" s="8">
        <f>IF(COUNT(AQ15,AT15,BR15,BU15,CS15,CV15)&gt;1,LARGE((AQ15,AT15,BR15,BU15,CS15,CV15),2),0)</f>
        <v>53.04</v>
      </c>
      <c r="M15" s="8" t="str">
        <f t="shared" si="6"/>
        <v>2023 Nationals</v>
      </c>
      <c r="N15" s="8">
        <f>IF(COUNT(AQ15,AT15,BR15,BU15,CS15,CV15)&gt;2,LARGE((AQ15,AT15,BR15,BU15,CS15,CV15),3),0)</f>
        <v>51.749999999999993</v>
      </c>
      <c r="O15" s="8" t="str">
        <f t="shared" si="7"/>
        <v>2023 Domestic 3rd Trial</v>
      </c>
      <c r="P15" s="8">
        <f t="shared" si="8"/>
        <v>53.33</v>
      </c>
      <c r="Q15" s="8" t="str">
        <f t="shared" si="9"/>
        <v>2023 Nationals</v>
      </c>
      <c r="R15" s="8">
        <f t="shared" si="10"/>
        <v>14</v>
      </c>
      <c r="S15" s="8" t="str">
        <f t="shared" si="11"/>
        <v>2023 Domestic 3rd Trial</v>
      </c>
      <c r="T15" s="8">
        <f t="shared" si="12"/>
        <v>0</v>
      </c>
      <c r="U15" s="8" t="str">
        <f t="shared" si="13"/>
        <v/>
      </c>
      <c r="V15" s="8">
        <f t="shared" si="14"/>
        <v>0.12000000000001165</v>
      </c>
      <c r="W15" s="11" t="str">
        <f t="shared" si="15"/>
        <v>(Prelim)</v>
      </c>
      <c r="X15" s="8" t="str">
        <f t="shared" si="16"/>
        <v>2023 WAGC (Nov 18)</v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 t="shared" si="17"/>
        <v>5.6</v>
      </c>
      <c r="AP15" s="39">
        <f t="shared" si="18"/>
        <v>6.37</v>
      </c>
      <c r="AQ15" s="41">
        <f t="shared" si="19"/>
        <v>33.669999999999995</v>
      </c>
      <c r="AR15" s="41">
        <f t="shared" si="20"/>
        <v>11.5</v>
      </c>
      <c r="AS15" s="41">
        <f t="shared" si="21"/>
        <v>14.05</v>
      </c>
      <c r="AT15" s="41">
        <f t="shared" si="22"/>
        <v>49.25</v>
      </c>
      <c r="AU15" s="41">
        <f t="shared" si="23"/>
        <v>49.25</v>
      </c>
      <c r="AV15" s="41">
        <f t="shared" si="24"/>
        <v>12.7</v>
      </c>
      <c r="AW15" s="41">
        <f t="shared" si="25"/>
        <v>15.13</v>
      </c>
      <c r="AX15" s="41">
        <f t="shared" si="26"/>
        <v>48.73</v>
      </c>
      <c r="AY15" s="41">
        <f t="shared" si="27"/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 t="shared" si="28"/>
        <v>13.7</v>
      </c>
      <c r="BQ15" s="40">
        <f t="shared" si="29"/>
        <v>15.55</v>
      </c>
      <c r="BR15" s="11">
        <f t="shared" si="30"/>
        <v>54.05</v>
      </c>
      <c r="BS15" s="11">
        <f t="shared" si="31"/>
        <v>13.7</v>
      </c>
      <c r="BT15" s="11">
        <f t="shared" si="32"/>
        <v>15.24</v>
      </c>
      <c r="BU15" s="11">
        <f t="shared" si="33"/>
        <v>53.04</v>
      </c>
      <c r="BV15" s="11">
        <f t="shared" si="34"/>
        <v>54.05</v>
      </c>
      <c r="BW15" s="11">
        <f t="shared" si="35"/>
        <v>13.7</v>
      </c>
      <c r="BX15" s="11">
        <f t="shared" si="36"/>
        <v>15.53</v>
      </c>
      <c r="BY15" s="11">
        <f t="shared" si="37"/>
        <v>53.33</v>
      </c>
      <c r="BZ15" s="11">
        <f t="shared" si="38"/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 t="shared" si="39"/>
        <v>6.5</v>
      </c>
      <c r="CR15" s="39">
        <f t="shared" si="40"/>
        <v>6.48</v>
      </c>
      <c r="CS15" s="41">
        <f t="shared" si="41"/>
        <v>22.48</v>
      </c>
      <c r="CT15" s="41">
        <f t="shared" si="42"/>
        <v>14</v>
      </c>
      <c r="CU15" s="41">
        <f t="shared" si="43"/>
        <v>15.15</v>
      </c>
      <c r="CV15" s="41">
        <f t="shared" si="44"/>
        <v>51.749999999999993</v>
      </c>
      <c r="CW15" s="41">
        <f t="shared" si="45"/>
        <v>51.749999999999993</v>
      </c>
      <c r="CX15" s="41" t="str">
        <f t="shared" si="46"/>
        <v/>
      </c>
      <c r="CY15" s="41" t="str">
        <f t="shared" si="47"/>
        <v/>
      </c>
      <c r="CZ15" s="41" t="str">
        <f t="shared" si="48"/>
        <v/>
      </c>
      <c r="DA15" s="41">
        <f t="shared" si="49"/>
        <v>51.749999999999993</v>
      </c>
      <c r="DB15" s="52">
        <f t="shared" si="50"/>
        <v>0.12000000000001165</v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>
        <v>5.3</v>
      </c>
      <c r="QG15" s="17">
        <v>3.8</v>
      </c>
      <c r="QH15" s="17">
        <v>6.5</v>
      </c>
      <c r="QI15" s="17">
        <v>6.33</v>
      </c>
      <c r="QJ15" s="17">
        <v>0</v>
      </c>
      <c r="QK15" s="17">
        <v>13.3</v>
      </c>
      <c r="QL15" s="17">
        <v>9.3000000000000007</v>
      </c>
      <c r="QM15" s="17">
        <v>14</v>
      </c>
      <c r="QN15" s="17">
        <v>15.27</v>
      </c>
      <c r="QO15" s="17">
        <v>0</v>
      </c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>
        <f t="shared" si="192"/>
        <v>6.5</v>
      </c>
      <c r="RA15" s="41">
        <f t="shared" si="193"/>
        <v>6.33</v>
      </c>
      <c r="RB15" s="41">
        <f t="shared" si="194"/>
        <v>21.93</v>
      </c>
      <c r="RC15" s="41">
        <f t="shared" si="195"/>
        <v>14</v>
      </c>
      <c r="RD15" s="41">
        <f t="shared" si="196"/>
        <v>15.27</v>
      </c>
      <c r="RE15" s="41">
        <f t="shared" si="197"/>
        <v>51.870000000000005</v>
      </c>
      <c r="RF15" s="41">
        <f t="shared" si="198"/>
        <v>51.870000000000005</v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>
        <f t="shared" si="205"/>
        <v>51.870000000000005</v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10.55</v>
      </c>
      <c r="SW15" s="23">
        <f t="shared" si="221"/>
        <v>6.6</v>
      </c>
      <c r="SX15" s="23">
        <f t="shared" si="222"/>
        <v>10.1</v>
      </c>
      <c r="SY15" s="23">
        <f t="shared" si="223"/>
        <v>11.015000000000001</v>
      </c>
      <c r="SZ15" s="23">
        <f t="shared" si="224"/>
        <v>0</v>
      </c>
      <c r="TA15" s="23">
        <f t="shared" si="225"/>
        <v>14.3</v>
      </c>
      <c r="TB15" s="23">
        <f t="shared" si="226"/>
        <v>9.15</v>
      </c>
      <c r="TC15" s="23">
        <f t="shared" si="227"/>
        <v>13.85</v>
      </c>
      <c r="TD15" s="23">
        <f t="shared" si="228"/>
        <v>15.195</v>
      </c>
      <c r="TE15" s="23">
        <f t="shared" si="229"/>
        <v>0.1</v>
      </c>
      <c r="TF15" s="23">
        <f t="shared" si="230"/>
        <v>7.55</v>
      </c>
      <c r="TG15" s="23">
        <f t="shared" si="231"/>
        <v>4.5</v>
      </c>
      <c r="TH15" s="23">
        <f t="shared" si="232"/>
        <v>6.85</v>
      </c>
      <c r="TI15" s="23">
        <f t="shared" si="233"/>
        <v>7.7649999999999997</v>
      </c>
      <c r="TJ15" s="23">
        <f t="shared" si="234"/>
        <v>0</v>
      </c>
      <c r="TK15" s="28" t="s">
        <v>57</v>
      </c>
      <c r="TL15" s="41">
        <f t="shared" si="235"/>
        <v>10.1</v>
      </c>
      <c r="TM15" s="41">
        <f t="shared" si="236"/>
        <v>11.015000000000001</v>
      </c>
      <c r="TN15" s="41">
        <f t="shared" si="237"/>
        <v>38.265000000000001</v>
      </c>
      <c r="TO15" s="41">
        <f t="shared" si="238"/>
        <v>13.85</v>
      </c>
      <c r="TP15" s="41">
        <f t="shared" si="239"/>
        <v>15.195</v>
      </c>
      <c r="TQ15" s="41">
        <f t="shared" si="240"/>
        <v>52.395000000000003</v>
      </c>
      <c r="TR15" s="41">
        <f t="shared" si="241"/>
        <v>52.395000000000003</v>
      </c>
      <c r="TS15" s="41">
        <f t="shared" si="242"/>
        <v>6.85</v>
      </c>
      <c r="TT15" s="41">
        <f t="shared" si="243"/>
        <v>7.7649999999999997</v>
      </c>
      <c r="TU15" s="41">
        <f t="shared" si="244"/>
        <v>26.664999999999999</v>
      </c>
      <c r="TV15" s="41">
        <f t="shared" si="245"/>
        <v>79.06</v>
      </c>
    </row>
    <row r="16" spans="1:542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87</v>
      </c>
      <c r="C16" s="4" t="s">
        <v>5</v>
      </c>
      <c r="D16" s="4">
        <v>2003</v>
      </c>
      <c r="E16" s="9">
        <f t="shared" si="0"/>
        <v>223.40002223700523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52.440000000000005</v>
      </c>
      <c r="K16" s="8" t="str">
        <f t="shared" si="5"/>
        <v>2023 Domestic 3rd Trial</v>
      </c>
      <c r="L16" s="8">
        <f>IF(COUNT(AQ16,AT16,BR16,BU16,CS16,CV16)&gt;1,LARGE((AQ16,AT16,BR16,BU16,CS16,CV16),2),0)</f>
        <v>51.69</v>
      </c>
      <c r="M16" s="8" t="str">
        <f t="shared" si="6"/>
        <v>2023 Domestic 3rd Trial</v>
      </c>
      <c r="N16" s="8">
        <f>IF(COUNT(AQ16,AT16,BR16,BU16,CS16,CV16)&gt;2,LARGE((AQ16,AT16,BR16,BU16,CS16,CV16),3),0)</f>
        <v>50.85</v>
      </c>
      <c r="O16" s="8" t="str">
        <f t="shared" si="7"/>
        <v>2023 Elite Canada</v>
      </c>
      <c r="P16" s="8">
        <f t="shared" si="8"/>
        <v>52.790000000000006</v>
      </c>
      <c r="Q16" s="8" t="str">
        <f t="shared" si="9"/>
        <v>2023 Domestic 3rd Trial</v>
      </c>
      <c r="R16" s="8">
        <f t="shared" si="10"/>
        <v>14.6</v>
      </c>
      <c r="S16" s="8" t="str">
        <f t="shared" si="11"/>
        <v>2023 Domestic 3rd Trial</v>
      </c>
      <c r="T16" s="8">
        <f t="shared" si="12"/>
        <v>0</v>
      </c>
      <c r="U16" s="8" t="str">
        <f t="shared" si="13"/>
        <v/>
      </c>
      <c r="V16" s="8">
        <f t="shared" si="14"/>
        <v>1.029999999999994</v>
      </c>
      <c r="W16" s="11" t="str">
        <f t="shared" si="15"/>
        <v>(Prelim)</v>
      </c>
      <c r="X16" s="8" t="str">
        <f t="shared" si="16"/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 t="shared" si="17"/>
        <v>13.9</v>
      </c>
      <c r="AP16" s="39">
        <f t="shared" si="18"/>
        <v>13.99</v>
      </c>
      <c r="AQ16" s="41">
        <f t="shared" si="19"/>
        <v>50.39</v>
      </c>
      <c r="AR16" s="41">
        <f t="shared" si="20"/>
        <v>13.7</v>
      </c>
      <c r="AS16" s="41">
        <f t="shared" si="21"/>
        <v>14.35</v>
      </c>
      <c r="AT16" s="41">
        <f t="shared" si="22"/>
        <v>50.85</v>
      </c>
      <c r="AU16" s="41">
        <f t="shared" si="23"/>
        <v>50.85</v>
      </c>
      <c r="AV16" s="41">
        <f t="shared" si="24"/>
        <v>13.7</v>
      </c>
      <c r="AW16" s="41">
        <f t="shared" si="25"/>
        <v>14.64</v>
      </c>
      <c r="AX16" s="41">
        <f t="shared" si="26"/>
        <v>52.14</v>
      </c>
      <c r="AY16" s="41">
        <f t="shared" si="27"/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 t="shared" si="28"/>
        <v/>
      </c>
      <c r="BQ16" s="40" t="str">
        <f t="shared" si="29"/>
        <v/>
      </c>
      <c r="BR16" s="11" t="str">
        <f t="shared" si="30"/>
        <v/>
      </c>
      <c r="BS16" s="11">
        <f t="shared" si="31"/>
        <v>14.2</v>
      </c>
      <c r="BT16" s="11">
        <f t="shared" si="32"/>
        <v>14.45</v>
      </c>
      <c r="BU16" s="11">
        <f t="shared" si="33"/>
        <v>49.650000000000006</v>
      </c>
      <c r="BV16" s="11" t="str">
        <f t="shared" si="34"/>
        <v/>
      </c>
      <c r="BW16" s="11">
        <f t="shared" si="35"/>
        <v>4.9000000000000004</v>
      </c>
      <c r="BX16" s="11">
        <f t="shared" si="36"/>
        <v>4.71</v>
      </c>
      <c r="BY16" s="11">
        <f t="shared" si="37"/>
        <v>16.510000000000002</v>
      </c>
      <c r="BZ16" s="11">
        <f t="shared" si="38"/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 t="shared" si="39"/>
        <v>13.5</v>
      </c>
      <c r="CR16" s="39">
        <f t="shared" si="40"/>
        <v>15.24</v>
      </c>
      <c r="CS16" s="41">
        <f t="shared" si="41"/>
        <v>52.440000000000005</v>
      </c>
      <c r="CT16" s="41">
        <f t="shared" si="42"/>
        <v>14.6</v>
      </c>
      <c r="CU16" s="41">
        <f t="shared" si="43"/>
        <v>15.39</v>
      </c>
      <c r="CV16" s="41">
        <f t="shared" si="44"/>
        <v>51.69</v>
      </c>
      <c r="CW16" s="41">
        <f t="shared" si="45"/>
        <v>52.440000000000005</v>
      </c>
      <c r="CX16" s="41">
        <f t="shared" si="46"/>
        <v>13.7</v>
      </c>
      <c r="CY16" s="41">
        <f t="shared" si="47"/>
        <v>15.59</v>
      </c>
      <c r="CZ16" s="41">
        <f t="shared" si="48"/>
        <v>52.790000000000006</v>
      </c>
      <c r="DA16" s="41">
        <f t="shared" si="49"/>
        <v>105.23000000000002</v>
      </c>
      <c r="DB16" s="52">
        <f t="shared" si="50"/>
        <v>1.029999999999994</v>
      </c>
      <c r="DC16" s="52" t="str">
        <f t="shared" si="51"/>
        <v/>
      </c>
      <c r="DD16" s="17">
        <v>13.9</v>
      </c>
      <c r="DE16" s="17">
        <v>9.5</v>
      </c>
      <c r="DF16" s="17">
        <v>13.7</v>
      </c>
      <c r="DG16" s="17">
        <v>14.78</v>
      </c>
      <c r="DH16" s="17">
        <v>0</v>
      </c>
      <c r="DI16" s="17">
        <v>2.6</v>
      </c>
      <c r="DJ16" s="17">
        <v>1.7</v>
      </c>
      <c r="DK16" s="17">
        <v>3.2</v>
      </c>
      <c r="DL16" s="17">
        <v>3.28</v>
      </c>
      <c r="DM16" s="17">
        <v>0</v>
      </c>
      <c r="DN16" s="17"/>
      <c r="DO16" s="17"/>
      <c r="DP16" s="17"/>
      <c r="DQ16" s="17"/>
      <c r="DR16" s="17"/>
      <c r="DS16" s="17">
        <v>5.5</v>
      </c>
      <c r="DT16" s="17">
        <v>3.7</v>
      </c>
      <c r="DU16" s="17">
        <v>5.8</v>
      </c>
      <c r="DV16" s="17">
        <v>6.33</v>
      </c>
      <c r="DW16" s="17">
        <v>0</v>
      </c>
      <c r="DX16" s="41">
        <f t="shared" si="52"/>
        <v>13.7</v>
      </c>
      <c r="DY16" s="41">
        <f t="shared" si="53"/>
        <v>14.78</v>
      </c>
      <c r="DZ16" s="41">
        <f t="shared" si="54"/>
        <v>51.879999999999995</v>
      </c>
      <c r="EA16" s="41">
        <f t="shared" si="55"/>
        <v>3.2</v>
      </c>
      <c r="EB16" s="41">
        <f t="shared" si="56"/>
        <v>3.28</v>
      </c>
      <c r="EC16" s="41">
        <f t="shared" si="57"/>
        <v>10.78</v>
      </c>
      <c r="ED16" s="41">
        <f t="shared" si="58"/>
        <v>51.879999999999995</v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>
        <f t="shared" si="62"/>
        <v>5.8</v>
      </c>
      <c r="EI16" s="41">
        <f t="shared" si="63"/>
        <v>6.33</v>
      </c>
      <c r="EJ16" s="41">
        <f t="shared" si="64"/>
        <v>21.33</v>
      </c>
      <c r="EK16" s="41">
        <f t="shared" si="65"/>
        <v>73.209999999999994</v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7.45</v>
      </c>
      <c r="SW16" s="23">
        <f t="shared" si="221"/>
        <v>4.4000000000000004</v>
      </c>
      <c r="SX16" s="23">
        <f t="shared" si="222"/>
        <v>6.75</v>
      </c>
      <c r="SY16" s="23">
        <f t="shared" si="223"/>
        <v>7.62</v>
      </c>
      <c r="SZ16" s="23">
        <f t="shared" si="224"/>
        <v>0</v>
      </c>
      <c r="TA16" s="23">
        <f t="shared" si="225"/>
        <v>12.55</v>
      </c>
      <c r="TB16" s="23">
        <f t="shared" si="226"/>
        <v>8.8000000000000007</v>
      </c>
      <c r="TC16" s="23">
        <f t="shared" si="227"/>
        <v>14.399999999999999</v>
      </c>
      <c r="TD16" s="23">
        <f t="shared" si="228"/>
        <v>14.92</v>
      </c>
      <c r="TE16" s="23">
        <f t="shared" si="229"/>
        <v>0</v>
      </c>
      <c r="TF16" s="23">
        <f t="shared" si="230"/>
        <v>9.3000000000000007</v>
      </c>
      <c r="TG16" s="23">
        <f t="shared" si="231"/>
        <v>5.9</v>
      </c>
      <c r="TH16" s="23">
        <f t="shared" si="232"/>
        <v>9.3000000000000007</v>
      </c>
      <c r="TI16" s="23">
        <f t="shared" si="233"/>
        <v>10.15</v>
      </c>
      <c r="TJ16" s="23">
        <f t="shared" si="234"/>
        <v>0</v>
      </c>
      <c r="TK16" s="28" t="s">
        <v>57</v>
      </c>
      <c r="TL16" s="41">
        <f t="shared" si="235"/>
        <v>6.75</v>
      </c>
      <c r="TM16" s="41">
        <f t="shared" si="236"/>
        <v>7.62</v>
      </c>
      <c r="TN16" s="41">
        <f t="shared" si="237"/>
        <v>26.220000000000002</v>
      </c>
      <c r="TO16" s="41">
        <f t="shared" si="238"/>
        <v>14.399999999999999</v>
      </c>
      <c r="TP16" s="41">
        <f t="shared" si="239"/>
        <v>14.92</v>
      </c>
      <c r="TQ16" s="41">
        <f t="shared" si="240"/>
        <v>50.67</v>
      </c>
      <c r="TR16" s="41">
        <f t="shared" si="241"/>
        <v>50.67</v>
      </c>
      <c r="TS16" s="41">
        <f t="shared" si="242"/>
        <v>9.3000000000000007</v>
      </c>
      <c r="TT16" s="41">
        <f t="shared" si="243"/>
        <v>10.15</v>
      </c>
      <c r="TU16" s="41">
        <f t="shared" si="244"/>
        <v>34.65</v>
      </c>
      <c r="TV16" s="41">
        <f t="shared" si="245"/>
        <v>85.32</v>
      </c>
    </row>
    <row r="17" spans="1:542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32</v>
      </c>
      <c r="C17" s="4" t="s">
        <v>8</v>
      </c>
      <c r="D17" s="4">
        <v>1998</v>
      </c>
      <c r="E17" s="9">
        <f t="shared" si="0"/>
        <v>220.49002204900523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52.54</v>
      </c>
      <c r="K17" s="8" t="str">
        <f t="shared" si="5"/>
        <v>2023 Elite Canada</v>
      </c>
      <c r="L17" s="8">
        <f>IF(COUNT(AQ17,AT17,BR17,BU17,CS17,CV17)&gt;1,LARGE((AQ17,AT17,BR17,BU17,CS17,CV17),2),0)</f>
        <v>52.319999999999993</v>
      </c>
      <c r="M17" s="8" t="str">
        <f t="shared" si="6"/>
        <v>2023 Nationals</v>
      </c>
      <c r="N17" s="8">
        <f>IF(COUNT(AQ17,AT17,BR17,BU17,CS17,CV17)&gt;2,LARGE((AQ17,AT17,BR17,BU17,CS17,CV17),3),0)</f>
        <v>52.07</v>
      </c>
      <c r="O17" s="8" t="str">
        <f t="shared" si="7"/>
        <v>2023 Domestic 3rd Trial</v>
      </c>
      <c r="P17" s="8">
        <f t="shared" si="8"/>
        <v>49.76</v>
      </c>
      <c r="Q17" s="8" t="str">
        <f t="shared" si="9"/>
        <v>2023 Elite Canada</v>
      </c>
      <c r="R17" s="8">
        <f t="shared" si="10"/>
        <v>13.8</v>
      </c>
      <c r="S17" s="8" t="str">
        <f t="shared" si="11"/>
        <v>2023 Domestic 3rd Trial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14.5</v>
      </c>
      <c r="Z17" s="23">
        <v>9</v>
      </c>
      <c r="AA17" s="23">
        <v>13.6</v>
      </c>
      <c r="AB17" s="23">
        <v>15.44</v>
      </c>
      <c r="AC17" s="23">
        <v>0</v>
      </c>
      <c r="AD17" s="23">
        <v>12.6</v>
      </c>
      <c r="AE17" s="23">
        <v>9.1999999999999993</v>
      </c>
      <c r="AF17" s="23">
        <v>13.5</v>
      </c>
      <c r="AG17" s="23">
        <v>15.77</v>
      </c>
      <c r="AH17" s="23">
        <v>0.2</v>
      </c>
      <c r="AI17" s="23">
        <v>14.9</v>
      </c>
      <c r="AJ17" s="23">
        <v>8.9</v>
      </c>
      <c r="AK17" s="23">
        <v>12.1</v>
      </c>
      <c r="AL17" s="23">
        <v>15.26</v>
      </c>
      <c r="AM17" s="23">
        <v>1.4</v>
      </c>
      <c r="AN17" s="28"/>
      <c r="AO17" s="39">
        <f t="shared" si="17"/>
        <v>13.6</v>
      </c>
      <c r="AP17" s="39">
        <f t="shared" si="18"/>
        <v>15.44</v>
      </c>
      <c r="AQ17" s="41">
        <f t="shared" si="19"/>
        <v>52.54</v>
      </c>
      <c r="AR17" s="41">
        <f t="shared" si="20"/>
        <v>13.5</v>
      </c>
      <c r="AS17" s="41">
        <f t="shared" si="21"/>
        <v>15.77</v>
      </c>
      <c r="AT17" s="41">
        <f t="shared" si="22"/>
        <v>50.86999999999999</v>
      </c>
      <c r="AU17" s="41">
        <f t="shared" si="23"/>
        <v>52.54</v>
      </c>
      <c r="AV17" s="41">
        <f t="shared" si="24"/>
        <v>12.1</v>
      </c>
      <c r="AW17" s="41">
        <f t="shared" si="25"/>
        <v>15.26</v>
      </c>
      <c r="AX17" s="41">
        <f t="shared" si="26"/>
        <v>49.76</v>
      </c>
      <c r="AY17" s="41">
        <f t="shared" si="27"/>
        <v>102.3</v>
      </c>
      <c r="AZ17" s="27">
        <v>4.5999999999999996</v>
      </c>
      <c r="BA17" s="27">
        <v>3</v>
      </c>
      <c r="BB17" s="27">
        <v>4.2</v>
      </c>
      <c r="BC17" s="27">
        <v>4.9400000000000004</v>
      </c>
      <c r="BD17" s="27">
        <v>0</v>
      </c>
      <c r="BE17" s="27">
        <v>15.1</v>
      </c>
      <c r="BF17" s="27">
        <v>9.1</v>
      </c>
      <c r="BG17" s="27">
        <v>12.6</v>
      </c>
      <c r="BH17" s="27">
        <v>15.52</v>
      </c>
      <c r="BI17" s="27">
        <v>0</v>
      </c>
      <c r="BJ17" s="27">
        <v>3</v>
      </c>
      <c r="BK17" s="27">
        <v>1.5</v>
      </c>
      <c r="BL17" s="27">
        <v>2.7</v>
      </c>
      <c r="BM17" s="27">
        <v>4.04</v>
      </c>
      <c r="BN17" s="27">
        <v>0</v>
      </c>
      <c r="BO17" s="29"/>
      <c r="BP17" s="40">
        <f t="shared" si="28"/>
        <v>4.2</v>
      </c>
      <c r="BQ17" s="40">
        <f t="shared" si="29"/>
        <v>4.9400000000000004</v>
      </c>
      <c r="BR17" s="11">
        <f t="shared" si="30"/>
        <v>16.740000000000002</v>
      </c>
      <c r="BS17" s="11">
        <f t="shared" si="31"/>
        <v>12.6</v>
      </c>
      <c r="BT17" s="11">
        <f t="shared" si="32"/>
        <v>15.52</v>
      </c>
      <c r="BU17" s="11">
        <f t="shared" si="33"/>
        <v>52.319999999999993</v>
      </c>
      <c r="BV17" s="11">
        <f t="shared" si="34"/>
        <v>52.319999999999993</v>
      </c>
      <c r="BW17" s="11">
        <f t="shared" si="35"/>
        <v>2.7</v>
      </c>
      <c r="BX17" s="11">
        <f t="shared" si="36"/>
        <v>4.04</v>
      </c>
      <c r="BY17" s="11">
        <f t="shared" si="37"/>
        <v>11.24</v>
      </c>
      <c r="BZ17" s="11">
        <f t="shared" si="38"/>
        <v>63.559999999999995</v>
      </c>
      <c r="CA17" s="23">
        <v>13.4</v>
      </c>
      <c r="CB17" s="23">
        <v>9.1</v>
      </c>
      <c r="CC17" s="23">
        <v>13.8</v>
      </c>
      <c r="CD17" s="23">
        <v>15.98</v>
      </c>
      <c r="CE17" s="23">
        <v>0.4</v>
      </c>
      <c r="CF17" s="23">
        <v>13.5</v>
      </c>
      <c r="CG17" s="23">
        <v>8.9</v>
      </c>
      <c r="CH17" s="23">
        <v>13.8</v>
      </c>
      <c r="CI17" s="23">
        <v>16.07</v>
      </c>
      <c r="CJ17" s="23">
        <v>0.2</v>
      </c>
      <c r="CK17" s="23"/>
      <c r="CL17" s="23"/>
      <c r="CM17" s="23"/>
      <c r="CN17" s="23"/>
      <c r="CO17" s="23"/>
      <c r="CP17" s="28"/>
      <c r="CQ17" s="39">
        <f t="shared" si="39"/>
        <v>13.8</v>
      </c>
      <c r="CR17" s="39">
        <f t="shared" si="40"/>
        <v>15.98</v>
      </c>
      <c r="CS17" s="41">
        <f t="shared" si="41"/>
        <v>51.88</v>
      </c>
      <c r="CT17" s="41">
        <f t="shared" si="42"/>
        <v>13.8</v>
      </c>
      <c r="CU17" s="41">
        <f t="shared" si="43"/>
        <v>16.07</v>
      </c>
      <c r="CV17" s="41">
        <f t="shared" si="44"/>
        <v>52.07</v>
      </c>
      <c r="CW17" s="41">
        <f t="shared" si="45"/>
        <v>52.07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52.07</v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9</v>
      </c>
      <c r="SW17" s="23">
        <f t="shared" si="221"/>
        <v>6.05</v>
      </c>
      <c r="SX17" s="23">
        <f t="shared" si="222"/>
        <v>9</v>
      </c>
      <c r="SY17" s="23">
        <f t="shared" si="223"/>
        <v>10.46</v>
      </c>
      <c r="SZ17" s="23">
        <f t="shared" si="224"/>
        <v>0.2</v>
      </c>
      <c r="TA17" s="23">
        <f t="shared" si="225"/>
        <v>14.3</v>
      </c>
      <c r="TB17" s="23">
        <f t="shared" si="226"/>
        <v>9</v>
      </c>
      <c r="TC17" s="23">
        <f t="shared" si="227"/>
        <v>13.2</v>
      </c>
      <c r="TD17" s="23">
        <f t="shared" si="228"/>
        <v>15.795</v>
      </c>
      <c r="TE17" s="23">
        <f t="shared" si="229"/>
        <v>0.1</v>
      </c>
      <c r="TF17" s="23">
        <f t="shared" si="230"/>
        <v>1.5</v>
      </c>
      <c r="TG17" s="23">
        <f t="shared" si="231"/>
        <v>0.75</v>
      </c>
      <c r="TH17" s="23">
        <f t="shared" si="232"/>
        <v>1.35</v>
      </c>
      <c r="TI17" s="23">
        <f t="shared" si="233"/>
        <v>2.02</v>
      </c>
      <c r="TJ17" s="23">
        <f t="shared" si="234"/>
        <v>0</v>
      </c>
      <c r="TK17" s="28" t="s">
        <v>57</v>
      </c>
      <c r="TL17" s="41">
        <f t="shared" si="235"/>
        <v>9</v>
      </c>
      <c r="TM17" s="41">
        <f t="shared" si="236"/>
        <v>10.46</v>
      </c>
      <c r="TN17" s="41">
        <f t="shared" si="237"/>
        <v>34.31</v>
      </c>
      <c r="TO17" s="41">
        <f t="shared" si="238"/>
        <v>13.2</v>
      </c>
      <c r="TP17" s="41">
        <f t="shared" si="239"/>
        <v>15.795</v>
      </c>
      <c r="TQ17" s="41">
        <f t="shared" si="240"/>
        <v>52.195</v>
      </c>
      <c r="TR17" s="41">
        <f t="shared" si="241"/>
        <v>52.195</v>
      </c>
      <c r="TS17" s="41">
        <f t="shared" si="242"/>
        <v>1.35</v>
      </c>
      <c r="TT17" s="41">
        <f t="shared" si="243"/>
        <v>2.02</v>
      </c>
      <c r="TU17" s="41">
        <f t="shared" si="244"/>
        <v>5.62</v>
      </c>
      <c r="TV17" s="41">
        <f t="shared" si="245"/>
        <v>57.814999999999998</v>
      </c>
    </row>
    <row r="18" spans="1:542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251</v>
      </c>
      <c r="C18" s="4" t="s">
        <v>5</v>
      </c>
      <c r="D18" s="4">
        <v>2007</v>
      </c>
      <c r="E18" s="9">
        <f t="shared" si="0"/>
        <v>196.87001754700538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53.759999999999991</v>
      </c>
      <c r="K18" s="8" t="str">
        <f t="shared" si="5"/>
        <v>2023 Domestic 3rd Trial</v>
      </c>
      <c r="L18" s="8">
        <f>IF(COUNT(AQ18,AT18,BR18,BU18,CS18,CV18)&gt;1,LARGE((AQ18,AT18,BR18,BU18,CS18,CV18),2),0)</f>
        <v>52.78</v>
      </c>
      <c r="M18" s="8" t="str">
        <f t="shared" si="6"/>
        <v>2023 Nationals</v>
      </c>
      <c r="N18" s="8">
        <f>IF(COUNT(AQ18,AT18,BR18,BU18,CS18,CV18)&gt;2,LARGE((AQ18,AT18,BR18,BU18,CS18,CV18),3),0)</f>
        <v>0</v>
      </c>
      <c r="O18" s="8" t="str">
        <f t="shared" si="7"/>
        <v/>
      </c>
      <c r="P18" s="8">
        <f t="shared" si="8"/>
        <v>53.93</v>
      </c>
      <c r="Q18" s="8" t="str">
        <f t="shared" si="9"/>
        <v>2023 Domestic 3rd Trial</v>
      </c>
      <c r="R18" s="8">
        <f t="shared" si="10"/>
        <v>15.000000000000002</v>
      </c>
      <c r="S18" s="8" t="str">
        <f t="shared" si="11"/>
        <v>2023 Domestic 3rd Trial</v>
      </c>
      <c r="T18" s="8">
        <f t="shared" si="12"/>
        <v>0</v>
      </c>
      <c r="U18" s="8" t="str">
        <f t="shared" si="13"/>
        <v/>
      </c>
      <c r="V18" s="8">
        <f t="shared" si="14"/>
        <v>21.4</v>
      </c>
      <c r="W18" s="11" t="str">
        <f t="shared" si="15"/>
        <v>(Prelim)</v>
      </c>
      <c r="X18" s="8" t="str">
        <f t="shared" si="16"/>
        <v>2023 WAGC (Nov 18)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8"/>
      <c r="AO18" s="39" t="str">
        <f t="shared" si="17"/>
        <v/>
      </c>
      <c r="AP18" s="39" t="str">
        <f t="shared" si="18"/>
        <v/>
      </c>
      <c r="AQ18" s="41" t="str">
        <f t="shared" si="19"/>
        <v/>
      </c>
      <c r="AR18" s="41" t="str">
        <f t="shared" si="20"/>
        <v/>
      </c>
      <c r="AS18" s="41" t="str">
        <f t="shared" si="21"/>
        <v/>
      </c>
      <c r="AT18" s="41" t="str">
        <f t="shared" si="22"/>
        <v/>
      </c>
      <c r="AU18" s="41" t="str">
        <f t="shared" si="23"/>
        <v/>
      </c>
      <c r="AV18" s="41" t="str">
        <f t="shared" si="24"/>
        <v/>
      </c>
      <c r="AW18" s="41" t="str">
        <f t="shared" si="25"/>
        <v/>
      </c>
      <c r="AX18" s="41" t="str">
        <f t="shared" si="26"/>
        <v/>
      </c>
      <c r="AY18" s="41" t="str">
        <f t="shared" si="27"/>
        <v/>
      </c>
      <c r="AZ18" s="27">
        <v>15.9</v>
      </c>
      <c r="BA18" s="27">
        <v>9.1999999999999993</v>
      </c>
      <c r="BB18" s="27">
        <v>12.7</v>
      </c>
      <c r="BC18" s="27">
        <v>14.98</v>
      </c>
      <c r="BD18" s="27">
        <v>0</v>
      </c>
      <c r="BE18" s="27"/>
      <c r="BF18" s="27"/>
      <c r="BG18" s="27"/>
      <c r="BH18" s="27"/>
      <c r="BI18" s="27"/>
      <c r="BJ18" s="27">
        <v>14</v>
      </c>
      <c r="BK18" s="27">
        <v>8.9</v>
      </c>
      <c r="BL18" s="27">
        <v>12.6</v>
      </c>
      <c r="BM18" s="27">
        <v>14.63</v>
      </c>
      <c r="BN18" s="27">
        <v>0</v>
      </c>
      <c r="BO18" s="29"/>
      <c r="BP18" s="40">
        <f t="shared" si="28"/>
        <v>12.7</v>
      </c>
      <c r="BQ18" s="40">
        <f t="shared" si="29"/>
        <v>14.98</v>
      </c>
      <c r="BR18" s="11">
        <f t="shared" si="30"/>
        <v>52.78</v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>
        <f t="shared" si="34"/>
        <v>52.78</v>
      </c>
      <c r="BW18" s="11">
        <f t="shared" si="35"/>
        <v>12.6</v>
      </c>
      <c r="BX18" s="11">
        <f t="shared" si="36"/>
        <v>14.63</v>
      </c>
      <c r="BY18" s="11">
        <f t="shared" si="37"/>
        <v>50.13</v>
      </c>
      <c r="BZ18" s="11">
        <f t="shared" si="38"/>
        <v>102.91</v>
      </c>
      <c r="CA18" s="23">
        <v>15.4</v>
      </c>
      <c r="CB18" s="23">
        <v>9</v>
      </c>
      <c r="CC18" s="23">
        <v>13.7</v>
      </c>
      <c r="CD18" s="23">
        <v>15.66</v>
      </c>
      <c r="CE18" s="23">
        <v>0</v>
      </c>
      <c r="CF18" s="23"/>
      <c r="CG18" s="23"/>
      <c r="CH18" s="23"/>
      <c r="CI18" s="23"/>
      <c r="CJ18" s="23"/>
      <c r="CK18" s="23">
        <v>14.4</v>
      </c>
      <c r="CL18" s="23">
        <v>9.1</v>
      </c>
      <c r="CM18" s="23">
        <v>15.000000000000002</v>
      </c>
      <c r="CN18" s="23">
        <v>15.43</v>
      </c>
      <c r="CO18" s="23">
        <v>0</v>
      </c>
      <c r="CP18" s="28"/>
      <c r="CQ18" s="39">
        <f t="shared" si="39"/>
        <v>13.7</v>
      </c>
      <c r="CR18" s="39">
        <f t="shared" si="40"/>
        <v>15.66</v>
      </c>
      <c r="CS18" s="41">
        <f t="shared" si="41"/>
        <v>53.759999999999991</v>
      </c>
      <c r="CT18" s="41" t="str">
        <f t="shared" si="42"/>
        <v/>
      </c>
      <c r="CU18" s="41" t="str">
        <f t="shared" si="43"/>
        <v/>
      </c>
      <c r="CV18" s="41" t="str">
        <f t="shared" si="44"/>
        <v/>
      </c>
      <c r="CW18" s="41">
        <f t="shared" si="45"/>
        <v>53.759999999999991</v>
      </c>
      <c r="CX18" s="41">
        <f t="shared" si="46"/>
        <v>15.000000000000002</v>
      </c>
      <c r="CY18" s="41">
        <f t="shared" si="47"/>
        <v>15.43</v>
      </c>
      <c r="CZ18" s="41">
        <f t="shared" si="48"/>
        <v>53.93</v>
      </c>
      <c r="DA18" s="41">
        <f t="shared" si="49"/>
        <v>107.69</v>
      </c>
      <c r="DB18" s="52">
        <f t="shared" si="50"/>
        <v>21.4</v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>
        <v>6</v>
      </c>
      <c r="QG18" s="17">
        <v>3.8</v>
      </c>
      <c r="QH18" s="17">
        <v>5.2</v>
      </c>
      <c r="QI18" s="17">
        <v>6.4</v>
      </c>
      <c r="QJ18" s="17">
        <v>0</v>
      </c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>
        <f t="shared" si="192"/>
        <v>5.2</v>
      </c>
      <c r="RA18" s="41">
        <f t="shared" si="193"/>
        <v>6.4</v>
      </c>
      <c r="RB18" s="41">
        <f t="shared" si="194"/>
        <v>21.4</v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>
        <f t="shared" si="198"/>
        <v>21.4</v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>
        <f t="shared" si="205"/>
        <v>21.4</v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15.65</v>
      </c>
      <c r="SW18" s="23">
        <f t="shared" si="221"/>
        <v>9.1</v>
      </c>
      <c r="SX18" s="23">
        <f t="shared" si="222"/>
        <v>13.2</v>
      </c>
      <c r="SY18" s="23">
        <f t="shared" si="223"/>
        <v>15.32</v>
      </c>
      <c r="SZ18" s="23">
        <f t="shared" si="224"/>
        <v>0</v>
      </c>
      <c r="TA18" s="23">
        <f t="shared" si="225"/>
        <v>0</v>
      </c>
      <c r="TB18" s="23">
        <f t="shared" si="226"/>
        <v>0</v>
      </c>
      <c r="TC18" s="23">
        <f t="shared" si="227"/>
        <v>0</v>
      </c>
      <c r="TD18" s="23">
        <f t="shared" si="228"/>
        <v>0</v>
      </c>
      <c r="TE18" s="23">
        <f t="shared" si="229"/>
        <v>0</v>
      </c>
      <c r="TF18" s="23">
        <f t="shared" si="230"/>
        <v>14.2</v>
      </c>
      <c r="TG18" s="23">
        <f t="shared" si="231"/>
        <v>9</v>
      </c>
      <c r="TH18" s="23">
        <f t="shared" si="232"/>
        <v>13.8</v>
      </c>
      <c r="TI18" s="23">
        <f t="shared" si="233"/>
        <v>15.030000000000001</v>
      </c>
      <c r="TJ18" s="23">
        <f t="shared" si="234"/>
        <v>0</v>
      </c>
      <c r="TK18" s="28" t="s">
        <v>57</v>
      </c>
      <c r="TL18" s="41">
        <f t="shared" si="235"/>
        <v>13.2</v>
      </c>
      <c r="TM18" s="41">
        <f t="shared" si="236"/>
        <v>15.32</v>
      </c>
      <c r="TN18" s="41">
        <f t="shared" si="237"/>
        <v>53.27</v>
      </c>
      <c r="TO18" s="41" t="str">
        <f t="shared" si="238"/>
        <v/>
      </c>
      <c r="TP18" s="41" t="str">
        <f t="shared" si="239"/>
        <v/>
      </c>
      <c r="TQ18" s="41" t="str">
        <f t="shared" si="240"/>
        <v/>
      </c>
      <c r="TR18" s="41">
        <f t="shared" si="241"/>
        <v>53.27</v>
      </c>
      <c r="TS18" s="41">
        <f t="shared" si="242"/>
        <v>13.8</v>
      </c>
      <c r="TT18" s="41">
        <f t="shared" si="243"/>
        <v>15.030000000000001</v>
      </c>
      <c r="TU18" s="41">
        <f t="shared" si="244"/>
        <v>52.03</v>
      </c>
      <c r="TV18" s="41">
        <f t="shared" si="245"/>
        <v>105.30000000000001</v>
      </c>
    </row>
    <row r="19" spans="1:542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92</v>
      </c>
      <c r="C19" s="4" t="s">
        <v>8</v>
      </c>
      <c r="D19" s="4">
        <v>2004</v>
      </c>
      <c r="E19" s="9">
        <f t="shared" si="0"/>
        <v>186.99001869900525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52.599999999999994</v>
      </c>
      <c r="K19" s="8" t="str">
        <f t="shared" si="5"/>
        <v>2023 Elite Canada</v>
      </c>
      <c r="L19" s="8">
        <f>IF(COUNT(AQ19,AT19,BR19,BU19,CS19,CV19)&gt;1,LARGE((AQ19,AT19,BR19,BU19,CS19,CV19),2),0)</f>
        <v>50.26</v>
      </c>
      <c r="M19" s="8" t="str">
        <f t="shared" si="6"/>
        <v>2023 Nationals</v>
      </c>
      <c r="N19" s="8">
        <f>IF(COUNT(AQ19,AT19,BR19,BU19,CS19,CV19)&gt;2,LARGE((AQ19,AT19,BR19,BU19,CS19,CV19),3),0)</f>
        <v>16.79</v>
      </c>
      <c r="O19" s="8" t="str">
        <f t="shared" si="7"/>
        <v>2023 Elite Canada</v>
      </c>
      <c r="P19" s="8">
        <f t="shared" si="8"/>
        <v>53.84</v>
      </c>
      <c r="Q19" s="8" t="str">
        <f t="shared" si="9"/>
        <v>2023 Elite Canada</v>
      </c>
      <c r="R19" s="8">
        <f t="shared" si="10"/>
        <v>13.5</v>
      </c>
      <c r="S19" s="8" t="str">
        <f t="shared" si="11"/>
        <v>2023 Elite Canada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3">
        <v>4.8</v>
      </c>
      <c r="Z19" s="23">
        <v>2.9</v>
      </c>
      <c r="AA19" s="23">
        <v>4.4000000000000004</v>
      </c>
      <c r="AB19" s="23">
        <v>4.6900000000000004</v>
      </c>
      <c r="AC19" s="23">
        <v>0</v>
      </c>
      <c r="AD19" s="23">
        <v>14.8</v>
      </c>
      <c r="AE19" s="23">
        <v>9.5</v>
      </c>
      <c r="AF19" s="23">
        <v>13.5</v>
      </c>
      <c r="AG19" s="23">
        <v>14.8</v>
      </c>
      <c r="AH19" s="23">
        <v>0</v>
      </c>
      <c r="AI19" s="23">
        <v>15.5</v>
      </c>
      <c r="AJ19" s="23">
        <v>9.6999999999999993</v>
      </c>
      <c r="AK19" s="23">
        <v>13.5</v>
      </c>
      <c r="AL19" s="23">
        <v>15.14</v>
      </c>
      <c r="AM19" s="23">
        <v>0</v>
      </c>
      <c r="AN19" s="28"/>
      <c r="AO19" s="39">
        <f t="shared" si="17"/>
        <v>4.4000000000000004</v>
      </c>
      <c r="AP19" s="39">
        <f t="shared" si="18"/>
        <v>4.6900000000000004</v>
      </c>
      <c r="AQ19" s="41">
        <f t="shared" si="19"/>
        <v>16.79</v>
      </c>
      <c r="AR19" s="41">
        <f t="shared" si="20"/>
        <v>13.5</v>
      </c>
      <c r="AS19" s="41">
        <f t="shared" si="21"/>
        <v>14.8</v>
      </c>
      <c r="AT19" s="41">
        <f t="shared" si="22"/>
        <v>52.599999999999994</v>
      </c>
      <c r="AU19" s="41">
        <f t="shared" si="23"/>
        <v>52.599999999999994</v>
      </c>
      <c r="AV19" s="41">
        <f t="shared" si="24"/>
        <v>13.5</v>
      </c>
      <c r="AW19" s="41">
        <f t="shared" si="25"/>
        <v>15.14</v>
      </c>
      <c r="AX19" s="41">
        <f t="shared" si="26"/>
        <v>53.84</v>
      </c>
      <c r="AY19" s="41">
        <f t="shared" si="27"/>
        <v>106.44</v>
      </c>
      <c r="AZ19" s="27">
        <v>4.4000000000000004</v>
      </c>
      <c r="BA19" s="27">
        <v>2.6</v>
      </c>
      <c r="BB19" s="27">
        <v>4.2</v>
      </c>
      <c r="BC19" s="27">
        <v>4.66</v>
      </c>
      <c r="BD19" s="27">
        <v>0</v>
      </c>
      <c r="BE19" s="27">
        <v>15.08</v>
      </c>
      <c r="BF19" s="27">
        <v>9.3000000000000007</v>
      </c>
      <c r="BG19" s="27">
        <v>11.7</v>
      </c>
      <c r="BH19" s="27">
        <v>14.18</v>
      </c>
      <c r="BI19" s="27">
        <v>0</v>
      </c>
      <c r="BJ19" s="27">
        <v>4.4000000000000004</v>
      </c>
      <c r="BK19" s="27">
        <v>2.5</v>
      </c>
      <c r="BL19" s="27">
        <v>4.2</v>
      </c>
      <c r="BM19" s="27">
        <v>4.57</v>
      </c>
      <c r="BN19" s="27">
        <v>0</v>
      </c>
      <c r="BO19" s="29"/>
      <c r="BP19" s="40">
        <f t="shared" si="28"/>
        <v>4.2</v>
      </c>
      <c r="BQ19" s="40">
        <f t="shared" si="29"/>
        <v>4.66</v>
      </c>
      <c r="BR19" s="11">
        <f t="shared" si="30"/>
        <v>15.86</v>
      </c>
      <c r="BS19" s="11">
        <f t="shared" si="31"/>
        <v>11.7</v>
      </c>
      <c r="BT19" s="11">
        <f t="shared" si="32"/>
        <v>14.18</v>
      </c>
      <c r="BU19" s="11">
        <f t="shared" si="33"/>
        <v>50.26</v>
      </c>
      <c r="BV19" s="11">
        <f t="shared" si="34"/>
        <v>50.26</v>
      </c>
      <c r="BW19" s="11">
        <f t="shared" si="35"/>
        <v>4.2</v>
      </c>
      <c r="BX19" s="11">
        <f t="shared" si="36"/>
        <v>4.57</v>
      </c>
      <c r="BY19" s="11">
        <f t="shared" si="37"/>
        <v>15.670000000000002</v>
      </c>
      <c r="BZ19" s="11">
        <f t="shared" si="38"/>
        <v>65.930000000000007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 t="shared" si="39"/>
        <v/>
      </c>
      <c r="CR19" s="39" t="str">
        <f t="shared" si="40"/>
        <v/>
      </c>
      <c r="CS19" s="41" t="str">
        <f t="shared" si="41"/>
        <v/>
      </c>
      <c r="CT19" s="41" t="str">
        <f t="shared" si="42"/>
        <v/>
      </c>
      <c r="CU19" s="41" t="str">
        <f t="shared" si="43"/>
        <v/>
      </c>
      <c r="CV19" s="41" t="str">
        <f t="shared" si="44"/>
        <v/>
      </c>
      <c r="CW19" s="41" t="str">
        <f t="shared" si="45"/>
        <v/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 t="str">
        <f t="shared" si="49"/>
        <v/>
      </c>
      <c r="DB19" s="52" t="str">
        <f t="shared" si="50"/>
        <v/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2.2000000000000002</v>
      </c>
      <c r="SW19" s="23">
        <f t="shared" si="221"/>
        <v>1.3</v>
      </c>
      <c r="SX19" s="23">
        <f t="shared" si="222"/>
        <v>2.1</v>
      </c>
      <c r="SY19" s="23">
        <f t="shared" si="223"/>
        <v>2.33</v>
      </c>
      <c r="SZ19" s="23">
        <f t="shared" si="224"/>
        <v>0</v>
      </c>
      <c r="TA19" s="23">
        <f t="shared" si="225"/>
        <v>7.54</v>
      </c>
      <c r="TB19" s="23">
        <f t="shared" si="226"/>
        <v>4.6500000000000004</v>
      </c>
      <c r="TC19" s="23">
        <f t="shared" si="227"/>
        <v>5.85</v>
      </c>
      <c r="TD19" s="23">
        <f t="shared" si="228"/>
        <v>7.09</v>
      </c>
      <c r="TE19" s="23">
        <f t="shared" si="229"/>
        <v>0</v>
      </c>
      <c r="TF19" s="23">
        <f t="shared" si="230"/>
        <v>2.2000000000000002</v>
      </c>
      <c r="TG19" s="23">
        <f t="shared" si="231"/>
        <v>1.25</v>
      </c>
      <c r="TH19" s="23">
        <f t="shared" si="232"/>
        <v>2.1</v>
      </c>
      <c r="TI19" s="23">
        <f t="shared" si="233"/>
        <v>2.2850000000000001</v>
      </c>
      <c r="TJ19" s="23">
        <f t="shared" si="234"/>
        <v>0</v>
      </c>
      <c r="TK19" s="28" t="s">
        <v>57</v>
      </c>
      <c r="TL19" s="41">
        <f t="shared" si="235"/>
        <v>2.1</v>
      </c>
      <c r="TM19" s="41">
        <f t="shared" si="236"/>
        <v>2.33</v>
      </c>
      <c r="TN19" s="41">
        <f t="shared" si="237"/>
        <v>7.93</v>
      </c>
      <c r="TO19" s="41">
        <f t="shared" si="238"/>
        <v>5.85</v>
      </c>
      <c r="TP19" s="41">
        <f t="shared" si="239"/>
        <v>7.09</v>
      </c>
      <c r="TQ19" s="41">
        <f t="shared" si="240"/>
        <v>25.13</v>
      </c>
      <c r="TR19" s="41">
        <f t="shared" si="241"/>
        <v>25.13</v>
      </c>
      <c r="TS19" s="41">
        <f t="shared" si="242"/>
        <v>2.1</v>
      </c>
      <c r="TT19" s="41">
        <f t="shared" si="243"/>
        <v>2.2850000000000001</v>
      </c>
      <c r="TU19" s="41">
        <f t="shared" si="244"/>
        <v>7.8350000000000009</v>
      </c>
      <c r="TV19" s="41">
        <f t="shared" si="245"/>
        <v>32.965000000000003</v>
      </c>
    </row>
    <row r="20" spans="1:542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147</v>
      </c>
      <c r="C20" s="4" t="s">
        <v>5</v>
      </c>
      <c r="D20" s="4">
        <v>2004</v>
      </c>
      <c r="E20" s="9">
        <f t="shared" si="0"/>
        <v>140.01001256300447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44.629999999999995</v>
      </c>
      <c r="K20" s="8" t="str">
        <f t="shared" si="5"/>
        <v>2023 Elite Canada</v>
      </c>
      <c r="L20" s="8">
        <f>IF(COUNT(AQ20,AT20,BR20,BU20,CS20,CV20)&gt;1,LARGE((AQ20,AT20,BR20,BU20,CS20,CV20),2),0)</f>
        <v>35.81</v>
      </c>
      <c r="M20" s="8" t="str">
        <f t="shared" si="6"/>
        <v>2023 Nationals</v>
      </c>
      <c r="N20" s="8">
        <f>IF(COUNT(AQ20,AT20,BR20,BU20,CS20,CV20)&gt;2,LARGE((AQ20,AT20,BR20,BU20,CS20,CV20),3),0)</f>
        <v>33.29</v>
      </c>
      <c r="O20" s="8" t="str">
        <f t="shared" si="7"/>
        <v>2023 Nationals</v>
      </c>
      <c r="P20" s="8">
        <f t="shared" si="8"/>
        <v>0</v>
      </c>
      <c r="Q20" s="8" t="str">
        <f t="shared" si="9"/>
        <v/>
      </c>
      <c r="R20" s="8">
        <f t="shared" si="10"/>
        <v>11.9</v>
      </c>
      <c r="S20" s="8" t="str">
        <f t="shared" si="11"/>
        <v>2023 Elite Canada</v>
      </c>
      <c r="T20" s="8">
        <f t="shared" si="12"/>
        <v>0</v>
      </c>
      <c r="U20" s="8" t="str">
        <f t="shared" si="13"/>
        <v/>
      </c>
      <c r="V20" s="8">
        <f t="shared" si="14"/>
        <v>14.380000000000003</v>
      </c>
      <c r="W20" s="11" t="str">
        <f t="shared" si="15"/>
        <v>(Prelim)</v>
      </c>
      <c r="X20" s="8" t="str">
        <f t="shared" si="16"/>
        <v>2023 Pan Am Club Championships (May 14)</v>
      </c>
      <c r="Y20" s="23">
        <v>5.8</v>
      </c>
      <c r="Z20" s="23">
        <v>3.8</v>
      </c>
      <c r="AA20" s="23">
        <v>5.4</v>
      </c>
      <c r="AB20" s="23">
        <v>6.49</v>
      </c>
      <c r="AC20" s="23">
        <v>0.2</v>
      </c>
      <c r="AD20" s="23">
        <v>10.8</v>
      </c>
      <c r="AE20" s="23">
        <v>8.1</v>
      </c>
      <c r="AF20" s="23">
        <v>11.9</v>
      </c>
      <c r="AG20" s="23">
        <v>13.83</v>
      </c>
      <c r="AH20" s="23">
        <v>0</v>
      </c>
      <c r="AI20" s="23"/>
      <c r="AJ20" s="23"/>
      <c r="AK20" s="23"/>
      <c r="AL20" s="23"/>
      <c r="AM20" s="23"/>
      <c r="AN20" s="28"/>
      <c r="AO20" s="39">
        <f t="shared" si="17"/>
        <v>5.4</v>
      </c>
      <c r="AP20" s="39">
        <f t="shared" si="18"/>
        <v>6.49</v>
      </c>
      <c r="AQ20" s="41">
        <f t="shared" si="19"/>
        <v>21.290000000000003</v>
      </c>
      <c r="AR20" s="41">
        <f t="shared" si="20"/>
        <v>11.9</v>
      </c>
      <c r="AS20" s="41">
        <f t="shared" si="21"/>
        <v>13.83</v>
      </c>
      <c r="AT20" s="41">
        <f t="shared" si="22"/>
        <v>44.629999999999995</v>
      </c>
      <c r="AU20" s="41">
        <f t="shared" si="23"/>
        <v>44.629999999999995</v>
      </c>
      <c r="AV20" s="41" t="str">
        <f t="shared" si="24"/>
        <v/>
      </c>
      <c r="AW20" s="41" t="str">
        <f t="shared" si="25"/>
        <v/>
      </c>
      <c r="AX20" s="41" t="str">
        <f t="shared" si="26"/>
        <v/>
      </c>
      <c r="AY20" s="41">
        <f t="shared" si="27"/>
        <v>44.629999999999995</v>
      </c>
      <c r="AZ20" s="27">
        <v>4.25</v>
      </c>
      <c r="BA20" s="27">
        <v>6.7</v>
      </c>
      <c r="BB20" s="27">
        <v>9.4</v>
      </c>
      <c r="BC20" s="27">
        <v>12.94</v>
      </c>
      <c r="BD20" s="27">
        <v>0</v>
      </c>
      <c r="BE20" s="27">
        <v>8.6999999999999993</v>
      </c>
      <c r="BF20" s="27">
        <v>6.6</v>
      </c>
      <c r="BG20" s="27">
        <v>9.4</v>
      </c>
      <c r="BH20" s="27">
        <v>11.11</v>
      </c>
      <c r="BI20" s="27">
        <v>0</v>
      </c>
      <c r="BJ20" s="27"/>
      <c r="BK20" s="27"/>
      <c r="BL20" s="27"/>
      <c r="BM20" s="27"/>
      <c r="BN20" s="27"/>
      <c r="BO20" s="29"/>
      <c r="BP20" s="40">
        <f t="shared" si="28"/>
        <v>9.4</v>
      </c>
      <c r="BQ20" s="40">
        <f t="shared" si="29"/>
        <v>12.94</v>
      </c>
      <c r="BR20" s="11">
        <f t="shared" si="30"/>
        <v>33.29</v>
      </c>
      <c r="BS20" s="11">
        <f t="shared" si="31"/>
        <v>9.4</v>
      </c>
      <c r="BT20" s="11">
        <f t="shared" si="32"/>
        <v>11.11</v>
      </c>
      <c r="BU20" s="11">
        <f t="shared" si="33"/>
        <v>35.81</v>
      </c>
      <c r="BV20" s="11">
        <f t="shared" si="34"/>
        <v>35.81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35.81</v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 t="shared" si="39"/>
        <v/>
      </c>
      <c r="CR20" s="39" t="str">
        <f t="shared" si="40"/>
        <v/>
      </c>
      <c r="CS20" s="41" t="str">
        <f t="shared" si="41"/>
        <v/>
      </c>
      <c r="CT20" s="41" t="str">
        <f t="shared" si="42"/>
        <v/>
      </c>
      <c r="CU20" s="41" t="str">
        <f t="shared" si="43"/>
        <v/>
      </c>
      <c r="CV20" s="41" t="str">
        <f t="shared" si="44"/>
        <v/>
      </c>
      <c r="CW20" s="41" t="str">
        <f t="shared" si="45"/>
        <v/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 t="str">
        <f t="shared" si="49"/>
        <v/>
      </c>
      <c r="DB20" s="52">
        <f t="shared" si="50"/>
        <v>14.380000000000003</v>
      </c>
      <c r="DC20" s="52" t="str">
        <f t="shared" si="51"/>
        <v/>
      </c>
      <c r="DD20" s="17">
        <v>11.6</v>
      </c>
      <c r="DE20" s="17">
        <v>8.6</v>
      </c>
      <c r="DF20" s="17">
        <v>10.5</v>
      </c>
      <c r="DG20" s="17">
        <v>15.95</v>
      </c>
      <c r="DH20" s="17">
        <v>0</v>
      </c>
      <c r="DI20" s="17">
        <v>11.5</v>
      </c>
      <c r="DJ20" s="17">
        <v>9.4</v>
      </c>
      <c r="DK20" s="17">
        <v>11.6</v>
      </c>
      <c r="DL20" s="17">
        <v>15.17</v>
      </c>
      <c r="DM20" s="17">
        <v>0</v>
      </c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>
        <f t="shared" si="52"/>
        <v>10.5</v>
      </c>
      <c r="DY20" s="41">
        <f t="shared" si="53"/>
        <v>15.95</v>
      </c>
      <c r="DZ20" s="41">
        <f t="shared" si="54"/>
        <v>46.65</v>
      </c>
      <c r="EA20" s="41">
        <f t="shared" si="55"/>
        <v>11.6</v>
      </c>
      <c r="EB20" s="41">
        <f t="shared" si="56"/>
        <v>15.17</v>
      </c>
      <c r="EC20" s="41">
        <f t="shared" si="57"/>
        <v>47.67</v>
      </c>
      <c r="ED20" s="41">
        <f t="shared" si="58"/>
        <v>47.67</v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>
        <f t="shared" si="65"/>
        <v>47.67</v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 t="shared" si="80"/>
        <v/>
      </c>
      <c r="GO20" s="41" t="str">
        <f t="shared" si="81"/>
        <v/>
      </c>
      <c r="GP20" s="41" t="str">
        <f t="shared" si="82"/>
        <v/>
      </c>
      <c r="GQ20" s="41" t="str">
        <f t="shared" si="83"/>
        <v/>
      </c>
      <c r="GR20" s="41" t="str">
        <f t="shared" si="84"/>
        <v/>
      </c>
      <c r="GS20" s="41" t="str">
        <f t="shared" si="85"/>
        <v/>
      </c>
      <c r="GT20" s="41" t="str">
        <f t="shared" si="86"/>
        <v/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2.125</v>
      </c>
      <c r="SW20" s="23">
        <f t="shared" si="221"/>
        <v>3.35</v>
      </c>
      <c r="SX20" s="23">
        <f t="shared" si="222"/>
        <v>4.7</v>
      </c>
      <c r="SY20" s="23">
        <f t="shared" si="223"/>
        <v>6.47</v>
      </c>
      <c r="SZ20" s="23">
        <f t="shared" si="224"/>
        <v>0</v>
      </c>
      <c r="TA20" s="23">
        <f t="shared" si="225"/>
        <v>4.3499999999999996</v>
      </c>
      <c r="TB20" s="23">
        <f t="shared" si="226"/>
        <v>3.3</v>
      </c>
      <c r="TC20" s="23">
        <f t="shared" si="227"/>
        <v>4.7</v>
      </c>
      <c r="TD20" s="23">
        <f t="shared" si="228"/>
        <v>5.5549999999999997</v>
      </c>
      <c r="TE20" s="23">
        <f t="shared" si="229"/>
        <v>0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57</v>
      </c>
      <c r="TL20" s="41">
        <f t="shared" si="235"/>
        <v>4.7</v>
      </c>
      <c r="TM20" s="41">
        <f t="shared" si="236"/>
        <v>6.47</v>
      </c>
      <c r="TN20" s="41">
        <f t="shared" si="237"/>
        <v>16.645</v>
      </c>
      <c r="TO20" s="41">
        <f t="shared" si="238"/>
        <v>4.7</v>
      </c>
      <c r="TP20" s="41">
        <f t="shared" si="239"/>
        <v>5.5549999999999997</v>
      </c>
      <c r="TQ20" s="41">
        <f t="shared" si="240"/>
        <v>17.905000000000001</v>
      </c>
      <c r="TR20" s="41">
        <f t="shared" si="241"/>
        <v>17.905000000000001</v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>
        <f t="shared" si="245"/>
        <v>17.905000000000001</v>
      </c>
    </row>
    <row r="21" spans="1:542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77</v>
      </c>
      <c r="C21" s="4" t="s">
        <v>76</v>
      </c>
      <c r="D21" s="4">
        <v>2001</v>
      </c>
      <c r="E21" s="9">
        <f t="shared" si="0"/>
        <v>107.16001071600367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36.51</v>
      </c>
      <c r="K21" s="8" t="str">
        <f t="shared" si="5"/>
        <v>2023 Nationals</v>
      </c>
      <c r="L21" s="8">
        <f>IF(COUNT(AQ21,AT21,BR21,BU21,CS21,CV21)&gt;1,LARGE((AQ21,AT21,BR21,BU21,CS21,CV21),2),0)</f>
        <v>32.42</v>
      </c>
      <c r="M21" s="8" t="str">
        <f t="shared" si="6"/>
        <v>2023 Domestic 3rd Trial</v>
      </c>
      <c r="N21" s="8">
        <f>IF(COUNT(AQ21,AT21,BR21,BU21,CS21,CV21)&gt;2,LARGE((AQ21,AT21,BR21,BU21,CS21,CV21),3),0)</f>
        <v>28.33</v>
      </c>
      <c r="O21" s="8" t="str">
        <f t="shared" si="7"/>
        <v>2023 Elite Canada</v>
      </c>
      <c r="P21" s="8">
        <f t="shared" si="8"/>
        <v>0</v>
      </c>
      <c r="Q21" s="8" t="str">
        <f t="shared" si="9"/>
        <v/>
      </c>
      <c r="R21" s="8">
        <f t="shared" si="10"/>
        <v>9.9</v>
      </c>
      <c r="S21" s="8" t="str">
        <f t="shared" si="11"/>
        <v>2023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>
        <v>7.3</v>
      </c>
      <c r="Z21" s="23">
        <v>4.8</v>
      </c>
      <c r="AA21" s="23">
        <v>8.1999999999999993</v>
      </c>
      <c r="AB21" s="23">
        <v>8.0299999999999994</v>
      </c>
      <c r="AC21" s="23">
        <v>0</v>
      </c>
      <c r="AD21" s="23">
        <v>18.8</v>
      </c>
      <c r="AE21" s="23">
        <v>2</v>
      </c>
      <c r="AF21" s="23">
        <v>3.8</v>
      </c>
      <c r="AG21" s="23">
        <v>3.29</v>
      </c>
      <c r="AH21" s="23">
        <v>0</v>
      </c>
      <c r="AI21" s="23"/>
      <c r="AJ21" s="23"/>
      <c r="AK21" s="23"/>
      <c r="AL21" s="23"/>
      <c r="AM21" s="23"/>
      <c r="AN21" s="28"/>
      <c r="AO21" s="39">
        <f t="shared" si="17"/>
        <v>8.1999999999999993</v>
      </c>
      <c r="AP21" s="39">
        <f t="shared" si="18"/>
        <v>8.0299999999999994</v>
      </c>
      <c r="AQ21" s="41">
        <f t="shared" si="19"/>
        <v>28.33</v>
      </c>
      <c r="AR21" s="41">
        <f t="shared" si="20"/>
        <v>3.8</v>
      </c>
      <c r="AS21" s="41">
        <f t="shared" si="21"/>
        <v>3.29</v>
      </c>
      <c r="AT21" s="41">
        <f t="shared" si="22"/>
        <v>27.89</v>
      </c>
      <c r="AU21" s="41">
        <f t="shared" si="23"/>
        <v>28.33</v>
      </c>
      <c r="AV21" s="41" t="str">
        <f t="shared" si="24"/>
        <v/>
      </c>
      <c r="AW21" s="41" t="str">
        <f t="shared" si="25"/>
        <v/>
      </c>
      <c r="AX21" s="41" t="str">
        <f t="shared" si="26"/>
        <v/>
      </c>
      <c r="AY21" s="41">
        <f t="shared" si="27"/>
        <v>28.33</v>
      </c>
      <c r="AZ21" s="27">
        <v>10.199999999999999</v>
      </c>
      <c r="BA21" s="27">
        <v>5.9</v>
      </c>
      <c r="BB21" s="27">
        <v>9.9</v>
      </c>
      <c r="BC21" s="27">
        <v>10.51</v>
      </c>
      <c r="BD21" s="27">
        <v>0</v>
      </c>
      <c r="BE21" s="27">
        <v>7.5</v>
      </c>
      <c r="BF21" s="27">
        <v>4.5</v>
      </c>
      <c r="BG21" s="27">
        <v>7.8</v>
      </c>
      <c r="BH21" s="27">
        <v>7.7</v>
      </c>
      <c r="BI21" s="27">
        <v>0</v>
      </c>
      <c r="BJ21" s="27"/>
      <c r="BK21" s="27"/>
      <c r="BL21" s="27"/>
      <c r="BM21" s="27"/>
      <c r="BN21" s="27"/>
      <c r="BO21" s="29"/>
      <c r="BP21" s="40">
        <f t="shared" si="28"/>
        <v>9.9</v>
      </c>
      <c r="BQ21" s="40">
        <f t="shared" si="29"/>
        <v>10.51</v>
      </c>
      <c r="BR21" s="11">
        <f t="shared" si="30"/>
        <v>36.51</v>
      </c>
      <c r="BS21" s="11">
        <f t="shared" si="31"/>
        <v>7.8</v>
      </c>
      <c r="BT21" s="11">
        <f t="shared" si="32"/>
        <v>7.7</v>
      </c>
      <c r="BU21" s="11">
        <f t="shared" si="33"/>
        <v>27.5</v>
      </c>
      <c r="BV21" s="11">
        <f t="shared" si="34"/>
        <v>36.51</v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>
        <f t="shared" si="38"/>
        <v>36.51</v>
      </c>
      <c r="CA21" s="23">
        <v>8.75</v>
      </c>
      <c r="CB21" s="23">
        <v>5.35</v>
      </c>
      <c r="CC21" s="23">
        <v>9.0500000000000007</v>
      </c>
      <c r="CD21" s="23">
        <v>9.27</v>
      </c>
      <c r="CE21" s="23">
        <v>0</v>
      </c>
      <c r="CF21" s="23">
        <v>13.15</v>
      </c>
      <c r="CG21" s="23">
        <v>3.25</v>
      </c>
      <c r="CH21" s="23">
        <v>5.8</v>
      </c>
      <c r="CI21" s="23">
        <v>5.4950000000000001</v>
      </c>
      <c r="CJ21" s="23">
        <v>0</v>
      </c>
      <c r="CK21" s="23">
        <v>0</v>
      </c>
      <c r="CL21" s="23">
        <v>0</v>
      </c>
      <c r="CM21" s="23">
        <v>0</v>
      </c>
      <c r="CN21" s="23">
        <v>0</v>
      </c>
      <c r="CO21" s="23">
        <v>0</v>
      </c>
      <c r="CP21" s="28" t="s">
        <v>57</v>
      </c>
      <c r="CQ21" s="39">
        <f t="shared" si="39"/>
        <v>9.0500000000000007</v>
      </c>
      <c r="CR21" s="39">
        <f t="shared" si="40"/>
        <v>9.27</v>
      </c>
      <c r="CS21" s="41">
        <f t="shared" si="41"/>
        <v>32.42</v>
      </c>
      <c r="CT21" s="41">
        <f t="shared" si="42"/>
        <v>5.8</v>
      </c>
      <c r="CU21" s="41">
        <f t="shared" si="43"/>
        <v>5.4950000000000001</v>
      </c>
      <c r="CV21" s="41">
        <f t="shared" si="44"/>
        <v>27.695</v>
      </c>
      <c r="CW21" s="41">
        <f t="shared" si="45"/>
        <v>32.42</v>
      </c>
      <c r="CX21" s="41" t="str">
        <f t="shared" si="46"/>
        <v/>
      </c>
      <c r="CY21" s="41" t="str">
        <f t="shared" si="47"/>
        <v/>
      </c>
      <c r="CZ21" s="41" t="str">
        <f t="shared" si="48"/>
        <v/>
      </c>
      <c r="DA21" s="41">
        <f t="shared" si="49"/>
        <v>32.42</v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8.75</v>
      </c>
      <c r="SW21" s="23">
        <f t="shared" si="221"/>
        <v>5.35</v>
      </c>
      <c r="SX21" s="23">
        <f t="shared" si="222"/>
        <v>9.0500000000000007</v>
      </c>
      <c r="SY21" s="23">
        <f t="shared" si="223"/>
        <v>9.27</v>
      </c>
      <c r="SZ21" s="23">
        <f t="shared" si="224"/>
        <v>0</v>
      </c>
      <c r="TA21" s="23">
        <f t="shared" si="225"/>
        <v>13.15</v>
      </c>
      <c r="TB21" s="23">
        <f t="shared" si="226"/>
        <v>3.25</v>
      </c>
      <c r="TC21" s="23">
        <f t="shared" si="227"/>
        <v>5.8</v>
      </c>
      <c r="TD21" s="23">
        <f t="shared" si="228"/>
        <v>5.4950000000000001</v>
      </c>
      <c r="TE21" s="23">
        <f t="shared" si="229"/>
        <v>0</v>
      </c>
      <c r="TF21" s="23">
        <f t="shared" si="230"/>
        <v>0</v>
      </c>
      <c r="TG21" s="23">
        <f t="shared" si="231"/>
        <v>0</v>
      </c>
      <c r="TH21" s="23">
        <f t="shared" si="232"/>
        <v>0</v>
      </c>
      <c r="TI21" s="23">
        <f t="shared" si="233"/>
        <v>0</v>
      </c>
      <c r="TJ21" s="23">
        <f t="shared" si="234"/>
        <v>0</v>
      </c>
      <c r="TK21" s="28" t="s">
        <v>57</v>
      </c>
      <c r="TL21" s="41">
        <f t="shared" si="235"/>
        <v>9.0500000000000007</v>
      </c>
      <c r="TM21" s="41">
        <f t="shared" si="236"/>
        <v>9.27</v>
      </c>
      <c r="TN21" s="41">
        <f t="shared" si="237"/>
        <v>32.42</v>
      </c>
      <c r="TO21" s="41">
        <f t="shared" si="238"/>
        <v>5.8</v>
      </c>
      <c r="TP21" s="41">
        <f t="shared" si="239"/>
        <v>5.4950000000000001</v>
      </c>
      <c r="TQ21" s="41">
        <f t="shared" si="240"/>
        <v>27.695</v>
      </c>
      <c r="TR21" s="41">
        <f t="shared" si="241"/>
        <v>32.42</v>
      </c>
      <c r="TS21" s="41" t="str">
        <f t="shared" si="242"/>
        <v/>
      </c>
      <c r="TT21" s="41" t="str">
        <f t="shared" si="243"/>
        <v/>
      </c>
      <c r="TU21" s="41" t="str">
        <f t="shared" si="244"/>
        <v/>
      </c>
      <c r="TV21" s="41">
        <f t="shared" si="245"/>
        <v>32.42</v>
      </c>
    </row>
    <row r="22" spans="1:542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230</v>
      </c>
      <c r="C22" s="4" t="s">
        <v>6</v>
      </c>
      <c r="D22" s="4">
        <v>2001</v>
      </c>
      <c r="E22" s="9">
        <f t="shared" si="0"/>
        <v>106.27001062700531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53.19</v>
      </c>
      <c r="K22" s="8" t="str">
        <f t="shared" si="5"/>
        <v>2023 Domestic 3rd Trial</v>
      </c>
      <c r="L22" s="8">
        <f>IF(COUNT(AQ22,AT22,BR22,BU22,CS22,CV22)&gt;1,LARGE((AQ22,AT22,BR22,BU22,CS22,CV22),2),0)</f>
        <v>21.62</v>
      </c>
      <c r="M22" s="8" t="str">
        <f t="shared" si="6"/>
        <v>2023 Domestic 3rd Trial</v>
      </c>
      <c r="N22" s="8">
        <f>IF(COUNT(AQ22,AT22,BR22,BU22,CS22,CV22)&gt;2,LARGE((AQ22,AT22,BR22,BU22,CS22,CV22),3),0)</f>
        <v>0</v>
      </c>
      <c r="O22" s="8" t="str">
        <f t="shared" si="7"/>
        <v/>
      </c>
      <c r="P22" s="8">
        <f t="shared" si="8"/>
        <v>16.66</v>
      </c>
      <c r="Q22" s="8" t="str">
        <f t="shared" si="9"/>
        <v>2023 Domestic 3rd Trial</v>
      </c>
      <c r="R22" s="8">
        <f t="shared" si="10"/>
        <v>14.8</v>
      </c>
      <c r="S22" s="8" t="str">
        <f t="shared" si="11"/>
        <v>2023 Domestic 3rd Trial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 t="shared" si="17"/>
        <v/>
      </c>
      <c r="AP22" s="39" t="str">
        <f t="shared" si="18"/>
        <v/>
      </c>
      <c r="AQ22" s="41" t="str">
        <f t="shared" si="19"/>
        <v/>
      </c>
      <c r="AR22" s="41" t="str">
        <f t="shared" si="20"/>
        <v/>
      </c>
      <c r="AS22" s="41" t="str">
        <f t="shared" si="21"/>
        <v/>
      </c>
      <c r="AT22" s="41" t="str">
        <f t="shared" si="22"/>
        <v/>
      </c>
      <c r="AU22" s="41" t="str">
        <f t="shared" si="23"/>
        <v/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 t="str">
        <f t="shared" si="27"/>
        <v/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 t="shared" si="28"/>
        <v/>
      </c>
      <c r="BQ22" s="40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 t="str">
        <f t="shared" si="38"/>
        <v/>
      </c>
      <c r="CA22" s="23">
        <v>5.2</v>
      </c>
      <c r="CB22" s="23">
        <v>3.6</v>
      </c>
      <c r="CC22" s="23">
        <v>6.3</v>
      </c>
      <c r="CD22" s="23">
        <v>6.52</v>
      </c>
      <c r="CE22" s="23">
        <v>0</v>
      </c>
      <c r="CF22" s="23">
        <v>13.1</v>
      </c>
      <c r="CG22" s="23">
        <v>9.6999999999999993</v>
      </c>
      <c r="CH22" s="23">
        <v>14.8</v>
      </c>
      <c r="CI22" s="23">
        <v>15.59</v>
      </c>
      <c r="CJ22" s="23">
        <v>0</v>
      </c>
      <c r="CK22" s="23">
        <v>3.8</v>
      </c>
      <c r="CL22" s="23">
        <v>3</v>
      </c>
      <c r="CM22" s="23">
        <v>4.9000000000000004</v>
      </c>
      <c r="CN22" s="23">
        <v>4.96</v>
      </c>
      <c r="CO22" s="23">
        <v>0</v>
      </c>
      <c r="CP22" s="28"/>
      <c r="CQ22" s="39">
        <f t="shared" si="39"/>
        <v>6.3</v>
      </c>
      <c r="CR22" s="39">
        <f t="shared" si="40"/>
        <v>6.52</v>
      </c>
      <c r="CS22" s="41">
        <f t="shared" si="41"/>
        <v>21.62</v>
      </c>
      <c r="CT22" s="41">
        <f t="shared" si="42"/>
        <v>14.8</v>
      </c>
      <c r="CU22" s="41">
        <f t="shared" si="43"/>
        <v>15.59</v>
      </c>
      <c r="CV22" s="41">
        <f t="shared" si="44"/>
        <v>53.19</v>
      </c>
      <c r="CW22" s="41">
        <f t="shared" si="45"/>
        <v>53.19</v>
      </c>
      <c r="CX22" s="41">
        <f t="shared" si="46"/>
        <v>4.9000000000000004</v>
      </c>
      <c r="CY22" s="41">
        <f t="shared" si="47"/>
        <v>4.96</v>
      </c>
      <c r="CZ22" s="41">
        <f t="shared" si="48"/>
        <v>16.66</v>
      </c>
      <c r="DA22" s="41">
        <f t="shared" si="49"/>
        <v>69.849999999999994</v>
      </c>
      <c r="DB22" s="52" t="str">
        <f t="shared" si="50"/>
        <v/>
      </c>
      <c r="DC22" s="52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 t="shared" si="52"/>
        <v/>
      </c>
      <c r="DY22" s="41" t="str">
        <f t="shared" si="53"/>
        <v/>
      </c>
      <c r="DZ22" s="41" t="str">
        <f t="shared" si="54"/>
        <v/>
      </c>
      <c r="EA22" s="41" t="str">
        <f t="shared" si="55"/>
        <v/>
      </c>
      <c r="EB22" s="41" t="str">
        <f t="shared" si="56"/>
        <v/>
      </c>
      <c r="EC22" s="41" t="str">
        <f t="shared" si="57"/>
        <v/>
      </c>
      <c r="ED22" s="41" t="str">
        <f t="shared" si="58"/>
        <v/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2.6</v>
      </c>
      <c r="SW22" s="23">
        <f t="shared" si="221"/>
        <v>1.8</v>
      </c>
      <c r="SX22" s="23">
        <f t="shared" si="222"/>
        <v>3.15</v>
      </c>
      <c r="SY22" s="23">
        <f t="shared" si="223"/>
        <v>3.26</v>
      </c>
      <c r="SZ22" s="23">
        <f t="shared" si="224"/>
        <v>0</v>
      </c>
      <c r="TA22" s="23">
        <f t="shared" si="225"/>
        <v>6.55</v>
      </c>
      <c r="TB22" s="23">
        <f t="shared" si="226"/>
        <v>4.8499999999999996</v>
      </c>
      <c r="TC22" s="23">
        <f t="shared" si="227"/>
        <v>7.4</v>
      </c>
      <c r="TD22" s="23">
        <f t="shared" si="228"/>
        <v>7.7949999999999999</v>
      </c>
      <c r="TE22" s="23">
        <f t="shared" si="229"/>
        <v>0</v>
      </c>
      <c r="TF22" s="23">
        <f t="shared" si="230"/>
        <v>1.9</v>
      </c>
      <c r="TG22" s="23">
        <f t="shared" si="231"/>
        <v>1.5</v>
      </c>
      <c r="TH22" s="23">
        <f t="shared" si="232"/>
        <v>2.4500000000000002</v>
      </c>
      <c r="TI22" s="23">
        <f t="shared" si="233"/>
        <v>2.48</v>
      </c>
      <c r="TJ22" s="23">
        <f t="shared" si="234"/>
        <v>0</v>
      </c>
      <c r="TK22" s="28" t="s">
        <v>57</v>
      </c>
      <c r="TL22" s="41">
        <f t="shared" si="235"/>
        <v>3.15</v>
      </c>
      <c r="TM22" s="41">
        <f t="shared" si="236"/>
        <v>3.26</v>
      </c>
      <c r="TN22" s="41">
        <f t="shared" si="237"/>
        <v>10.81</v>
      </c>
      <c r="TO22" s="41">
        <f t="shared" si="238"/>
        <v>7.4</v>
      </c>
      <c r="TP22" s="41">
        <f t="shared" si="239"/>
        <v>7.7949999999999999</v>
      </c>
      <c r="TQ22" s="41">
        <f t="shared" si="240"/>
        <v>26.594999999999999</v>
      </c>
      <c r="TR22" s="41">
        <f t="shared" si="241"/>
        <v>26.594999999999999</v>
      </c>
      <c r="TS22" s="41">
        <f t="shared" si="242"/>
        <v>2.4500000000000002</v>
      </c>
      <c r="TT22" s="41">
        <f t="shared" si="243"/>
        <v>2.48</v>
      </c>
      <c r="TU22" s="41">
        <f t="shared" si="244"/>
        <v>8.33</v>
      </c>
      <c r="TV22" s="41">
        <f t="shared" si="245"/>
        <v>34.924999999999997</v>
      </c>
    </row>
    <row r="23" spans="1:542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153</v>
      </c>
      <c r="C23" s="4" t="s">
        <v>5</v>
      </c>
      <c r="D23" s="4">
        <v>1993</v>
      </c>
      <c r="E23" s="9">
        <f t="shared" si="0"/>
        <v>62.73000627300339</v>
      </c>
      <c r="F23" s="3" t="str">
        <f t="shared" si="1"/>
        <v/>
      </c>
      <c r="G23" s="3" t="str">
        <f t="shared" si="2"/>
        <v/>
      </c>
      <c r="H23" s="37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33.92</v>
      </c>
      <c r="K23" s="8" t="str">
        <f t="shared" si="5"/>
        <v>2023 Elite Canada</v>
      </c>
      <c r="L23" s="8">
        <f>IF(COUNT(AQ23,AT23,BR23,BU23,CS23,CV23)&gt;1,LARGE((AQ23,AT23,BR23,BU23,CS23,CV23),2),0)</f>
        <v>15.63</v>
      </c>
      <c r="M23" s="8" t="str">
        <f t="shared" si="6"/>
        <v>2023 Elite Canada</v>
      </c>
      <c r="N23" s="8">
        <f>IF(COUNT(AQ23,AT23,BR23,BU23,CS23,CV23)&gt;2,LARGE((AQ23,AT23,BR23,BU23,CS23,CV23),3),0)</f>
        <v>5.58</v>
      </c>
      <c r="O23" s="8" t="str">
        <f t="shared" si="7"/>
        <v>2023 Nationals</v>
      </c>
      <c r="P23" s="8">
        <f t="shared" si="8"/>
        <v>0</v>
      </c>
      <c r="Q23" s="8" t="str">
        <f t="shared" si="9"/>
        <v/>
      </c>
      <c r="R23" s="8">
        <f t="shared" si="10"/>
        <v>7.6</v>
      </c>
      <c r="S23" s="8" t="str">
        <f t="shared" si="11"/>
        <v>2023 Elite Canada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3">
        <v>4.3</v>
      </c>
      <c r="Z23" s="23">
        <v>3</v>
      </c>
      <c r="AA23" s="23">
        <v>3.5</v>
      </c>
      <c r="AB23" s="23">
        <v>4.83</v>
      </c>
      <c r="AC23" s="23">
        <v>0</v>
      </c>
      <c r="AD23" s="23">
        <v>9.6</v>
      </c>
      <c r="AE23" s="23">
        <v>6.3</v>
      </c>
      <c r="AF23" s="23">
        <v>7.6</v>
      </c>
      <c r="AG23" s="23">
        <v>10.42</v>
      </c>
      <c r="AH23" s="23">
        <v>0</v>
      </c>
      <c r="AI23" s="23"/>
      <c r="AJ23" s="23"/>
      <c r="AK23" s="23"/>
      <c r="AL23" s="23"/>
      <c r="AM23" s="23"/>
      <c r="AN23" s="28"/>
      <c r="AO23" s="39">
        <f t="shared" si="17"/>
        <v>3.5</v>
      </c>
      <c r="AP23" s="39">
        <f t="shared" si="18"/>
        <v>4.83</v>
      </c>
      <c r="AQ23" s="41">
        <f t="shared" si="19"/>
        <v>15.63</v>
      </c>
      <c r="AR23" s="41">
        <f t="shared" si="20"/>
        <v>7.6</v>
      </c>
      <c r="AS23" s="41">
        <f t="shared" si="21"/>
        <v>10.42</v>
      </c>
      <c r="AT23" s="41">
        <f t="shared" si="22"/>
        <v>33.92</v>
      </c>
      <c r="AU23" s="41">
        <f t="shared" si="23"/>
        <v>33.92</v>
      </c>
      <c r="AV23" s="41" t="str">
        <f t="shared" si="24"/>
        <v/>
      </c>
      <c r="AW23" s="41" t="str">
        <f t="shared" si="25"/>
        <v/>
      </c>
      <c r="AX23" s="41" t="str">
        <f t="shared" si="26"/>
        <v/>
      </c>
      <c r="AY23" s="41">
        <f t="shared" si="27"/>
        <v>33.92</v>
      </c>
      <c r="AZ23" s="27">
        <v>1.2</v>
      </c>
      <c r="BA23" s="27">
        <v>1</v>
      </c>
      <c r="BB23" s="27">
        <v>1.7</v>
      </c>
      <c r="BC23" s="27">
        <v>1.65</v>
      </c>
      <c r="BD23" s="27">
        <v>0</v>
      </c>
      <c r="BE23" s="27">
        <v>1.2</v>
      </c>
      <c r="BF23" s="27">
        <v>1</v>
      </c>
      <c r="BG23" s="27">
        <v>1.7</v>
      </c>
      <c r="BH23" s="27">
        <v>1.68</v>
      </c>
      <c r="BI23" s="27">
        <v>0</v>
      </c>
      <c r="BJ23" s="27"/>
      <c r="BK23" s="27"/>
      <c r="BL23" s="27"/>
      <c r="BM23" s="27"/>
      <c r="BN23" s="27"/>
      <c r="BO23" s="29"/>
      <c r="BP23" s="40">
        <f t="shared" si="28"/>
        <v>1.7</v>
      </c>
      <c r="BQ23" s="40">
        <f t="shared" si="29"/>
        <v>1.65</v>
      </c>
      <c r="BR23" s="11">
        <f t="shared" si="30"/>
        <v>5.5500000000000007</v>
      </c>
      <c r="BS23" s="11">
        <f t="shared" si="31"/>
        <v>1.7</v>
      </c>
      <c r="BT23" s="11">
        <f t="shared" si="32"/>
        <v>1.68</v>
      </c>
      <c r="BU23" s="11">
        <f t="shared" si="33"/>
        <v>5.58</v>
      </c>
      <c r="BV23" s="11">
        <f t="shared" si="34"/>
        <v>5.58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5.58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 t="shared" si="39"/>
        <v/>
      </c>
      <c r="CR23" s="39" t="str">
        <f t="shared" si="40"/>
        <v/>
      </c>
      <c r="CS23" s="41" t="str">
        <f t="shared" si="41"/>
        <v/>
      </c>
      <c r="CT23" s="41" t="str">
        <f t="shared" si="42"/>
        <v/>
      </c>
      <c r="CU23" s="41" t="str">
        <f t="shared" si="43"/>
        <v/>
      </c>
      <c r="CV23" s="41" t="str">
        <f t="shared" si="44"/>
        <v/>
      </c>
      <c r="CW23" s="41" t="str">
        <f t="shared" si="45"/>
        <v/>
      </c>
      <c r="CX23" s="41" t="str">
        <f t="shared" si="46"/>
        <v/>
      </c>
      <c r="CY23" s="41" t="str">
        <f t="shared" si="47"/>
        <v/>
      </c>
      <c r="CZ23" s="41" t="str">
        <f t="shared" si="48"/>
        <v/>
      </c>
      <c r="DA23" s="41" t="str">
        <f t="shared" si="49"/>
        <v/>
      </c>
      <c r="DB23" s="52" t="str">
        <f t="shared" si="50"/>
        <v/>
      </c>
      <c r="DC23" s="52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 t="shared" si="52"/>
        <v/>
      </c>
      <c r="DY23" s="41" t="str">
        <f t="shared" si="53"/>
        <v/>
      </c>
      <c r="DZ23" s="41" t="str">
        <f t="shared" si="54"/>
        <v/>
      </c>
      <c r="EA23" s="41" t="str">
        <f t="shared" si="55"/>
        <v/>
      </c>
      <c r="EB23" s="41" t="str">
        <f t="shared" si="56"/>
        <v/>
      </c>
      <c r="EC23" s="41" t="str">
        <f t="shared" si="57"/>
        <v/>
      </c>
      <c r="ED23" s="41" t="str">
        <f t="shared" si="58"/>
        <v/>
      </c>
      <c r="EE23" s="41" t="str">
        <f t="shared" si="59"/>
        <v/>
      </c>
      <c r="EF23" s="41" t="str">
        <f t="shared" si="60"/>
        <v/>
      </c>
      <c r="EG23" s="41" t="str">
        <f t="shared" si="61"/>
        <v/>
      </c>
      <c r="EH23" s="41" t="str">
        <f t="shared" si="62"/>
        <v/>
      </c>
      <c r="EI23" s="41" t="str">
        <f t="shared" si="63"/>
        <v/>
      </c>
      <c r="EJ23" s="41" t="str">
        <f t="shared" si="64"/>
        <v/>
      </c>
      <c r="EK23" s="41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 t="shared" si="80"/>
        <v/>
      </c>
      <c r="GO23" s="41" t="str">
        <f t="shared" si="81"/>
        <v/>
      </c>
      <c r="GP23" s="41" t="str">
        <f t="shared" si="82"/>
        <v/>
      </c>
      <c r="GQ23" s="41" t="str">
        <f t="shared" si="83"/>
        <v/>
      </c>
      <c r="GR23" s="41" t="str">
        <f t="shared" si="84"/>
        <v/>
      </c>
      <c r="GS23" s="41" t="str">
        <f t="shared" si="85"/>
        <v/>
      </c>
      <c r="GT23" s="41" t="str">
        <f t="shared" si="86"/>
        <v/>
      </c>
      <c r="GU23" s="41" t="str">
        <f t="shared" si="87"/>
        <v/>
      </c>
      <c r="GV23" s="41" t="str">
        <f t="shared" si="88"/>
        <v/>
      </c>
      <c r="GW23" s="41" t="str">
        <f t="shared" si="89"/>
        <v/>
      </c>
      <c r="GX23" s="41" t="str">
        <f t="shared" si="90"/>
        <v/>
      </c>
      <c r="GY23" s="41" t="str">
        <f t="shared" si="91"/>
        <v/>
      </c>
      <c r="GZ23" s="41" t="str">
        <f t="shared" si="92"/>
        <v/>
      </c>
      <c r="HA23" s="41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 t="shared" si="108"/>
        <v/>
      </c>
      <c r="JE23" s="41" t="str">
        <f t="shared" si="109"/>
        <v/>
      </c>
      <c r="JF23" s="41" t="str">
        <f t="shared" si="110"/>
        <v/>
      </c>
      <c r="JG23" s="41" t="str">
        <f t="shared" si="111"/>
        <v/>
      </c>
      <c r="JH23" s="41" t="str">
        <f t="shared" si="112"/>
        <v/>
      </c>
      <c r="JI23" s="41" t="str">
        <f t="shared" si="113"/>
        <v/>
      </c>
      <c r="JJ23" s="41" t="str">
        <f t="shared" si="114"/>
        <v/>
      </c>
      <c r="JK23" s="41" t="str">
        <f t="shared" si="115"/>
        <v/>
      </c>
      <c r="JL23" s="41" t="str">
        <f t="shared" si="116"/>
        <v/>
      </c>
      <c r="JM23" s="41" t="str">
        <f t="shared" si="117"/>
        <v/>
      </c>
      <c r="JN23" s="41" t="str">
        <f t="shared" si="118"/>
        <v/>
      </c>
      <c r="JO23" s="41" t="str">
        <f t="shared" si="119"/>
        <v/>
      </c>
      <c r="JP23" s="41" t="str">
        <f t="shared" si="120"/>
        <v/>
      </c>
      <c r="JQ23" s="41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 t="shared" si="136"/>
        <v/>
      </c>
      <c r="LU23" s="41" t="str">
        <f t="shared" si="137"/>
        <v/>
      </c>
      <c r="LV23" s="41" t="str">
        <f t="shared" si="138"/>
        <v/>
      </c>
      <c r="LW23" s="41" t="str">
        <f t="shared" si="139"/>
        <v/>
      </c>
      <c r="LX23" s="41" t="str">
        <f t="shared" si="140"/>
        <v/>
      </c>
      <c r="LY23" s="41" t="str">
        <f t="shared" si="141"/>
        <v/>
      </c>
      <c r="LZ23" s="41" t="str">
        <f t="shared" si="142"/>
        <v/>
      </c>
      <c r="MA23" s="41" t="str">
        <f t="shared" si="143"/>
        <v/>
      </c>
      <c r="MB23" s="41" t="str">
        <f t="shared" si="144"/>
        <v/>
      </c>
      <c r="MC23" s="41" t="str">
        <f t="shared" si="145"/>
        <v/>
      </c>
      <c r="MD23" s="41" t="str">
        <f t="shared" si="146"/>
        <v/>
      </c>
      <c r="ME23" s="41" t="str">
        <f t="shared" si="147"/>
        <v/>
      </c>
      <c r="MF23" s="41" t="str">
        <f t="shared" si="148"/>
        <v/>
      </c>
      <c r="MG23" s="41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 t="shared" si="164"/>
        <v/>
      </c>
      <c r="OK23" s="41" t="str">
        <f t="shared" si="165"/>
        <v/>
      </c>
      <c r="OL23" s="41" t="str">
        <f t="shared" si="166"/>
        <v/>
      </c>
      <c r="OM23" s="41" t="str">
        <f t="shared" si="167"/>
        <v/>
      </c>
      <c r="ON23" s="41" t="str">
        <f t="shared" si="168"/>
        <v/>
      </c>
      <c r="OO23" s="41" t="str">
        <f t="shared" si="169"/>
        <v/>
      </c>
      <c r="OP23" s="41" t="str">
        <f t="shared" si="170"/>
        <v/>
      </c>
      <c r="OQ23" s="41" t="str">
        <f t="shared" si="171"/>
        <v/>
      </c>
      <c r="OR23" s="41" t="str">
        <f t="shared" si="172"/>
        <v/>
      </c>
      <c r="OS23" s="41" t="str">
        <f t="shared" si="173"/>
        <v/>
      </c>
      <c r="OT23" s="41" t="str">
        <f t="shared" si="174"/>
        <v/>
      </c>
      <c r="OU23" s="41" t="str">
        <f t="shared" si="175"/>
        <v/>
      </c>
      <c r="OV23" s="41" t="str">
        <f t="shared" si="176"/>
        <v/>
      </c>
      <c r="OW23" s="41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 t="shared" si="192"/>
        <v/>
      </c>
      <c r="RA23" s="41" t="str">
        <f t="shared" si="193"/>
        <v/>
      </c>
      <c r="RB23" s="41" t="str">
        <f t="shared" si="194"/>
        <v/>
      </c>
      <c r="RC23" s="41" t="str">
        <f t="shared" si="195"/>
        <v/>
      </c>
      <c r="RD23" s="41" t="str">
        <f t="shared" si="196"/>
        <v/>
      </c>
      <c r="RE23" s="41" t="str">
        <f t="shared" si="197"/>
        <v/>
      </c>
      <c r="RF23" s="41" t="str">
        <f t="shared" si="198"/>
        <v/>
      </c>
      <c r="RG23" s="41" t="str">
        <f t="shared" si="199"/>
        <v/>
      </c>
      <c r="RH23" s="41" t="str">
        <f t="shared" si="200"/>
        <v/>
      </c>
      <c r="RI23" s="41" t="str">
        <f t="shared" si="201"/>
        <v/>
      </c>
      <c r="RJ23" s="41" t="str">
        <f t="shared" si="202"/>
        <v/>
      </c>
      <c r="RK23" s="41" t="str">
        <f t="shared" si="203"/>
        <v/>
      </c>
      <c r="RL23" s="41" t="str">
        <f t="shared" si="204"/>
        <v/>
      </c>
      <c r="RM23" s="41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23">
        <f t="shared" si="220"/>
        <v>0.6</v>
      </c>
      <c r="SW23" s="23">
        <f t="shared" si="221"/>
        <v>0.5</v>
      </c>
      <c r="SX23" s="23">
        <f t="shared" si="222"/>
        <v>0.85</v>
      </c>
      <c r="SY23" s="23">
        <f t="shared" si="223"/>
        <v>0.82499999999999996</v>
      </c>
      <c r="SZ23" s="23">
        <f t="shared" si="224"/>
        <v>0</v>
      </c>
      <c r="TA23" s="23">
        <f t="shared" si="225"/>
        <v>0.6</v>
      </c>
      <c r="TB23" s="23">
        <f t="shared" si="226"/>
        <v>0.5</v>
      </c>
      <c r="TC23" s="23">
        <f t="shared" si="227"/>
        <v>0.85</v>
      </c>
      <c r="TD23" s="23">
        <f t="shared" si="228"/>
        <v>0.84</v>
      </c>
      <c r="TE23" s="23">
        <f t="shared" si="229"/>
        <v>0</v>
      </c>
      <c r="TF23" s="23">
        <f t="shared" si="230"/>
        <v>0</v>
      </c>
      <c r="TG23" s="23">
        <f t="shared" si="231"/>
        <v>0</v>
      </c>
      <c r="TH23" s="23">
        <f t="shared" si="232"/>
        <v>0</v>
      </c>
      <c r="TI23" s="23">
        <f t="shared" si="233"/>
        <v>0</v>
      </c>
      <c r="TJ23" s="23">
        <f t="shared" si="234"/>
        <v>0</v>
      </c>
      <c r="TK23" s="28" t="s">
        <v>57</v>
      </c>
      <c r="TL23" s="41">
        <f t="shared" si="235"/>
        <v>0.85</v>
      </c>
      <c r="TM23" s="41">
        <f t="shared" si="236"/>
        <v>0.82499999999999996</v>
      </c>
      <c r="TN23" s="41">
        <f t="shared" si="237"/>
        <v>2.7750000000000004</v>
      </c>
      <c r="TO23" s="41">
        <f t="shared" si="238"/>
        <v>0.85</v>
      </c>
      <c r="TP23" s="41">
        <f t="shared" si="239"/>
        <v>0.84</v>
      </c>
      <c r="TQ23" s="41">
        <f t="shared" si="240"/>
        <v>2.79</v>
      </c>
      <c r="TR23" s="41">
        <f t="shared" si="241"/>
        <v>2.79</v>
      </c>
      <c r="TS23" s="41" t="str">
        <f t="shared" si="242"/>
        <v/>
      </c>
      <c r="TT23" s="41" t="str">
        <f t="shared" si="243"/>
        <v/>
      </c>
      <c r="TU23" s="41" t="str">
        <f t="shared" si="244"/>
        <v/>
      </c>
      <c r="TV23" s="41">
        <f t="shared" si="245"/>
        <v>2.79</v>
      </c>
    </row>
    <row r="24" spans="1:542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69</v>
      </c>
      <c r="C24" s="4" t="s">
        <v>5</v>
      </c>
      <c r="D24" s="4">
        <v>1991</v>
      </c>
      <c r="E24" s="9">
        <f t="shared" si="0"/>
        <v>18.550001855001085</v>
      </c>
      <c r="F24" s="3" t="str">
        <f t="shared" si="1"/>
        <v/>
      </c>
      <c r="G24" s="3" t="str">
        <f t="shared" si="2"/>
        <v/>
      </c>
      <c r="H24" s="37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10.8</v>
      </c>
      <c r="K24" s="8" t="str">
        <f t="shared" si="5"/>
        <v>2023 Nationals</v>
      </c>
      <c r="L24" s="8">
        <f>IF(COUNT(AQ24,AT24,BR24,BU24,CS24,CV24)&gt;1,LARGE((AQ24,AT24,BR24,BU24,CS24,CV24),2),0)</f>
        <v>5.65</v>
      </c>
      <c r="M24" s="8" t="str">
        <f t="shared" si="6"/>
        <v>2023 Nationals</v>
      </c>
      <c r="N24" s="8">
        <f>IF(COUNT(AQ24,AT24,BR24,BU24,CS24,CV24)&gt;2,LARGE((AQ24,AT24,BR24,BU24,CS24,CV24),3),0)</f>
        <v>0</v>
      </c>
      <c r="O24" s="8" t="str">
        <f t="shared" si="7"/>
        <v/>
      </c>
      <c r="P24" s="8">
        <f t="shared" si="8"/>
        <v>0</v>
      </c>
      <c r="Q24" s="8" t="str">
        <f t="shared" si="9"/>
        <v/>
      </c>
      <c r="R24" s="8">
        <f t="shared" si="10"/>
        <v>2.1</v>
      </c>
      <c r="S24" s="8" t="str">
        <f t="shared" si="11"/>
        <v>2023 Nationals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8"/>
      <c r="AO24" s="39" t="str">
        <f t="shared" si="17"/>
        <v/>
      </c>
      <c r="AP24" s="39" t="str">
        <f t="shared" si="18"/>
        <v/>
      </c>
      <c r="AQ24" s="41" t="str">
        <f t="shared" si="19"/>
        <v/>
      </c>
      <c r="AR24" s="41" t="str">
        <f t="shared" si="20"/>
        <v/>
      </c>
      <c r="AS24" s="41" t="str">
        <f t="shared" si="21"/>
        <v/>
      </c>
      <c r="AT24" s="41" t="str">
        <f t="shared" si="22"/>
        <v/>
      </c>
      <c r="AU24" s="41" t="str">
        <f t="shared" si="23"/>
        <v/>
      </c>
      <c r="AV24" s="41" t="str">
        <f t="shared" si="24"/>
        <v/>
      </c>
      <c r="AW24" s="41" t="str">
        <f t="shared" si="25"/>
        <v/>
      </c>
      <c r="AX24" s="41" t="str">
        <f t="shared" si="26"/>
        <v/>
      </c>
      <c r="AY24" s="41" t="str">
        <f t="shared" si="27"/>
        <v/>
      </c>
      <c r="AZ24" s="27">
        <v>3.4</v>
      </c>
      <c r="BA24" s="27">
        <v>1.8</v>
      </c>
      <c r="BB24" s="27">
        <v>2.1</v>
      </c>
      <c r="BC24" s="27">
        <v>3.5</v>
      </c>
      <c r="BD24" s="27">
        <v>0</v>
      </c>
      <c r="BE24" s="27">
        <v>1.4</v>
      </c>
      <c r="BF24" s="27">
        <v>1</v>
      </c>
      <c r="BG24" s="27">
        <v>1.5</v>
      </c>
      <c r="BH24" s="27">
        <v>1.75</v>
      </c>
      <c r="BI24" s="27">
        <v>0</v>
      </c>
      <c r="BJ24" s="27"/>
      <c r="BK24" s="27"/>
      <c r="BL24" s="27"/>
      <c r="BM24" s="27"/>
      <c r="BN24" s="27"/>
      <c r="BO24" s="29"/>
      <c r="BP24" s="40">
        <f t="shared" si="28"/>
        <v>2.1</v>
      </c>
      <c r="BQ24" s="40">
        <f t="shared" si="29"/>
        <v>3.5</v>
      </c>
      <c r="BR24" s="11">
        <f t="shared" si="30"/>
        <v>10.8</v>
      </c>
      <c r="BS24" s="11">
        <f t="shared" si="31"/>
        <v>1.5</v>
      </c>
      <c r="BT24" s="11">
        <f t="shared" si="32"/>
        <v>1.75</v>
      </c>
      <c r="BU24" s="11">
        <f t="shared" si="33"/>
        <v>5.65</v>
      </c>
      <c r="BV24" s="11">
        <f t="shared" si="34"/>
        <v>10.8</v>
      </c>
      <c r="BW24" s="11" t="str">
        <f t="shared" si="35"/>
        <v/>
      </c>
      <c r="BX24" s="11" t="str">
        <f t="shared" si="36"/>
        <v/>
      </c>
      <c r="BY24" s="11" t="str">
        <f t="shared" si="37"/>
        <v/>
      </c>
      <c r="BZ24" s="11">
        <f t="shared" si="38"/>
        <v>10.8</v>
      </c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8"/>
      <c r="CQ24" s="39" t="str">
        <f t="shared" si="39"/>
        <v/>
      </c>
      <c r="CR24" s="39" t="str">
        <f t="shared" si="40"/>
        <v/>
      </c>
      <c r="CS24" s="41" t="str">
        <f t="shared" si="41"/>
        <v/>
      </c>
      <c r="CT24" s="41" t="str">
        <f t="shared" si="42"/>
        <v/>
      </c>
      <c r="CU24" s="41" t="str">
        <f t="shared" si="43"/>
        <v/>
      </c>
      <c r="CV24" s="41" t="str">
        <f t="shared" si="44"/>
        <v/>
      </c>
      <c r="CW24" s="41" t="str">
        <f t="shared" si="45"/>
        <v/>
      </c>
      <c r="CX24" s="41" t="str">
        <f t="shared" si="46"/>
        <v/>
      </c>
      <c r="CY24" s="41" t="str">
        <f t="shared" si="47"/>
        <v/>
      </c>
      <c r="CZ24" s="41" t="str">
        <f t="shared" si="48"/>
        <v/>
      </c>
      <c r="DA24" s="41" t="str">
        <f t="shared" si="49"/>
        <v/>
      </c>
      <c r="DB24" s="52" t="str">
        <f t="shared" si="50"/>
        <v/>
      </c>
      <c r="DC24" s="52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 t="shared" si="52"/>
        <v/>
      </c>
      <c r="DY24" s="41" t="str">
        <f t="shared" si="53"/>
        <v/>
      </c>
      <c r="DZ24" s="41" t="str">
        <f t="shared" si="54"/>
        <v/>
      </c>
      <c r="EA24" s="41" t="str">
        <f t="shared" si="55"/>
        <v/>
      </c>
      <c r="EB24" s="41" t="str">
        <f t="shared" si="56"/>
        <v/>
      </c>
      <c r="EC24" s="41" t="str">
        <f t="shared" si="57"/>
        <v/>
      </c>
      <c r="ED24" s="41" t="str">
        <f t="shared" si="58"/>
        <v/>
      </c>
      <c r="EE24" s="41" t="str">
        <f t="shared" si="59"/>
        <v/>
      </c>
      <c r="EF24" s="41" t="str">
        <f t="shared" si="60"/>
        <v/>
      </c>
      <c r="EG24" s="41" t="str">
        <f t="shared" si="61"/>
        <v/>
      </c>
      <c r="EH24" s="41" t="str">
        <f t="shared" si="62"/>
        <v/>
      </c>
      <c r="EI24" s="41" t="str">
        <f t="shared" si="63"/>
        <v/>
      </c>
      <c r="EJ24" s="41" t="str">
        <f t="shared" si="64"/>
        <v/>
      </c>
      <c r="EK24" s="41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 t="shared" si="80"/>
        <v/>
      </c>
      <c r="GO24" s="41" t="str">
        <f t="shared" si="81"/>
        <v/>
      </c>
      <c r="GP24" s="41" t="str">
        <f t="shared" si="82"/>
        <v/>
      </c>
      <c r="GQ24" s="41" t="str">
        <f t="shared" si="83"/>
        <v/>
      </c>
      <c r="GR24" s="41" t="str">
        <f t="shared" si="84"/>
        <v/>
      </c>
      <c r="GS24" s="41" t="str">
        <f t="shared" si="85"/>
        <v/>
      </c>
      <c r="GT24" s="41" t="str">
        <f t="shared" si="86"/>
        <v/>
      </c>
      <c r="GU24" s="41" t="str">
        <f t="shared" si="87"/>
        <v/>
      </c>
      <c r="GV24" s="41" t="str">
        <f t="shared" si="88"/>
        <v/>
      </c>
      <c r="GW24" s="41" t="str">
        <f t="shared" si="89"/>
        <v/>
      </c>
      <c r="GX24" s="41" t="str">
        <f t="shared" si="90"/>
        <v/>
      </c>
      <c r="GY24" s="41" t="str">
        <f t="shared" si="91"/>
        <v/>
      </c>
      <c r="GZ24" s="41" t="str">
        <f t="shared" si="92"/>
        <v/>
      </c>
      <c r="HA24" s="41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 t="shared" si="108"/>
        <v/>
      </c>
      <c r="JE24" s="41" t="str">
        <f t="shared" si="109"/>
        <v/>
      </c>
      <c r="JF24" s="41" t="str">
        <f t="shared" si="110"/>
        <v/>
      </c>
      <c r="JG24" s="41" t="str">
        <f t="shared" si="111"/>
        <v/>
      </c>
      <c r="JH24" s="41" t="str">
        <f t="shared" si="112"/>
        <v/>
      </c>
      <c r="JI24" s="41" t="str">
        <f t="shared" si="113"/>
        <v/>
      </c>
      <c r="JJ24" s="41" t="str">
        <f t="shared" si="114"/>
        <v/>
      </c>
      <c r="JK24" s="41" t="str">
        <f t="shared" si="115"/>
        <v/>
      </c>
      <c r="JL24" s="41" t="str">
        <f t="shared" si="116"/>
        <v/>
      </c>
      <c r="JM24" s="41" t="str">
        <f t="shared" si="117"/>
        <v/>
      </c>
      <c r="JN24" s="41" t="str">
        <f t="shared" si="118"/>
        <v/>
      </c>
      <c r="JO24" s="41" t="str">
        <f t="shared" si="119"/>
        <v/>
      </c>
      <c r="JP24" s="41" t="str">
        <f t="shared" si="120"/>
        <v/>
      </c>
      <c r="JQ24" s="41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 t="shared" si="136"/>
        <v/>
      </c>
      <c r="LU24" s="41" t="str">
        <f t="shared" si="137"/>
        <v/>
      </c>
      <c r="LV24" s="41" t="str">
        <f t="shared" si="138"/>
        <v/>
      </c>
      <c r="LW24" s="41" t="str">
        <f t="shared" si="139"/>
        <v/>
      </c>
      <c r="LX24" s="41" t="str">
        <f t="shared" si="140"/>
        <v/>
      </c>
      <c r="LY24" s="41" t="str">
        <f t="shared" si="141"/>
        <v/>
      </c>
      <c r="LZ24" s="41" t="str">
        <f t="shared" si="142"/>
        <v/>
      </c>
      <c r="MA24" s="41" t="str">
        <f t="shared" si="143"/>
        <v/>
      </c>
      <c r="MB24" s="41" t="str">
        <f t="shared" si="144"/>
        <v/>
      </c>
      <c r="MC24" s="41" t="str">
        <f t="shared" si="145"/>
        <v/>
      </c>
      <c r="MD24" s="41" t="str">
        <f t="shared" si="146"/>
        <v/>
      </c>
      <c r="ME24" s="41" t="str">
        <f t="shared" si="147"/>
        <v/>
      </c>
      <c r="MF24" s="41" t="str">
        <f t="shared" si="148"/>
        <v/>
      </c>
      <c r="MG24" s="41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 t="shared" si="164"/>
        <v/>
      </c>
      <c r="OK24" s="41" t="str">
        <f t="shared" si="165"/>
        <v/>
      </c>
      <c r="OL24" s="41" t="str">
        <f t="shared" si="166"/>
        <v/>
      </c>
      <c r="OM24" s="41" t="str">
        <f t="shared" si="167"/>
        <v/>
      </c>
      <c r="ON24" s="41" t="str">
        <f t="shared" si="168"/>
        <v/>
      </c>
      <c r="OO24" s="41" t="str">
        <f t="shared" si="169"/>
        <v/>
      </c>
      <c r="OP24" s="41" t="str">
        <f t="shared" si="170"/>
        <v/>
      </c>
      <c r="OQ24" s="41" t="str">
        <f t="shared" si="171"/>
        <v/>
      </c>
      <c r="OR24" s="41" t="str">
        <f t="shared" si="172"/>
        <v/>
      </c>
      <c r="OS24" s="41" t="str">
        <f t="shared" si="173"/>
        <v/>
      </c>
      <c r="OT24" s="41" t="str">
        <f t="shared" si="174"/>
        <v/>
      </c>
      <c r="OU24" s="41" t="str">
        <f t="shared" si="175"/>
        <v/>
      </c>
      <c r="OV24" s="41" t="str">
        <f t="shared" si="176"/>
        <v/>
      </c>
      <c r="OW24" s="41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 t="shared" si="192"/>
        <v/>
      </c>
      <c r="RA24" s="41" t="str">
        <f t="shared" si="193"/>
        <v/>
      </c>
      <c r="RB24" s="41" t="str">
        <f t="shared" si="194"/>
        <v/>
      </c>
      <c r="RC24" s="41" t="str">
        <f t="shared" si="195"/>
        <v/>
      </c>
      <c r="RD24" s="41" t="str">
        <f t="shared" si="196"/>
        <v/>
      </c>
      <c r="RE24" s="41" t="str">
        <f t="shared" si="197"/>
        <v/>
      </c>
      <c r="RF24" s="41" t="str">
        <f t="shared" si="198"/>
        <v/>
      </c>
      <c r="RG24" s="41" t="str">
        <f t="shared" si="199"/>
        <v/>
      </c>
      <c r="RH24" s="41" t="str">
        <f t="shared" si="200"/>
        <v/>
      </c>
      <c r="RI24" s="41" t="str">
        <f t="shared" si="201"/>
        <v/>
      </c>
      <c r="RJ24" s="41" t="str">
        <f t="shared" si="202"/>
        <v/>
      </c>
      <c r="RK24" s="41" t="str">
        <f t="shared" si="203"/>
        <v/>
      </c>
      <c r="RL24" s="41" t="str">
        <f t="shared" si="204"/>
        <v/>
      </c>
      <c r="RM24" s="41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23">
        <f t="shared" si="220"/>
        <v>1.7</v>
      </c>
      <c r="SW24" s="23">
        <f t="shared" si="221"/>
        <v>0.9</v>
      </c>
      <c r="SX24" s="23">
        <f t="shared" si="222"/>
        <v>1.05</v>
      </c>
      <c r="SY24" s="23">
        <f t="shared" si="223"/>
        <v>1.75</v>
      </c>
      <c r="SZ24" s="23">
        <f t="shared" si="224"/>
        <v>0</v>
      </c>
      <c r="TA24" s="23">
        <f t="shared" si="225"/>
        <v>0.7</v>
      </c>
      <c r="TB24" s="23">
        <f t="shared" si="226"/>
        <v>0.5</v>
      </c>
      <c r="TC24" s="23">
        <f t="shared" si="227"/>
        <v>0.75</v>
      </c>
      <c r="TD24" s="23">
        <f t="shared" si="228"/>
        <v>0.875</v>
      </c>
      <c r="TE24" s="23">
        <f t="shared" si="229"/>
        <v>0</v>
      </c>
      <c r="TF24" s="23">
        <f t="shared" si="230"/>
        <v>0</v>
      </c>
      <c r="TG24" s="23">
        <f t="shared" si="231"/>
        <v>0</v>
      </c>
      <c r="TH24" s="23">
        <f t="shared" si="232"/>
        <v>0</v>
      </c>
      <c r="TI24" s="23">
        <f t="shared" si="233"/>
        <v>0</v>
      </c>
      <c r="TJ24" s="23">
        <f t="shared" si="234"/>
        <v>0</v>
      </c>
      <c r="TK24" s="28" t="s">
        <v>57</v>
      </c>
      <c r="TL24" s="41">
        <f t="shared" si="235"/>
        <v>1.05</v>
      </c>
      <c r="TM24" s="41">
        <f t="shared" si="236"/>
        <v>1.75</v>
      </c>
      <c r="TN24" s="41">
        <f t="shared" si="237"/>
        <v>5.4</v>
      </c>
      <c r="TO24" s="41">
        <f t="shared" si="238"/>
        <v>0.75</v>
      </c>
      <c r="TP24" s="41">
        <f t="shared" si="239"/>
        <v>0.875</v>
      </c>
      <c r="TQ24" s="41">
        <f t="shared" si="240"/>
        <v>2.8250000000000002</v>
      </c>
      <c r="TR24" s="41">
        <f t="shared" si="241"/>
        <v>5.4</v>
      </c>
      <c r="TS24" s="41" t="str">
        <f t="shared" si="242"/>
        <v/>
      </c>
      <c r="TT24" s="41" t="str">
        <f t="shared" si="243"/>
        <v/>
      </c>
      <c r="TU24" s="41" t="str">
        <f t="shared" si="244"/>
        <v/>
      </c>
      <c r="TV24" s="41">
        <f t="shared" si="245"/>
        <v>5.4</v>
      </c>
    </row>
    <row r="25" spans="1:542" x14ac:dyDescent="0.2">
      <c r="B25" s="5"/>
      <c r="D25" s="1"/>
    </row>
    <row r="26" spans="1:542" x14ac:dyDescent="0.2">
      <c r="G26" s="37"/>
      <c r="I26" s="37"/>
    </row>
    <row r="27" spans="1:542" x14ac:dyDescent="0.2">
      <c r="B27" s="24" t="s">
        <v>54</v>
      </c>
      <c r="C27" s="5"/>
      <c r="G27" s="3"/>
      <c r="AR27" s="42"/>
      <c r="AS27" s="42"/>
      <c r="AT27" s="42"/>
      <c r="AV27" s="33"/>
      <c r="AW27" s="33"/>
      <c r="AY27" s="43">
        <v>15.4</v>
      </c>
      <c r="BS27" s="42"/>
      <c r="BT27" s="42"/>
      <c r="BU27" s="42"/>
      <c r="BW27" s="33"/>
      <c r="BX27" s="33"/>
      <c r="BZ27" s="43">
        <v>15.4</v>
      </c>
      <c r="CT27" s="42"/>
      <c r="CU27" s="42"/>
      <c r="CV27" s="42"/>
      <c r="CX27" s="33"/>
      <c r="CY27" s="33"/>
      <c r="DA27" s="43">
        <v>15.4</v>
      </c>
      <c r="DX27" s="5"/>
      <c r="DY27" s="5"/>
      <c r="EH27" s="2"/>
      <c r="EI27" s="2"/>
      <c r="EK27" s="43">
        <v>15.4</v>
      </c>
      <c r="FF27" s="5"/>
      <c r="FG27" s="5"/>
      <c r="FP27" s="2"/>
      <c r="FQ27" s="2"/>
      <c r="FS27" s="43">
        <v>15.4</v>
      </c>
      <c r="GN27" s="5"/>
      <c r="GO27" s="5"/>
      <c r="GX27" s="2"/>
      <c r="GY27" s="2"/>
      <c r="HA27" s="43">
        <v>15.4</v>
      </c>
      <c r="HV27" s="5"/>
      <c r="HW27" s="5"/>
      <c r="IF27" s="2"/>
      <c r="IG27" s="2"/>
      <c r="II27" s="43">
        <v>15.4</v>
      </c>
      <c r="JD27" s="5"/>
      <c r="JE27" s="5"/>
      <c r="JN27" s="2"/>
      <c r="JO27" s="2"/>
      <c r="JQ27" s="43">
        <v>15.4</v>
      </c>
      <c r="KL27" s="5"/>
      <c r="KM27" s="5"/>
      <c r="KV27" s="2"/>
      <c r="KW27" s="2"/>
      <c r="KY27" s="43">
        <v>15.4</v>
      </c>
      <c r="LT27" s="5"/>
      <c r="LU27" s="5"/>
      <c r="MD27" s="2"/>
      <c r="ME27" s="2"/>
      <c r="MG27" s="43">
        <v>15.4</v>
      </c>
      <c r="NB27" s="5"/>
      <c r="NC27" s="5"/>
      <c r="NL27" s="2"/>
      <c r="NM27" s="2"/>
      <c r="NO27" s="43">
        <v>15.4</v>
      </c>
      <c r="OJ27" s="5"/>
      <c r="OK27" s="5"/>
      <c r="OT27" s="2"/>
      <c r="OU27" s="2"/>
      <c r="OW27" s="43">
        <v>15.4</v>
      </c>
      <c r="PR27" s="5"/>
      <c r="PS27" s="5"/>
      <c r="QB27" s="2"/>
      <c r="QC27" s="2"/>
      <c r="QE27" s="43">
        <v>15.4</v>
      </c>
      <c r="QZ27" s="5"/>
      <c r="RA27" s="5"/>
      <c r="RJ27" s="2"/>
      <c r="RK27" s="2"/>
      <c r="RM27" s="43">
        <v>15.4</v>
      </c>
      <c r="SH27" s="5"/>
      <c r="SI27" s="5"/>
      <c r="SR27" s="2"/>
      <c r="SS27" s="2"/>
      <c r="SU27" s="43">
        <v>15.4</v>
      </c>
    </row>
    <row r="28" spans="1:542" x14ac:dyDescent="0.2">
      <c r="B28" s="31" t="s">
        <v>53</v>
      </c>
      <c r="C28" s="5"/>
      <c r="X28" s="2"/>
      <c r="AR28" s="42"/>
      <c r="AS28" s="42"/>
      <c r="AT28" s="42"/>
      <c r="AV28" s="33"/>
      <c r="AW28" s="33"/>
      <c r="AY28" s="44">
        <v>16</v>
      </c>
      <c r="BS28" s="42"/>
      <c r="BT28" s="42"/>
      <c r="BU28" s="42"/>
      <c r="BW28" s="33"/>
      <c r="BX28" s="33"/>
      <c r="BZ28" s="44">
        <v>16</v>
      </c>
      <c r="CT28" s="42"/>
      <c r="CU28" s="42"/>
      <c r="CV28" s="42"/>
      <c r="CX28" s="33"/>
      <c r="CY28" s="33"/>
      <c r="DA28" s="44">
        <v>16</v>
      </c>
      <c r="DX28" s="5"/>
      <c r="DY28" s="5"/>
      <c r="EH28" s="2"/>
      <c r="EI28" s="2"/>
      <c r="EK28" s="44">
        <v>16</v>
      </c>
      <c r="FF28" s="5"/>
      <c r="FG28" s="5"/>
      <c r="FP28" s="2"/>
      <c r="FQ28" s="2"/>
      <c r="FS28" s="44">
        <v>16</v>
      </c>
      <c r="GN28" s="5"/>
      <c r="GO28" s="5"/>
      <c r="GX28" s="2"/>
      <c r="GY28" s="2"/>
      <c r="HA28" s="44">
        <v>16</v>
      </c>
      <c r="HV28" s="5"/>
      <c r="HW28" s="5"/>
      <c r="IF28" s="2"/>
      <c r="IG28" s="2"/>
      <c r="II28" s="44">
        <v>16</v>
      </c>
      <c r="JD28" s="5"/>
      <c r="JE28" s="5"/>
      <c r="JN28" s="2"/>
      <c r="JO28" s="2"/>
      <c r="JQ28" s="44">
        <v>16</v>
      </c>
      <c r="KL28" s="5"/>
      <c r="KM28" s="5"/>
      <c r="KV28" s="2"/>
      <c r="KW28" s="2"/>
      <c r="KY28" s="44">
        <v>16</v>
      </c>
      <c r="LT28" s="5"/>
      <c r="LU28" s="5"/>
      <c r="MD28" s="2"/>
      <c r="ME28" s="2"/>
      <c r="MG28" s="44">
        <v>16</v>
      </c>
      <c r="NB28" s="5"/>
      <c r="NC28" s="5"/>
      <c r="NL28" s="2"/>
      <c r="NM28" s="2"/>
      <c r="NO28" s="44">
        <v>16</v>
      </c>
      <c r="OJ28" s="5"/>
      <c r="OK28" s="5"/>
      <c r="OT28" s="2"/>
      <c r="OU28" s="2"/>
      <c r="OW28" s="44">
        <v>16</v>
      </c>
      <c r="PR28" s="5"/>
      <c r="PS28" s="5"/>
      <c r="QB28" s="2"/>
      <c r="QC28" s="2"/>
      <c r="QE28" s="44">
        <v>16</v>
      </c>
      <c r="QZ28" s="5"/>
      <c r="RA28" s="5"/>
      <c r="RJ28" s="2"/>
      <c r="RK28" s="2"/>
      <c r="RM28" s="44">
        <v>16</v>
      </c>
      <c r="SH28" s="5"/>
      <c r="SI28" s="5"/>
      <c r="SR28" s="2"/>
      <c r="SS28" s="2"/>
      <c r="SU28" s="44">
        <v>16</v>
      </c>
    </row>
    <row r="29" spans="1:542" x14ac:dyDescent="0.2">
      <c r="A29" s="5"/>
      <c r="B29" s="32" t="s">
        <v>67</v>
      </c>
      <c r="C29" s="5"/>
      <c r="E29" s="2"/>
      <c r="AR29" s="42"/>
      <c r="AS29" s="42"/>
      <c r="AT29" s="42"/>
      <c r="AU29" s="33"/>
      <c r="AV29" s="33"/>
      <c r="AW29" s="33"/>
      <c r="AX29" s="33"/>
      <c r="AY29" s="45">
        <v>16.2</v>
      </c>
      <c r="BS29" s="42"/>
      <c r="BT29" s="42"/>
      <c r="BU29" s="42"/>
      <c r="BW29" s="33"/>
      <c r="BX29" s="33"/>
      <c r="BZ29" s="45">
        <v>16.2</v>
      </c>
      <c r="CT29" s="42"/>
      <c r="CU29" s="42"/>
      <c r="CV29" s="42"/>
      <c r="CW29" s="33"/>
      <c r="CX29" s="33"/>
      <c r="CY29" s="33"/>
      <c r="CZ29" s="33"/>
      <c r="DA29" s="45">
        <v>16.2</v>
      </c>
      <c r="DX29" s="5"/>
      <c r="DY29" s="5"/>
      <c r="EH29" s="2"/>
      <c r="EI29" s="2"/>
      <c r="EK29" s="45">
        <v>16.2</v>
      </c>
      <c r="FF29" s="5"/>
      <c r="FG29" s="5"/>
      <c r="FP29" s="2"/>
      <c r="FQ29" s="2"/>
      <c r="FS29" s="45">
        <v>16.2</v>
      </c>
      <c r="GN29" s="5"/>
      <c r="GO29" s="5"/>
      <c r="GX29" s="2"/>
      <c r="GY29" s="2"/>
      <c r="HA29" s="45">
        <v>16.2</v>
      </c>
      <c r="HV29" s="5"/>
      <c r="HW29" s="5"/>
      <c r="IF29" s="2"/>
      <c r="IG29" s="2"/>
      <c r="II29" s="45">
        <v>16.2</v>
      </c>
      <c r="JD29" s="5"/>
      <c r="JE29" s="5"/>
      <c r="JN29" s="2"/>
      <c r="JO29" s="2"/>
      <c r="JQ29" s="45">
        <v>16.2</v>
      </c>
      <c r="KL29" s="5"/>
      <c r="KM29" s="5"/>
      <c r="KV29" s="2"/>
      <c r="KW29" s="2"/>
      <c r="KY29" s="45">
        <v>16.2</v>
      </c>
      <c r="LT29" s="5"/>
      <c r="LU29" s="5"/>
      <c r="MD29" s="2"/>
      <c r="ME29" s="2"/>
      <c r="MG29" s="45">
        <v>16.2</v>
      </c>
      <c r="NB29" s="5"/>
      <c r="NC29" s="5"/>
      <c r="NL29" s="2"/>
      <c r="NM29" s="2"/>
      <c r="NO29" s="45">
        <v>16.2</v>
      </c>
      <c r="OJ29" s="5"/>
      <c r="OK29" s="5"/>
      <c r="OT29" s="2"/>
      <c r="OU29" s="2"/>
      <c r="OW29" s="45">
        <v>16.2</v>
      </c>
      <c r="PR29" s="5"/>
      <c r="PS29" s="5"/>
      <c r="QB29" s="2"/>
      <c r="QC29" s="2"/>
      <c r="QE29" s="45">
        <v>16.2</v>
      </c>
      <c r="QZ29" s="5"/>
      <c r="RA29" s="5"/>
      <c r="RJ29" s="2"/>
      <c r="RK29" s="2"/>
      <c r="RM29" s="45">
        <v>16.2</v>
      </c>
      <c r="SH29" s="5"/>
      <c r="SI29" s="5"/>
      <c r="SR29" s="2"/>
      <c r="SS29" s="2"/>
      <c r="SU29" s="45">
        <v>16.2</v>
      </c>
    </row>
    <row r="30" spans="1:542" x14ac:dyDescent="0.2">
      <c r="A30" s="5"/>
      <c r="B30" s="36" t="s">
        <v>80</v>
      </c>
      <c r="C30" s="5"/>
      <c r="E30" s="2"/>
      <c r="AR30" s="42"/>
      <c r="AS30" s="42"/>
      <c r="AT30" s="42"/>
      <c r="AU30" s="33"/>
      <c r="AV30" s="33"/>
      <c r="AW30" s="33"/>
      <c r="AX30" s="33"/>
      <c r="AY30" s="46">
        <v>17.100000000000001</v>
      </c>
      <c r="BS30" s="42"/>
      <c r="BT30" s="42"/>
      <c r="BU30" s="42"/>
      <c r="BW30" s="33"/>
      <c r="BX30" s="33"/>
      <c r="BZ30" s="46">
        <v>17.100000000000001</v>
      </c>
      <c r="CT30" s="42"/>
      <c r="CU30" s="42"/>
      <c r="CV30" s="42"/>
      <c r="CW30" s="33"/>
      <c r="CX30" s="33"/>
      <c r="CY30" s="33"/>
      <c r="CZ30" s="33"/>
      <c r="DA30" s="46">
        <v>17.100000000000001</v>
      </c>
      <c r="DX30" s="5"/>
      <c r="DY30" s="5"/>
      <c r="EH30" s="2"/>
      <c r="EI30" s="2"/>
      <c r="EK30" s="46">
        <v>17.100000000000001</v>
      </c>
      <c r="FF30" s="5"/>
      <c r="FG30" s="5"/>
      <c r="FP30" s="2"/>
      <c r="FQ30" s="2"/>
      <c r="FS30" s="46">
        <v>17.100000000000001</v>
      </c>
      <c r="GN30" s="5"/>
      <c r="GO30" s="5"/>
      <c r="GX30" s="2"/>
      <c r="GY30" s="2"/>
      <c r="HA30" s="46">
        <v>17.100000000000001</v>
      </c>
      <c r="HV30" s="5"/>
      <c r="HW30" s="5"/>
      <c r="IF30" s="2"/>
      <c r="IG30" s="2"/>
      <c r="II30" s="46">
        <v>17.100000000000001</v>
      </c>
      <c r="JD30" s="5"/>
      <c r="JE30" s="5"/>
      <c r="JN30" s="2"/>
      <c r="JO30" s="2"/>
      <c r="JQ30" s="46">
        <v>17.100000000000001</v>
      </c>
      <c r="KL30" s="5"/>
      <c r="KM30" s="5"/>
      <c r="KV30" s="2"/>
      <c r="KW30" s="2"/>
      <c r="KY30" s="46">
        <v>17.100000000000001</v>
      </c>
      <c r="LT30" s="5"/>
      <c r="LU30" s="5"/>
      <c r="MD30" s="2"/>
      <c r="ME30" s="2"/>
      <c r="MG30" s="46">
        <v>17.100000000000001</v>
      </c>
      <c r="NB30" s="5"/>
      <c r="NC30" s="5"/>
      <c r="NL30" s="2"/>
      <c r="NM30" s="2"/>
      <c r="NO30" s="46">
        <v>17.100000000000001</v>
      </c>
      <c r="OJ30" s="5"/>
      <c r="OK30" s="5"/>
      <c r="OT30" s="2"/>
      <c r="OU30" s="2"/>
      <c r="OW30" s="46">
        <v>17.100000000000001</v>
      </c>
      <c r="PR30" s="5"/>
      <c r="PS30" s="5"/>
      <c r="QB30" s="2"/>
      <c r="QC30" s="2"/>
      <c r="QE30" s="46">
        <v>17.100000000000001</v>
      </c>
      <c r="QZ30" s="5"/>
      <c r="RA30" s="5"/>
      <c r="RJ30" s="2"/>
      <c r="RK30" s="2"/>
      <c r="RM30" s="46">
        <v>17.100000000000001</v>
      </c>
      <c r="SH30" s="5"/>
      <c r="SI30" s="5"/>
      <c r="SR30" s="2"/>
      <c r="SS30" s="2"/>
      <c r="SU30" s="46">
        <v>17.100000000000001</v>
      </c>
    </row>
    <row r="31" spans="1:542" x14ac:dyDescent="0.2">
      <c r="A31" s="5"/>
      <c r="B31" s="35" t="s">
        <v>51</v>
      </c>
      <c r="C31" s="5"/>
      <c r="P31" s="2"/>
      <c r="AR31" s="42"/>
      <c r="AS31" s="42"/>
      <c r="AT31" s="42"/>
      <c r="AU31" s="33"/>
      <c r="AV31" s="33"/>
      <c r="AW31" s="33"/>
      <c r="AX31" s="33"/>
      <c r="AY31" s="47">
        <v>54</v>
      </c>
      <c r="BS31" s="42"/>
      <c r="BT31" s="42"/>
      <c r="BU31" s="42"/>
      <c r="BW31" s="33"/>
      <c r="BX31" s="33"/>
      <c r="BZ31" s="47">
        <v>54</v>
      </c>
      <c r="CT31" s="42"/>
      <c r="CU31" s="42"/>
      <c r="CV31" s="42"/>
      <c r="CW31" s="33"/>
      <c r="CX31" s="33"/>
      <c r="CY31" s="33"/>
      <c r="CZ31" s="33"/>
      <c r="DA31" s="47">
        <v>54</v>
      </c>
      <c r="DX31" s="5"/>
      <c r="DY31" s="5"/>
      <c r="EH31" s="2"/>
      <c r="EI31" s="2"/>
      <c r="EK31" s="47">
        <v>54</v>
      </c>
      <c r="FF31" s="5"/>
      <c r="FG31" s="5"/>
      <c r="FP31" s="2"/>
      <c r="FQ31" s="2"/>
      <c r="FS31" s="47">
        <v>54</v>
      </c>
      <c r="GN31" s="5"/>
      <c r="GO31" s="5"/>
      <c r="GX31" s="2"/>
      <c r="GY31" s="2"/>
      <c r="HA31" s="47">
        <v>54</v>
      </c>
      <c r="HV31" s="5"/>
      <c r="HW31" s="5"/>
      <c r="IF31" s="2"/>
      <c r="IG31" s="2"/>
      <c r="II31" s="47">
        <v>54</v>
      </c>
      <c r="JD31" s="5"/>
      <c r="JE31" s="5"/>
      <c r="JN31" s="2"/>
      <c r="JO31" s="2"/>
      <c r="JQ31" s="47">
        <v>54</v>
      </c>
      <c r="KL31" s="5"/>
      <c r="KM31" s="5"/>
      <c r="KV31" s="2"/>
      <c r="KW31" s="2"/>
      <c r="KY31" s="47">
        <v>54</v>
      </c>
      <c r="LT31" s="5"/>
      <c r="LU31" s="5"/>
      <c r="MD31" s="2"/>
      <c r="ME31" s="2"/>
      <c r="MG31" s="47">
        <v>54</v>
      </c>
      <c r="NB31" s="5"/>
      <c r="NC31" s="5"/>
      <c r="NL31" s="2"/>
      <c r="NM31" s="2"/>
      <c r="NO31" s="47">
        <v>54</v>
      </c>
      <c r="OJ31" s="5"/>
      <c r="OK31" s="5"/>
      <c r="OT31" s="2"/>
      <c r="OU31" s="2"/>
      <c r="OW31" s="47">
        <v>54</v>
      </c>
      <c r="PR31" s="5"/>
      <c r="PS31" s="5"/>
      <c r="QB31" s="2"/>
      <c r="QC31" s="2"/>
      <c r="QE31" s="47">
        <v>54</v>
      </c>
      <c r="QZ31" s="5"/>
      <c r="RA31" s="5"/>
      <c r="RJ31" s="2"/>
      <c r="RK31" s="2"/>
      <c r="RM31" s="47">
        <v>54</v>
      </c>
      <c r="SH31" s="5"/>
      <c r="SI31" s="5"/>
      <c r="SR31" s="2"/>
      <c r="SS31" s="2"/>
      <c r="SU31" s="47">
        <v>54</v>
      </c>
    </row>
    <row r="32" spans="1:542" x14ac:dyDescent="0.2">
      <c r="A32" s="5"/>
      <c r="B32" s="25" t="s">
        <v>52</v>
      </c>
      <c r="C32" s="5"/>
      <c r="P32" s="2"/>
      <c r="AR32" s="42"/>
      <c r="AS32" s="42"/>
      <c r="AT32" s="42"/>
      <c r="AU32" s="33"/>
      <c r="AV32" s="33"/>
      <c r="AW32" s="33"/>
      <c r="AX32" s="33"/>
      <c r="AY32" s="48">
        <v>56</v>
      </c>
      <c r="BS32" s="42"/>
      <c r="BT32" s="42"/>
      <c r="BU32" s="42"/>
      <c r="BW32" s="33"/>
      <c r="BX32" s="33"/>
      <c r="BZ32" s="48">
        <v>56</v>
      </c>
      <c r="CT32" s="42"/>
      <c r="CU32" s="42"/>
      <c r="CV32" s="42"/>
      <c r="CW32" s="33"/>
      <c r="CX32" s="33"/>
      <c r="CY32" s="33"/>
      <c r="CZ32" s="33"/>
      <c r="DA32" s="48">
        <v>56</v>
      </c>
      <c r="DX32" s="5"/>
      <c r="DY32" s="5"/>
      <c r="EH32" s="2"/>
      <c r="EI32" s="2"/>
      <c r="EK32" s="48">
        <v>56</v>
      </c>
      <c r="FF32" s="5"/>
      <c r="FG32" s="5"/>
      <c r="FP32" s="2"/>
      <c r="FQ32" s="2"/>
      <c r="FS32" s="48">
        <v>56</v>
      </c>
      <c r="GN32" s="5"/>
      <c r="GO32" s="5"/>
      <c r="GX32" s="2"/>
      <c r="GY32" s="2"/>
      <c r="HA32" s="48">
        <v>56</v>
      </c>
      <c r="HV32" s="5"/>
      <c r="HW32" s="5"/>
      <c r="IF32" s="2"/>
      <c r="IG32" s="2"/>
      <c r="II32" s="48">
        <v>56</v>
      </c>
      <c r="JD32" s="5"/>
      <c r="JE32" s="5"/>
      <c r="JN32" s="2"/>
      <c r="JO32" s="2"/>
      <c r="JQ32" s="48">
        <v>56</v>
      </c>
      <c r="KL32" s="5"/>
      <c r="KM32" s="5"/>
      <c r="KV32" s="2"/>
      <c r="KW32" s="2"/>
      <c r="KY32" s="48">
        <v>56</v>
      </c>
      <c r="LT32" s="5"/>
      <c r="LU32" s="5"/>
      <c r="MD32" s="2"/>
      <c r="ME32" s="2"/>
      <c r="MG32" s="48">
        <v>56</v>
      </c>
      <c r="NB32" s="5"/>
      <c r="NC32" s="5"/>
      <c r="NL32" s="2"/>
      <c r="NM32" s="2"/>
      <c r="NO32" s="48">
        <v>56</v>
      </c>
      <c r="OJ32" s="5"/>
      <c r="OK32" s="5"/>
      <c r="OT32" s="2"/>
      <c r="OU32" s="2"/>
      <c r="OW32" s="48">
        <v>56</v>
      </c>
      <c r="PR32" s="5"/>
      <c r="PS32" s="5"/>
      <c r="QB32" s="2"/>
      <c r="QC32" s="2"/>
      <c r="QE32" s="48">
        <v>56</v>
      </c>
      <c r="QZ32" s="5"/>
      <c r="RA32" s="5"/>
      <c r="RJ32" s="2"/>
      <c r="RK32" s="2"/>
      <c r="RM32" s="48">
        <v>56</v>
      </c>
      <c r="SH32" s="5"/>
      <c r="SI32" s="5"/>
      <c r="SR32" s="2"/>
      <c r="SS32" s="2"/>
      <c r="SU32" s="48">
        <v>56</v>
      </c>
    </row>
    <row r="33" spans="1:515" x14ac:dyDescent="0.2">
      <c r="A33" s="5"/>
      <c r="B33" s="34" t="s">
        <v>66</v>
      </c>
      <c r="C33" s="5"/>
      <c r="AR33" s="42"/>
      <c r="AS33" s="42"/>
      <c r="AT33" s="42"/>
      <c r="AU33" s="33"/>
      <c r="AV33" s="33"/>
      <c r="AW33" s="33"/>
      <c r="AX33" s="33"/>
      <c r="AY33" s="49">
        <v>57</v>
      </c>
      <c r="BS33" s="42"/>
      <c r="BT33" s="42"/>
      <c r="BU33" s="42"/>
      <c r="BW33" s="33"/>
      <c r="BX33" s="33"/>
      <c r="BZ33" s="49">
        <v>57</v>
      </c>
      <c r="CT33" s="42"/>
      <c r="CU33" s="42"/>
      <c r="CV33" s="42"/>
      <c r="CW33" s="33"/>
      <c r="CX33" s="33"/>
      <c r="CY33" s="33"/>
      <c r="CZ33" s="33"/>
      <c r="DA33" s="49">
        <v>57</v>
      </c>
      <c r="DX33" s="5"/>
      <c r="DY33" s="5"/>
      <c r="EH33" s="2"/>
      <c r="EI33" s="2"/>
      <c r="EJ33" s="38"/>
      <c r="EK33" s="49">
        <v>57</v>
      </c>
      <c r="FF33" s="5"/>
      <c r="FG33" s="5"/>
      <c r="FP33" s="2"/>
      <c r="FQ33" s="2"/>
      <c r="FR33" s="38"/>
      <c r="FS33" s="49">
        <v>57</v>
      </c>
      <c r="GN33" s="5"/>
      <c r="GO33" s="5"/>
      <c r="GX33" s="2"/>
      <c r="GY33" s="2"/>
      <c r="GZ33" s="38"/>
      <c r="HA33" s="49">
        <v>57</v>
      </c>
      <c r="HV33" s="5"/>
      <c r="HW33" s="5"/>
      <c r="IF33" s="2"/>
      <c r="IG33" s="2"/>
      <c r="IH33" s="38"/>
      <c r="II33" s="49">
        <v>57</v>
      </c>
      <c r="JD33" s="5"/>
      <c r="JE33" s="5"/>
      <c r="JN33" s="2"/>
      <c r="JO33" s="2"/>
      <c r="JP33" s="38"/>
      <c r="JQ33" s="49">
        <v>57</v>
      </c>
      <c r="KL33" s="5"/>
      <c r="KM33" s="5"/>
      <c r="KV33" s="2"/>
      <c r="KW33" s="2"/>
      <c r="KX33" s="38"/>
      <c r="KY33" s="49">
        <v>57</v>
      </c>
      <c r="LT33" s="5"/>
      <c r="LU33" s="5"/>
      <c r="MD33" s="2"/>
      <c r="ME33" s="2"/>
      <c r="MF33" s="38"/>
      <c r="MG33" s="49">
        <v>57</v>
      </c>
      <c r="NB33" s="5"/>
      <c r="NC33" s="5"/>
      <c r="NL33" s="2"/>
      <c r="NM33" s="2"/>
      <c r="NN33" s="38"/>
      <c r="NO33" s="49">
        <v>57</v>
      </c>
      <c r="OJ33" s="5"/>
      <c r="OK33" s="5"/>
      <c r="OT33" s="2"/>
      <c r="OU33" s="2"/>
      <c r="OV33" s="38"/>
      <c r="OW33" s="49">
        <v>57</v>
      </c>
      <c r="PR33" s="5"/>
      <c r="PS33" s="5"/>
      <c r="QB33" s="2"/>
      <c r="QC33" s="2"/>
      <c r="QD33" s="38"/>
      <c r="QE33" s="49">
        <v>57</v>
      </c>
      <c r="QZ33" s="5"/>
      <c r="RA33" s="5"/>
      <c r="RJ33" s="2"/>
      <c r="RK33" s="2"/>
      <c r="RL33" s="38"/>
      <c r="RM33" s="49">
        <v>57</v>
      </c>
      <c r="SH33" s="5"/>
      <c r="SI33" s="5"/>
      <c r="SR33" s="2"/>
      <c r="SS33" s="2"/>
      <c r="ST33" s="38"/>
      <c r="SU33" s="49">
        <v>57</v>
      </c>
    </row>
    <row r="34" spans="1:515" x14ac:dyDescent="0.2">
      <c r="A34" s="5"/>
      <c r="B34" s="26" t="s">
        <v>35</v>
      </c>
      <c r="C34" s="5"/>
      <c r="P34" s="2"/>
      <c r="AR34" s="42"/>
      <c r="AS34" s="42"/>
      <c r="AT34" s="42"/>
      <c r="AU34" s="33"/>
      <c r="AV34" s="42"/>
      <c r="AW34" s="42"/>
      <c r="AX34" s="33"/>
      <c r="AY34" s="50">
        <v>59</v>
      </c>
      <c r="BS34" s="42"/>
      <c r="BT34" s="42"/>
      <c r="BU34" s="42"/>
      <c r="BW34" s="42"/>
      <c r="BX34" s="33"/>
      <c r="BZ34" s="50">
        <v>59</v>
      </c>
      <c r="CT34" s="42"/>
      <c r="CU34" s="42"/>
      <c r="CV34" s="42"/>
      <c r="CW34" s="33"/>
      <c r="CX34" s="42"/>
      <c r="CY34" s="33"/>
      <c r="CZ34" s="33"/>
      <c r="DA34" s="50">
        <v>59</v>
      </c>
      <c r="DX34" s="5"/>
      <c r="DY34" s="5"/>
      <c r="EH34" s="42"/>
      <c r="EI34" s="2"/>
      <c r="EK34" s="50">
        <v>59</v>
      </c>
      <c r="FF34" s="5"/>
      <c r="FG34" s="5"/>
      <c r="FP34" s="42"/>
      <c r="FQ34" s="2"/>
      <c r="FS34" s="50">
        <v>59</v>
      </c>
      <c r="GN34" s="5"/>
      <c r="GO34" s="5"/>
      <c r="GX34" s="2"/>
      <c r="GY34" s="2"/>
      <c r="HA34" s="50">
        <v>59</v>
      </c>
      <c r="HV34" s="5"/>
      <c r="HW34" s="5"/>
      <c r="IF34" s="42"/>
      <c r="IG34" s="2"/>
      <c r="II34" s="50">
        <v>59</v>
      </c>
      <c r="JD34" s="5"/>
      <c r="JE34" s="5"/>
      <c r="JN34" s="2"/>
      <c r="JO34" s="2"/>
      <c r="JQ34" s="50">
        <v>59</v>
      </c>
      <c r="KL34" s="5"/>
      <c r="KM34" s="5"/>
      <c r="KV34" s="2"/>
      <c r="KW34" s="2"/>
      <c r="KY34" s="50">
        <v>59</v>
      </c>
      <c r="LT34" s="5"/>
      <c r="LU34" s="5"/>
      <c r="MD34" s="2"/>
      <c r="ME34" s="2"/>
      <c r="MG34" s="50">
        <v>59</v>
      </c>
      <c r="NB34" s="5"/>
      <c r="NC34" s="5"/>
      <c r="NL34" s="2"/>
      <c r="NM34" s="2"/>
      <c r="NO34" s="50">
        <v>59</v>
      </c>
      <c r="OJ34" s="5"/>
      <c r="OK34" s="5"/>
      <c r="OT34" s="2"/>
      <c r="OU34" s="2"/>
      <c r="OW34" s="50">
        <v>59</v>
      </c>
      <c r="PR34" s="5"/>
      <c r="PS34" s="5"/>
      <c r="QB34" s="2"/>
      <c r="QC34" s="2"/>
      <c r="QE34" s="50">
        <v>59</v>
      </c>
      <c r="QZ34" s="5"/>
      <c r="RA34" s="5"/>
      <c r="RJ34" s="2"/>
      <c r="RK34" s="2"/>
      <c r="RM34" s="50">
        <v>59</v>
      </c>
      <c r="SH34" s="5"/>
      <c r="SI34" s="5"/>
      <c r="SR34" s="2"/>
      <c r="SS34" s="2"/>
      <c r="SU34" s="50">
        <v>59</v>
      </c>
    </row>
    <row r="35" spans="1:515" x14ac:dyDescent="0.2">
      <c r="B35" s="30" t="s">
        <v>58</v>
      </c>
      <c r="C35" s="2"/>
      <c r="AU35" s="33"/>
      <c r="AX35" s="33"/>
      <c r="CW35" s="33"/>
      <c r="CZ35" s="33"/>
    </row>
    <row r="36" spans="1:515" x14ac:dyDescent="0.2">
      <c r="A36" s="5"/>
      <c r="B36" s="5"/>
      <c r="C36" s="2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A38" s="5"/>
      <c r="B38" s="5"/>
      <c r="C38" s="20"/>
      <c r="V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4">
      <sortCondition descending="1" ref="F1:F25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4">
    <cfRule type="expression" dxfId="742" priority="51275" stopIfTrue="1">
      <formula>IF($AN4&lt;&gt;"",1,0)</formula>
    </cfRule>
  </conditionalFormatting>
  <conditionalFormatting sqref="AZ4:BZ24">
    <cfRule type="expression" dxfId="741" priority="210" stopIfTrue="1">
      <formula>IF($BO4&lt;&gt;"",1,0)</formula>
    </cfRule>
  </conditionalFormatting>
  <conditionalFormatting sqref="CA4:DA24">
    <cfRule type="expression" dxfId="740" priority="206" stopIfTrue="1">
      <formula>IF($CP4&lt;&gt;"",1,0)</formula>
    </cfRule>
  </conditionalFormatting>
  <conditionalFormatting sqref="BW35:BW1048576 BP1:BP1048576 BS1:BS1048576 BW1:BW33">
    <cfRule type="cellIs" dxfId="739" priority="52632" operator="between">
      <formula>$BZ$30</formula>
      <formula>1000</formula>
    </cfRule>
    <cfRule type="cellIs" dxfId="738" priority="52633" operator="between">
      <formula>$BZ$29</formula>
      <formula>$BZ$30</formula>
    </cfRule>
    <cfRule type="cellIs" dxfId="737" priority="52634" operator="between">
      <formula>$BZ$28</formula>
      <formula>$BZ$29</formula>
    </cfRule>
    <cfRule type="cellIs" dxfId="736" priority="52635" operator="between">
      <formula>$BZ$27</formula>
      <formula>$BZ$28</formula>
    </cfRule>
  </conditionalFormatting>
  <conditionalFormatting sqref="CX35:CX1048576 CQ1:CQ1048576 CT1:CT1048576 CX1:CX33">
    <cfRule type="cellIs" dxfId="735" priority="51509" operator="between">
      <formula>$DA$30</formula>
      <formula>1000</formula>
    </cfRule>
    <cfRule type="cellIs" dxfId="734" priority="51510" operator="between">
      <formula>$DA$29</formula>
      <formula>$DA$30</formula>
    </cfRule>
    <cfRule type="cellIs" dxfId="733" priority="51511" operator="between">
      <formula>$DA$28</formula>
      <formula>$DA$29</formula>
    </cfRule>
    <cfRule type="cellIs" dxfId="732" priority="51512" operator="between">
      <formula>$DA$27</formula>
      <formula>$DA$28</formula>
    </cfRule>
  </conditionalFormatting>
  <conditionalFormatting sqref="EH35:EH1048576 DX1:DX1048576 EA1:EA1048576 EE1:EE1048576 EH1:EH33">
    <cfRule type="cellIs" dxfId="731" priority="52660" operator="between">
      <formula>$EK$30</formula>
      <formula>1000</formula>
    </cfRule>
    <cfRule type="cellIs" dxfId="730" priority="52661" operator="between">
      <formula>$EK$29</formula>
      <formula>$EK$30</formula>
    </cfRule>
    <cfRule type="cellIs" dxfId="729" priority="52662" operator="between">
      <formula>$EK$28</formula>
      <formula>$EK$29</formula>
    </cfRule>
    <cfRule type="cellIs" dxfId="728" priority="52663" operator="between">
      <formula>$EK$27</formula>
      <formula>$EK$28</formula>
    </cfRule>
  </conditionalFormatting>
  <conditionalFormatting sqref="FP35:FP1048576 FF1:FF1048576 FI1:FI1048576 FM1:FM1048576 FP1:FP33">
    <cfRule type="cellIs" dxfId="727" priority="190" operator="between">
      <formula>$FS$30</formula>
      <formula>1000</formula>
    </cfRule>
    <cfRule type="cellIs" dxfId="726" priority="191" operator="between">
      <formula>$FS$29</formula>
      <formula>$FS$30</formula>
    </cfRule>
    <cfRule type="cellIs" dxfId="725" priority="192" operator="between">
      <formula>$FS$28</formula>
      <formula>$FS$29</formula>
    </cfRule>
    <cfRule type="cellIs" dxfId="724" priority="193" operator="between">
      <formula>$FS$27</formula>
      <formula>$FS$28</formula>
    </cfRule>
  </conditionalFormatting>
  <conditionalFormatting sqref="IF35:IF1048576 HV1:HV1048576 HY1:HY1048576 IC1:IC1048576 IF1:IF33">
    <cfRule type="cellIs" dxfId="723" priority="158" operator="between">
      <formula>$II$30</formula>
      <formula>1000</formula>
    </cfRule>
    <cfRule type="cellIs" dxfId="722" priority="159" operator="between">
      <formula>$II$29</formula>
      <formula>$II$30</formula>
    </cfRule>
    <cfRule type="cellIs" dxfId="721" priority="160" operator="between">
      <formula>$II$28</formula>
      <formula>$II$29</formula>
    </cfRule>
    <cfRule type="cellIs" dxfId="720" priority="161" operator="between">
      <formula>$II$27</formula>
      <formula>$II$28</formula>
    </cfRule>
  </conditionalFormatting>
  <conditionalFormatting sqref="AW34 AO1:AO1048576 AR1:AR1048576 AV1:AV1048576">
    <cfRule type="cellIs" dxfId="719" priority="22" operator="between">
      <formula>$AY$30</formula>
      <formula>1000</formula>
    </cfRule>
    <cfRule type="cellIs" dxfId="718" priority="23" operator="between">
      <formula>$AY$29</formula>
      <formula>$AY$30</formula>
    </cfRule>
    <cfRule type="cellIs" dxfId="717" priority="24" operator="between">
      <formula>$AY$28</formula>
      <formula>$AY$29</formula>
    </cfRule>
    <cfRule type="cellIs" dxfId="716" priority="25" operator="between">
      <formula>$AY$27</formula>
      <formula>$AY$28</formula>
    </cfRule>
  </conditionalFormatting>
  <conditionalFormatting sqref="BW34">
    <cfRule type="cellIs" dxfId="715" priority="18" operator="between">
      <formula>$AY$30</formula>
      <formula>1000</formula>
    </cfRule>
    <cfRule type="cellIs" dxfId="714" priority="19" operator="between">
      <formula>$AY$29</formula>
      <formula>$AY$30</formula>
    </cfRule>
    <cfRule type="cellIs" dxfId="713" priority="20" operator="between">
      <formula>$AY$28</formula>
      <formula>$AY$29</formula>
    </cfRule>
    <cfRule type="cellIs" dxfId="712" priority="21" operator="between">
      <formula>$AY$27</formula>
      <formula>$AY$28</formula>
    </cfRule>
  </conditionalFormatting>
  <conditionalFormatting sqref="CX34">
    <cfRule type="cellIs" dxfId="711" priority="14" operator="between">
      <formula>$AY$30</formula>
      <formula>1000</formula>
    </cfRule>
    <cfRule type="cellIs" dxfId="710" priority="15" operator="between">
      <formula>$AY$29</formula>
      <formula>$AY$30</formula>
    </cfRule>
    <cfRule type="cellIs" dxfId="709" priority="16" operator="between">
      <formula>$AY$28</formula>
      <formula>$AY$29</formula>
    </cfRule>
    <cfRule type="cellIs" dxfId="708" priority="17" operator="between">
      <formula>$AY$27</formula>
      <formula>$AY$28</formula>
    </cfRule>
  </conditionalFormatting>
  <conditionalFormatting sqref="EH34">
    <cfRule type="cellIs" dxfId="707" priority="10" operator="between">
      <formula>$AY$30</formula>
      <formula>1000</formula>
    </cfRule>
    <cfRule type="cellIs" dxfId="706" priority="11" operator="between">
      <formula>$AY$29</formula>
      <formula>$AY$30</formula>
    </cfRule>
    <cfRule type="cellIs" dxfId="705" priority="12" operator="between">
      <formula>$AY$28</formula>
      <formula>$AY$29</formula>
    </cfRule>
    <cfRule type="cellIs" dxfId="704" priority="13" operator="between">
      <formula>$AY$27</formula>
      <formula>$AY$28</formula>
    </cfRule>
  </conditionalFormatting>
  <conditionalFormatting sqref="FP34">
    <cfRule type="cellIs" dxfId="703" priority="6" operator="between">
      <formula>$AY$30</formula>
      <formula>1000</formula>
    </cfRule>
    <cfRule type="cellIs" dxfId="702" priority="7" operator="between">
      <formula>$AY$29</formula>
      <formula>$AY$30</formula>
    </cfRule>
    <cfRule type="cellIs" dxfId="701" priority="8" operator="between">
      <formula>$AY$28</formula>
      <formula>$AY$29</formula>
    </cfRule>
    <cfRule type="cellIs" dxfId="700" priority="9" operator="between">
      <formula>$AY$27</formula>
      <formula>$AY$28</formula>
    </cfRule>
  </conditionalFormatting>
  <conditionalFormatting sqref="IF34">
    <cfRule type="cellIs" dxfId="699" priority="2" operator="between">
      <formula>$AY$30</formula>
      <formula>1000</formula>
    </cfRule>
    <cfRule type="cellIs" dxfId="698" priority="3" operator="between">
      <formula>$AY$29</formula>
      <formula>$AY$30</formula>
    </cfRule>
    <cfRule type="cellIs" dxfId="697" priority="4" operator="between">
      <formula>$AY$28</formula>
      <formula>$AY$29</formula>
    </cfRule>
    <cfRule type="cellIs" dxfId="696" priority="5" operator="between">
      <formula>$AY$27</formula>
      <formula>$AY$28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CV1:CV1048576 AT1:AT1048576">
    <cfRule type="cellIs" dxfId="692" priority="81977" operator="between">
      <formula>AY$34</formula>
      <formula>1000</formula>
    </cfRule>
    <cfRule type="cellIs" dxfId="691" priority="81978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0" priority="81989" operator="between">
      <formula>EK$34</formula>
      <formula>1000</formula>
    </cfRule>
    <cfRule type="cellIs" dxfId="689" priority="81990" operator="between">
      <formula>EK$33</formula>
      <formula>EK$34</formula>
    </cfRule>
  </conditionalFormatting>
  <conditionalFormatting sqref="AQ1:AQ1048576 AT1:AT1048576 AX1:AX1048576">
    <cfRule type="cellIs" dxfId="688" priority="82061" operator="between">
      <formula>$AY$34</formula>
      <formula>1000</formula>
    </cfRule>
    <cfRule type="cellIs" dxfId="687" priority="82062" operator="between">
      <formula>$AY$33</formula>
      <formula>$AY$34</formula>
    </cfRule>
    <cfRule type="cellIs" dxfId="686" priority="82063" operator="between">
      <formula>$AY$32</formula>
      <formula>$AY$33</formula>
    </cfRule>
    <cfRule type="cellIs" dxfId="685" priority="82064" operator="between">
      <formula>$AY$31</formula>
      <formula>$AY$32</formula>
    </cfRule>
  </conditionalFormatting>
  <conditionalFormatting sqref="BR1:BR1048576 BU1:BU1048576 BY1:BY1048576">
    <cfRule type="cellIs" dxfId="684" priority="82097" operator="between">
      <formula>$BZ$34</formula>
      <formula>1000</formula>
    </cfRule>
    <cfRule type="cellIs" dxfId="683" priority="82098" operator="between">
      <formula>$BZ$33</formula>
      <formula>$BZ$34</formula>
    </cfRule>
    <cfRule type="cellIs" dxfId="682" priority="82099" operator="between">
      <formula>$BZ$32</formula>
      <formula>$BZ$33</formula>
    </cfRule>
    <cfRule type="cellIs" dxfId="681" priority="82100" operator="between">
      <formula>$BZ$31</formula>
      <formula>$BZ$32</formula>
    </cfRule>
  </conditionalFormatting>
  <conditionalFormatting sqref="CS1:CS1048576 CV1:CV1048576 CZ1:CZ1048576">
    <cfRule type="cellIs" dxfId="680" priority="82133" operator="between">
      <formula>$DA$34</formula>
      <formula>1000</formula>
    </cfRule>
    <cfRule type="cellIs" dxfId="679" priority="82134" operator="between">
      <formula>$DA$33</formula>
      <formula>$DA$34</formula>
    </cfRule>
    <cfRule type="cellIs" dxfId="678" priority="82135" operator="between">
      <formula>$DA$32</formula>
      <formula>$DA$33</formula>
    </cfRule>
    <cfRule type="cellIs" dxfId="677" priority="82136" operator="between">
      <formula>$DA$31</formula>
      <formula>$DA$32</formula>
    </cfRule>
  </conditionalFormatting>
  <conditionalFormatting sqref="NB1:NB1048576 NE1:NE1048576 NI1:NI1048576 NL1:NL1048576">
    <cfRule type="cellIs" dxfId="676" priority="82169" operator="between">
      <formula>$NO$27</formula>
      <formula>$NO$28</formula>
    </cfRule>
  </conditionalFormatting>
  <conditionalFormatting sqref="DZ1:DZ1048576 EC1:EC1048576 EG1:EG1048576 EJ1:EJ1048576">
    <cfRule type="cellIs" dxfId="675" priority="82181" operator="between">
      <formula>$EK$34</formula>
      <formula>1000</formula>
    </cfRule>
    <cfRule type="cellIs" dxfId="674" priority="82182" operator="between">
      <formula>$EK$33</formula>
      <formula>$EK$34</formula>
    </cfRule>
    <cfRule type="cellIs" dxfId="673" priority="82183" operator="between">
      <formula>$EK$32</formula>
      <formula>$EK$33</formula>
    </cfRule>
    <cfRule type="cellIs" dxfId="672" priority="82184" operator="between">
      <formula>$EK$31</formula>
      <formula>$EK$32</formula>
    </cfRule>
  </conditionalFormatting>
  <conditionalFormatting sqref="FH1:FH1048576 FK1:FK1048576 FO1:FO1048576 FR1:FR1048576">
    <cfRule type="cellIs" dxfId="671" priority="82229" operator="between">
      <formula>$FS$34</formula>
      <formula>1000</formula>
    </cfRule>
    <cfRule type="cellIs" dxfId="670" priority="82230" operator="between">
      <formula>$FS$33</formula>
      <formula>$FS$34</formula>
    </cfRule>
    <cfRule type="cellIs" dxfId="669" priority="82231" operator="between">
      <formula>$FS$32</formula>
      <formula>$FS$33</formula>
    </cfRule>
    <cfRule type="cellIs" dxfId="668" priority="82232" operator="between">
      <formula>$FS$31</formula>
      <formula>$FS$32</formula>
    </cfRule>
  </conditionalFormatting>
  <conditionalFormatting sqref="GN1:GN1048576 GQ1:GQ1048576 GU1:GU1048576 GX1:GX1048576">
    <cfRule type="cellIs" dxfId="667" priority="82277" operator="between">
      <formula>$HA$30</formula>
      <formula>1000</formula>
    </cfRule>
    <cfRule type="cellIs" dxfId="666" priority="82278" operator="between">
      <formula>$HA$29</formula>
      <formula>$HA$30</formula>
    </cfRule>
    <cfRule type="cellIs" dxfId="665" priority="82279" operator="between">
      <formula>$HA$28</formula>
      <formula>$HA$29</formula>
    </cfRule>
    <cfRule type="cellIs" dxfId="664" priority="82280" operator="between">
      <formula>$HA$27</formula>
      <formula>$HA$28</formula>
    </cfRule>
  </conditionalFormatting>
  <conditionalFormatting sqref="GP1:GP1048576 GS1:GS1048576 GW1:GW1048576 GZ1:GZ1048576">
    <cfRule type="cellIs" dxfId="663" priority="82325" operator="between">
      <formula>$HA$34</formula>
      <formula>1000</formula>
    </cfRule>
    <cfRule type="cellIs" dxfId="662" priority="82326" operator="between">
      <formula>$HA$33</formula>
      <formula>$HA$34</formula>
    </cfRule>
    <cfRule type="cellIs" dxfId="661" priority="82327" operator="between">
      <formula>$HA$32</formula>
      <formula>$HA$33</formula>
    </cfRule>
    <cfRule type="cellIs" dxfId="660" priority="82328" operator="between">
      <formula>$HA$31</formula>
      <formula>$HA$32</formula>
    </cfRule>
  </conditionalFormatting>
  <conditionalFormatting sqref="HX1:HX1048576 IA1:IA1048576 IE1:IE1048576 IH1:IH1048576">
    <cfRule type="cellIs" dxfId="659" priority="82373" operator="between">
      <formula>$II$34</formula>
      <formula>1000</formula>
    </cfRule>
    <cfRule type="cellIs" dxfId="658" priority="82374" operator="between">
      <formula>$II$33</formula>
      <formula>$II$34</formula>
    </cfRule>
    <cfRule type="cellIs" dxfId="657" priority="82375" operator="between">
      <formula>$II$32</formula>
      <formula>$II$33</formula>
    </cfRule>
    <cfRule type="cellIs" dxfId="656" priority="82376" operator="between">
      <formula>$II$31</formula>
      <formula>$II$32</formula>
    </cfRule>
  </conditionalFormatting>
  <conditionalFormatting sqref="JD1:JD1048576 JG1:JG1048576 JK1:JK1048576 JN1:JN1048576">
    <cfRule type="cellIs" dxfId="655" priority="82421" operator="between">
      <formula>$JQ$30</formula>
      <formula>1000</formula>
    </cfRule>
    <cfRule type="cellIs" dxfId="654" priority="82422" operator="between">
      <formula>$JQ$29</formula>
      <formula>$JQ$30</formula>
    </cfRule>
    <cfRule type="cellIs" dxfId="653" priority="82423" operator="between">
      <formula>$JQ$28</formula>
      <formula>$JQ$29</formula>
    </cfRule>
    <cfRule type="cellIs" dxfId="652" priority="82424" operator="between">
      <formula>$JQ$27</formula>
      <formula>$JQ$28</formula>
    </cfRule>
  </conditionalFormatting>
  <conditionalFormatting sqref="JF1:JF1048576 JI1:JI1048576 JM1:JM1048576 JP1:JP1048576">
    <cfRule type="cellIs" dxfId="651" priority="82469" operator="between">
      <formula>$JQ$34</formula>
      <formula>1000</formula>
    </cfRule>
    <cfRule type="cellIs" dxfId="650" priority="82470" operator="between">
      <formula>$JQ$33</formula>
      <formula>$JQ$34</formula>
    </cfRule>
    <cfRule type="cellIs" dxfId="649" priority="82471" operator="between">
      <formula>$JQ$32</formula>
      <formula>$JQ$33</formula>
    </cfRule>
    <cfRule type="cellIs" dxfId="648" priority="82472" operator="between">
      <formula>$JQ$31</formula>
      <formula>$JQ$32</formula>
    </cfRule>
  </conditionalFormatting>
  <conditionalFormatting sqref="KL1:KL1048576 KO1:KO1048576 KS1:KS1048576 KV1:KV1048576">
    <cfRule type="cellIs" dxfId="647" priority="82517" operator="between">
      <formula>$KY$30</formula>
      <formula>1000</formula>
    </cfRule>
    <cfRule type="cellIs" dxfId="646" priority="82518" operator="between">
      <formula>$KY$29</formula>
      <formula>$KY$30</formula>
    </cfRule>
    <cfRule type="cellIs" dxfId="645" priority="82519" operator="between">
      <formula>$KY$28</formula>
      <formula>$KY$29</formula>
    </cfRule>
    <cfRule type="cellIs" dxfId="644" priority="82520" operator="between">
      <formula>$KY$27</formula>
      <formula>$KY$28</formula>
    </cfRule>
  </conditionalFormatting>
  <conditionalFormatting sqref="KN1:KN1048576 KQ1:KQ1048576 KU1:KU1048576 KX1:KX1048576">
    <cfRule type="cellIs" dxfId="643" priority="82565" operator="between">
      <formula>$KY$34</formula>
      <formula>1000</formula>
    </cfRule>
    <cfRule type="cellIs" dxfId="642" priority="82566" operator="between">
      <formula>$KY$33</formula>
      <formula>$KY$34</formula>
    </cfRule>
    <cfRule type="cellIs" dxfId="641" priority="82567" operator="between">
      <formula>$KY$32</formula>
      <formula>$KY$33</formula>
    </cfRule>
    <cfRule type="cellIs" dxfId="640" priority="82568" operator="between">
      <formula>$KY$31</formula>
      <formula>$KY$32</formula>
    </cfRule>
  </conditionalFormatting>
  <conditionalFormatting sqref="LT1:LT1048576 LW1:LW1048576 MA1:MA1048576 MD1:MD1048576">
    <cfRule type="cellIs" dxfId="639" priority="82613" operator="between">
      <formula>$MG$30</formula>
      <formula>1000</formula>
    </cfRule>
    <cfRule type="cellIs" dxfId="638" priority="82614" operator="between">
      <formula>$MG$29</formula>
      <formula>$MG$30</formula>
    </cfRule>
    <cfRule type="cellIs" dxfId="637" priority="82615" operator="between">
      <formula>$MG$28</formula>
      <formula>$MG$29</formula>
    </cfRule>
    <cfRule type="cellIs" dxfId="636" priority="82616" operator="between">
      <formula>$MG$27</formula>
      <formula>$MG$28</formula>
    </cfRule>
  </conditionalFormatting>
  <conditionalFormatting sqref="LV1:LV1048576 LY1:LY1048576 MC1:MC1048576 MF1:MF1048576">
    <cfRule type="cellIs" dxfId="635" priority="82661" operator="between">
      <formula>$MG$34</formula>
      <formula>1000</formula>
    </cfRule>
    <cfRule type="cellIs" dxfId="634" priority="82662" operator="between">
      <formula>$MG$33</formula>
      <formula>$MG$34</formula>
    </cfRule>
    <cfRule type="cellIs" dxfId="633" priority="82663" operator="between">
      <formula>$MG$32</formula>
      <formula>$MG$33</formula>
    </cfRule>
    <cfRule type="cellIs" dxfId="632" priority="82664" operator="between">
      <formula>$MG$31</formula>
      <formula>$MG$32</formula>
    </cfRule>
  </conditionalFormatting>
  <conditionalFormatting sqref="NB1:NB1048576 NE1:NE1048576 NI1:NI1048576">
    <cfRule type="cellIs" dxfId="631" priority="82709" operator="between">
      <formula>$NO$30</formula>
      <formula>1000</formula>
    </cfRule>
    <cfRule type="cellIs" dxfId="630" priority="82710" operator="between">
      <formula>$NO$29</formula>
      <formula>$NO$30</formula>
    </cfRule>
    <cfRule type="cellIs" dxfId="629" priority="82711" operator="between">
      <formula>$NO$28</formula>
      <formula>$NO$29</formula>
    </cfRule>
  </conditionalFormatting>
  <conditionalFormatting sqref="ND1:ND1048576 NG1:NG1048576 NK1:NK1048576 NN1:NN1048576">
    <cfRule type="cellIs" dxfId="628" priority="82736" operator="between">
      <formula>$NO$34</formula>
      <formula>1000</formula>
    </cfRule>
    <cfRule type="cellIs" dxfId="627" priority="82737" operator="between">
      <formula>$NO$33</formula>
      <formula>$NO$34</formula>
    </cfRule>
    <cfRule type="cellIs" dxfId="626" priority="82738" operator="between">
      <formula>$NO$32</formula>
      <formula>$NO$33</formula>
    </cfRule>
    <cfRule type="cellIs" dxfId="625" priority="82739" operator="between">
      <formula>$NO$31</formula>
      <formula>$NO$32</formula>
    </cfRule>
  </conditionalFormatting>
  <conditionalFormatting sqref="OJ1:OJ1048576 OM1:OM1048576 OQ1:OQ1048576 OT1:OT1048576">
    <cfRule type="cellIs" dxfId="624" priority="82784" operator="between">
      <formula>$OW$30</formula>
      <formula>1000</formula>
    </cfRule>
    <cfRule type="cellIs" dxfId="623" priority="82785" operator="between">
      <formula>$OW$29</formula>
      <formula>$OW$30</formula>
    </cfRule>
    <cfRule type="cellIs" dxfId="622" priority="82786" operator="between">
      <formula>$OW$28</formula>
      <formula>$OW$29</formula>
    </cfRule>
    <cfRule type="cellIs" dxfId="621" priority="82787" operator="between">
      <formula>$OW$27</formula>
      <formula>$OW$28</formula>
    </cfRule>
  </conditionalFormatting>
  <conditionalFormatting sqref="OL1:OL1048576 OO1:OO1048576 OS1:OS1048576 OV1:OV1048576">
    <cfRule type="cellIs" dxfId="620" priority="82832" operator="between">
      <formula>$OW$34</formula>
      <formula>1000</formula>
    </cfRule>
    <cfRule type="cellIs" dxfId="619" priority="82833" operator="between">
      <formula>$OW$33</formula>
      <formula>$OW$34</formula>
    </cfRule>
    <cfRule type="cellIs" dxfId="618" priority="82834" operator="between">
      <formula>$OW$32</formula>
      <formula>$OW$33</formula>
    </cfRule>
    <cfRule type="cellIs" dxfId="617" priority="82835" operator="between">
      <formula>$OW$31</formula>
      <formula>$OW$32</formula>
    </cfRule>
  </conditionalFormatting>
  <conditionalFormatting sqref="PR1:PR1048576 PU1:PU1048576 PY1:PY1048576 QB1:QB1048576">
    <cfRule type="cellIs" dxfId="616" priority="82880" operator="between">
      <formula>$QE$30</formula>
      <formula>1000</formula>
    </cfRule>
    <cfRule type="cellIs" dxfId="615" priority="82881" operator="between">
      <formula>$QE$29</formula>
      <formula>$QE$30</formula>
    </cfRule>
    <cfRule type="cellIs" dxfId="614" priority="82882" operator="between">
      <formula>$QE$28</formula>
      <formula>$QE$29</formula>
    </cfRule>
    <cfRule type="cellIs" dxfId="613" priority="82883" operator="between">
      <formula>$QE$27</formula>
      <formula>$QE$28</formula>
    </cfRule>
  </conditionalFormatting>
  <conditionalFormatting sqref="PT1:PT1048576 PW1:PW1048576 QA1:QA1048576 QD1:QD1048576">
    <cfRule type="cellIs" dxfId="612" priority="82928" operator="between">
      <formula>$QE$34</formula>
      <formula>1000</formula>
    </cfRule>
    <cfRule type="cellIs" dxfId="611" priority="82929" operator="between">
      <formula>$QE$33</formula>
      <formula>$QE$34</formula>
    </cfRule>
    <cfRule type="cellIs" dxfId="610" priority="82930" operator="between">
      <formula>$QE$32</formula>
      <formula>$QE$33</formula>
    </cfRule>
    <cfRule type="cellIs" dxfId="609" priority="82931" operator="between">
      <formula>$QE$31</formula>
      <formula>$QE$32</formula>
    </cfRule>
  </conditionalFormatting>
  <conditionalFormatting sqref="QZ1:QZ1048576 RC1:RC1048576 RG1:RG1048576 RJ1:RJ1048576">
    <cfRule type="cellIs" dxfId="608" priority="82976" operator="between">
      <formula>$RM$30</formula>
      <formula>1000</formula>
    </cfRule>
    <cfRule type="cellIs" dxfId="607" priority="82977" operator="between">
      <formula>$RM$29</formula>
      <formula>$RM$30</formula>
    </cfRule>
    <cfRule type="cellIs" dxfId="606" priority="82978" operator="between">
      <formula>$RM$28</formula>
      <formula>$RM$29</formula>
    </cfRule>
    <cfRule type="cellIs" dxfId="605" priority="82979" operator="between">
      <formula>$RM$27</formula>
      <formula>$RM$28</formula>
    </cfRule>
  </conditionalFormatting>
  <conditionalFormatting sqref="RB1:RB1048576 RE1:RE1048576 RI1:RI1048576 RL1:RL1048576">
    <cfRule type="cellIs" dxfId="604" priority="83024" operator="between">
      <formula>$RM$34</formula>
      <formula>1000</formula>
    </cfRule>
    <cfRule type="cellIs" dxfId="603" priority="83025" operator="between">
      <formula>$RM$33</formula>
      <formula>$RM$34</formula>
    </cfRule>
    <cfRule type="cellIs" dxfId="602" priority="83026" operator="between">
      <formula>$RM$32</formula>
      <formula>$RM$33</formula>
    </cfRule>
    <cfRule type="cellIs" dxfId="601" priority="83027" operator="between">
      <formula>$RM$31</formula>
      <formula>$RM$32</formula>
    </cfRule>
  </conditionalFormatting>
  <conditionalFormatting sqref="SH1:SH1048576 SK1:SK1048576 SO1:SO1048576 SR1:SR1048576">
    <cfRule type="cellIs" dxfId="600" priority="83072" operator="between">
      <formula>$SU$30</formula>
      <formula>1000</formula>
    </cfRule>
    <cfRule type="cellIs" dxfId="599" priority="83073" operator="between">
      <formula>$SU$29</formula>
      <formula>$SU$30</formula>
    </cfRule>
    <cfRule type="cellIs" dxfId="598" priority="83074" operator="between">
      <formula>$SU$28</formula>
      <formula>$SU$29</formula>
    </cfRule>
    <cfRule type="cellIs" dxfId="597" priority="83075" operator="between">
      <formula>$SU$27</formula>
      <formula>$SU$28</formula>
    </cfRule>
  </conditionalFormatting>
  <conditionalFormatting sqref="SJ1:SJ1048576 SM1:SM1048576 SQ1:SQ1048576 ST1:ST1048576">
    <cfRule type="cellIs" dxfId="596" priority="83120" operator="between">
      <formula>$SU$34</formula>
      <formula>1000</formula>
    </cfRule>
    <cfRule type="cellIs" dxfId="595" priority="83121" operator="between">
      <formula>$SU$33</formula>
      <formula>$SU$34</formula>
    </cfRule>
    <cfRule type="cellIs" dxfId="594" priority="83122" operator="between">
      <formula>$SU$32</formula>
      <formula>$SU$33</formula>
    </cfRule>
    <cfRule type="cellIs" dxfId="593" priority="83123" operator="between">
      <formula>$SU$31</formula>
      <formula>$SU$32</formula>
    </cfRule>
  </conditionalFormatting>
  <conditionalFormatting sqref="A4:A1048576">
    <cfRule type="expression" dxfId="592" priority="1">
      <formula>AND(G4&lt;&gt;"",F4="")</formula>
    </cfRule>
    <cfRule type="expression" dxfId="591" priority="37563">
      <formula>IF(A4&gt;8,1,0)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100</v>
      </c>
      <c r="K1" s="71" t="s">
        <v>33</v>
      </c>
      <c r="L1" s="73" t="s">
        <v>101</v>
      </c>
      <c r="M1" s="71" t="s">
        <v>33</v>
      </c>
      <c r="N1" s="73" t="s">
        <v>125</v>
      </c>
      <c r="O1" s="71" t="s">
        <v>33</v>
      </c>
      <c r="P1" s="71" t="s">
        <v>13</v>
      </c>
      <c r="Q1" s="71" t="s">
        <v>33</v>
      </c>
      <c r="R1" s="71" t="s">
        <v>102</v>
      </c>
      <c r="S1" s="71" t="s">
        <v>33</v>
      </c>
      <c r="T1" s="73" t="s">
        <v>103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175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212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173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237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198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205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211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224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235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236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240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243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 t="s">
        <v>244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104</v>
      </c>
      <c r="AP2" s="14" t="s">
        <v>105</v>
      </c>
      <c r="AQ2" s="14" t="s">
        <v>21</v>
      </c>
      <c r="AR2" s="14" t="s">
        <v>81</v>
      </c>
      <c r="AS2" s="14" t="s">
        <v>106</v>
      </c>
      <c r="AT2" s="14" t="s">
        <v>22</v>
      </c>
      <c r="AU2" s="14" t="s">
        <v>24</v>
      </c>
      <c r="AV2" s="14" t="s">
        <v>107</v>
      </c>
      <c r="AW2" s="14" t="s">
        <v>108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104</v>
      </c>
      <c r="BQ2" s="13" t="s">
        <v>105</v>
      </c>
      <c r="BR2" s="13" t="s">
        <v>21</v>
      </c>
      <c r="BS2" s="13" t="s">
        <v>81</v>
      </c>
      <c r="BT2" s="13" t="s">
        <v>106</v>
      </c>
      <c r="BU2" s="13" t="s">
        <v>22</v>
      </c>
      <c r="BV2" s="13" t="s">
        <v>24</v>
      </c>
      <c r="BW2" s="13" t="s">
        <v>107</v>
      </c>
      <c r="BX2" s="13" t="s">
        <v>108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104</v>
      </c>
      <c r="CR2" s="14" t="s">
        <v>105</v>
      </c>
      <c r="CS2" s="14" t="s">
        <v>21</v>
      </c>
      <c r="CT2" s="14" t="s">
        <v>81</v>
      </c>
      <c r="CU2" s="14" t="s">
        <v>106</v>
      </c>
      <c r="CV2" s="14" t="s">
        <v>22</v>
      </c>
      <c r="CW2" s="14" t="s">
        <v>24</v>
      </c>
      <c r="CX2" s="14" t="s">
        <v>107</v>
      </c>
      <c r="CY2" s="14" t="s">
        <v>108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109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104</v>
      </c>
      <c r="DY2" s="14" t="s">
        <v>105</v>
      </c>
      <c r="DZ2" s="14" t="s">
        <v>21</v>
      </c>
      <c r="EA2" s="14" t="s">
        <v>81</v>
      </c>
      <c r="EB2" s="14" t="s">
        <v>106</v>
      </c>
      <c r="EC2" s="14" t="s">
        <v>22</v>
      </c>
      <c r="ED2" s="14" t="s">
        <v>24</v>
      </c>
      <c r="EE2" s="14" t="s">
        <v>110</v>
      </c>
      <c r="EF2" s="14" t="s">
        <v>111</v>
      </c>
      <c r="EG2" s="14" t="s">
        <v>109</v>
      </c>
      <c r="EH2" s="14" t="s">
        <v>107</v>
      </c>
      <c r="EI2" s="14" t="s">
        <v>108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109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104</v>
      </c>
      <c r="FG2" s="13" t="s">
        <v>105</v>
      </c>
      <c r="FH2" s="13" t="s">
        <v>21</v>
      </c>
      <c r="FI2" s="13" t="s">
        <v>81</v>
      </c>
      <c r="FJ2" s="13" t="s">
        <v>106</v>
      </c>
      <c r="FK2" s="13" t="s">
        <v>22</v>
      </c>
      <c r="FL2" s="13" t="s">
        <v>24</v>
      </c>
      <c r="FM2" s="13" t="s">
        <v>110</v>
      </c>
      <c r="FN2" s="13" t="s">
        <v>111</v>
      </c>
      <c r="FO2" s="13" t="s">
        <v>109</v>
      </c>
      <c r="FP2" s="13" t="s">
        <v>107</v>
      </c>
      <c r="FQ2" s="13" t="s">
        <v>108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109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104</v>
      </c>
      <c r="GO2" s="14" t="s">
        <v>105</v>
      </c>
      <c r="GP2" s="14" t="s">
        <v>21</v>
      </c>
      <c r="GQ2" s="14" t="s">
        <v>81</v>
      </c>
      <c r="GR2" s="14" t="s">
        <v>106</v>
      </c>
      <c r="GS2" s="14" t="s">
        <v>22</v>
      </c>
      <c r="GT2" s="14" t="s">
        <v>24</v>
      </c>
      <c r="GU2" s="14" t="s">
        <v>110</v>
      </c>
      <c r="GV2" s="14" t="s">
        <v>111</v>
      </c>
      <c r="GW2" s="14" t="s">
        <v>109</v>
      </c>
      <c r="GX2" s="14" t="s">
        <v>107</v>
      </c>
      <c r="GY2" s="14" t="s">
        <v>108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109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104</v>
      </c>
      <c r="HW2" s="13" t="s">
        <v>105</v>
      </c>
      <c r="HX2" s="13" t="s">
        <v>21</v>
      </c>
      <c r="HY2" s="13" t="s">
        <v>81</v>
      </c>
      <c r="HZ2" s="13" t="s">
        <v>106</v>
      </c>
      <c r="IA2" s="13" t="s">
        <v>22</v>
      </c>
      <c r="IB2" s="13" t="s">
        <v>24</v>
      </c>
      <c r="IC2" s="13" t="s">
        <v>110</v>
      </c>
      <c r="ID2" s="13" t="s">
        <v>111</v>
      </c>
      <c r="IE2" s="13" t="s">
        <v>109</v>
      </c>
      <c r="IF2" s="13" t="s">
        <v>107</v>
      </c>
      <c r="IG2" s="13" t="s">
        <v>108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109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104</v>
      </c>
      <c r="JE2" s="14" t="s">
        <v>105</v>
      </c>
      <c r="JF2" s="14" t="s">
        <v>21</v>
      </c>
      <c r="JG2" s="14" t="s">
        <v>81</v>
      </c>
      <c r="JH2" s="14" t="s">
        <v>106</v>
      </c>
      <c r="JI2" s="14" t="s">
        <v>22</v>
      </c>
      <c r="JJ2" s="14" t="s">
        <v>24</v>
      </c>
      <c r="JK2" s="14" t="s">
        <v>110</v>
      </c>
      <c r="JL2" s="14" t="s">
        <v>111</v>
      </c>
      <c r="JM2" s="14" t="s">
        <v>109</v>
      </c>
      <c r="JN2" s="14" t="s">
        <v>107</v>
      </c>
      <c r="JO2" s="14" t="s">
        <v>108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109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104</v>
      </c>
      <c r="KM2" s="13" t="s">
        <v>105</v>
      </c>
      <c r="KN2" s="13" t="s">
        <v>21</v>
      </c>
      <c r="KO2" s="13" t="s">
        <v>81</v>
      </c>
      <c r="KP2" s="13" t="s">
        <v>106</v>
      </c>
      <c r="KQ2" s="13" t="s">
        <v>22</v>
      </c>
      <c r="KR2" s="13" t="s">
        <v>24</v>
      </c>
      <c r="KS2" s="13" t="s">
        <v>110</v>
      </c>
      <c r="KT2" s="13" t="s">
        <v>111</v>
      </c>
      <c r="KU2" s="13" t="s">
        <v>109</v>
      </c>
      <c r="KV2" s="13" t="s">
        <v>107</v>
      </c>
      <c r="KW2" s="13" t="s">
        <v>108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109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104</v>
      </c>
      <c r="LU2" s="14" t="s">
        <v>105</v>
      </c>
      <c r="LV2" s="14" t="s">
        <v>21</v>
      </c>
      <c r="LW2" s="14" t="s">
        <v>81</v>
      </c>
      <c r="LX2" s="14" t="s">
        <v>106</v>
      </c>
      <c r="LY2" s="14" t="s">
        <v>22</v>
      </c>
      <c r="LZ2" s="14" t="s">
        <v>24</v>
      </c>
      <c r="MA2" s="14" t="s">
        <v>110</v>
      </c>
      <c r="MB2" s="14" t="s">
        <v>111</v>
      </c>
      <c r="MC2" s="14" t="s">
        <v>109</v>
      </c>
      <c r="MD2" s="14" t="s">
        <v>107</v>
      </c>
      <c r="ME2" s="14" t="s">
        <v>108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109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104</v>
      </c>
      <c r="NC2" s="13" t="s">
        <v>105</v>
      </c>
      <c r="ND2" s="13" t="s">
        <v>21</v>
      </c>
      <c r="NE2" s="13" t="s">
        <v>81</v>
      </c>
      <c r="NF2" s="13" t="s">
        <v>106</v>
      </c>
      <c r="NG2" s="13" t="s">
        <v>22</v>
      </c>
      <c r="NH2" s="13" t="s">
        <v>24</v>
      </c>
      <c r="NI2" s="13" t="s">
        <v>110</v>
      </c>
      <c r="NJ2" s="13" t="s">
        <v>111</v>
      </c>
      <c r="NK2" s="13" t="s">
        <v>109</v>
      </c>
      <c r="NL2" s="13" t="s">
        <v>107</v>
      </c>
      <c r="NM2" s="13" t="s">
        <v>108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109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104</v>
      </c>
      <c r="OK2" s="14" t="s">
        <v>105</v>
      </c>
      <c r="OL2" s="14" t="s">
        <v>21</v>
      </c>
      <c r="OM2" s="14" t="s">
        <v>81</v>
      </c>
      <c r="ON2" s="14" t="s">
        <v>106</v>
      </c>
      <c r="OO2" s="14" t="s">
        <v>22</v>
      </c>
      <c r="OP2" s="14" t="s">
        <v>24</v>
      </c>
      <c r="OQ2" s="14" t="s">
        <v>110</v>
      </c>
      <c r="OR2" s="14" t="s">
        <v>111</v>
      </c>
      <c r="OS2" s="14" t="s">
        <v>109</v>
      </c>
      <c r="OT2" s="14" t="s">
        <v>107</v>
      </c>
      <c r="OU2" s="14" t="s">
        <v>108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109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104</v>
      </c>
      <c r="PS2" s="13" t="s">
        <v>105</v>
      </c>
      <c r="PT2" s="13" t="s">
        <v>21</v>
      </c>
      <c r="PU2" s="13" t="s">
        <v>81</v>
      </c>
      <c r="PV2" s="13" t="s">
        <v>106</v>
      </c>
      <c r="PW2" s="13" t="s">
        <v>22</v>
      </c>
      <c r="PX2" s="13" t="s">
        <v>24</v>
      </c>
      <c r="PY2" s="13" t="s">
        <v>110</v>
      </c>
      <c r="PZ2" s="13" t="s">
        <v>111</v>
      </c>
      <c r="QA2" s="13" t="s">
        <v>109</v>
      </c>
      <c r="QB2" s="13" t="s">
        <v>107</v>
      </c>
      <c r="QC2" s="13" t="s">
        <v>108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109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104</v>
      </c>
      <c r="RA2" s="14" t="s">
        <v>105</v>
      </c>
      <c r="RB2" s="14" t="s">
        <v>21</v>
      </c>
      <c r="RC2" s="14" t="s">
        <v>81</v>
      </c>
      <c r="RD2" s="14" t="s">
        <v>106</v>
      </c>
      <c r="RE2" s="14" t="s">
        <v>22</v>
      </c>
      <c r="RF2" s="14" t="s">
        <v>24</v>
      </c>
      <c r="RG2" s="14" t="s">
        <v>110</v>
      </c>
      <c r="RH2" s="14" t="s">
        <v>111</v>
      </c>
      <c r="RI2" s="14" t="s">
        <v>109</v>
      </c>
      <c r="RJ2" s="14" t="s">
        <v>107</v>
      </c>
      <c r="RK2" s="14" t="s">
        <v>108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109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104</v>
      </c>
      <c r="SI2" s="13" t="s">
        <v>105</v>
      </c>
      <c r="SJ2" s="13" t="s">
        <v>21</v>
      </c>
      <c r="SK2" s="13" t="s">
        <v>81</v>
      </c>
      <c r="SL2" s="13" t="s">
        <v>106</v>
      </c>
      <c r="SM2" s="13" t="s">
        <v>22</v>
      </c>
      <c r="SN2" s="13" t="s">
        <v>24</v>
      </c>
      <c r="SO2" s="13" t="s">
        <v>110</v>
      </c>
      <c r="SP2" s="13" t="s">
        <v>111</v>
      </c>
      <c r="SQ2" s="13" t="s">
        <v>109</v>
      </c>
      <c r="SR2" s="13" t="s">
        <v>107</v>
      </c>
      <c r="SS2" s="13" t="s">
        <v>108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104</v>
      </c>
      <c r="TM2" s="14" t="s">
        <v>105</v>
      </c>
      <c r="TN2" s="14" t="s">
        <v>21</v>
      </c>
      <c r="TO2" s="14" t="s">
        <v>81</v>
      </c>
      <c r="TP2" s="14" t="s">
        <v>106</v>
      </c>
      <c r="TQ2" s="14" t="s">
        <v>22</v>
      </c>
      <c r="TR2" s="14" t="s">
        <v>24</v>
      </c>
      <c r="TS2" s="14" t="s">
        <v>107</v>
      </c>
      <c r="TT2" s="14" t="s">
        <v>108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26</v>
      </c>
      <c r="C4" s="4" t="s">
        <v>8</v>
      </c>
      <c r="D4" s="4">
        <v>1997</v>
      </c>
      <c r="E4" s="9">
        <f t="shared" ref="E4:E18" si="0">SUM(J4:V4)+SUM(J4:T4)*0.0000001+SUM(J4)*0.0000000000001</f>
        <v>252.31002523100551</v>
      </c>
      <c r="F4" s="3" t="str">
        <f t="shared" ref="F4:F18" si="1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G4" s="3" t="str">
        <f t="shared" ref="G4:G18" si="2">IF(OR(AND(AQ4&gt;=AY$25,AQ4&lt;&gt;"",AN4=""),AND(AT4&gt;=AY$25,AT4&lt;&gt;"",AN4=""),AND(AX4&gt;=AY$25,AX4&lt;&gt;"",AN4=""),AND(BR4&gt;=BZ$25,BR4&lt;&gt;"",BO4=""),AND(BU4&gt;=BZ$25,BU4&lt;&gt;"",BO4=""),AND(BY4&gt;=BZ$25,BY4&lt;&gt;"",BO4=""),AND(CS4&gt;=DA$25,CS4&lt;&gt;"",CP4=""),AND(CV4&gt;=DA$25,CV4&lt;&gt;"",CP4=""),AND(CZ4&gt;=DA$25,CZ4&lt;&gt;"",CP4=""),AND(DZ4&gt;=EK$25,DZ4&lt;&gt;""),AND(EC4&gt;=EK$25,EC4&lt;&gt;""),AND(EG4&gt;=EK$25,EG4&lt;&gt;""),AND(EJ4&gt;=EK$25,EJ4&lt;&gt;""),AND(FH4&gt;=FS$25,FH4&lt;&gt;""),AND(FK4&gt;=FS$25,FK4&lt;&gt;""),AND(FO4&gt;=FS$25,FO4&lt;&gt;""),AND(FR4&gt;=FS$25,FR4&lt;&gt;""),AND(GP4&gt;=HA$25,GP4&lt;&gt;""),AND(GS4&gt;=HA$25,GS4&lt;&gt;""),AND(GW4&gt;=HA$25,GW4&lt;&gt;""),AND(GZ4&gt;=HA$25,GZ4&lt;&gt;""),AND(HX4&gt;=II$25,HX4&lt;&gt;""),AND(IA4&gt;=II$25,IA4&lt;&gt;""),AND(IE4&gt;=II$25,IE4&lt;&gt;""),AND(IH4&gt;=II$25,IH4&lt;&gt;""),AND(JF4&gt;=JQ$25,JF4&lt;&gt;""),AND(JI4&gt;=JQ$25,JI4&lt;&gt;""),AND(JM4&gt;=JQ$25,JM4&lt;&gt;""),AND(JP4&gt;=JQ$25,JP4&lt;&gt;""),AND(KN4&gt;=KY$25,KN4&lt;&gt;""),AND(KQ4&gt;=KY$25,KQ4&lt;&gt;""),AND(KU4&gt;=KY$25,KU4&lt;&gt;""),AND(KX4&gt;=KY$25,KX4&lt;&gt;""),AND(LV4&gt;=MG$25,LV4&lt;&gt;""),AND(LY4&gt;=MG$25,LY4&lt;&gt;""),AND(MC4&gt;=MG$25,MC4&lt;&gt;""),AND(MF4&gt;=MG$25,MF4&lt;&gt;""),AND(ND4&gt;=NO$25,ND4&lt;&gt;""),AND(NG4&gt;=NO$25,NG4&lt;&gt;""),AND(NK4&gt;=NO$25,NK4&lt;&gt;""),AND(NN4&gt;=NO$25,NN4&lt;&gt;""),AND(OL4&gt;=OW$25,OL4&lt;&gt;""),AND(OO4&gt;=OW$25,OO4&lt;&gt;""),AND(OS4&gt;=OW$25,OS4&lt;&gt;""),AND(OV4&gt;=OW$25,OV4&lt;&gt;""),AND(PT4&gt;=QE$25,PT4&lt;&gt;""),AND(PW4&gt;=QE$25,PW4&lt;&gt;""),AND(QA4&gt;=QE$25,QA4&lt;&gt;""),AND(QD4&gt;=QE$25,QD4&lt;&gt;""),AND(RB4&gt;=RM$25,RB4&lt;&gt;""),AND(RE4&gt;=RM$25,RE4&lt;&gt;""),AND(RI4&gt;=RM$25,RI4&lt;&gt;""),AND(RL4&gt;=RM$25,RL4&lt;&gt;""),AND(SJ4&gt;=SU$25,SJ4&lt;&gt;""),AND(SM4&gt;=SU$25,SM4&lt;&gt;""),AND(SQ4&gt;=SU$25,SQ4&lt;&gt;""),AND(ST4&gt;=SU$25,ST4&lt;&gt;"")),"P","")</f>
        <v>P</v>
      </c>
      <c r="H4" s="37" t="str">
        <f t="shared" ref="H4:H18" si="3">IF(AND(G4="P",F4=""),"No DD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Merit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Excellence",IF(I4="P","Worlds Team",IF(F4="P","National Team","")))))</f>
        <v>Merit</v>
      </c>
      <c r="I4" s="3" t="str">
        <f t="shared" ref="I4:I18" si="4"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J4" s="8">
        <f>IF(COUNT(AQ4,AT4,BR4,BU4,CS4,CV4)&gt;0,LARGE((AQ4,AT4,BR4,BU4,CS4,CV4),1),0)</f>
        <v>55.260000000000005</v>
      </c>
      <c r="K4" s="8" t="str">
        <f t="shared" ref="K4:K18" si="5"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 t="shared" ref="M4:M18" si="6"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 t="shared" ref="O4:O18" si="7">IF(N4="","",IF(OR(N4=CS4,N4=CV4),$CA$1,IF(OR(N4=BR4,N4=BU4),$AZ$1,IF(OR(N4=AQ4,N4=AT4),$Y$1,""))))</f>
        <v>2023 Nationals</v>
      </c>
      <c r="P4" s="8">
        <f t="shared" ref="P4:P18" si="8">IF(MAX(AX4,BY4,CZ4)&gt;0,MAX(AX4,BY4,CZ4),0)</f>
        <v>56.46</v>
      </c>
      <c r="Q4" s="8" t="str">
        <f t="shared" ref="Q4:Q18" si="9">IF(P4="","",IF(P4=CZ4,$CA$1,IF(P4=BY4,$AZ$1,IF(P4=AX4,$Y$1,""))))</f>
        <v>2023 Elite Canada</v>
      </c>
      <c r="R4" s="8">
        <f t="shared" ref="R4:R18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 t="shared" ref="S4:S18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 t="shared" ref="T4:T18" si="12">IF(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&gt;0,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,0)</f>
        <v>15.86</v>
      </c>
      <c r="U4" s="8" t="str">
        <f t="shared" ref="U4:U18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 t="shared" ref="V4:V18" si="14">IF(MAX(DB4,DC4)&gt;0,MAX(DB4,DC4),"")</f>
        <v/>
      </c>
      <c r="W4" s="11" t="str">
        <f t="shared" ref="W4:W18" si="15">IF(V4="","",IF(V4=DB4,"("&amp;DB$2&amp;")",IF(V4=DC4,"("&amp;DC$2&amp;")")))</f>
        <v/>
      </c>
      <c r="X4" s="8" t="str">
        <f t="shared" ref="X4:X18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 t="shared" ref="AO4:AO18" si="17">IF(AA4&gt;0,AA4,"")</f>
        <v>14.4</v>
      </c>
      <c r="AP4" s="39">
        <f t="shared" ref="AP4:AP18" si="18">IF(AB4&gt;0,AB4,"")</f>
        <v>15.56</v>
      </c>
      <c r="AQ4" s="41">
        <f t="shared" ref="AQ4:AQ18" si="19">IF(SUM(Y4:AB4)-AC4&gt;0,SUM(Y4:AB4)-AC4,"")</f>
        <v>55.260000000000005</v>
      </c>
      <c r="AR4" s="41">
        <f t="shared" ref="AR4:AR18" si="20">IF(AF4&gt;0,AF4,"")</f>
        <v>14.8</v>
      </c>
      <c r="AS4" s="41">
        <f t="shared" ref="AS4:AS18" si="21">IF(AG4&gt;0,AG4,"")</f>
        <v>15.56</v>
      </c>
      <c r="AT4" s="41">
        <f t="shared" ref="AT4:AT18" si="22">IF(SUM(AD4:AG4)-AH4&gt;0,SUM(AD4:AG4)-AH4,"")</f>
        <v>55.06</v>
      </c>
      <c r="AU4" s="41">
        <f t="shared" ref="AU4:AU18" si="23">IF(AQ4="","",MAX(AQ4,AT4))</f>
        <v>55.260000000000005</v>
      </c>
      <c r="AV4" s="41">
        <f t="shared" ref="AV4:AV18" si="24">IF(AK4&gt;0,AK4,"")</f>
        <v>14.4</v>
      </c>
      <c r="AW4" s="41">
        <f t="shared" ref="AW4:AW18" si="25">IF(AL4&gt;0,AL4,"")</f>
        <v>15.86</v>
      </c>
      <c r="AX4" s="41">
        <f t="shared" ref="AX4:AX18" si="26">IF(SUM(AI4:AL4)-AM4&gt;0,SUM(AI4:AL4)-AM4,"")</f>
        <v>56.46</v>
      </c>
      <c r="AY4" s="41">
        <f t="shared" ref="AY4:AY18" si="27"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 t="shared" ref="BP4:BP18" si="28">IF(BB4&gt;0,BB4,"")</f>
        <v>14</v>
      </c>
      <c r="BQ4" s="40">
        <f t="shared" ref="BQ4:BQ18" si="29">IF(BC4&gt;0,BC4,"")</f>
        <v>15.32</v>
      </c>
      <c r="BR4" s="11">
        <f t="shared" ref="BR4:BR18" si="30">IF(SUM(AZ4:BC4)-BD4&gt;0,SUM(AZ4:BC4)-BD4,"")</f>
        <v>51.32</v>
      </c>
      <c r="BS4" s="11">
        <f t="shared" ref="BS4:BS18" si="31">IF(BG4&gt;0,BG4,"")</f>
        <v>14</v>
      </c>
      <c r="BT4" s="11">
        <f t="shared" ref="BT4:BT18" si="32">IF(BH4&gt;0,BH4,"")</f>
        <v>15.47</v>
      </c>
      <c r="BU4" s="11">
        <f t="shared" ref="BU4:BU18" si="33">IF(SUM(BE4:BH4)-BI4&gt;0,SUM(BE4:BH4)-BI4,"")</f>
        <v>54.87</v>
      </c>
      <c r="BV4" s="11">
        <f t="shared" ref="BV4:BV18" si="34">IF(BR4="","",MAX(BR4,BU4))</f>
        <v>54.87</v>
      </c>
      <c r="BW4" s="11">
        <f t="shared" ref="BW4:BW18" si="35">IF(BL4&gt;0,BL4,"")</f>
        <v>10.3</v>
      </c>
      <c r="BX4" s="11">
        <f t="shared" ref="BX4:BX18" si="36">IF(BM4&gt;0,BM4,"")</f>
        <v>10.73</v>
      </c>
      <c r="BY4" s="11">
        <f t="shared" ref="BY4:BY18" si="37">IF(SUM(BJ4:BM4)-BN4&gt;0,SUM(BJ4:BM4)-BN4,"")</f>
        <v>36.93</v>
      </c>
      <c r="BZ4" s="11">
        <f t="shared" ref="BZ4:BZ18" si="38"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 t="shared" ref="CQ4:CQ18" si="39">IF(CC4&gt;0,CC4,"")</f>
        <v>14</v>
      </c>
      <c r="CR4" s="39">
        <f t="shared" ref="CR4:CR18" si="40">IF(CD4&gt;0,CD4,"")</f>
        <v>15.05</v>
      </c>
      <c r="CS4" s="41">
        <f t="shared" ref="CS4:CS18" si="41">IF(SUM(CA4:CD4)-CE4&gt;0,SUM(CA4:CD4)-CE4,"")</f>
        <v>53.55</v>
      </c>
      <c r="CT4" s="41">
        <f t="shared" ref="CT4:CT18" si="42">IF(CH4&gt;0,CH4,"")</f>
        <v>4.9000000000000004</v>
      </c>
      <c r="CU4" s="41">
        <f t="shared" ref="CU4:CU18" si="43">IF(CI4&gt;0,CI4,"")</f>
        <v>4.9800000000000004</v>
      </c>
      <c r="CV4" s="41">
        <f t="shared" ref="CV4:CV18" si="44">IF(SUM(CF4:CI4)-CJ4&gt;0,SUM(CF4:CI4)-CJ4,"")</f>
        <v>17.48</v>
      </c>
      <c r="CW4" s="41">
        <f t="shared" ref="CW4:CW18" si="45">IF(CS4="","",MAX(CS4,CV4))</f>
        <v>53.55</v>
      </c>
      <c r="CX4" s="41">
        <f t="shared" ref="CX4:CX18" si="46">IF(CM4&gt;0,CM4,"")</f>
        <v>13.2</v>
      </c>
      <c r="CY4" s="41">
        <f t="shared" ref="CY4:CY18" si="47">IF(CN4&gt;0,CN4,"")</f>
        <v>15.2</v>
      </c>
      <c r="CZ4" s="41">
        <f t="shared" ref="CZ4:CZ18" si="48">IF(SUM(CK4:CN4)-CO4&gt;0,SUM(CK4:CN4)-CO4,"")</f>
        <v>52.8</v>
      </c>
      <c r="DA4" s="41">
        <f t="shared" ref="DA4:DA18" si="49">IF(SUM(CW4,CZ4)&gt;0,SUM(CW4,CZ4),"")</f>
        <v>106.35</v>
      </c>
      <c r="DB4" s="52" t="str">
        <f t="shared" ref="DB4:DB18" si="50">IF(MAX(ED4,FL4,GT4,IB4,JJ4,KR4,LZ4,NH4,OP4,PX4,RF4,SN4)-IF(N4="",0,N4)&gt;0.001,MAX(ED4,FL4,GT4,IB4,JJ4,KR4,LZ4,NH4,OP4,PX4,RF4,SN4)-IF(N4="",0,N4),"")</f>
        <v/>
      </c>
      <c r="DC4" s="52" t="str">
        <f t="shared" ref="DC4:DC18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 t="shared" ref="DX4:DX18" si="52">IF(DF4&gt;0,DF4,"")</f>
        <v/>
      </c>
      <c r="DY4" s="41" t="str">
        <f t="shared" ref="DY4:DY18" si="53">IF(DG4&gt;0,DG4,"")</f>
        <v/>
      </c>
      <c r="DZ4" s="41" t="str">
        <f t="shared" ref="DZ4:DZ18" si="54">IF(SUM(DD4:DG4)-DH4&gt;0,SUM(DD4:DG4)-DH4,"")</f>
        <v/>
      </c>
      <c r="EA4" s="41" t="str">
        <f t="shared" ref="EA4:EA18" si="55">IF(DK4&gt;0,DK4,"")</f>
        <v/>
      </c>
      <c r="EB4" s="41" t="str">
        <f t="shared" ref="EB4:EB18" si="56">IF(DL4&gt;0,DL4,"")</f>
        <v/>
      </c>
      <c r="EC4" s="41" t="str">
        <f t="shared" ref="EC4:EC18" si="57">IF(SUM(DI4:DL4)-DM4&gt;0,SUM(DI4:DL4)-DM4,"")</f>
        <v/>
      </c>
      <c r="ED4" s="41" t="str">
        <f t="shared" ref="ED4:ED18" si="58">IF(MAX(DZ4,EC4)&gt;0,MAX(DZ4,EC4),"")</f>
        <v/>
      </c>
      <c r="EE4" s="41" t="str">
        <f t="shared" ref="EE4:EE18" si="59">IF(DP4&gt;0,DP4,"")</f>
        <v/>
      </c>
      <c r="EF4" s="41" t="str">
        <f t="shared" ref="EF4:EF18" si="60">IF(DQ4&gt;0,DQ4,"")</f>
        <v/>
      </c>
      <c r="EG4" s="41" t="str">
        <f t="shared" ref="EG4:EG18" si="61">IF(SUM(DN4:DQ4)-DR4&gt;0,SUM(DN4:DQ4)-DR4,"")</f>
        <v/>
      </c>
      <c r="EH4" s="41" t="str">
        <f t="shared" ref="EH4:EH18" si="62">IF(DU4&gt;0,DU4,"")</f>
        <v/>
      </c>
      <c r="EI4" s="41" t="str">
        <f t="shared" ref="EI4:EI18" si="63">IF(DV4&gt;0,DV4,"")</f>
        <v/>
      </c>
      <c r="EJ4" s="41" t="str">
        <f t="shared" ref="EJ4:EJ18" si="64">IF(SUM(DS4:DV4)-DW4&gt;0,SUM(DS4:DV4)-DW4,"")</f>
        <v/>
      </c>
      <c r="EK4" s="41" t="str">
        <f t="shared" ref="EK4:EK18" si="65">IF(SUM(ED4,EG4,EJ4)&gt;0,SUM(ED4,EG4,EJ4),"")</f>
        <v/>
      </c>
      <c r="EL4" s="18">
        <v>14.5</v>
      </c>
      <c r="EM4" s="18">
        <v>9.3000000000000007</v>
      </c>
      <c r="EN4" s="18">
        <v>13.6</v>
      </c>
      <c r="EO4" s="18">
        <v>14.84</v>
      </c>
      <c r="EP4" s="18">
        <v>0</v>
      </c>
      <c r="EQ4" s="18">
        <v>15.6</v>
      </c>
      <c r="ER4" s="18">
        <v>9.5</v>
      </c>
      <c r="ES4" s="18">
        <v>14</v>
      </c>
      <c r="ET4" s="18">
        <v>15.19</v>
      </c>
      <c r="EU4" s="18">
        <v>0</v>
      </c>
      <c r="EV4" s="18"/>
      <c r="EW4" s="18"/>
      <c r="EX4" s="18"/>
      <c r="EY4" s="18"/>
      <c r="EZ4" s="18"/>
      <c r="FA4" s="18">
        <v>8.1999999999999993</v>
      </c>
      <c r="FB4" s="18">
        <v>4.8</v>
      </c>
      <c r="FC4" s="18">
        <v>7.6</v>
      </c>
      <c r="FD4" s="18">
        <v>8.14</v>
      </c>
      <c r="FE4" s="18">
        <v>0</v>
      </c>
      <c r="FF4" s="11">
        <f t="shared" ref="FF4:FF18" si="66">IF(EN4&gt;0,EN4,"")</f>
        <v>13.6</v>
      </c>
      <c r="FG4" s="11">
        <f t="shared" ref="FG4:FG18" si="67">IF(EO4&gt;0,EO4,"")</f>
        <v>14.84</v>
      </c>
      <c r="FH4" s="11">
        <f t="shared" ref="FH4:FH18" si="68">IF(SUM(EL4:EO4)-EP4&gt;0,SUM(EL4:EO4)-EP4,"")</f>
        <v>52.239999999999995</v>
      </c>
      <c r="FI4" s="11">
        <f t="shared" ref="FI4:FI18" si="69">IF(ES4&gt;0,ES4,"")</f>
        <v>14</v>
      </c>
      <c r="FJ4" s="11">
        <f t="shared" ref="FJ4:FJ18" si="70">IF(ET4&gt;0,ET4,"")</f>
        <v>15.19</v>
      </c>
      <c r="FK4" s="11">
        <f t="shared" ref="FK4:FK18" si="71">IF(SUM(EQ4:ET4)-EU4&gt;0,SUM(EQ4:ET4)-EU4,"")</f>
        <v>54.29</v>
      </c>
      <c r="FL4" s="11">
        <f t="shared" ref="FL4:FL18" si="72">IF(MAX(FH4,FK4)&gt;0,MAX(FH4,FK4),"")</f>
        <v>54.29</v>
      </c>
      <c r="FM4" s="11" t="str">
        <f t="shared" ref="FM4:FM18" si="73">IF(EX4&gt;0,EX4,"")</f>
        <v/>
      </c>
      <c r="FN4" s="11" t="str">
        <f t="shared" ref="FN4:FN18" si="74">IF(EY4&gt;0,EY4,"")</f>
        <v/>
      </c>
      <c r="FO4" s="11" t="str">
        <f t="shared" ref="FO4:FO18" si="75">IF(SUM(EV4:EY4)-EZ4&gt;0,SUM(EV4:EY4)-EZ4,"")</f>
        <v/>
      </c>
      <c r="FP4" s="11">
        <f t="shared" ref="FP4:FP18" si="76">IF(FC4&gt;0,FC4,"")</f>
        <v>7.6</v>
      </c>
      <c r="FQ4" s="11">
        <f t="shared" ref="FQ4:FQ18" si="77">IF(FD4&gt;0,FD4,"")</f>
        <v>8.14</v>
      </c>
      <c r="FR4" s="11">
        <f t="shared" ref="FR4:FR18" si="78">IF(SUM(FA4:FD4)-FE4&gt;0,SUM(FA4:FD4)-FE4,"")</f>
        <v>28.740000000000002</v>
      </c>
      <c r="FS4" s="11">
        <f t="shared" ref="FS4:FS18" si="79">IF(SUM(FL4,FO4,FR4)&gt;0,SUM(FL4,FO4,FR4),"")</f>
        <v>83.03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>
        <v>15.9</v>
      </c>
      <c r="GJ4" s="17">
        <v>9.3000000000000007</v>
      </c>
      <c r="GK4" s="17">
        <v>14</v>
      </c>
      <c r="GL4" s="17">
        <v>15.16</v>
      </c>
      <c r="GM4" s="17">
        <v>0</v>
      </c>
      <c r="GN4" s="41" t="str">
        <f t="shared" ref="GN4:GN18" si="80">IF(FV4&gt;0,FV4,"")</f>
        <v/>
      </c>
      <c r="GO4" s="41" t="str">
        <f t="shared" ref="GO4:GO18" si="81">IF(FW4&gt;0,FW4,"")</f>
        <v/>
      </c>
      <c r="GP4" s="41" t="str">
        <f t="shared" ref="GP4:GP18" si="82">IF(SUM(FT4:FW4)-FX4&gt;0,SUM(FT4:FW4)-FX4,"")</f>
        <v/>
      </c>
      <c r="GQ4" s="41" t="str">
        <f t="shared" ref="GQ4:GQ18" si="83">IF(GA4&gt;0,GA4,"")</f>
        <v/>
      </c>
      <c r="GR4" s="41" t="str">
        <f t="shared" ref="GR4:GR18" si="84">IF(GB4&gt;0,GB4,"")</f>
        <v/>
      </c>
      <c r="GS4" s="41" t="str">
        <f t="shared" ref="GS4:GS18" si="85">IF(SUM(FY4:GB4)-GC4&gt;0,SUM(FY4:GB4)-GC4,"")</f>
        <v/>
      </c>
      <c r="GT4" s="41" t="str">
        <f t="shared" ref="GT4:GT18" si="86">IF(MAX(GP4,GS4)&gt;0,MAX(GP4,GS4),"")</f>
        <v/>
      </c>
      <c r="GU4" s="41" t="str">
        <f t="shared" ref="GU4:GU18" si="87">IF(GF4&gt;0,GF4,"")</f>
        <v/>
      </c>
      <c r="GV4" s="41" t="str">
        <f t="shared" ref="GV4:GV18" si="88">IF(GG4&gt;0,GG4,"")</f>
        <v/>
      </c>
      <c r="GW4" s="41" t="str">
        <f t="shared" ref="GW4:GW18" si="89">IF(SUM(GD4:GG4)-GH4&gt;0,SUM(GD4:GG4)-GH4,"")</f>
        <v/>
      </c>
      <c r="GX4" s="41">
        <f t="shared" ref="GX4:GX18" si="90">IF(GK4&gt;0,GK4,"")</f>
        <v>14</v>
      </c>
      <c r="GY4" s="41">
        <f t="shared" ref="GY4:GY18" si="91">IF(GL4&gt;0,GL4,"")</f>
        <v>15.16</v>
      </c>
      <c r="GZ4" s="41">
        <f t="shared" ref="GZ4:GZ18" si="92">IF(SUM(GI4:GL4)-GM4&gt;0,SUM(GI4:GL4)-GM4,"")</f>
        <v>54.36</v>
      </c>
      <c r="HA4" s="41">
        <f t="shared" ref="HA4:HA18" si="93">IF(SUM(GT4,GW4,GZ4)&gt;0,SUM(GT4,GW4,GZ4),"")</f>
        <v>54.36</v>
      </c>
      <c r="HB4" s="18">
        <v>14.2</v>
      </c>
      <c r="HC4" s="18">
        <v>9.1999999999999993</v>
      </c>
      <c r="HD4" s="18">
        <v>13.1</v>
      </c>
      <c r="HE4" s="18">
        <v>14.85</v>
      </c>
      <c r="HF4" s="18">
        <v>0</v>
      </c>
      <c r="HG4" s="18">
        <v>14.9</v>
      </c>
      <c r="HH4" s="18">
        <v>9.1999999999999993</v>
      </c>
      <c r="HI4" s="18">
        <v>14</v>
      </c>
      <c r="HJ4" s="18">
        <v>15.24</v>
      </c>
      <c r="HK4" s="18">
        <v>0</v>
      </c>
      <c r="HL4" s="18">
        <v>15.1</v>
      </c>
      <c r="HM4" s="18">
        <v>9.3000000000000007</v>
      </c>
      <c r="HN4" s="18">
        <v>14.4</v>
      </c>
      <c r="HO4" s="18">
        <v>15.31</v>
      </c>
      <c r="HP4" s="18">
        <v>0</v>
      </c>
      <c r="HQ4" s="18">
        <v>3.2</v>
      </c>
      <c r="HR4" s="18">
        <v>1.8</v>
      </c>
      <c r="HS4" s="18">
        <v>3.2</v>
      </c>
      <c r="HT4" s="18">
        <v>3.43</v>
      </c>
      <c r="HU4" s="18">
        <v>0</v>
      </c>
      <c r="HV4" s="11">
        <f t="shared" ref="HV4:HV18" si="94">IF(HD4&gt;0,HD4,"")</f>
        <v>13.1</v>
      </c>
      <c r="HW4" s="11">
        <f t="shared" ref="HW4:HW18" si="95">IF(HE4&gt;0,HE4,"")</f>
        <v>14.85</v>
      </c>
      <c r="HX4" s="11">
        <f t="shared" ref="HX4:HX18" si="96">IF(SUM(HB4:HE4)-HF4&gt;0,SUM(HB4:HE4)-HF4,"")</f>
        <v>51.35</v>
      </c>
      <c r="HY4" s="11">
        <f t="shared" ref="HY4:HY18" si="97">IF(HI4&gt;0,HI4,"")</f>
        <v>14</v>
      </c>
      <c r="HZ4" s="11">
        <f t="shared" ref="HZ4:HZ18" si="98">IF(HJ4&gt;0,HJ4,"")</f>
        <v>15.24</v>
      </c>
      <c r="IA4" s="11">
        <f t="shared" ref="IA4:IA18" si="99">IF(SUM(HG4:HJ4)-HK4&gt;0,SUM(HG4:HJ4)-HK4,"")</f>
        <v>53.34</v>
      </c>
      <c r="IB4" s="11">
        <f t="shared" ref="IB4:IB18" si="100">IF(MAX(HX4,IA4)&gt;0,MAX(HX4,IA4),"")</f>
        <v>53.34</v>
      </c>
      <c r="IC4" s="11">
        <f t="shared" ref="IC4:IC18" si="101">IF(HN4&gt;0,HN4,"")</f>
        <v>14.4</v>
      </c>
      <c r="ID4" s="11">
        <f t="shared" ref="ID4:ID18" si="102">IF(HO4&gt;0,HO4,"")</f>
        <v>15.31</v>
      </c>
      <c r="IE4" s="11">
        <f t="shared" ref="IE4:IE18" si="103">IF(SUM(HL4:HO4)-HP4&gt;0,SUM(HL4:HO4)-HP4,"")</f>
        <v>54.11</v>
      </c>
      <c r="IF4" s="11">
        <f t="shared" ref="IF4:IF18" si="104">IF(HS4&gt;0,HS4,"")</f>
        <v>3.2</v>
      </c>
      <c r="IG4" s="11">
        <f t="shared" ref="IG4:IG18" si="105">IF(HT4&gt;0,HT4,"")</f>
        <v>3.43</v>
      </c>
      <c r="IH4" s="11">
        <f t="shared" ref="IH4:IH18" si="106">IF(SUM(HQ4:HT4)-HU4&gt;0,SUM(HQ4:HT4)-HU4,"")</f>
        <v>11.629999999999999</v>
      </c>
      <c r="II4" s="11">
        <f t="shared" ref="II4:II18" si="107">IF(SUM(IB4,IE4,IH4)&gt;0,SUM(IB4,IE4,IH4),"")</f>
        <v>119.08</v>
      </c>
      <c r="IJ4" s="17">
        <v>15.4</v>
      </c>
      <c r="IK4" s="17">
        <v>9.1999999999999993</v>
      </c>
      <c r="IL4" s="17">
        <v>14.4</v>
      </c>
      <c r="IM4" s="17">
        <v>15.32</v>
      </c>
      <c r="IN4" s="17">
        <v>0.2</v>
      </c>
      <c r="IO4" s="17">
        <v>3.2</v>
      </c>
      <c r="IP4" s="17">
        <v>1.9</v>
      </c>
      <c r="IQ4" s="17">
        <v>3.2</v>
      </c>
      <c r="IR4" s="17">
        <v>3.31</v>
      </c>
      <c r="IS4" s="17">
        <v>0</v>
      </c>
      <c r="IT4" s="17">
        <v>15.2</v>
      </c>
      <c r="IU4" s="17">
        <v>9.3000000000000007</v>
      </c>
      <c r="IV4" s="17">
        <v>14</v>
      </c>
      <c r="IW4" s="17">
        <v>15.3</v>
      </c>
      <c r="IX4" s="17">
        <v>0</v>
      </c>
      <c r="IY4" s="17"/>
      <c r="IZ4" s="17"/>
      <c r="JA4" s="17"/>
      <c r="JB4" s="17"/>
      <c r="JC4" s="17"/>
      <c r="JD4" s="41">
        <f t="shared" ref="JD4:JD18" si="108">IF(IL4&gt;0,IL4,"")</f>
        <v>14.4</v>
      </c>
      <c r="JE4" s="41">
        <f t="shared" ref="JE4:JE18" si="109">IF(IM4&gt;0,IM4,"")</f>
        <v>15.32</v>
      </c>
      <c r="JF4" s="41">
        <f t="shared" ref="JF4:JF18" si="110">IF(SUM(IJ4:IM4)-IN4&gt;0,SUM(IJ4:IM4)-IN4,"")</f>
        <v>54.12</v>
      </c>
      <c r="JG4" s="41">
        <f t="shared" ref="JG4:JG18" si="111">IF(IQ4&gt;0,IQ4,"")</f>
        <v>3.2</v>
      </c>
      <c r="JH4" s="41">
        <f t="shared" ref="JH4:JH18" si="112">IF(IR4&gt;0,IR4,"")</f>
        <v>3.31</v>
      </c>
      <c r="JI4" s="41">
        <f t="shared" ref="JI4:JI18" si="113">IF(SUM(IO4:IR4)-IS4&gt;0,SUM(IO4:IR4)-IS4,"")</f>
        <v>11.610000000000001</v>
      </c>
      <c r="JJ4" s="41">
        <f t="shared" ref="JJ4:JJ18" si="114">IF(MAX(JF4,JI4)&gt;0,MAX(JF4,JI4),"")</f>
        <v>54.12</v>
      </c>
      <c r="JK4" s="41">
        <f t="shared" ref="JK4:JK18" si="115">IF(IV4&gt;0,IV4,"")</f>
        <v>14</v>
      </c>
      <c r="JL4" s="41">
        <f t="shared" ref="JL4:JL18" si="116">IF(IW4&gt;0,IW4,"")</f>
        <v>15.3</v>
      </c>
      <c r="JM4" s="41">
        <f t="shared" ref="JM4:JM18" si="117">IF(SUM(IT4:IW4)-IX4&gt;0,SUM(IT4:IW4)-IX4,"")</f>
        <v>53.8</v>
      </c>
      <c r="JN4" s="41" t="str">
        <f t="shared" ref="JN4:JN18" si="118">IF(JA4&gt;0,JA4,"")</f>
        <v/>
      </c>
      <c r="JO4" s="41" t="str">
        <f t="shared" ref="JO4:JO18" si="119">IF(JB4&gt;0,JB4,"")</f>
        <v/>
      </c>
      <c r="JP4" s="41" t="str">
        <f t="shared" ref="JP4:JP18" si="120">IF(SUM(IY4:JB4)-JC4&gt;0,SUM(IY4:JB4)-JC4,"")</f>
        <v/>
      </c>
      <c r="JQ4" s="41">
        <f t="shared" ref="JQ4:JQ18" si="121">IF(SUM(JJ4,JM4,JP4)&gt;0,SUM(JJ4,JM4,JP4),"")</f>
        <v>107.91999999999999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8" si="122">IF(JT4&gt;0,JT4,"")</f>
        <v/>
      </c>
      <c r="KM4" s="11" t="str">
        <f t="shared" ref="KM4:KM18" si="123">IF(JU4&gt;0,JU4,"")</f>
        <v/>
      </c>
      <c r="KN4" s="11" t="str">
        <f t="shared" ref="KN4:KN18" si="124">IF(SUM(JR4:JU4)-JV4&gt;0,SUM(JR4:JU4)-JV4,"")</f>
        <v/>
      </c>
      <c r="KO4" s="11" t="str">
        <f t="shared" ref="KO4:KO18" si="125">IF(JY4&gt;0,JY4,"")</f>
        <v/>
      </c>
      <c r="KP4" s="11" t="str">
        <f t="shared" ref="KP4:KP18" si="126">IF(JZ4&gt;0,JZ4,"")</f>
        <v/>
      </c>
      <c r="KQ4" s="11" t="str">
        <f t="shared" ref="KQ4:KQ18" si="127">IF(SUM(JW4:JZ4)-KA4&gt;0,SUM(JW4:JZ4)-KA4,"")</f>
        <v/>
      </c>
      <c r="KR4" s="11" t="str">
        <f t="shared" ref="KR4:KR18" si="128">IF(MAX(KN4,KQ4)&gt;0,MAX(KN4,KQ4),"")</f>
        <v/>
      </c>
      <c r="KS4" s="11" t="str">
        <f t="shared" ref="KS4:KS18" si="129">IF(KD4&gt;0,KD4,"")</f>
        <v/>
      </c>
      <c r="KT4" s="11" t="str">
        <f t="shared" ref="KT4:KT18" si="130">IF(KE4&gt;0,KE4,"")</f>
        <v/>
      </c>
      <c r="KU4" s="11" t="str">
        <f t="shared" ref="KU4:KU18" si="131">IF(SUM(KB4:KE4)-KF4&gt;0,SUM(KB4:KE4)-KF4,"")</f>
        <v/>
      </c>
      <c r="KV4" s="11" t="str">
        <f t="shared" ref="KV4:KV18" si="132">IF(KI4&gt;0,KI4,"")</f>
        <v/>
      </c>
      <c r="KW4" s="11" t="str">
        <f t="shared" ref="KW4:KW18" si="133">IF(KJ4&gt;0,KJ4,"")</f>
        <v/>
      </c>
      <c r="KX4" s="11" t="str">
        <f t="shared" ref="KX4:KX18" si="134">IF(SUM(KG4:KJ4)-KK4&gt;0,SUM(KG4:KJ4)-KK4,"")</f>
        <v/>
      </c>
      <c r="KY4" s="11" t="str">
        <f t="shared" ref="KY4:KY18" si="135">IF(SUM(KR4,KU4,KX4)&gt;0,SUM(KR4,KU4,KX4),"")</f>
        <v/>
      </c>
      <c r="KZ4" s="17">
        <v>15.2</v>
      </c>
      <c r="LA4" s="17">
        <v>9.1</v>
      </c>
      <c r="LB4" s="17">
        <v>14</v>
      </c>
      <c r="LC4" s="17">
        <v>14.88</v>
      </c>
      <c r="LD4" s="17">
        <v>0</v>
      </c>
      <c r="LE4" s="17">
        <v>15.6</v>
      </c>
      <c r="LF4" s="17">
        <v>9.4</v>
      </c>
      <c r="LG4" s="17">
        <v>12.3</v>
      </c>
      <c r="LH4" s="17">
        <v>14.97</v>
      </c>
      <c r="LI4" s="17">
        <v>0</v>
      </c>
      <c r="LJ4" s="17">
        <v>15</v>
      </c>
      <c r="LK4" s="17">
        <v>9.5</v>
      </c>
      <c r="LL4" s="17">
        <v>14.2</v>
      </c>
      <c r="LM4" s="17">
        <v>14.94</v>
      </c>
      <c r="LN4" s="17">
        <v>0</v>
      </c>
      <c r="LO4" s="17"/>
      <c r="LP4" s="17"/>
      <c r="LQ4" s="17"/>
      <c r="LR4" s="17"/>
      <c r="LS4" s="17"/>
      <c r="LT4" s="41">
        <f t="shared" ref="LT4:LT18" si="136">IF(LB4&gt;0,LB4,"")</f>
        <v>14</v>
      </c>
      <c r="LU4" s="41">
        <f t="shared" ref="LU4:LU18" si="137">IF(LC4&gt;0,LC4,"")</f>
        <v>14.88</v>
      </c>
      <c r="LV4" s="41">
        <f t="shared" ref="LV4:LV18" si="138">IF(SUM(KZ4:LC4)-LD4&gt;0,SUM(KZ4:LC4)-LD4,"")</f>
        <v>53.18</v>
      </c>
      <c r="LW4" s="41">
        <f t="shared" ref="LW4:LW18" si="139">IF(LG4&gt;0,LG4,"")</f>
        <v>12.3</v>
      </c>
      <c r="LX4" s="41">
        <f t="shared" ref="LX4:LX18" si="140">IF(LH4&gt;0,LH4,"")</f>
        <v>14.97</v>
      </c>
      <c r="LY4" s="41">
        <f t="shared" ref="LY4:LY18" si="141">IF(SUM(LE4:LH4)-LI4&gt;0,SUM(LE4:LH4)-LI4,"")</f>
        <v>52.269999999999996</v>
      </c>
      <c r="LZ4" s="41">
        <f t="shared" ref="LZ4:LZ18" si="142">IF(MAX(LV4,LY4)&gt;0,MAX(LV4,LY4),"")</f>
        <v>53.18</v>
      </c>
      <c r="MA4" s="41">
        <f t="shared" ref="MA4:MA18" si="143">IF(LL4&gt;0,LL4,"")</f>
        <v>14.2</v>
      </c>
      <c r="MB4" s="41">
        <f t="shared" ref="MB4:MB18" si="144">IF(LM4&gt;0,LM4,"")</f>
        <v>14.94</v>
      </c>
      <c r="MC4" s="41">
        <f t="shared" ref="MC4:MC18" si="145">IF(SUM(LJ4:LM4)-LN4&gt;0,SUM(LJ4:LM4)-LN4,"")</f>
        <v>53.64</v>
      </c>
      <c r="MD4" s="41" t="str">
        <f t="shared" ref="MD4:MD18" si="146">IF(LQ4&gt;0,LQ4,"")</f>
        <v/>
      </c>
      <c r="ME4" s="41" t="str">
        <f t="shared" ref="ME4:ME18" si="147">IF(LR4&gt;0,LR4,"")</f>
        <v/>
      </c>
      <c r="MF4" s="41" t="str">
        <f t="shared" ref="MF4:MF18" si="148">IF(SUM(LO4:LR4)-LS4&gt;0,SUM(LO4:LR4)-LS4,"")</f>
        <v/>
      </c>
      <c r="MG4" s="41">
        <f t="shared" ref="MG4:MG18" si="149">IF(SUM(LZ4,MC4,MF4)&gt;0,SUM(LZ4,MC4,MF4),"")</f>
        <v>106.82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8" si="150">IF(MJ4&gt;0,MJ4,"")</f>
        <v/>
      </c>
      <c r="NC4" s="11" t="str">
        <f t="shared" ref="NC4:NC18" si="151">IF(MK4&gt;0,MK4,"")</f>
        <v/>
      </c>
      <c r="ND4" s="11" t="str">
        <f t="shared" ref="ND4:ND18" si="152">IF(SUM(MH4:MK4)-ML4&gt;0,SUM(MH4:MK4)-ML4,"")</f>
        <v/>
      </c>
      <c r="NE4" s="11" t="str">
        <f t="shared" ref="NE4:NE18" si="153">IF(MO4&gt;0,MO4,"")</f>
        <v/>
      </c>
      <c r="NF4" s="11" t="str">
        <f t="shared" ref="NF4:NF18" si="154">IF(MP4&gt;0,MP4,"")</f>
        <v/>
      </c>
      <c r="NG4" s="11" t="str">
        <f t="shared" ref="NG4:NG18" si="155">IF(SUM(MM4:MP4)-MQ4&gt;0,SUM(MM4:MP4)-MQ4,"")</f>
        <v/>
      </c>
      <c r="NH4" s="11" t="str">
        <f t="shared" ref="NH4:NH18" si="156">IF(MAX(ND4,NG4)&gt;0,MAX(ND4,NG4),"")</f>
        <v/>
      </c>
      <c r="NI4" s="11" t="str">
        <f t="shared" ref="NI4:NI18" si="157">IF(MT4&gt;0,MT4,"")</f>
        <v/>
      </c>
      <c r="NJ4" s="11" t="str">
        <f t="shared" ref="NJ4:NJ18" si="158">IF(MU4&gt;0,MU4,"")</f>
        <v/>
      </c>
      <c r="NK4" s="11" t="str">
        <f t="shared" ref="NK4:NK18" si="159">IF(SUM(MR4:MU4)-MV4&gt;0,SUM(MR4:MU4)-MV4,"")</f>
        <v/>
      </c>
      <c r="NL4" s="11" t="str">
        <f t="shared" ref="NL4:NL18" si="160">IF(MY4&gt;0,MY4,"")</f>
        <v/>
      </c>
      <c r="NM4" s="11" t="str">
        <f t="shared" ref="NM4:NM18" si="161">IF(MZ4&gt;0,MZ4,"")</f>
        <v/>
      </c>
      <c r="NN4" s="11" t="str">
        <f t="shared" ref="NN4:NN18" si="162">IF(SUM(MW4:MZ4)-NA4&gt;0,SUM(MW4:MZ4)-NA4,"")</f>
        <v/>
      </c>
      <c r="NO4" s="11" t="str">
        <f t="shared" ref="NO4:NO18" si="163">IF(SUM(NH4,NK4,NN4)&gt;0,SUM(NH4,NK4,NN4),"")</f>
        <v/>
      </c>
      <c r="NP4" s="17">
        <v>15</v>
      </c>
      <c r="NQ4" s="17">
        <v>9.3000000000000007</v>
      </c>
      <c r="NR4" s="17">
        <v>13.2</v>
      </c>
      <c r="NS4" s="17">
        <v>14.93</v>
      </c>
      <c r="NT4" s="17">
        <v>0</v>
      </c>
      <c r="NU4" s="17">
        <v>14.6</v>
      </c>
      <c r="NV4" s="17">
        <v>9.3000000000000007</v>
      </c>
      <c r="NW4" s="17">
        <v>13.6</v>
      </c>
      <c r="NX4" s="17">
        <v>14.81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 t="shared" ref="OJ4:OJ18" si="164">IF(NR4&gt;0,NR4,"")</f>
        <v>13.2</v>
      </c>
      <c r="OK4" s="41">
        <f t="shared" ref="OK4:OK18" si="165">IF(NS4&gt;0,NS4,"")</f>
        <v>14.93</v>
      </c>
      <c r="OL4" s="41">
        <f t="shared" ref="OL4:OL18" si="166">IF(SUM(NP4:NS4)-NT4&gt;0,SUM(NP4:NS4)-NT4,"")</f>
        <v>52.43</v>
      </c>
      <c r="OM4" s="41">
        <f t="shared" ref="OM4:OM18" si="167">IF(NW4&gt;0,NW4,"")</f>
        <v>13.6</v>
      </c>
      <c r="ON4" s="41">
        <f t="shared" ref="ON4:ON18" si="168">IF(NX4&gt;0,NX4,"")</f>
        <v>14.81</v>
      </c>
      <c r="OO4" s="41">
        <f t="shared" ref="OO4:OO18" si="169">IF(SUM(NU4:NX4)-NY4&gt;0,SUM(NU4:NX4)-NY4,"")</f>
        <v>52.31</v>
      </c>
      <c r="OP4" s="41">
        <f t="shared" ref="OP4:OP18" si="170">IF(MAX(OL4,OO4)&gt;0,MAX(OL4,OO4),"")</f>
        <v>52.43</v>
      </c>
      <c r="OQ4" s="41" t="str">
        <f t="shared" ref="OQ4:OQ18" si="171">IF(OB4&gt;0,OB4,"")</f>
        <v/>
      </c>
      <c r="OR4" s="41" t="str">
        <f t="shared" ref="OR4:OR18" si="172">IF(OC4&gt;0,OC4,"")</f>
        <v/>
      </c>
      <c r="OS4" s="41" t="str">
        <f t="shared" ref="OS4:OS18" si="173">IF(SUM(NZ4:OC4)-OD4&gt;0,SUM(NZ4:OC4)-OD4,"")</f>
        <v/>
      </c>
      <c r="OT4" s="41" t="str">
        <f t="shared" ref="OT4:OT18" si="174">IF(OG4&gt;0,OG4,"")</f>
        <v/>
      </c>
      <c r="OU4" s="41" t="str">
        <f t="shared" ref="OU4:OU18" si="175">IF(OH4&gt;0,OH4,"")</f>
        <v/>
      </c>
      <c r="OV4" s="41" t="str">
        <f t="shared" ref="OV4:OV18" si="176">IF(SUM(OE4:OH4)-OI4&gt;0,SUM(OE4:OH4)-OI4,"")</f>
        <v/>
      </c>
      <c r="OW4" s="41">
        <f t="shared" ref="OW4:OW18" si="177">IF(SUM(OP4,OS4,OV4)&gt;0,SUM(OP4,OS4,OV4),"")</f>
        <v>52.43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>
        <v>10.9</v>
      </c>
      <c r="PN4" s="18">
        <v>6</v>
      </c>
      <c r="PO4" s="18">
        <v>9.3000000000000007</v>
      </c>
      <c r="PP4" s="18">
        <v>10.82</v>
      </c>
      <c r="PQ4" s="18">
        <v>0</v>
      </c>
      <c r="PR4" s="11" t="str">
        <f t="shared" ref="PR4:PR18" si="178">IF(OZ4&gt;0,OZ4,"")</f>
        <v/>
      </c>
      <c r="PS4" s="11" t="str">
        <f t="shared" ref="PS4:PS18" si="179">IF(PA4&gt;0,PA4,"")</f>
        <v/>
      </c>
      <c r="PT4" s="11" t="str">
        <f t="shared" ref="PT4:PT18" si="180">IF(SUM(OX4:PA4)-PB4&gt;0,SUM(OX4:PA4)-PB4,"")</f>
        <v/>
      </c>
      <c r="PU4" s="11" t="str">
        <f t="shared" ref="PU4:PU18" si="181">IF(PE4&gt;0,PE4,"")</f>
        <v/>
      </c>
      <c r="PV4" s="11" t="str">
        <f t="shared" ref="PV4:PV18" si="182">IF(PF4&gt;0,PF4,"")</f>
        <v/>
      </c>
      <c r="PW4" s="11" t="str">
        <f t="shared" ref="PW4:PW18" si="183">IF(SUM(PC4:PF4)-PG4&gt;0,SUM(PC4:PF4)-PG4,"")</f>
        <v/>
      </c>
      <c r="PX4" s="11" t="str">
        <f t="shared" ref="PX4:PX18" si="184">IF(MAX(PT4,PW4)&gt;0,MAX(PT4,PW4),"")</f>
        <v/>
      </c>
      <c r="PY4" s="11" t="str">
        <f t="shared" ref="PY4:PY18" si="185">IF(PJ4&gt;0,PJ4,"")</f>
        <v/>
      </c>
      <c r="PZ4" s="11" t="str">
        <f t="shared" ref="PZ4:PZ18" si="186">IF(PK4&gt;0,PK4,"")</f>
        <v/>
      </c>
      <c r="QA4" s="11" t="str">
        <f t="shared" ref="QA4:QA18" si="187">IF(SUM(PH4:PK4)-PL4&gt;0,SUM(PH4:PK4)-PL4,"")</f>
        <v/>
      </c>
      <c r="QB4" s="11">
        <f t="shared" ref="QB4:QB18" si="188">IF(PO4&gt;0,PO4,"")</f>
        <v>9.3000000000000007</v>
      </c>
      <c r="QC4" s="11">
        <f t="shared" ref="QC4:QC18" si="189">IF(PP4&gt;0,PP4,"")</f>
        <v>10.82</v>
      </c>
      <c r="QD4" s="11">
        <f t="shared" ref="QD4:QD18" si="190">IF(SUM(PM4:PP4)-PQ4&gt;0,SUM(PM4:PP4)-PQ4,"")</f>
        <v>37.019999999999996</v>
      </c>
      <c r="QE4" s="11">
        <f t="shared" ref="QE4:QE18" si="191">IF(SUM(PX4,QA4,QD4)&gt;0,SUM(PX4,QA4,QD4),"")</f>
        <v>37.019999999999996</v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18" si="192">IF(QH4&gt;0,QH4,"")</f>
        <v/>
      </c>
      <c r="RA4" s="41" t="str">
        <f t="shared" ref="RA4:RA18" si="193">IF(QI4&gt;0,QI4,"")</f>
        <v/>
      </c>
      <c r="RB4" s="41" t="str">
        <f t="shared" ref="RB4:RB18" si="194">IF(SUM(QF4:QI4)-QJ4&gt;0,SUM(QF4:QI4)-QJ4,"")</f>
        <v/>
      </c>
      <c r="RC4" s="41" t="str">
        <f t="shared" ref="RC4:RC18" si="195">IF(QM4&gt;0,QM4,"")</f>
        <v/>
      </c>
      <c r="RD4" s="41" t="str">
        <f t="shared" ref="RD4:RD18" si="196">IF(QN4&gt;0,QN4,"")</f>
        <v/>
      </c>
      <c r="RE4" s="41" t="str">
        <f t="shared" ref="RE4:RE18" si="197">IF(SUM(QK4:QN4)-QO4&gt;0,SUM(QK4:QN4)-QO4,"")</f>
        <v/>
      </c>
      <c r="RF4" s="41" t="str">
        <f t="shared" ref="RF4:RF18" si="198">IF(MAX(RB4,RE4)&gt;0,MAX(RB4,RE4),"")</f>
        <v/>
      </c>
      <c r="RG4" s="41" t="str">
        <f t="shared" ref="RG4:RG18" si="199">IF(QR4&gt;0,QR4,"")</f>
        <v/>
      </c>
      <c r="RH4" s="41" t="str">
        <f t="shared" ref="RH4:RH18" si="200">IF(QS4&gt;0,QS4,"")</f>
        <v/>
      </c>
      <c r="RI4" s="41" t="str">
        <f t="shared" ref="RI4:RI18" si="201">IF(SUM(QP4:QS4)-QT4&gt;0,SUM(QP4:QS4)-QT4,"")</f>
        <v/>
      </c>
      <c r="RJ4" s="41" t="str">
        <f t="shared" ref="RJ4:RJ18" si="202">IF(QW4&gt;0,QW4,"")</f>
        <v/>
      </c>
      <c r="RK4" s="41" t="str">
        <f t="shared" ref="RK4:RK18" si="203">IF(QX4&gt;0,QX4,"")</f>
        <v/>
      </c>
      <c r="RL4" s="41" t="str">
        <f t="shared" ref="RL4:RL18" si="204">IF(SUM(QU4:QX4)-QY4&gt;0,SUM(QU4:QX4)-QY4,"")</f>
        <v/>
      </c>
      <c r="RM4" s="41" t="str">
        <f t="shared" ref="RM4:RM18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8" si="206">IF(RP4&gt;0,RP4,"")</f>
        <v/>
      </c>
      <c r="SI4" s="11" t="str">
        <f t="shared" ref="SI4:SI18" si="207">IF(RQ4&gt;0,RQ4,"")</f>
        <v/>
      </c>
      <c r="SJ4" s="11" t="str">
        <f t="shared" ref="SJ4:SJ18" si="208">IF(SUM(RN4:RQ4)-RR4&gt;0,SUM(RN4:RQ4)-RR4,"")</f>
        <v/>
      </c>
      <c r="SK4" s="11" t="str">
        <f t="shared" ref="SK4:SK18" si="209">IF(RU4&gt;0,RU4,"")</f>
        <v/>
      </c>
      <c r="SL4" s="11" t="str">
        <f t="shared" ref="SL4:SL18" si="210">IF(RV4&gt;0,RV4,"")</f>
        <v/>
      </c>
      <c r="SM4" s="11" t="str">
        <f t="shared" ref="SM4:SM18" si="211">IF(SUM(RS4:RV4)-RW4&gt;0,SUM(RS4:RV4)-RW4,"")</f>
        <v/>
      </c>
      <c r="SN4" s="11" t="str">
        <f t="shared" ref="SN4:SN18" si="212">IF(MAX(SJ4,SM4)&gt;0,MAX(SJ4,SM4),"")</f>
        <v/>
      </c>
      <c r="SO4" s="11" t="str">
        <f t="shared" ref="SO4:SO18" si="213">IF(RZ4&gt;0,RZ4,"")</f>
        <v/>
      </c>
      <c r="SP4" s="11" t="str">
        <f t="shared" ref="SP4:SP18" si="214">IF(SA4&gt;0,SA4,"")</f>
        <v/>
      </c>
      <c r="SQ4" s="11" t="str">
        <f t="shared" ref="SQ4:SQ18" si="215">IF(SUM(RX4:SA4)-SB4&gt;0,SUM(RX4:SA4)-SB4,"")</f>
        <v/>
      </c>
      <c r="SR4" s="11" t="str">
        <f t="shared" ref="SR4:SR18" si="216">IF(SE4&gt;0,SE4,"")</f>
        <v/>
      </c>
      <c r="SS4" s="11" t="str">
        <f t="shared" ref="SS4:SS18" si="217">IF(SF4&gt;0,SF4,"")</f>
        <v/>
      </c>
      <c r="ST4" s="11" t="str">
        <f t="shared" ref="ST4:ST18" si="218">IF(SUM(SC4:SF4)-SG4&gt;0,SUM(SC4:SF4)-SG4,"")</f>
        <v/>
      </c>
      <c r="SU4" s="11" t="str">
        <f t="shared" ref="SU4:SU18" si="219">IF(SUM(SN4,SQ4,ST4)&gt;0,SUM(SN4,SQ4,ST4),"")</f>
        <v/>
      </c>
      <c r="SV4" s="23">
        <f t="shared" ref="SV4:SV18" si="220">IF($CP4="P",CA4,(CA4+AZ4)/2)</f>
        <v>14.15</v>
      </c>
      <c r="SW4" s="23">
        <f t="shared" ref="SW4:SW18" si="221">IF($CP4="P",CB4,(CB4+BA4)/2)</f>
        <v>9.1</v>
      </c>
      <c r="SX4" s="23">
        <f t="shared" ref="SX4:SX18" si="222">IF($CP4="P",CC4,(CC4+BB4)/2)</f>
        <v>14</v>
      </c>
      <c r="SY4" s="23">
        <f t="shared" ref="SY4:SY18" si="223">IF($CP4="P",CD4,(CD4+BC4)/2)</f>
        <v>15.185</v>
      </c>
      <c r="SZ4" s="23">
        <f t="shared" ref="SZ4:SZ18" si="224">IF($CP4="P",CE4,(CE4+BD4)/2)</f>
        <v>0</v>
      </c>
      <c r="TA4" s="23">
        <f t="shared" ref="TA4:TA18" si="225">IF($CP4="P",CF4,(CF4+BE4)/2)</f>
        <v>10.15</v>
      </c>
      <c r="TB4" s="23">
        <f t="shared" ref="TB4:TB18" si="226">IF($CP4="P",CG4,(CG4+BF4)/2)</f>
        <v>6.35</v>
      </c>
      <c r="TC4" s="23">
        <f t="shared" ref="TC4:TC18" si="227">IF($CP4="P",CH4,(CH4+BG4)/2)</f>
        <v>9.4499999999999993</v>
      </c>
      <c r="TD4" s="23">
        <f t="shared" ref="TD4:TD18" si="228">IF($CP4="P",CI4,(CI4+BH4)/2)</f>
        <v>10.225000000000001</v>
      </c>
      <c r="TE4" s="23">
        <f t="shared" ref="TE4:TE18" si="229">IF($CP4="P",CJ4,(CJ4+BI4)/2)</f>
        <v>0</v>
      </c>
      <c r="TF4" s="23">
        <f t="shared" ref="TF4:TF18" si="230">IF($CP4="P",CK4,(CK4+BJ4)/2)</f>
        <v>12.85</v>
      </c>
      <c r="TG4" s="23">
        <f t="shared" ref="TG4:TG18" si="231">IF($CP4="P",CL4,(CL4+BK4)/2)</f>
        <v>7.4</v>
      </c>
      <c r="TH4" s="23">
        <f t="shared" ref="TH4:TH18" si="232">IF($CP4="P",CM4,(CM4+BL4)/2)</f>
        <v>11.75</v>
      </c>
      <c r="TI4" s="23">
        <f t="shared" ref="TI4:TI18" si="233">IF($CP4="P",CN4,(CN4+BM4)/2)</f>
        <v>12.965</v>
      </c>
      <c r="TJ4" s="23">
        <f t="shared" ref="TJ4:TJ18" si="234">IF($CP4="P",CO4,(CO4+BN4)/2)</f>
        <v>0.1</v>
      </c>
      <c r="TK4" s="28" t="s">
        <v>57</v>
      </c>
      <c r="TL4" s="41">
        <f t="shared" ref="TL4:TL18" si="235">IF(SX4&gt;0,SX4,"")</f>
        <v>14</v>
      </c>
      <c r="TM4" s="41">
        <f t="shared" ref="TM4:TM18" si="236">IF(SY4&gt;0,SY4,"")</f>
        <v>15.185</v>
      </c>
      <c r="TN4" s="41">
        <f t="shared" ref="TN4:TN18" si="237">IF(SUM(SV4:SY4)-SZ4&gt;0,SUM(SV4:SY4)-SZ4,"")</f>
        <v>52.435000000000002</v>
      </c>
      <c r="TO4" s="41">
        <f t="shared" ref="TO4:TO18" si="238">IF(TC4&gt;0,TC4,"")</f>
        <v>9.4499999999999993</v>
      </c>
      <c r="TP4" s="41">
        <f t="shared" ref="TP4:TP18" si="239">IF(TD4&gt;0,TD4,"")</f>
        <v>10.225000000000001</v>
      </c>
      <c r="TQ4" s="41">
        <f t="shared" ref="TQ4:TQ18" si="240">IF(SUM(TA4:TD4)-TE4&gt;0,SUM(TA4:TD4)-TE4,"")</f>
        <v>36.174999999999997</v>
      </c>
      <c r="TR4" s="41">
        <f t="shared" ref="TR4:TR18" si="241">IF(MAX(TN4,TQ4)&gt;0,MAX(TN4,TQ4),"")</f>
        <v>52.435000000000002</v>
      </c>
      <c r="TS4" s="41">
        <f t="shared" ref="TS4:TS18" si="242">IF(TH4&gt;0,TH4,"")</f>
        <v>11.75</v>
      </c>
      <c r="TT4" s="41">
        <f t="shared" ref="TT4:TT18" si="243">IF(TI4&gt;0,TI4,"")</f>
        <v>12.965</v>
      </c>
      <c r="TU4" s="41">
        <f t="shared" ref="TU4:TU18" si="244">IF(SUM(TF4:TI4)-TJ4&gt;0,SUM(TF4:TI4)-TJ4,"")</f>
        <v>44.865000000000002</v>
      </c>
      <c r="TV4" s="41">
        <f t="shared" ref="TV4:TV18" si="245">IF(SUM(TR4,TU4)&gt;0,SUM(TR4,TU4),"")</f>
        <v>97.300000000000011</v>
      </c>
    </row>
    <row r="5" spans="1:542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25</v>
      </c>
      <c r="C5" s="4" t="s">
        <v>8</v>
      </c>
      <c r="D5" s="4">
        <v>1998</v>
      </c>
      <c r="E5" s="9">
        <f t="shared" si="0"/>
        <v>251.62002514800554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55.43</v>
      </c>
      <c r="K5" s="8" t="str">
        <f t="shared" si="5"/>
        <v>2023 Domestic 3rd Trial</v>
      </c>
      <c r="L5" s="8">
        <f>IF(COUNT(AQ5,AT5,BR5,BU5,CS5,CV5)&gt;1,LARGE((AQ5,AT5,BR5,BU5,CS5,CV5),2),0)</f>
        <v>55.19</v>
      </c>
      <c r="M5" s="8" t="str">
        <f t="shared" si="6"/>
        <v>2023 Elite Canada</v>
      </c>
      <c r="N5" s="8">
        <f>IF(COUNT(AQ5,AT5,BR5,BU5,CS5,CV5)&gt;2,LARGE((AQ5,AT5,BR5,BU5,CS5,CV5),3),0)</f>
        <v>55.1</v>
      </c>
      <c r="O5" s="8" t="str">
        <f t="shared" si="7"/>
        <v>2023 Domestic 3rd Trial</v>
      </c>
      <c r="P5" s="8">
        <f t="shared" si="8"/>
        <v>55.33</v>
      </c>
      <c r="Q5" s="8" t="str">
        <f t="shared" si="9"/>
        <v>2023 Elite Canada</v>
      </c>
      <c r="R5" s="8">
        <f t="shared" si="10"/>
        <v>15</v>
      </c>
      <c r="S5" s="8" t="str">
        <f t="shared" si="11"/>
        <v>2023 World Cup BUL (Oct 8)</v>
      </c>
      <c r="T5" s="8">
        <f t="shared" si="12"/>
        <v>15.43</v>
      </c>
      <c r="U5" s="8" t="str">
        <f t="shared" si="13"/>
        <v>2023 Domestic 3rd Trial</v>
      </c>
      <c r="V5" s="8">
        <f t="shared" si="14"/>
        <v>0.13999999999999346</v>
      </c>
      <c r="W5" s="11" t="str">
        <f t="shared" si="15"/>
        <v>(Prelim)</v>
      </c>
      <c r="X5" s="8" t="str">
        <f t="shared" si="16"/>
        <v>2023 World Championships (Nov 12)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 t="shared" si="17"/>
        <v>14.4</v>
      </c>
      <c r="AP5" s="39">
        <f t="shared" si="18"/>
        <v>15.39</v>
      </c>
      <c r="AQ5" s="41">
        <f t="shared" si="19"/>
        <v>55.19</v>
      </c>
      <c r="AR5" s="41">
        <f t="shared" si="20"/>
        <v>2</v>
      </c>
      <c r="AS5" s="41">
        <f t="shared" si="21"/>
        <v>1.76</v>
      </c>
      <c r="AT5" s="41">
        <f t="shared" si="22"/>
        <v>6.3599999999999994</v>
      </c>
      <c r="AU5" s="41">
        <f t="shared" si="23"/>
        <v>55.19</v>
      </c>
      <c r="AV5" s="41">
        <f t="shared" si="24"/>
        <v>14.4</v>
      </c>
      <c r="AW5" s="41">
        <f t="shared" si="25"/>
        <v>15.23</v>
      </c>
      <c r="AX5" s="41">
        <f t="shared" si="26"/>
        <v>55.33</v>
      </c>
      <c r="AY5" s="41">
        <f t="shared" si="27"/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 t="shared" si="28"/>
        <v>14</v>
      </c>
      <c r="BQ5" s="40">
        <f t="shared" si="29"/>
        <v>14.81</v>
      </c>
      <c r="BR5" s="11">
        <f t="shared" si="30"/>
        <v>54.71</v>
      </c>
      <c r="BS5" s="11">
        <f t="shared" si="31"/>
        <v>4.9000000000000004</v>
      </c>
      <c r="BT5" s="11">
        <f t="shared" si="32"/>
        <v>4.8</v>
      </c>
      <c r="BU5" s="11">
        <f t="shared" si="33"/>
        <v>17.3</v>
      </c>
      <c r="BV5" s="11">
        <f t="shared" si="34"/>
        <v>54.71</v>
      </c>
      <c r="BW5" s="11">
        <f t="shared" si="35"/>
        <v>14</v>
      </c>
      <c r="BX5" s="11">
        <f t="shared" si="36"/>
        <v>14.46</v>
      </c>
      <c r="BY5" s="11">
        <f t="shared" si="37"/>
        <v>52.059999999999995</v>
      </c>
      <c r="BZ5" s="11">
        <f t="shared" si="38"/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 t="shared" si="39"/>
        <v>14.4</v>
      </c>
      <c r="CR5" s="39">
        <f t="shared" si="40"/>
        <v>15.1</v>
      </c>
      <c r="CS5" s="41">
        <f t="shared" si="41"/>
        <v>55.1</v>
      </c>
      <c r="CT5" s="41">
        <f t="shared" si="42"/>
        <v>14.4</v>
      </c>
      <c r="CU5" s="41">
        <f t="shared" si="43"/>
        <v>15.43</v>
      </c>
      <c r="CV5" s="41">
        <f t="shared" si="44"/>
        <v>55.43</v>
      </c>
      <c r="CW5" s="41">
        <f t="shared" si="45"/>
        <v>55.43</v>
      </c>
      <c r="CX5" s="41">
        <f t="shared" si="46"/>
        <v>14.4</v>
      </c>
      <c r="CY5" s="41">
        <f t="shared" si="47"/>
        <v>15.36</v>
      </c>
      <c r="CZ5" s="41">
        <f t="shared" si="48"/>
        <v>54.76</v>
      </c>
      <c r="DA5" s="41">
        <f t="shared" si="49"/>
        <v>110.19</v>
      </c>
      <c r="DB5" s="52">
        <f t="shared" si="50"/>
        <v>0.13999999999999346</v>
      </c>
      <c r="DC5" s="52">
        <f t="shared" si="51"/>
        <v>1.9999999999996021E-2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 t="shared" si="52"/>
        <v/>
      </c>
      <c r="DY5" s="41" t="str">
        <f t="shared" si="53"/>
        <v/>
      </c>
      <c r="DZ5" s="41" t="str">
        <f t="shared" si="54"/>
        <v/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 t="str">
        <f t="shared" si="58"/>
        <v/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 t="str">
        <f t="shared" si="65"/>
        <v/>
      </c>
      <c r="EL5" s="18">
        <v>16.2</v>
      </c>
      <c r="EM5" s="18">
        <v>9.5</v>
      </c>
      <c r="EN5" s="18">
        <v>14</v>
      </c>
      <c r="EO5" s="18">
        <v>14.83</v>
      </c>
      <c r="EP5" s="18">
        <v>0.4</v>
      </c>
      <c r="EQ5" s="18">
        <v>15.9</v>
      </c>
      <c r="ER5" s="18">
        <v>9.4</v>
      </c>
      <c r="ES5" s="18">
        <v>14.4</v>
      </c>
      <c r="ET5" s="18">
        <v>15.01</v>
      </c>
      <c r="EU5" s="18">
        <v>0</v>
      </c>
      <c r="EV5" s="18"/>
      <c r="EW5" s="18"/>
      <c r="EX5" s="18"/>
      <c r="EY5" s="18"/>
      <c r="EZ5" s="18"/>
      <c r="FA5" s="18">
        <v>16.600000000000001</v>
      </c>
      <c r="FB5" s="18">
        <v>9.6999999999999993</v>
      </c>
      <c r="FC5" s="18">
        <v>13.2</v>
      </c>
      <c r="FD5" s="18">
        <v>14.8</v>
      </c>
      <c r="FE5" s="18">
        <v>0</v>
      </c>
      <c r="FF5" s="11">
        <f t="shared" si="66"/>
        <v>14</v>
      </c>
      <c r="FG5" s="11">
        <f t="shared" si="67"/>
        <v>14.83</v>
      </c>
      <c r="FH5" s="11">
        <f t="shared" si="68"/>
        <v>54.13</v>
      </c>
      <c r="FI5" s="11">
        <f t="shared" si="69"/>
        <v>14.4</v>
      </c>
      <c r="FJ5" s="11">
        <f t="shared" si="70"/>
        <v>15.01</v>
      </c>
      <c r="FK5" s="11">
        <f t="shared" si="71"/>
        <v>54.71</v>
      </c>
      <c r="FL5" s="11">
        <f t="shared" si="72"/>
        <v>54.71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>
        <f t="shared" si="76"/>
        <v>13.2</v>
      </c>
      <c r="FQ5" s="11">
        <f t="shared" si="77"/>
        <v>14.8</v>
      </c>
      <c r="FR5" s="11">
        <f t="shared" si="78"/>
        <v>54.3</v>
      </c>
      <c r="FS5" s="11">
        <f t="shared" si="79"/>
        <v>109.00999999999999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>
        <v>16.600000000000001</v>
      </c>
      <c r="GJ5" s="17">
        <v>9.6999999999999993</v>
      </c>
      <c r="GK5" s="17">
        <v>14</v>
      </c>
      <c r="GL5" s="17">
        <v>15.05</v>
      </c>
      <c r="GM5" s="17">
        <v>0</v>
      </c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>
        <f t="shared" si="90"/>
        <v>14</v>
      </c>
      <c r="GY5" s="41">
        <f t="shared" si="91"/>
        <v>15.05</v>
      </c>
      <c r="GZ5" s="41">
        <f t="shared" si="92"/>
        <v>55.349999999999994</v>
      </c>
      <c r="HA5" s="41">
        <f t="shared" si="93"/>
        <v>55.349999999999994</v>
      </c>
      <c r="HB5" s="18">
        <v>14.8</v>
      </c>
      <c r="HC5" s="18">
        <v>9.6999999999999993</v>
      </c>
      <c r="HD5" s="18">
        <v>14.4</v>
      </c>
      <c r="HE5" s="18">
        <v>14.76</v>
      </c>
      <c r="HF5" s="18">
        <v>0</v>
      </c>
      <c r="HG5" s="18">
        <v>15.6</v>
      </c>
      <c r="HH5" s="18">
        <v>9.4</v>
      </c>
      <c r="HI5" s="18">
        <v>14.4</v>
      </c>
      <c r="HJ5" s="18">
        <v>15.13</v>
      </c>
      <c r="HK5" s="18">
        <v>0</v>
      </c>
      <c r="HL5" s="18">
        <v>15.4</v>
      </c>
      <c r="HM5" s="18">
        <v>9.4</v>
      </c>
      <c r="HN5" s="18">
        <v>14.4</v>
      </c>
      <c r="HO5" s="18">
        <v>14.91</v>
      </c>
      <c r="HP5" s="18">
        <v>0</v>
      </c>
      <c r="HQ5" s="18">
        <v>1.6</v>
      </c>
      <c r="HR5" s="18">
        <v>1</v>
      </c>
      <c r="HS5" s="18">
        <v>2</v>
      </c>
      <c r="HT5" s="18">
        <v>1.68</v>
      </c>
      <c r="HU5" s="18">
        <v>0</v>
      </c>
      <c r="HV5" s="11">
        <f t="shared" si="94"/>
        <v>14.4</v>
      </c>
      <c r="HW5" s="11">
        <f t="shared" si="95"/>
        <v>14.76</v>
      </c>
      <c r="HX5" s="11">
        <f t="shared" si="96"/>
        <v>53.66</v>
      </c>
      <c r="HY5" s="11">
        <f t="shared" si="97"/>
        <v>14.4</v>
      </c>
      <c r="HZ5" s="11">
        <f t="shared" si="98"/>
        <v>15.13</v>
      </c>
      <c r="IA5" s="11">
        <f t="shared" si="99"/>
        <v>54.53</v>
      </c>
      <c r="IB5" s="11">
        <f t="shared" si="100"/>
        <v>54.53</v>
      </c>
      <c r="IC5" s="11">
        <f t="shared" si="101"/>
        <v>14.4</v>
      </c>
      <c r="ID5" s="11">
        <f t="shared" si="102"/>
        <v>14.91</v>
      </c>
      <c r="IE5" s="11">
        <f t="shared" si="103"/>
        <v>54.11</v>
      </c>
      <c r="IF5" s="11">
        <f t="shared" si="104"/>
        <v>2</v>
      </c>
      <c r="IG5" s="11">
        <f t="shared" si="105"/>
        <v>1.68</v>
      </c>
      <c r="IH5" s="11">
        <f t="shared" si="106"/>
        <v>6.2799999999999994</v>
      </c>
      <c r="II5" s="11">
        <f t="shared" si="107"/>
        <v>114.92</v>
      </c>
      <c r="IJ5" s="17">
        <v>14.4</v>
      </c>
      <c r="IK5" s="17">
        <v>8.5</v>
      </c>
      <c r="IL5" s="17">
        <v>12.4</v>
      </c>
      <c r="IM5" s="17">
        <v>13.58</v>
      </c>
      <c r="IN5" s="17">
        <v>0</v>
      </c>
      <c r="IO5" s="17">
        <v>15.7</v>
      </c>
      <c r="IP5" s="17">
        <v>9.6</v>
      </c>
      <c r="IQ5" s="17">
        <v>14.4</v>
      </c>
      <c r="IR5" s="17">
        <v>14.84</v>
      </c>
      <c r="IS5" s="17">
        <v>0</v>
      </c>
      <c r="IT5" s="17">
        <v>16.3</v>
      </c>
      <c r="IU5" s="17">
        <v>9.4</v>
      </c>
      <c r="IV5" s="17">
        <v>14</v>
      </c>
      <c r="IW5" s="17">
        <v>14.87</v>
      </c>
      <c r="IX5" s="17">
        <v>0</v>
      </c>
      <c r="IY5" s="17">
        <v>9.6</v>
      </c>
      <c r="IZ5" s="17">
        <v>5.7</v>
      </c>
      <c r="JA5" s="17">
        <v>9.1999999999999993</v>
      </c>
      <c r="JB5" s="17">
        <v>9.2200000000000006</v>
      </c>
      <c r="JC5" s="17">
        <v>0.2</v>
      </c>
      <c r="JD5" s="41">
        <f t="shared" si="108"/>
        <v>12.4</v>
      </c>
      <c r="JE5" s="41">
        <f t="shared" si="109"/>
        <v>13.58</v>
      </c>
      <c r="JF5" s="41">
        <f t="shared" si="110"/>
        <v>48.879999999999995</v>
      </c>
      <c r="JG5" s="41">
        <f t="shared" si="111"/>
        <v>14.4</v>
      </c>
      <c r="JH5" s="41">
        <f t="shared" si="112"/>
        <v>14.84</v>
      </c>
      <c r="JI5" s="41">
        <f t="shared" si="113"/>
        <v>54.539999999999992</v>
      </c>
      <c r="JJ5" s="41">
        <f t="shared" si="114"/>
        <v>54.539999999999992</v>
      </c>
      <c r="JK5" s="41">
        <f t="shared" si="115"/>
        <v>14</v>
      </c>
      <c r="JL5" s="41">
        <f t="shared" si="116"/>
        <v>14.87</v>
      </c>
      <c r="JM5" s="41">
        <f t="shared" si="117"/>
        <v>54.57</v>
      </c>
      <c r="JN5" s="41">
        <f t="shared" si="118"/>
        <v>9.1999999999999993</v>
      </c>
      <c r="JO5" s="41">
        <f t="shared" si="119"/>
        <v>9.2200000000000006</v>
      </c>
      <c r="JP5" s="41">
        <f t="shared" si="120"/>
        <v>33.519999999999996</v>
      </c>
      <c r="JQ5" s="41">
        <f t="shared" si="121"/>
        <v>142.63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>
        <v>16.3</v>
      </c>
      <c r="LA5" s="17">
        <v>9.5</v>
      </c>
      <c r="LB5" s="17">
        <v>14.4</v>
      </c>
      <c r="LC5" s="17">
        <v>14.93</v>
      </c>
      <c r="LD5" s="17">
        <v>0</v>
      </c>
      <c r="LE5" s="17">
        <v>15.6</v>
      </c>
      <c r="LF5" s="17">
        <v>9.6</v>
      </c>
      <c r="LG5" s="17">
        <v>15</v>
      </c>
      <c r="LH5" s="17">
        <v>14.92</v>
      </c>
      <c r="LI5" s="17">
        <v>0</v>
      </c>
      <c r="LJ5" s="17">
        <v>15.7</v>
      </c>
      <c r="LK5" s="17">
        <v>9.6999999999999993</v>
      </c>
      <c r="LL5" s="17">
        <v>14.4</v>
      </c>
      <c r="LM5" s="17">
        <v>15.07</v>
      </c>
      <c r="LN5" s="17">
        <v>0</v>
      </c>
      <c r="LO5" s="17">
        <v>15.6</v>
      </c>
      <c r="LP5" s="17">
        <v>9.4</v>
      </c>
      <c r="LQ5" s="17">
        <v>14.4</v>
      </c>
      <c r="LR5" s="17">
        <v>15.27</v>
      </c>
      <c r="LS5" s="17">
        <v>0</v>
      </c>
      <c r="LT5" s="41">
        <f t="shared" si="136"/>
        <v>14.4</v>
      </c>
      <c r="LU5" s="41">
        <f t="shared" si="137"/>
        <v>14.93</v>
      </c>
      <c r="LV5" s="41">
        <f t="shared" si="138"/>
        <v>55.13</v>
      </c>
      <c r="LW5" s="41">
        <f t="shared" si="139"/>
        <v>15</v>
      </c>
      <c r="LX5" s="41">
        <f t="shared" si="140"/>
        <v>14.92</v>
      </c>
      <c r="LY5" s="41">
        <f t="shared" si="141"/>
        <v>55.120000000000005</v>
      </c>
      <c r="LZ5" s="41">
        <f t="shared" si="142"/>
        <v>55.13</v>
      </c>
      <c r="MA5" s="41">
        <f t="shared" si="143"/>
        <v>14.4</v>
      </c>
      <c r="MB5" s="41">
        <f t="shared" si="144"/>
        <v>15.07</v>
      </c>
      <c r="MC5" s="41">
        <f t="shared" si="145"/>
        <v>54.87</v>
      </c>
      <c r="MD5" s="41">
        <f t="shared" si="146"/>
        <v>14.4</v>
      </c>
      <c r="ME5" s="41">
        <f t="shared" si="147"/>
        <v>15.27</v>
      </c>
      <c r="MF5" s="41">
        <f t="shared" si="148"/>
        <v>54.67</v>
      </c>
      <c r="MG5" s="41">
        <f t="shared" si="149"/>
        <v>164.67000000000002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>
        <v>14.7</v>
      </c>
      <c r="NQ5" s="17">
        <v>9.1</v>
      </c>
      <c r="NR5" s="17">
        <v>14.4</v>
      </c>
      <c r="NS5" s="17">
        <v>14.78</v>
      </c>
      <c r="NT5" s="17">
        <v>0</v>
      </c>
      <c r="NU5" s="17">
        <v>16.2</v>
      </c>
      <c r="NV5" s="17">
        <v>9.6</v>
      </c>
      <c r="NW5" s="17">
        <v>14.4</v>
      </c>
      <c r="NX5" s="17">
        <v>15.24</v>
      </c>
      <c r="NY5" s="17">
        <v>0.2</v>
      </c>
      <c r="NZ5" s="17">
        <v>15.8</v>
      </c>
      <c r="OA5" s="17">
        <v>9.8000000000000007</v>
      </c>
      <c r="OB5" s="17">
        <v>14.4</v>
      </c>
      <c r="OC5" s="17">
        <v>14.98</v>
      </c>
      <c r="OD5" s="17">
        <v>0</v>
      </c>
      <c r="OE5" s="17">
        <v>16.100000000000001</v>
      </c>
      <c r="OF5" s="17">
        <v>9.4</v>
      </c>
      <c r="OG5" s="17">
        <v>14.4</v>
      </c>
      <c r="OH5" s="17">
        <v>15.22</v>
      </c>
      <c r="OI5" s="17">
        <v>0</v>
      </c>
      <c r="OJ5" s="41">
        <f t="shared" si="164"/>
        <v>14.4</v>
      </c>
      <c r="OK5" s="41">
        <f t="shared" si="165"/>
        <v>14.78</v>
      </c>
      <c r="OL5" s="41">
        <f t="shared" si="166"/>
        <v>52.98</v>
      </c>
      <c r="OM5" s="41">
        <f t="shared" si="167"/>
        <v>14.4</v>
      </c>
      <c r="ON5" s="41">
        <f t="shared" si="168"/>
        <v>15.24</v>
      </c>
      <c r="OO5" s="41">
        <f t="shared" si="169"/>
        <v>55.239999999999995</v>
      </c>
      <c r="OP5" s="41">
        <f t="shared" si="170"/>
        <v>55.239999999999995</v>
      </c>
      <c r="OQ5" s="41">
        <f t="shared" si="171"/>
        <v>14.4</v>
      </c>
      <c r="OR5" s="41">
        <f t="shared" si="172"/>
        <v>14.98</v>
      </c>
      <c r="OS5" s="41">
        <f t="shared" si="173"/>
        <v>54.980000000000004</v>
      </c>
      <c r="OT5" s="41">
        <f t="shared" si="174"/>
        <v>14.4</v>
      </c>
      <c r="OU5" s="41">
        <f t="shared" si="175"/>
        <v>15.22</v>
      </c>
      <c r="OV5" s="41">
        <f t="shared" si="176"/>
        <v>55.12</v>
      </c>
      <c r="OW5" s="41">
        <f t="shared" si="177"/>
        <v>165.34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>
        <v>15.3</v>
      </c>
      <c r="PI5" s="18">
        <v>9.4</v>
      </c>
      <c r="PJ5" s="18">
        <v>14.4</v>
      </c>
      <c r="PK5" s="18">
        <v>14.84</v>
      </c>
      <c r="PL5" s="18">
        <v>0</v>
      </c>
      <c r="PM5" s="18">
        <v>16</v>
      </c>
      <c r="PN5" s="18">
        <v>9.6</v>
      </c>
      <c r="PO5" s="18">
        <v>14.4</v>
      </c>
      <c r="PP5" s="18">
        <v>15.11</v>
      </c>
      <c r="PQ5" s="18">
        <v>0</v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>
        <f t="shared" si="185"/>
        <v>14.4</v>
      </c>
      <c r="PZ5" s="11">
        <f t="shared" si="186"/>
        <v>14.84</v>
      </c>
      <c r="QA5" s="11">
        <f t="shared" si="187"/>
        <v>53.94</v>
      </c>
      <c r="QB5" s="11">
        <f t="shared" si="188"/>
        <v>14.4</v>
      </c>
      <c r="QC5" s="11">
        <f t="shared" si="189"/>
        <v>15.11</v>
      </c>
      <c r="QD5" s="11">
        <f t="shared" si="190"/>
        <v>55.11</v>
      </c>
      <c r="QE5" s="11">
        <f t="shared" si="191"/>
        <v>109.05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16.25</v>
      </c>
      <c r="SW5" s="23">
        <f t="shared" si="221"/>
        <v>9.5</v>
      </c>
      <c r="SX5" s="23">
        <f t="shared" si="222"/>
        <v>14.2</v>
      </c>
      <c r="SY5" s="23">
        <f t="shared" si="223"/>
        <v>14.955</v>
      </c>
      <c r="SZ5" s="23">
        <f t="shared" si="224"/>
        <v>0</v>
      </c>
      <c r="TA5" s="23">
        <f t="shared" si="225"/>
        <v>10.8</v>
      </c>
      <c r="TB5" s="23">
        <f t="shared" si="226"/>
        <v>6</v>
      </c>
      <c r="TC5" s="23">
        <f t="shared" si="227"/>
        <v>9.65</v>
      </c>
      <c r="TD5" s="23">
        <f t="shared" si="228"/>
        <v>10.115</v>
      </c>
      <c r="TE5" s="23">
        <f t="shared" si="229"/>
        <v>0.2</v>
      </c>
      <c r="TF5" s="23">
        <f t="shared" si="230"/>
        <v>15.5</v>
      </c>
      <c r="TG5" s="23">
        <f t="shared" si="231"/>
        <v>8.9</v>
      </c>
      <c r="TH5" s="23">
        <f t="shared" si="232"/>
        <v>14.2</v>
      </c>
      <c r="TI5" s="23">
        <f t="shared" si="233"/>
        <v>14.91</v>
      </c>
      <c r="TJ5" s="23">
        <f t="shared" si="234"/>
        <v>0.1</v>
      </c>
      <c r="TK5" s="28" t="s">
        <v>57</v>
      </c>
      <c r="TL5" s="41">
        <f t="shared" si="235"/>
        <v>14.2</v>
      </c>
      <c r="TM5" s="41">
        <f t="shared" si="236"/>
        <v>14.955</v>
      </c>
      <c r="TN5" s="41">
        <f t="shared" si="237"/>
        <v>54.905000000000001</v>
      </c>
      <c r="TO5" s="41">
        <f t="shared" si="238"/>
        <v>9.65</v>
      </c>
      <c r="TP5" s="41">
        <f t="shared" si="239"/>
        <v>10.115</v>
      </c>
      <c r="TQ5" s="41">
        <f t="shared" si="240"/>
        <v>36.365000000000002</v>
      </c>
      <c r="TR5" s="41">
        <f t="shared" si="241"/>
        <v>54.905000000000001</v>
      </c>
      <c r="TS5" s="41">
        <f t="shared" si="242"/>
        <v>14.2</v>
      </c>
      <c r="TT5" s="41">
        <f t="shared" si="243"/>
        <v>14.91</v>
      </c>
      <c r="TU5" s="41">
        <f t="shared" si="244"/>
        <v>53.409999999999989</v>
      </c>
      <c r="TV5" s="41">
        <f t="shared" si="245"/>
        <v>108.315</v>
      </c>
    </row>
    <row r="6" spans="1:542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28</v>
      </c>
      <c r="C6" s="4" t="s">
        <v>3</v>
      </c>
      <c r="D6" s="4">
        <v>1998</v>
      </c>
      <c r="E6" s="9">
        <f t="shared" si="0"/>
        <v>244.90002443400553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54.900000000000006</v>
      </c>
      <c r="K6" s="8" t="str">
        <f t="shared" si="5"/>
        <v>2023 Domestic 3rd Trial</v>
      </c>
      <c r="L6" s="8">
        <f>IF(COUNT(AQ6,AT6,BR6,BU6,CS6,CV6)&gt;1,LARGE((AQ6,AT6,BR6,BU6,CS6,CV6),2),0)</f>
        <v>53.569999999999993</v>
      </c>
      <c r="M6" s="8" t="str">
        <f t="shared" si="6"/>
        <v>2023 Elite Canada</v>
      </c>
      <c r="N6" s="8">
        <f>IF(COUNT(AQ6,AT6,BR6,BU6,CS6,CV6)&gt;2,LARGE((AQ6,AT6,BR6,BU6,CS6,CV6),3),0)</f>
        <v>53.45</v>
      </c>
      <c r="O6" s="8" t="str">
        <f t="shared" si="7"/>
        <v>2023 Nationals</v>
      </c>
      <c r="P6" s="8">
        <f t="shared" si="8"/>
        <v>52.92</v>
      </c>
      <c r="Q6" s="8" t="str">
        <f t="shared" si="9"/>
        <v>2023 Domestic 3rd Trial</v>
      </c>
      <c r="R6" s="8">
        <f t="shared" si="10"/>
        <v>14.2</v>
      </c>
      <c r="S6" s="8" t="str">
        <f t="shared" si="11"/>
        <v>2023 Domestic 3rd Trial</v>
      </c>
      <c r="T6" s="8">
        <f t="shared" si="12"/>
        <v>15.3</v>
      </c>
      <c r="U6" s="8" t="str">
        <f t="shared" si="13"/>
        <v>2023 Domestic 3rd Trial</v>
      </c>
      <c r="V6" s="8">
        <f t="shared" si="14"/>
        <v>0.55999999999999517</v>
      </c>
      <c r="W6" s="11" t="str">
        <f t="shared" si="15"/>
        <v>(Prelim)</v>
      </c>
      <c r="X6" s="8" t="str">
        <f t="shared" si="16"/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 t="shared" si="17"/>
        <v>14</v>
      </c>
      <c r="AP6" s="39">
        <f t="shared" si="18"/>
        <v>15.27</v>
      </c>
      <c r="AQ6" s="41">
        <f t="shared" si="19"/>
        <v>53.569999999999993</v>
      </c>
      <c r="AR6" s="41">
        <f t="shared" si="20"/>
        <v>2</v>
      </c>
      <c r="AS6" s="41">
        <f t="shared" si="21"/>
        <v>1.62</v>
      </c>
      <c r="AT6" s="41">
        <f t="shared" si="22"/>
        <v>6.22</v>
      </c>
      <c r="AU6" s="41">
        <f t="shared" si="23"/>
        <v>53.569999999999993</v>
      </c>
      <c r="AV6" s="41">
        <f t="shared" si="24"/>
        <v>14.2</v>
      </c>
      <c r="AW6" s="41">
        <f t="shared" si="25"/>
        <v>14.83</v>
      </c>
      <c r="AX6" s="41">
        <f t="shared" si="26"/>
        <v>52.730000000000004</v>
      </c>
      <c r="AY6" s="41">
        <f t="shared" si="27"/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 t="shared" si="28"/>
        <v>14.2</v>
      </c>
      <c r="BQ6" s="40">
        <f t="shared" si="29"/>
        <v>14.55</v>
      </c>
      <c r="BR6" s="11">
        <f t="shared" si="30"/>
        <v>53.45</v>
      </c>
      <c r="BS6" s="11">
        <f t="shared" si="31"/>
        <v>14.2</v>
      </c>
      <c r="BT6" s="11">
        <f t="shared" si="32"/>
        <v>14.45</v>
      </c>
      <c r="BU6" s="11">
        <f t="shared" si="33"/>
        <v>52.650000000000006</v>
      </c>
      <c r="BV6" s="11">
        <f t="shared" si="34"/>
        <v>53.45</v>
      </c>
      <c r="BW6" s="11">
        <f t="shared" si="35"/>
        <v>14.2</v>
      </c>
      <c r="BX6" s="11">
        <f t="shared" si="36"/>
        <v>14.55</v>
      </c>
      <c r="BY6" s="11">
        <f t="shared" si="37"/>
        <v>51.95</v>
      </c>
      <c r="BZ6" s="11">
        <f t="shared" si="38"/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 t="shared" si="39"/>
        <v>14.2</v>
      </c>
      <c r="CR6" s="39">
        <f t="shared" si="40"/>
        <v>15.3</v>
      </c>
      <c r="CS6" s="41">
        <f t="shared" si="41"/>
        <v>54.900000000000006</v>
      </c>
      <c r="CT6" s="41">
        <f t="shared" si="42"/>
        <v>14.2</v>
      </c>
      <c r="CU6" s="41">
        <f t="shared" si="43"/>
        <v>15.25</v>
      </c>
      <c r="CV6" s="41">
        <f t="shared" si="44"/>
        <v>53.25</v>
      </c>
      <c r="CW6" s="41">
        <f t="shared" si="45"/>
        <v>54.900000000000006</v>
      </c>
      <c r="CX6" s="41">
        <f t="shared" si="46"/>
        <v>14.2</v>
      </c>
      <c r="CY6" s="41">
        <f t="shared" si="47"/>
        <v>15.02</v>
      </c>
      <c r="CZ6" s="41">
        <f t="shared" si="48"/>
        <v>52.92</v>
      </c>
      <c r="DA6" s="41">
        <f t="shared" si="49"/>
        <v>107.82000000000001</v>
      </c>
      <c r="DB6" s="52">
        <f t="shared" si="50"/>
        <v>0.55999999999999517</v>
      </c>
      <c r="DC6" s="52">
        <f t="shared" si="51"/>
        <v>7.000000000000739E-2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 t="shared" si="52"/>
        <v/>
      </c>
      <c r="DY6" s="41" t="str">
        <f t="shared" si="53"/>
        <v/>
      </c>
      <c r="DZ6" s="41" t="str">
        <f t="shared" si="54"/>
        <v/>
      </c>
      <c r="EA6" s="41" t="str">
        <f t="shared" si="55"/>
        <v/>
      </c>
      <c r="EB6" s="41" t="str">
        <f t="shared" si="56"/>
        <v/>
      </c>
      <c r="EC6" s="41" t="str">
        <f t="shared" si="57"/>
        <v/>
      </c>
      <c r="ED6" s="41" t="str">
        <f t="shared" si="58"/>
        <v/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 t="str">
        <f t="shared" si="65"/>
        <v/>
      </c>
      <c r="EL6" s="18">
        <v>13.7</v>
      </c>
      <c r="EM6" s="18">
        <v>8.8000000000000007</v>
      </c>
      <c r="EN6" s="18">
        <v>14.2</v>
      </c>
      <c r="EO6" s="18">
        <v>14.09</v>
      </c>
      <c r="EP6" s="18">
        <v>0</v>
      </c>
      <c r="EQ6" s="18">
        <v>14.4</v>
      </c>
      <c r="ER6" s="18">
        <v>8.8000000000000007</v>
      </c>
      <c r="ES6" s="18">
        <v>14.2</v>
      </c>
      <c r="ET6" s="18">
        <v>14.04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14.2</v>
      </c>
      <c r="FG6" s="11">
        <f t="shared" si="67"/>
        <v>14.09</v>
      </c>
      <c r="FH6" s="11">
        <f t="shared" si="68"/>
        <v>50.790000000000006</v>
      </c>
      <c r="FI6" s="11">
        <f t="shared" si="69"/>
        <v>14.2</v>
      </c>
      <c r="FJ6" s="11">
        <f t="shared" si="70"/>
        <v>14.04</v>
      </c>
      <c r="FK6" s="11">
        <f t="shared" si="71"/>
        <v>51.440000000000005</v>
      </c>
      <c r="FL6" s="11">
        <f t="shared" si="72"/>
        <v>51.440000000000005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51.440000000000005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>
        <v>1.4</v>
      </c>
      <c r="HC6" s="18">
        <v>0.8</v>
      </c>
      <c r="HD6" s="18">
        <v>2</v>
      </c>
      <c r="HE6" s="18">
        <v>1.59</v>
      </c>
      <c r="HF6" s="18">
        <v>0</v>
      </c>
      <c r="HG6" s="18">
        <v>5.4</v>
      </c>
      <c r="HH6" s="18">
        <v>3.6</v>
      </c>
      <c r="HI6" s="18">
        <v>6.3</v>
      </c>
      <c r="HJ6" s="18">
        <v>5.95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 t="shared" si="94"/>
        <v>2</v>
      </c>
      <c r="HW6" s="11">
        <f t="shared" si="95"/>
        <v>1.59</v>
      </c>
      <c r="HX6" s="11">
        <f t="shared" si="96"/>
        <v>5.79</v>
      </c>
      <c r="HY6" s="11">
        <f t="shared" si="97"/>
        <v>6.3</v>
      </c>
      <c r="HZ6" s="11">
        <f t="shared" si="98"/>
        <v>5.95</v>
      </c>
      <c r="IA6" s="11">
        <f t="shared" si="99"/>
        <v>21.25</v>
      </c>
      <c r="IB6" s="11">
        <f t="shared" si="100"/>
        <v>21.25</v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>
        <f t="shared" si="107"/>
        <v>21.25</v>
      </c>
      <c r="IJ6" s="17">
        <v>14.9</v>
      </c>
      <c r="IK6" s="17">
        <v>9</v>
      </c>
      <c r="IL6" s="17">
        <v>13.8</v>
      </c>
      <c r="IM6" s="17">
        <v>14.63</v>
      </c>
      <c r="IN6" s="17">
        <v>0</v>
      </c>
      <c r="IO6" s="17">
        <v>16</v>
      </c>
      <c r="IP6" s="17">
        <v>9.1999999999999993</v>
      </c>
      <c r="IQ6" s="17">
        <v>13.8</v>
      </c>
      <c r="IR6" s="17">
        <v>15.01</v>
      </c>
      <c r="IS6" s="17">
        <v>0</v>
      </c>
      <c r="IT6" s="17">
        <v>15</v>
      </c>
      <c r="IU6" s="17">
        <v>9.6</v>
      </c>
      <c r="IV6" s="17">
        <v>13.8</v>
      </c>
      <c r="IW6" s="17">
        <v>14.59</v>
      </c>
      <c r="IX6" s="17">
        <v>0</v>
      </c>
      <c r="IY6" s="17"/>
      <c r="IZ6" s="17"/>
      <c r="JA6" s="17"/>
      <c r="JB6" s="17"/>
      <c r="JC6" s="17"/>
      <c r="JD6" s="41">
        <f t="shared" si="108"/>
        <v>13.8</v>
      </c>
      <c r="JE6" s="41">
        <f t="shared" si="109"/>
        <v>14.63</v>
      </c>
      <c r="JF6" s="41">
        <f t="shared" si="110"/>
        <v>52.330000000000005</v>
      </c>
      <c r="JG6" s="41">
        <f t="shared" si="111"/>
        <v>13.8</v>
      </c>
      <c r="JH6" s="41">
        <f t="shared" si="112"/>
        <v>15.01</v>
      </c>
      <c r="JI6" s="41">
        <f t="shared" si="113"/>
        <v>54.01</v>
      </c>
      <c r="JJ6" s="41">
        <f t="shared" si="114"/>
        <v>54.01</v>
      </c>
      <c r="JK6" s="41">
        <f t="shared" si="115"/>
        <v>13.8</v>
      </c>
      <c r="JL6" s="41">
        <f t="shared" si="116"/>
        <v>14.59</v>
      </c>
      <c r="JM6" s="41">
        <f t="shared" si="117"/>
        <v>52.990000000000009</v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107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>
        <v>7</v>
      </c>
      <c r="LA6" s="17">
        <v>4.2</v>
      </c>
      <c r="LB6" s="17">
        <v>7.4</v>
      </c>
      <c r="LC6" s="17">
        <v>7.29</v>
      </c>
      <c r="LD6" s="17">
        <v>0.2</v>
      </c>
      <c r="LE6" s="17">
        <v>13.9</v>
      </c>
      <c r="LF6" s="17">
        <v>8.9</v>
      </c>
      <c r="LG6" s="17">
        <v>13.8</v>
      </c>
      <c r="LH6" s="17">
        <v>13.96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 t="shared" si="136"/>
        <v>7.4</v>
      </c>
      <c r="LU6" s="41">
        <f t="shared" si="137"/>
        <v>7.29</v>
      </c>
      <c r="LV6" s="41">
        <f t="shared" si="138"/>
        <v>25.69</v>
      </c>
      <c r="LW6" s="41">
        <f t="shared" si="139"/>
        <v>13.8</v>
      </c>
      <c r="LX6" s="41">
        <f t="shared" si="140"/>
        <v>13.96</v>
      </c>
      <c r="LY6" s="41">
        <f t="shared" si="141"/>
        <v>50.56</v>
      </c>
      <c r="LZ6" s="41">
        <f t="shared" si="142"/>
        <v>50.56</v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>
        <f t="shared" si="149"/>
        <v>50.56</v>
      </c>
      <c r="MH6" s="18">
        <v>6</v>
      </c>
      <c r="MI6" s="18">
        <v>3.8</v>
      </c>
      <c r="MJ6" s="18">
        <v>6.1</v>
      </c>
      <c r="MK6" s="18">
        <v>6.16</v>
      </c>
      <c r="ML6" s="18">
        <v>0</v>
      </c>
      <c r="MM6" s="18">
        <v>14.6</v>
      </c>
      <c r="MN6" s="18">
        <v>9.1999999999999993</v>
      </c>
      <c r="MO6" s="18">
        <v>14.2</v>
      </c>
      <c r="MP6" s="18">
        <v>14.5</v>
      </c>
      <c r="MQ6" s="18">
        <v>0</v>
      </c>
      <c r="MR6" s="18"/>
      <c r="MS6" s="18"/>
      <c r="MT6" s="18"/>
      <c r="MU6" s="18"/>
      <c r="MV6" s="18"/>
      <c r="MW6" s="18">
        <v>13.9</v>
      </c>
      <c r="MX6" s="18">
        <v>9</v>
      </c>
      <c r="MY6" s="18">
        <v>12.4</v>
      </c>
      <c r="MZ6" s="18">
        <v>14.03</v>
      </c>
      <c r="NA6" s="18">
        <v>0</v>
      </c>
      <c r="NB6" s="11">
        <f t="shared" si="150"/>
        <v>6.1</v>
      </c>
      <c r="NC6" s="11">
        <f t="shared" si="151"/>
        <v>6.16</v>
      </c>
      <c r="ND6" s="11">
        <f t="shared" si="152"/>
        <v>22.060000000000002</v>
      </c>
      <c r="NE6" s="11">
        <f t="shared" si="153"/>
        <v>14.2</v>
      </c>
      <c r="NF6" s="11">
        <f t="shared" si="154"/>
        <v>14.5</v>
      </c>
      <c r="NG6" s="11">
        <f t="shared" si="155"/>
        <v>52.5</v>
      </c>
      <c r="NH6" s="11">
        <f t="shared" si="156"/>
        <v>52.5</v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>
        <f t="shared" si="160"/>
        <v>12.4</v>
      </c>
      <c r="NM6" s="11">
        <f t="shared" si="161"/>
        <v>14.03</v>
      </c>
      <c r="NN6" s="11">
        <f t="shared" si="162"/>
        <v>49.33</v>
      </c>
      <c r="NO6" s="11">
        <f t="shared" si="163"/>
        <v>101.83</v>
      </c>
      <c r="NP6" s="17">
        <v>13.1</v>
      </c>
      <c r="NQ6" s="17">
        <v>9.1999999999999993</v>
      </c>
      <c r="NR6" s="17">
        <v>12.9</v>
      </c>
      <c r="NS6" s="17">
        <v>14.27</v>
      </c>
      <c r="NT6" s="17">
        <v>0.2</v>
      </c>
      <c r="NU6" s="17">
        <v>15</v>
      </c>
      <c r="NV6" s="17">
        <v>9.1999999999999993</v>
      </c>
      <c r="NW6" s="17">
        <v>14.2</v>
      </c>
      <c r="NX6" s="17">
        <v>14.58</v>
      </c>
      <c r="NY6" s="17">
        <v>0.2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 t="shared" si="164"/>
        <v>12.9</v>
      </c>
      <c r="OK6" s="41">
        <f t="shared" si="165"/>
        <v>14.27</v>
      </c>
      <c r="OL6" s="41">
        <f t="shared" si="166"/>
        <v>49.269999999999996</v>
      </c>
      <c r="OM6" s="41">
        <f t="shared" si="167"/>
        <v>14.2</v>
      </c>
      <c r="ON6" s="41">
        <f t="shared" si="168"/>
        <v>14.58</v>
      </c>
      <c r="OO6" s="41">
        <f t="shared" si="169"/>
        <v>52.779999999999994</v>
      </c>
      <c r="OP6" s="41">
        <f t="shared" si="170"/>
        <v>52.779999999999994</v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>
        <f t="shared" si="177"/>
        <v>52.779999999999994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>
        <v>14.6</v>
      </c>
      <c r="PN6" s="18">
        <v>9</v>
      </c>
      <c r="PO6" s="18">
        <v>14.2</v>
      </c>
      <c r="PP6" s="18">
        <v>14.5</v>
      </c>
      <c r="PQ6" s="18">
        <v>0</v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>
        <f t="shared" si="188"/>
        <v>14.2</v>
      </c>
      <c r="QC6" s="11">
        <f t="shared" si="189"/>
        <v>14.5</v>
      </c>
      <c r="QD6" s="11">
        <f t="shared" si="190"/>
        <v>52.3</v>
      </c>
      <c r="QE6" s="11">
        <f t="shared" si="191"/>
        <v>52.3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15.700000000000001</v>
      </c>
      <c r="SW6" s="23">
        <f t="shared" si="221"/>
        <v>9.3500000000000014</v>
      </c>
      <c r="SX6" s="23">
        <f t="shared" si="222"/>
        <v>14.2</v>
      </c>
      <c r="SY6" s="23">
        <f t="shared" si="223"/>
        <v>14.925000000000001</v>
      </c>
      <c r="SZ6" s="23">
        <f t="shared" si="224"/>
        <v>0</v>
      </c>
      <c r="TA6" s="23">
        <f t="shared" si="225"/>
        <v>14.95</v>
      </c>
      <c r="TB6" s="23">
        <f t="shared" si="226"/>
        <v>8.9499999999999993</v>
      </c>
      <c r="TC6" s="23">
        <f t="shared" si="227"/>
        <v>14.2</v>
      </c>
      <c r="TD6" s="23">
        <f t="shared" si="228"/>
        <v>14.85</v>
      </c>
      <c r="TE6" s="23">
        <f t="shared" si="229"/>
        <v>0</v>
      </c>
      <c r="TF6" s="23">
        <f t="shared" si="230"/>
        <v>14.75</v>
      </c>
      <c r="TG6" s="23">
        <f t="shared" si="231"/>
        <v>8.6999999999999993</v>
      </c>
      <c r="TH6" s="23">
        <f t="shared" si="232"/>
        <v>14.2</v>
      </c>
      <c r="TI6" s="23">
        <f t="shared" si="233"/>
        <v>14.785</v>
      </c>
      <c r="TJ6" s="23">
        <f t="shared" si="234"/>
        <v>0</v>
      </c>
      <c r="TK6" s="28" t="s">
        <v>57</v>
      </c>
      <c r="TL6" s="41">
        <f t="shared" si="235"/>
        <v>14.2</v>
      </c>
      <c r="TM6" s="41">
        <f t="shared" si="236"/>
        <v>14.925000000000001</v>
      </c>
      <c r="TN6" s="41">
        <f t="shared" si="237"/>
        <v>54.174999999999997</v>
      </c>
      <c r="TO6" s="41">
        <f t="shared" si="238"/>
        <v>14.2</v>
      </c>
      <c r="TP6" s="41">
        <f t="shared" si="239"/>
        <v>14.85</v>
      </c>
      <c r="TQ6" s="41">
        <f t="shared" si="240"/>
        <v>52.949999999999996</v>
      </c>
      <c r="TR6" s="41">
        <f t="shared" si="241"/>
        <v>54.174999999999997</v>
      </c>
      <c r="TS6" s="41">
        <f t="shared" si="242"/>
        <v>14.2</v>
      </c>
      <c r="TT6" s="41">
        <f t="shared" si="243"/>
        <v>14.785</v>
      </c>
      <c r="TU6" s="41">
        <f t="shared" si="244"/>
        <v>52.435000000000002</v>
      </c>
      <c r="TV6" s="41">
        <f t="shared" si="245"/>
        <v>106.61</v>
      </c>
    </row>
    <row r="7" spans="1:542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74</v>
      </c>
      <c r="C7" s="4" t="s">
        <v>6</v>
      </c>
      <c r="D7" s="4">
        <v>2001</v>
      </c>
      <c r="E7" s="9">
        <f t="shared" si="0"/>
        <v>237.99002360500523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52.51</v>
      </c>
      <c r="K7" s="8" t="str">
        <f t="shared" si="5"/>
        <v>2023 Nationals</v>
      </c>
      <c r="L7" s="8">
        <f>IF(COUNT(AQ7,AT7,BR7,BU7,CS7,CV7)&gt;1,LARGE((AQ7,AT7,BR7,BU7,CS7,CV7),2),0)</f>
        <v>52.11</v>
      </c>
      <c r="M7" s="8" t="str">
        <f t="shared" si="6"/>
        <v>2023 Domestic 3rd Trial</v>
      </c>
      <c r="N7" s="8">
        <f>IF(COUNT(AQ7,AT7,BR7,BU7,CS7,CV7)&gt;2,LARGE((AQ7,AT7,BR7,BU7,CS7,CV7),3),0)</f>
        <v>49.76</v>
      </c>
      <c r="O7" s="8" t="str">
        <f t="shared" si="7"/>
        <v>2023 Elite Canada</v>
      </c>
      <c r="P7" s="8">
        <f t="shared" si="8"/>
        <v>53.26</v>
      </c>
      <c r="Q7" s="8" t="str">
        <f t="shared" si="9"/>
        <v>2023 Nationals</v>
      </c>
      <c r="R7" s="8">
        <f t="shared" si="10"/>
        <v>13.6</v>
      </c>
      <c r="S7" s="8" t="str">
        <f t="shared" si="11"/>
        <v>2023 Domestic 3rd Trial</v>
      </c>
      <c r="T7" s="8">
        <f t="shared" si="12"/>
        <v>14.81</v>
      </c>
      <c r="U7" s="8" t="str">
        <f t="shared" si="13"/>
        <v>2023 Domestic 3rd Trial</v>
      </c>
      <c r="V7" s="8">
        <f t="shared" si="14"/>
        <v>1.9400000000000048</v>
      </c>
      <c r="W7" s="11" t="str">
        <f t="shared" si="15"/>
        <v>(Prelim)</v>
      </c>
      <c r="X7" s="8" t="str">
        <f t="shared" si="16"/>
        <v>2023 World Cup BUL (Oct 8)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 t="shared" si="17"/>
        <v>9.1999999999999993</v>
      </c>
      <c r="AP7" s="39">
        <f t="shared" si="18"/>
        <v>10.6</v>
      </c>
      <c r="AQ7" s="41">
        <f t="shared" si="19"/>
        <v>35.9</v>
      </c>
      <c r="AR7" s="41">
        <f t="shared" si="20"/>
        <v>13.3</v>
      </c>
      <c r="AS7" s="41">
        <f t="shared" si="21"/>
        <v>14.46</v>
      </c>
      <c r="AT7" s="41">
        <f t="shared" si="22"/>
        <v>49.76</v>
      </c>
      <c r="AU7" s="41">
        <f t="shared" si="23"/>
        <v>49.76</v>
      </c>
      <c r="AV7" s="41">
        <f t="shared" si="24"/>
        <v>12.7</v>
      </c>
      <c r="AW7" s="41">
        <f t="shared" si="25"/>
        <v>14.34</v>
      </c>
      <c r="AX7" s="41">
        <f t="shared" si="26"/>
        <v>49.739999999999995</v>
      </c>
      <c r="AY7" s="41">
        <f t="shared" si="27"/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 t="shared" si="28"/>
        <v>3.4</v>
      </c>
      <c r="BQ7" s="40">
        <f t="shared" si="29"/>
        <v>3.12</v>
      </c>
      <c r="BR7" s="11">
        <f t="shared" si="30"/>
        <v>10.82</v>
      </c>
      <c r="BS7" s="11">
        <f t="shared" si="31"/>
        <v>13.6</v>
      </c>
      <c r="BT7" s="11">
        <f t="shared" si="32"/>
        <v>14.71</v>
      </c>
      <c r="BU7" s="11">
        <f t="shared" si="33"/>
        <v>52.51</v>
      </c>
      <c r="BV7" s="11">
        <f t="shared" si="34"/>
        <v>52.51</v>
      </c>
      <c r="BW7" s="11">
        <f t="shared" si="35"/>
        <v>13.6</v>
      </c>
      <c r="BX7" s="11">
        <f t="shared" si="36"/>
        <v>14.76</v>
      </c>
      <c r="BY7" s="11">
        <f t="shared" si="37"/>
        <v>53.26</v>
      </c>
      <c r="BZ7" s="11">
        <f t="shared" si="38"/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 t="shared" si="39"/>
        <v>13.6</v>
      </c>
      <c r="CR7" s="39">
        <f t="shared" si="40"/>
        <v>14.81</v>
      </c>
      <c r="CS7" s="41">
        <f t="shared" si="41"/>
        <v>52.11</v>
      </c>
      <c r="CT7" s="41">
        <f t="shared" si="42"/>
        <v>10.1</v>
      </c>
      <c r="CU7" s="41">
        <f t="shared" si="43"/>
        <v>10.82</v>
      </c>
      <c r="CV7" s="41">
        <f t="shared" si="44"/>
        <v>37.119999999999997</v>
      </c>
      <c r="CW7" s="41">
        <f t="shared" si="45"/>
        <v>52.11</v>
      </c>
      <c r="CX7" s="41">
        <f t="shared" si="46"/>
        <v>5.0999999999999996</v>
      </c>
      <c r="CY7" s="41">
        <f t="shared" si="47"/>
        <v>4.83</v>
      </c>
      <c r="CZ7" s="41">
        <f t="shared" si="48"/>
        <v>16.729999999999997</v>
      </c>
      <c r="DA7" s="41">
        <f t="shared" si="49"/>
        <v>68.84</v>
      </c>
      <c r="DB7" s="52">
        <f t="shared" si="50"/>
        <v>1.9400000000000048</v>
      </c>
      <c r="DC7" s="52" t="str">
        <f t="shared" si="51"/>
        <v/>
      </c>
      <c r="DD7" s="17">
        <v>13.3</v>
      </c>
      <c r="DE7" s="17">
        <v>9</v>
      </c>
      <c r="DF7" s="17">
        <v>13.3</v>
      </c>
      <c r="DG7" s="17">
        <v>14.51</v>
      </c>
      <c r="DH7" s="17">
        <v>0</v>
      </c>
      <c r="DI7" s="17">
        <v>12.8</v>
      </c>
      <c r="DJ7" s="17">
        <v>8.1999999999999993</v>
      </c>
      <c r="DK7" s="17">
        <v>11.7</v>
      </c>
      <c r="DL7" s="17">
        <v>13.3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 t="shared" si="52"/>
        <v>13.3</v>
      </c>
      <c r="DY7" s="41">
        <f t="shared" si="53"/>
        <v>14.51</v>
      </c>
      <c r="DZ7" s="41">
        <f t="shared" si="54"/>
        <v>50.11</v>
      </c>
      <c r="EA7" s="41">
        <f t="shared" si="55"/>
        <v>11.7</v>
      </c>
      <c r="EB7" s="41">
        <f t="shared" si="56"/>
        <v>13.3</v>
      </c>
      <c r="EC7" s="41">
        <f t="shared" si="57"/>
        <v>46</v>
      </c>
      <c r="ED7" s="41">
        <f t="shared" si="58"/>
        <v>50.11</v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50.11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>
        <v>13.4</v>
      </c>
      <c r="HC7" s="18">
        <v>9</v>
      </c>
      <c r="HD7" s="18">
        <v>13.6</v>
      </c>
      <c r="HE7" s="18">
        <v>14.5</v>
      </c>
      <c r="HF7" s="18">
        <v>0.2</v>
      </c>
      <c r="HG7" s="18">
        <v>13.1</v>
      </c>
      <c r="HH7" s="18">
        <v>9.1</v>
      </c>
      <c r="HI7" s="18">
        <v>13.6</v>
      </c>
      <c r="HJ7" s="18">
        <v>14.5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 t="shared" si="94"/>
        <v>13.6</v>
      </c>
      <c r="HW7" s="11">
        <f t="shared" si="95"/>
        <v>14.5</v>
      </c>
      <c r="HX7" s="11">
        <f t="shared" si="96"/>
        <v>50.3</v>
      </c>
      <c r="HY7" s="11">
        <f t="shared" si="97"/>
        <v>13.6</v>
      </c>
      <c r="HZ7" s="11">
        <f t="shared" si="98"/>
        <v>14.5</v>
      </c>
      <c r="IA7" s="11">
        <f t="shared" si="99"/>
        <v>50.3</v>
      </c>
      <c r="IB7" s="11">
        <f t="shared" si="100"/>
        <v>50.3</v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>
        <f t="shared" si="107"/>
        <v>50.3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 t="shared" si="108"/>
        <v/>
      </c>
      <c r="JE7" s="41" t="str">
        <f t="shared" si="109"/>
        <v/>
      </c>
      <c r="JF7" s="41" t="str">
        <f t="shared" si="110"/>
        <v/>
      </c>
      <c r="JG7" s="41" t="str">
        <f t="shared" si="111"/>
        <v/>
      </c>
      <c r="JH7" s="41" t="str">
        <f t="shared" si="112"/>
        <v/>
      </c>
      <c r="JI7" s="41" t="str">
        <f t="shared" si="113"/>
        <v/>
      </c>
      <c r="JJ7" s="41" t="str">
        <f t="shared" si="114"/>
        <v/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>
        <v>12.8</v>
      </c>
      <c r="LA7" s="17">
        <v>9.1999999999999993</v>
      </c>
      <c r="LB7" s="17">
        <v>13.6</v>
      </c>
      <c r="LC7" s="17">
        <v>14.37</v>
      </c>
      <c r="LD7" s="17">
        <v>0</v>
      </c>
      <c r="LE7" s="17">
        <v>14.3</v>
      </c>
      <c r="LF7" s="17">
        <v>9.1</v>
      </c>
      <c r="LG7" s="17">
        <v>13.6</v>
      </c>
      <c r="LH7" s="17">
        <v>14.7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 t="shared" si="136"/>
        <v>13.6</v>
      </c>
      <c r="LU7" s="41">
        <f t="shared" si="137"/>
        <v>14.37</v>
      </c>
      <c r="LV7" s="41">
        <f t="shared" si="138"/>
        <v>49.97</v>
      </c>
      <c r="LW7" s="41">
        <f t="shared" si="139"/>
        <v>13.6</v>
      </c>
      <c r="LX7" s="41">
        <f t="shared" si="140"/>
        <v>14.7</v>
      </c>
      <c r="LY7" s="41">
        <f t="shared" si="141"/>
        <v>51.7</v>
      </c>
      <c r="LZ7" s="41">
        <f t="shared" si="142"/>
        <v>51.7</v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>
        <f t="shared" si="149"/>
        <v>51.7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8.4</v>
      </c>
      <c r="SW7" s="23">
        <f t="shared" si="221"/>
        <v>5.6</v>
      </c>
      <c r="SX7" s="23">
        <f t="shared" si="222"/>
        <v>8.5</v>
      </c>
      <c r="SY7" s="23">
        <f t="shared" si="223"/>
        <v>8.9649999999999999</v>
      </c>
      <c r="SZ7" s="23">
        <f t="shared" si="224"/>
        <v>0</v>
      </c>
      <c r="TA7" s="23">
        <f t="shared" si="225"/>
        <v>12.6</v>
      </c>
      <c r="TB7" s="23">
        <f t="shared" si="226"/>
        <v>7.6</v>
      </c>
      <c r="TC7" s="23">
        <f t="shared" si="227"/>
        <v>11.85</v>
      </c>
      <c r="TD7" s="23">
        <f t="shared" si="228"/>
        <v>12.765000000000001</v>
      </c>
      <c r="TE7" s="23">
        <f t="shared" si="229"/>
        <v>0</v>
      </c>
      <c r="TF7" s="23">
        <f t="shared" si="230"/>
        <v>9.8999999999999986</v>
      </c>
      <c r="TG7" s="23">
        <f t="shared" si="231"/>
        <v>5.9499999999999993</v>
      </c>
      <c r="TH7" s="23">
        <f t="shared" si="232"/>
        <v>9.35</v>
      </c>
      <c r="TI7" s="23">
        <f t="shared" si="233"/>
        <v>9.7949999999999999</v>
      </c>
      <c r="TJ7" s="23">
        <f t="shared" si="234"/>
        <v>0</v>
      </c>
      <c r="TK7" s="28" t="s">
        <v>57</v>
      </c>
      <c r="TL7" s="41">
        <f t="shared" si="235"/>
        <v>8.5</v>
      </c>
      <c r="TM7" s="41">
        <f t="shared" si="236"/>
        <v>8.9649999999999999</v>
      </c>
      <c r="TN7" s="41">
        <f t="shared" si="237"/>
        <v>31.465</v>
      </c>
      <c r="TO7" s="41">
        <f t="shared" si="238"/>
        <v>11.85</v>
      </c>
      <c r="TP7" s="41">
        <f t="shared" si="239"/>
        <v>12.765000000000001</v>
      </c>
      <c r="TQ7" s="41">
        <f t="shared" si="240"/>
        <v>44.814999999999998</v>
      </c>
      <c r="TR7" s="41">
        <f t="shared" si="241"/>
        <v>44.814999999999998</v>
      </c>
      <c r="TS7" s="41">
        <f t="shared" si="242"/>
        <v>9.35</v>
      </c>
      <c r="TT7" s="41">
        <f t="shared" si="243"/>
        <v>9.7949999999999999</v>
      </c>
      <c r="TU7" s="41">
        <f t="shared" si="244"/>
        <v>34.994999999999997</v>
      </c>
      <c r="TV7" s="41">
        <f t="shared" si="245"/>
        <v>79.81</v>
      </c>
    </row>
    <row r="8" spans="1:542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155</v>
      </c>
      <c r="C8" s="4" t="s">
        <v>3</v>
      </c>
      <c r="D8" s="4">
        <v>2004</v>
      </c>
      <c r="E8" s="9">
        <f t="shared" si="0"/>
        <v>236.68002363200523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52.349999999999994</v>
      </c>
      <c r="K8" s="8" t="str">
        <f t="shared" si="5"/>
        <v>2023 Domestic 3rd Trial</v>
      </c>
      <c r="L8" s="8">
        <f>IF(COUNT(AQ8,AT8,BR8,BU8,CS8,CV8)&gt;1,LARGE((AQ8,AT8,BR8,BU8,CS8,CV8),2),0)</f>
        <v>51.870000000000005</v>
      </c>
      <c r="M8" s="8" t="str">
        <f t="shared" si="6"/>
        <v>2023 Domestic 3rd Trial</v>
      </c>
      <c r="N8" s="8">
        <f>IF(COUNT(AQ8,AT8,BR8,BU8,CS8,CV8)&gt;2,LARGE((AQ8,AT8,BR8,BU8,CS8,CV8),3),0)</f>
        <v>51.149999999999991</v>
      </c>
      <c r="O8" s="8" t="str">
        <f t="shared" si="7"/>
        <v>2023 Elite Canada</v>
      </c>
      <c r="P8" s="8">
        <f t="shared" si="8"/>
        <v>52.400000000000006</v>
      </c>
      <c r="Q8" s="8" t="str">
        <f t="shared" si="9"/>
        <v>2023 Nationals</v>
      </c>
      <c r="R8" s="8">
        <f t="shared" si="10"/>
        <v>13.6</v>
      </c>
      <c r="S8" s="8" t="str">
        <f t="shared" si="11"/>
        <v>2023 Domestic 3rd Trial</v>
      </c>
      <c r="T8" s="8">
        <f t="shared" si="12"/>
        <v>14.95</v>
      </c>
      <c r="U8" s="8" t="str">
        <f t="shared" si="13"/>
        <v>2023 Domestic 3rd Trial</v>
      </c>
      <c r="V8" s="8">
        <f t="shared" si="14"/>
        <v>0.36000000000001364</v>
      </c>
      <c r="W8" s="11" t="str">
        <f t="shared" si="15"/>
        <v>(Prelim)</v>
      </c>
      <c r="X8" s="8" t="str">
        <f t="shared" si="16"/>
        <v>2023 WAGC (Nov 18)</v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 t="shared" si="17"/>
        <v>11.5</v>
      </c>
      <c r="AP8" s="39">
        <f t="shared" si="18"/>
        <v>14.25</v>
      </c>
      <c r="AQ8" s="41">
        <f t="shared" si="19"/>
        <v>46.05</v>
      </c>
      <c r="AR8" s="41">
        <f t="shared" si="20"/>
        <v>12.7</v>
      </c>
      <c r="AS8" s="41">
        <f t="shared" si="21"/>
        <v>14.05</v>
      </c>
      <c r="AT8" s="41">
        <f t="shared" si="22"/>
        <v>51.149999999999991</v>
      </c>
      <c r="AU8" s="41">
        <f t="shared" si="23"/>
        <v>51.149999999999991</v>
      </c>
      <c r="AV8" s="41">
        <f t="shared" si="24"/>
        <v>12.7</v>
      </c>
      <c r="AW8" s="41">
        <f t="shared" si="25"/>
        <v>14.33</v>
      </c>
      <c r="AX8" s="41">
        <f t="shared" si="26"/>
        <v>51.629999999999995</v>
      </c>
      <c r="AY8" s="41">
        <f t="shared" si="27"/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 t="shared" si="28"/>
        <v>13.4</v>
      </c>
      <c r="BQ8" s="40">
        <f t="shared" si="29"/>
        <v>14.14</v>
      </c>
      <c r="BR8" s="11">
        <f t="shared" si="30"/>
        <v>50.84</v>
      </c>
      <c r="BS8" s="11">
        <f t="shared" si="31"/>
        <v>2</v>
      </c>
      <c r="BT8" s="11">
        <f t="shared" si="32"/>
        <v>1.53</v>
      </c>
      <c r="BU8" s="11">
        <f t="shared" si="33"/>
        <v>5.73</v>
      </c>
      <c r="BV8" s="11">
        <f t="shared" si="34"/>
        <v>50.84</v>
      </c>
      <c r="BW8" s="11">
        <f t="shared" si="35"/>
        <v>13.6</v>
      </c>
      <c r="BX8" s="11">
        <f t="shared" si="36"/>
        <v>14.7</v>
      </c>
      <c r="BY8" s="11">
        <f t="shared" si="37"/>
        <v>52.400000000000006</v>
      </c>
      <c r="BZ8" s="11">
        <f t="shared" si="38"/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 t="shared" si="39"/>
        <v>13.4</v>
      </c>
      <c r="CR8" s="39">
        <f t="shared" si="40"/>
        <v>14.77</v>
      </c>
      <c r="CS8" s="41">
        <f t="shared" si="41"/>
        <v>51.870000000000005</v>
      </c>
      <c r="CT8" s="41">
        <f t="shared" si="42"/>
        <v>13.6</v>
      </c>
      <c r="CU8" s="41">
        <f t="shared" si="43"/>
        <v>14.95</v>
      </c>
      <c r="CV8" s="41">
        <f t="shared" si="44"/>
        <v>52.349999999999994</v>
      </c>
      <c r="CW8" s="41">
        <f t="shared" si="45"/>
        <v>52.349999999999994</v>
      </c>
      <c r="CX8" s="41">
        <f t="shared" si="46"/>
        <v>13.6</v>
      </c>
      <c r="CY8" s="41">
        <f t="shared" si="47"/>
        <v>14.1</v>
      </c>
      <c r="CZ8" s="41">
        <f t="shared" si="48"/>
        <v>49.1</v>
      </c>
      <c r="DA8" s="41">
        <f t="shared" si="49"/>
        <v>101.44999999999999</v>
      </c>
      <c r="DB8" s="52">
        <f t="shared" si="50"/>
        <v>0.36000000000001364</v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>
        <v>13.8</v>
      </c>
      <c r="EM8" s="18">
        <v>9.5</v>
      </c>
      <c r="EN8" s="18">
        <v>12.7</v>
      </c>
      <c r="EO8" s="18">
        <v>14.7</v>
      </c>
      <c r="EP8" s="18">
        <v>0</v>
      </c>
      <c r="EQ8" s="18">
        <v>14</v>
      </c>
      <c r="ER8" s="18">
        <v>8.8000000000000007</v>
      </c>
      <c r="ES8" s="18">
        <v>12.9</v>
      </c>
      <c r="ET8" s="18">
        <v>14.44</v>
      </c>
      <c r="EU8" s="18">
        <v>0</v>
      </c>
      <c r="EV8" s="18"/>
      <c r="EW8" s="18"/>
      <c r="EX8" s="18"/>
      <c r="EY8" s="18"/>
      <c r="EZ8" s="18"/>
      <c r="FA8" s="18">
        <v>14.2</v>
      </c>
      <c r="FB8" s="18">
        <v>9.4</v>
      </c>
      <c r="FC8" s="18">
        <v>12.9</v>
      </c>
      <c r="FD8" s="18">
        <v>14.59</v>
      </c>
      <c r="FE8" s="18">
        <v>0</v>
      </c>
      <c r="FF8" s="11">
        <f t="shared" si="66"/>
        <v>12.7</v>
      </c>
      <c r="FG8" s="11">
        <f t="shared" si="67"/>
        <v>14.7</v>
      </c>
      <c r="FH8" s="11">
        <f t="shared" si="68"/>
        <v>50.7</v>
      </c>
      <c r="FI8" s="11">
        <f t="shared" si="69"/>
        <v>12.9</v>
      </c>
      <c r="FJ8" s="11">
        <f t="shared" si="70"/>
        <v>14.44</v>
      </c>
      <c r="FK8" s="11">
        <f t="shared" si="71"/>
        <v>50.14</v>
      </c>
      <c r="FL8" s="11">
        <f t="shared" si="72"/>
        <v>50.7</v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>
        <f t="shared" si="76"/>
        <v>12.9</v>
      </c>
      <c r="FQ8" s="11">
        <f t="shared" si="77"/>
        <v>14.59</v>
      </c>
      <c r="FR8" s="11">
        <f t="shared" si="78"/>
        <v>51.09</v>
      </c>
      <c r="FS8" s="11">
        <f t="shared" si="79"/>
        <v>101.79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>
        <v>12.9</v>
      </c>
      <c r="JS8" s="18">
        <v>9.1</v>
      </c>
      <c r="JT8" s="18">
        <v>13.4</v>
      </c>
      <c r="JU8" s="18">
        <v>14.46</v>
      </c>
      <c r="JV8" s="18">
        <v>0</v>
      </c>
      <c r="JW8" s="18">
        <v>12.1</v>
      </c>
      <c r="JX8" s="18">
        <v>8.9</v>
      </c>
      <c r="JY8" s="18">
        <v>12.2</v>
      </c>
      <c r="JZ8" s="18">
        <v>14.38</v>
      </c>
      <c r="KA8" s="18">
        <v>0</v>
      </c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>
        <f t="shared" si="122"/>
        <v>13.4</v>
      </c>
      <c r="KM8" s="11">
        <f t="shared" si="123"/>
        <v>14.46</v>
      </c>
      <c r="KN8" s="11">
        <f t="shared" si="124"/>
        <v>49.86</v>
      </c>
      <c r="KO8" s="11">
        <f t="shared" si="125"/>
        <v>12.2</v>
      </c>
      <c r="KP8" s="11">
        <f t="shared" si="126"/>
        <v>14.38</v>
      </c>
      <c r="KQ8" s="11">
        <f t="shared" si="127"/>
        <v>47.580000000000005</v>
      </c>
      <c r="KR8" s="11">
        <f t="shared" si="128"/>
        <v>49.86</v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>
        <f t="shared" si="135"/>
        <v>49.86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>
        <v>13.7</v>
      </c>
      <c r="QG8" s="17">
        <v>9</v>
      </c>
      <c r="QH8" s="17">
        <v>13.2</v>
      </c>
      <c r="QI8" s="17">
        <v>14.45</v>
      </c>
      <c r="QJ8" s="17">
        <v>0</v>
      </c>
      <c r="QK8" s="17">
        <v>14.3</v>
      </c>
      <c r="QL8" s="17">
        <v>9.1999999999999993</v>
      </c>
      <c r="QM8" s="17">
        <v>13.6</v>
      </c>
      <c r="QN8" s="17">
        <v>14.41</v>
      </c>
      <c r="QO8" s="17">
        <v>0</v>
      </c>
      <c r="QP8" s="17"/>
      <c r="QQ8" s="17"/>
      <c r="QR8" s="17"/>
      <c r="QS8" s="17"/>
      <c r="QT8" s="17"/>
      <c r="QU8" s="17">
        <v>14.7</v>
      </c>
      <c r="QV8" s="17">
        <v>9.1</v>
      </c>
      <c r="QW8" s="17">
        <v>13.6</v>
      </c>
      <c r="QX8" s="17">
        <v>14.43</v>
      </c>
      <c r="QY8" s="17">
        <v>0</v>
      </c>
      <c r="QZ8" s="41">
        <f t="shared" si="192"/>
        <v>13.2</v>
      </c>
      <c r="RA8" s="41">
        <f t="shared" si="193"/>
        <v>14.45</v>
      </c>
      <c r="RB8" s="41">
        <f t="shared" si="194"/>
        <v>50.349999999999994</v>
      </c>
      <c r="RC8" s="41">
        <f t="shared" si="195"/>
        <v>13.6</v>
      </c>
      <c r="RD8" s="41">
        <f t="shared" si="196"/>
        <v>14.41</v>
      </c>
      <c r="RE8" s="41">
        <f t="shared" si="197"/>
        <v>51.510000000000005</v>
      </c>
      <c r="RF8" s="41">
        <f t="shared" si="198"/>
        <v>51.510000000000005</v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>
        <f t="shared" si="202"/>
        <v>13.6</v>
      </c>
      <c r="RK8" s="41">
        <f t="shared" si="203"/>
        <v>14.43</v>
      </c>
      <c r="RL8" s="41">
        <f t="shared" si="204"/>
        <v>51.83</v>
      </c>
      <c r="RM8" s="41">
        <f t="shared" si="205"/>
        <v>103.34</v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13.9</v>
      </c>
      <c r="SW8" s="23">
        <f t="shared" si="221"/>
        <v>9.6000000000000014</v>
      </c>
      <c r="SX8" s="23">
        <f t="shared" si="222"/>
        <v>13.4</v>
      </c>
      <c r="SY8" s="23">
        <f t="shared" si="223"/>
        <v>14.455</v>
      </c>
      <c r="SZ8" s="23">
        <f t="shared" si="224"/>
        <v>0</v>
      </c>
      <c r="TA8" s="23">
        <f t="shared" si="225"/>
        <v>7.8</v>
      </c>
      <c r="TB8" s="23">
        <f t="shared" si="226"/>
        <v>5.2</v>
      </c>
      <c r="TC8" s="23">
        <f t="shared" si="227"/>
        <v>7.8</v>
      </c>
      <c r="TD8" s="23">
        <f t="shared" si="228"/>
        <v>8.24</v>
      </c>
      <c r="TE8" s="23">
        <f t="shared" si="229"/>
        <v>0</v>
      </c>
      <c r="TF8" s="23">
        <f t="shared" si="230"/>
        <v>14</v>
      </c>
      <c r="TG8" s="23">
        <f t="shared" si="231"/>
        <v>8.75</v>
      </c>
      <c r="TH8" s="23">
        <f t="shared" si="232"/>
        <v>13.6</v>
      </c>
      <c r="TI8" s="23">
        <f t="shared" si="233"/>
        <v>14.399999999999999</v>
      </c>
      <c r="TJ8" s="23">
        <f t="shared" si="234"/>
        <v>0</v>
      </c>
      <c r="TK8" s="28" t="s">
        <v>57</v>
      </c>
      <c r="TL8" s="41">
        <f t="shared" si="235"/>
        <v>13.4</v>
      </c>
      <c r="TM8" s="41">
        <f t="shared" si="236"/>
        <v>14.455</v>
      </c>
      <c r="TN8" s="41">
        <f t="shared" si="237"/>
        <v>51.354999999999997</v>
      </c>
      <c r="TO8" s="41">
        <f t="shared" si="238"/>
        <v>7.8</v>
      </c>
      <c r="TP8" s="41">
        <f t="shared" si="239"/>
        <v>8.24</v>
      </c>
      <c r="TQ8" s="41">
        <f t="shared" si="240"/>
        <v>29.04</v>
      </c>
      <c r="TR8" s="41">
        <f t="shared" si="241"/>
        <v>51.354999999999997</v>
      </c>
      <c r="TS8" s="41">
        <f t="shared" si="242"/>
        <v>13.6</v>
      </c>
      <c r="TT8" s="41">
        <f t="shared" si="243"/>
        <v>14.399999999999999</v>
      </c>
      <c r="TU8" s="41">
        <f t="shared" si="244"/>
        <v>50.75</v>
      </c>
      <c r="TV8" s="41">
        <f t="shared" si="245"/>
        <v>102.10499999999999</v>
      </c>
    </row>
    <row r="9" spans="1:542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127</v>
      </c>
      <c r="C9" s="4" t="s">
        <v>3</v>
      </c>
      <c r="D9" s="4">
        <v>2001</v>
      </c>
      <c r="E9" s="9">
        <f t="shared" si="0"/>
        <v>233.33002333300516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51.32</v>
      </c>
      <c r="K9" s="8" t="str">
        <f t="shared" si="5"/>
        <v>2023 Domestic 3rd Trial</v>
      </c>
      <c r="L9" s="8">
        <f>IF(COUNT(AQ9,AT9,BR9,BU9,CS9,CV9)&gt;1,LARGE((AQ9,AT9,BR9,BU9,CS9,CV9),2),0)</f>
        <v>51.309999999999995</v>
      </c>
      <c r="M9" s="8" t="str">
        <f t="shared" si="6"/>
        <v>2023 Nationals</v>
      </c>
      <c r="N9" s="8">
        <f>IF(COUNT(AQ9,AT9,BR9,BU9,CS9,CV9)&gt;2,LARGE((AQ9,AT9,BR9,BU9,CS9,CV9),3),0)</f>
        <v>50.86</v>
      </c>
      <c r="O9" s="8" t="str">
        <f t="shared" si="7"/>
        <v>2023 Domestic 3rd Trial</v>
      </c>
      <c r="P9" s="8">
        <f t="shared" si="8"/>
        <v>51.52</v>
      </c>
      <c r="Q9" s="8" t="str">
        <f t="shared" si="9"/>
        <v>2023 Domestic 3rd Trial</v>
      </c>
      <c r="R9" s="8">
        <f t="shared" si="10"/>
        <v>13.1</v>
      </c>
      <c r="S9" s="8" t="str">
        <f t="shared" si="11"/>
        <v>2023 Domestic 3rd Trial</v>
      </c>
      <c r="T9" s="8">
        <f t="shared" si="12"/>
        <v>15.22</v>
      </c>
      <c r="U9" s="8" t="str">
        <f t="shared" si="13"/>
        <v>2023 Domestic 3rd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 t="shared" si="17"/>
        <v>11.6</v>
      </c>
      <c r="AP9" s="39">
        <f t="shared" si="18"/>
        <v>14.67</v>
      </c>
      <c r="AQ9" s="41">
        <f t="shared" si="19"/>
        <v>46.17</v>
      </c>
      <c r="AR9" s="41">
        <f t="shared" si="20"/>
        <v>12.2</v>
      </c>
      <c r="AS9" s="41">
        <f t="shared" si="21"/>
        <v>14.52</v>
      </c>
      <c r="AT9" s="41">
        <f t="shared" si="22"/>
        <v>50.42</v>
      </c>
      <c r="AU9" s="41">
        <f t="shared" si="23"/>
        <v>50.42</v>
      </c>
      <c r="AV9" s="41">
        <f t="shared" si="24"/>
        <v>10.4</v>
      </c>
      <c r="AW9" s="41">
        <f t="shared" si="25"/>
        <v>12.07</v>
      </c>
      <c r="AX9" s="41">
        <f t="shared" si="26"/>
        <v>41.67</v>
      </c>
      <c r="AY9" s="41">
        <f t="shared" si="27"/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 t="shared" si="28"/>
        <v>13.1</v>
      </c>
      <c r="BQ9" s="40">
        <f t="shared" si="29"/>
        <v>14.14</v>
      </c>
      <c r="BR9" s="11">
        <f t="shared" si="30"/>
        <v>50.24</v>
      </c>
      <c r="BS9" s="11">
        <f t="shared" si="31"/>
        <v>13.1</v>
      </c>
      <c r="BT9" s="11">
        <f t="shared" si="32"/>
        <v>14.51</v>
      </c>
      <c r="BU9" s="11">
        <f t="shared" si="33"/>
        <v>51.309999999999995</v>
      </c>
      <c r="BV9" s="11">
        <f t="shared" si="34"/>
        <v>51.309999999999995</v>
      </c>
      <c r="BW9" s="11">
        <f t="shared" si="35"/>
        <v>12.9</v>
      </c>
      <c r="BX9" s="11">
        <f t="shared" si="36"/>
        <v>14.58</v>
      </c>
      <c r="BY9" s="11">
        <f t="shared" si="37"/>
        <v>50.78</v>
      </c>
      <c r="BZ9" s="11">
        <f t="shared" si="38"/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 t="shared" si="39"/>
        <v>13.1</v>
      </c>
      <c r="CR9" s="39">
        <f t="shared" si="40"/>
        <v>14.66</v>
      </c>
      <c r="CS9" s="41">
        <f t="shared" si="41"/>
        <v>50.86</v>
      </c>
      <c r="CT9" s="41">
        <f t="shared" si="42"/>
        <v>13.1</v>
      </c>
      <c r="CU9" s="41">
        <f t="shared" si="43"/>
        <v>14.92</v>
      </c>
      <c r="CV9" s="41">
        <f t="shared" si="44"/>
        <v>51.32</v>
      </c>
      <c r="CW9" s="41">
        <f t="shared" si="45"/>
        <v>51.32</v>
      </c>
      <c r="CX9" s="41">
        <f t="shared" si="46"/>
        <v>13.1</v>
      </c>
      <c r="CY9" s="41">
        <f t="shared" si="47"/>
        <v>15.22</v>
      </c>
      <c r="CZ9" s="41">
        <f t="shared" si="48"/>
        <v>51.52</v>
      </c>
      <c r="DA9" s="41">
        <f t="shared" si="49"/>
        <v>102.84</v>
      </c>
      <c r="DB9" s="52" t="str">
        <f t="shared" si="50"/>
        <v/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14.100000000000001</v>
      </c>
      <c r="SW9" s="23">
        <f t="shared" si="221"/>
        <v>8.9499999999999993</v>
      </c>
      <c r="SX9" s="23">
        <f t="shared" si="222"/>
        <v>13.1</v>
      </c>
      <c r="SY9" s="23">
        <f t="shared" si="223"/>
        <v>14.4</v>
      </c>
      <c r="SZ9" s="23">
        <f t="shared" si="224"/>
        <v>0</v>
      </c>
      <c r="TA9" s="23">
        <f t="shared" si="225"/>
        <v>14.45</v>
      </c>
      <c r="TB9" s="23">
        <f t="shared" si="226"/>
        <v>9.0500000000000007</v>
      </c>
      <c r="TC9" s="23">
        <f t="shared" si="227"/>
        <v>13.1</v>
      </c>
      <c r="TD9" s="23">
        <f t="shared" si="228"/>
        <v>14.715</v>
      </c>
      <c r="TE9" s="23">
        <f t="shared" si="229"/>
        <v>0</v>
      </c>
      <c r="TF9" s="23">
        <f t="shared" si="230"/>
        <v>14.65</v>
      </c>
      <c r="TG9" s="23">
        <f t="shared" si="231"/>
        <v>8.6000000000000014</v>
      </c>
      <c r="TH9" s="23">
        <f t="shared" si="232"/>
        <v>13</v>
      </c>
      <c r="TI9" s="23">
        <f t="shared" si="233"/>
        <v>14.9</v>
      </c>
      <c r="TJ9" s="23">
        <f t="shared" si="234"/>
        <v>0</v>
      </c>
      <c r="TK9" s="28" t="s">
        <v>57</v>
      </c>
      <c r="TL9" s="41">
        <f t="shared" si="235"/>
        <v>13.1</v>
      </c>
      <c r="TM9" s="41">
        <f t="shared" si="236"/>
        <v>14.4</v>
      </c>
      <c r="TN9" s="41">
        <f t="shared" si="237"/>
        <v>50.55</v>
      </c>
      <c r="TO9" s="41">
        <f t="shared" si="238"/>
        <v>13.1</v>
      </c>
      <c r="TP9" s="41">
        <f t="shared" si="239"/>
        <v>14.715</v>
      </c>
      <c r="TQ9" s="41">
        <f t="shared" si="240"/>
        <v>51.314999999999998</v>
      </c>
      <c r="TR9" s="41">
        <f t="shared" si="241"/>
        <v>51.314999999999998</v>
      </c>
      <c r="TS9" s="41">
        <f t="shared" si="242"/>
        <v>13</v>
      </c>
      <c r="TT9" s="41">
        <f t="shared" si="243"/>
        <v>14.9</v>
      </c>
      <c r="TU9" s="41">
        <f t="shared" si="244"/>
        <v>51.15</v>
      </c>
      <c r="TV9" s="41">
        <f t="shared" si="245"/>
        <v>102.465</v>
      </c>
    </row>
    <row r="10" spans="1:542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177</v>
      </c>
      <c r="C10" s="4" t="s">
        <v>8</v>
      </c>
      <c r="D10" s="4">
        <v>2006</v>
      </c>
      <c r="E10" s="9">
        <f t="shared" si="0"/>
        <v>228.90002289000509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50.75</v>
      </c>
      <c r="K10" s="8" t="str">
        <f t="shared" si="5"/>
        <v>2023 Elite Canada</v>
      </c>
      <c r="L10" s="8">
        <f>IF(COUNT(AQ10,AT10,BR10,BU10,CS10,CV10)&gt;1,LARGE((AQ10,AT10,BR10,BU10,CS10,CV10),2),0)</f>
        <v>50.14</v>
      </c>
      <c r="M10" s="8" t="str">
        <f t="shared" si="6"/>
        <v>2023 Domestic 3rd Trial</v>
      </c>
      <c r="N10" s="8">
        <f>IF(COUNT(AQ10,AT10,BR10,BU10,CS10,CV10)&gt;2,LARGE((AQ10,AT10,BR10,BU10,CS10,CV10),3),0)</f>
        <v>49.47</v>
      </c>
      <c r="O10" s="8" t="str">
        <f t="shared" si="7"/>
        <v>2023 Domestic 3rd Trial</v>
      </c>
      <c r="P10" s="8">
        <f t="shared" si="8"/>
        <v>51.17</v>
      </c>
      <c r="Q10" s="8" t="str">
        <f t="shared" si="9"/>
        <v>2023 Elite Canada</v>
      </c>
      <c r="R10" s="8">
        <f t="shared" si="10"/>
        <v>12.7</v>
      </c>
      <c r="S10" s="8" t="str">
        <f t="shared" si="11"/>
        <v>2023 Domestic 3rd Trial</v>
      </c>
      <c r="T10" s="8">
        <f t="shared" si="12"/>
        <v>14.67</v>
      </c>
      <c r="U10" s="8" t="str">
        <f t="shared" si="13"/>
        <v>2023 Domestic 3rd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 t="shared" si="17"/>
        <v>11.2</v>
      </c>
      <c r="AP10" s="39">
        <f t="shared" si="18"/>
        <v>15.35</v>
      </c>
      <c r="AQ10" s="41">
        <f t="shared" si="19"/>
        <v>50.75</v>
      </c>
      <c r="AR10" s="41">
        <f t="shared" si="20"/>
        <v>11.2</v>
      </c>
      <c r="AS10" s="41">
        <f t="shared" si="21"/>
        <v>14.57</v>
      </c>
      <c r="AT10" s="41">
        <f t="shared" si="22"/>
        <v>48.97</v>
      </c>
      <c r="AU10" s="41">
        <f t="shared" si="23"/>
        <v>50.75</v>
      </c>
      <c r="AV10" s="41">
        <f t="shared" si="24"/>
        <v>11.2</v>
      </c>
      <c r="AW10" s="41">
        <f t="shared" si="25"/>
        <v>15.27</v>
      </c>
      <c r="AX10" s="41">
        <f t="shared" si="26"/>
        <v>51.17</v>
      </c>
      <c r="AY10" s="41">
        <f t="shared" si="27"/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 t="shared" si="28"/>
        <v>4</v>
      </c>
      <c r="BQ10" s="40">
        <f t="shared" si="29"/>
        <v>4.4400000000000004</v>
      </c>
      <c r="BR10" s="11">
        <f t="shared" si="30"/>
        <v>15.84</v>
      </c>
      <c r="BS10" s="11">
        <f t="shared" si="31"/>
        <v>1.5</v>
      </c>
      <c r="BT10" s="11">
        <f t="shared" si="32"/>
        <v>1.55</v>
      </c>
      <c r="BU10" s="11">
        <f t="shared" si="33"/>
        <v>5.75</v>
      </c>
      <c r="BV10" s="11">
        <f t="shared" si="34"/>
        <v>15.84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 t="shared" si="39"/>
        <v>12.4</v>
      </c>
      <c r="CR10" s="39">
        <f t="shared" si="40"/>
        <v>14.47</v>
      </c>
      <c r="CS10" s="41">
        <f t="shared" si="41"/>
        <v>49.47</v>
      </c>
      <c r="CT10" s="41">
        <f t="shared" si="42"/>
        <v>12.4</v>
      </c>
      <c r="CU10" s="41">
        <f t="shared" si="43"/>
        <v>14.34</v>
      </c>
      <c r="CV10" s="41">
        <f t="shared" si="44"/>
        <v>50.14</v>
      </c>
      <c r="CW10" s="41">
        <f t="shared" si="45"/>
        <v>50.14</v>
      </c>
      <c r="CX10" s="41">
        <f t="shared" si="46"/>
        <v>12.7</v>
      </c>
      <c r="CY10" s="41">
        <f t="shared" si="47"/>
        <v>14.67</v>
      </c>
      <c r="CZ10" s="41">
        <f t="shared" si="48"/>
        <v>50.67</v>
      </c>
      <c r="DA10" s="41">
        <f t="shared" si="49"/>
        <v>100.81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>
        <v>5.6</v>
      </c>
      <c r="QG10" s="17">
        <v>3.3</v>
      </c>
      <c r="QH10" s="17">
        <v>5.2</v>
      </c>
      <c r="QI10" s="17">
        <v>5.9</v>
      </c>
      <c r="QJ10" s="17">
        <v>0</v>
      </c>
      <c r="QK10" s="17">
        <v>3</v>
      </c>
      <c r="QL10" s="17">
        <v>2</v>
      </c>
      <c r="QM10" s="17">
        <v>2.7</v>
      </c>
      <c r="QN10" s="17">
        <v>3.03</v>
      </c>
      <c r="QO10" s="17">
        <v>0</v>
      </c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>
        <f t="shared" si="192"/>
        <v>5.2</v>
      </c>
      <c r="RA10" s="41">
        <f t="shared" si="193"/>
        <v>5.9</v>
      </c>
      <c r="RB10" s="41">
        <f t="shared" si="194"/>
        <v>20</v>
      </c>
      <c r="RC10" s="41">
        <f t="shared" si="195"/>
        <v>2.7</v>
      </c>
      <c r="RD10" s="41">
        <f t="shared" si="196"/>
        <v>3.03</v>
      </c>
      <c r="RE10" s="41">
        <f t="shared" si="197"/>
        <v>10.73</v>
      </c>
      <c r="RF10" s="41">
        <f t="shared" si="198"/>
        <v>20</v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>
        <f t="shared" si="205"/>
        <v>20</v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9.0500000000000007</v>
      </c>
      <c r="SW10" s="23">
        <f t="shared" si="221"/>
        <v>5.9499999999999993</v>
      </c>
      <c r="SX10" s="23">
        <f t="shared" si="222"/>
        <v>8.1999999999999993</v>
      </c>
      <c r="SY10" s="23">
        <f t="shared" si="223"/>
        <v>9.4550000000000001</v>
      </c>
      <c r="SZ10" s="23">
        <f t="shared" si="224"/>
        <v>0</v>
      </c>
      <c r="TA10" s="23">
        <f t="shared" si="225"/>
        <v>8.15</v>
      </c>
      <c r="TB10" s="23">
        <f t="shared" si="226"/>
        <v>4.9000000000000004</v>
      </c>
      <c r="TC10" s="23">
        <f t="shared" si="227"/>
        <v>6.95</v>
      </c>
      <c r="TD10" s="23">
        <f t="shared" si="228"/>
        <v>7.9450000000000003</v>
      </c>
      <c r="TE10" s="23">
        <f t="shared" si="229"/>
        <v>0</v>
      </c>
      <c r="TF10" s="23">
        <f t="shared" si="230"/>
        <v>6.9</v>
      </c>
      <c r="TG10" s="23">
        <f t="shared" si="231"/>
        <v>4.75</v>
      </c>
      <c r="TH10" s="23">
        <f t="shared" si="232"/>
        <v>6.35</v>
      </c>
      <c r="TI10" s="23">
        <f t="shared" si="233"/>
        <v>7.335</v>
      </c>
      <c r="TJ10" s="23">
        <f t="shared" si="234"/>
        <v>0</v>
      </c>
      <c r="TK10" s="28" t="s">
        <v>57</v>
      </c>
      <c r="TL10" s="41">
        <f t="shared" si="235"/>
        <v>8.1999999999999993</v>
      </c>
      <c r="TM10" s="41">
        <f t="shared" si="236"/>
        <v>9.4550000000000001</v>
      </c>
      <c r="TN10" s="41">
        <f t="shared" si="237"/>
        <v>32.655000000000001</v>
      </c>
      <c r="TO10" s="41">
        <f t="shared" si="238"/>
        <v>6.95</v>
      </c>
      <c r="TP10" s="41">
        <f t="shared" si="239"/>
        <v>7.9450000000000003</v>
      </c>
      <c r="TQ10" s="41">
        <f t="shared" si="240"/>
        <v>27.945</v>
      </c>
      <c r="TR10" s="41">
        <f t="shared" si="241"/>
        <v>32.655000000000001</v>
      </c>
      <c r="TS10" s="41">
        <f t="shared" si="242"/>
        <v>6.35</v>
      </c>
      <c r="TT10" s="41">
        <f t="shared" si="243"/>
        <v>7.335</v>
      </c>
      <c r="TU10" s="41">
        <f t="shared" si="244"/>
        <v>25.335000000000001</v>
      </c>
      <c r="TV10" s="41">
        <f t="shared" si="245"/>
        <v>57.99</v>
      </c>
    </row>
    <row r="11" spans="1:542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5</v>
      </c>
      <c r="D11" s="4">
        <v>1999</v>
      </c>
      <c r="E11" s="9">
        <f t="shared" si="0"/>
        <v>228.37002283700508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IF(COUNT(AQ11,AT11,BR11,BU11,CS11,CV11)&gt;0,LARGE((AQ11,AT11,BR11,BU11,CS11,CV11),1),0)</f>
        <v>50.91</v>
      </c>
      <c r="K11" s="8" t="str">
        <f t="shared" si="5"/>
        <v>2023 Domestic 3rd Trial</v>
      </c>
      <c r="L11" s="8">
        <f>IF(COUNT(AQ11,AT11,BR11,BU11,CS11,CV11)&gt;1,LARGE((AQ11,AT11,BR11,BU11,CS11,CV11),2),0)</f>
        <v>50.790000000000006</v>
      </c>
      <c r="M11" s="8" t="str">
        <f t="shared" si="6"/>
        <v>2023 Domestic 3rd Trial</v>
      </c>
      <c r="N11" s="8">
        <f>IF(COUNT(AQ11,AT11,BR11,BU11,CS11,CV11)&gt;2,LARGE((AQ11,AT11,BR11,BU11,CS11,CV11),3),0)</f>
        <v>47.91</v>
      </c>
      <c r="O11" s="8" t="str">
        <f t="shared" si="7"/>
        <v>2023 Elite Canada</v>
      </c>
      <c r="P11" s="8">
        <f t="shared" si="8"/>
        <v>51.430000000000007</v>
      </c>
      <c r="Q11" s="8" t="str">
        <f t="shared" si="9"/>
        <v>2023 Domestic 3rd Trial</v>
      </c>
      <c r="R11" s="8">
        <f t="shared" si="10"/>
        <v>13.1</v>
      </c>
      <c r="S11" s="8" t="str">
        <f t="shared" si="11"/>
        <v>2023 Domestic 3rd Trial</v>
      </c>
      <c r="T11" s="8">
        <f t="shared" si="12"/>
        <v>14.23</v>
      </c>
      <c r="U11" s="8" t="str">
        <f t="shared" si="13"/>
        <v>2023 Domestic 3rd Trial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 t="shared" si="17"/>
        <v>3.8</v>
      </c>
      <c r="AP11" s="39">
        <f t="shared" si="18"/>
        <v>4.32</v>
      </c>
      <c r="AQ11" s="41">
        <f t="shared" si="19"/>
        <v>15.02</v>
      </c>
      <c r="AR11" s="41">
        <f t="shared" si="20"/>
        <v>12</v>
      </c>
      <c r="AS11" s="41">
        <f t="shared" si="21"/>
        <v>13.11</v>
      </c>
      <c r="AT11" s="41">
        <f t="shared" si="22"/>
        <v>47.91</v>
      </c>
      <c r="AU11" s="41">
        <f t="shared" si="23"/>
        <v>47.91</v>
      </c>
      <c r="AV11" s="41">
        <f t="shared" si="24"/>
        <v>11.3</v>
      </c>
      <c r="AW11" s="41">
        <f t="shared" si="25"/>
        <v>12.49</v>
      </c>
      <c r="AX11" s="41">
        <f t="shared" si="26"/>
        <v>44.589999999999996</v>
      </c>
      <c r="AY11" s="41">
        <f t="shared" si="27"/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 t="shared" si="28"/>
        <v>6.5</v>
      </c>
      <c r="BQ11" s="40">
        <f t="shared" si="29"/>
        <v>6.94</v>
      </c>
      <c r="BR11" s="11">
        <f t="shared" si="30"/>
        <v>24.94</v>
      </c>
      <c r="BS11" s="11">
        <f t="shared" si="31"/>
        <v>1.5</v>
      </c>
      <c r="BT11" s="11">
        <f t="shared" si="32"/>
        <v>1.45</v>
      </c>
      <c r="BU11" s="11">
        <f t="shared" si="33"/>
        <v>5.55</v>
      </c>
      <c r="BV11" s="11">
        <f t="shared" si="34"/>
        <v>24.94</v>
      </c>
      <c r="BW11" s="11" t="str">
        <f t="shared" si="35"/>
        <v/>
      </c>
      <c r="BX11" s="11" t="str">
        <f t="shared" si="36"/>
        <v/>
      </c>
      <c r="BY11" s="11" t="str">
        <f t="shared" si="37"/>
        <v/>
      </c>
      <c r="BZ11" s="11">
        <f t="shared" si="38"/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 t="shared" si="39"/>
        <v>12.9</v>
      </c>
      <c r="CR11" s="39">
        <f t="shared" si="40"/>
        <v>14.09</v>
      </c>
      <c r="CS11" s="41">
        <f t="shared" si="41"/>
        <v>50.790000000000006</v>
      </c>
      <c r="CT11" s="41">
        <f t="shared" si="42"/>
        <v>12.9</v>
      </c>
      <c r="CU11" s="41">
        <f t="shared" si="43"/>
        <v>14.01</v>
      </c>
      <c r="CV11" s="41">
        <f t="shared" si="44"/>
        <v>50.91</v>
      </c>
      <c r="CW11" s="41">
        <f t="shared" si="45"/>
        <v>50.91</v>
      </c>
      <c r="CX11" s="41">
        <f t="shared" si="46"/>
        <v>13.1</v>
      </c>
      <c r="CY11" s="41">
        <f t="shared" si="47"/>
        <v>14.23</v>
      </c>
      <c r="CZ11" s="41">
        <f t="shared" si="48"/>
        <v>51.430000000000007</v>
      </c>
      <c r="DA11" s="41">
        <f t="shared" si="49"/>
        <v>102.34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10.75</v>
      </c>
      <c r="SW11" s="23">
        <f t="shared" si="221"/>
        <v>6.9</v>
      </c>
      <c r="SX11" s="23">
        <f t="shared" si="222"/>
        <v>9.6999999999999993</v>
      </c>
      <c r="SY11" s="23">
        <f t="shared" si="223"/>
        <v>10.515000000000001</v>
      </c>
      <c r="SZ11" s="23">
        <f t="shared" si="224"/>
        <v>0</v>
      </c>
      <c r="TA11" s="23">
        <f t="shared" si="225"/>
        <v>8.2000000000000011</v>
      </c>
      <c r="TB11" s="23">
        <f t="shared" si="226"/>
        <v>5.0999999999999996</v>
      </c>
      <c r="TC11" s="23">
        <f t="shared" si="227"/>
        <v>7.2</v>
      </c>
      <c r="TD11" s="23">
        <f t="shared" si="228"/>
        <v>7.7299999999999995</v>
      </c>
      <c r="TE11" s="23">
        <f t="shared" si="229"/>
        <v>0</v>
      </c>
      <c r="TF11" s="23">
        <f t="shared" si="230"/>
        <v>7.3</v>
      </c>
      <c r="TG11" s="23">
        <f t="shared" si="231"/>
        <v>4.75</v>
      </c>
      <c r="TH11" s="23">
        <f t="shared" si="232"/>
        <v>6.55</v>
      </c>
      <c r="TI11" s="23">
        <f t="shared" si="233"/>
        <v>7.1150000000000002</v>
      </c>
      <c r="TJ11" s="23">
        <f t="shared" si="234"/>
        <v>0</v>
      </c>
      <c r="TK11" s="28" t="s">
        <v>57</v>
      </c>
      <c r="TL11" s="41">
        <f t="shared" si="235"/>
        <v>9.6999999999999993</v>
      </c>
      <c r="TM11" s="41">
        <f t="shared" si="236"/>
        <v>10.515000000000001</v>
      </c>
      <c r="TN11" s="41">
        <f t="shared" si="237"/>
        <v>37.864999999999995</v>
      </c>
      <c r="TO11" s="41">
        <f t="shared" si="238"/>
        <v>7.2</v>
      </c>
      <c r="TP11" s="41">
        <f t="shared" si="239"/>
        <v>7.7299999999999995</v>
      </c>
      <c r="TQ11" s="41">
        <f t="shared" si="240"/>
        <v>28.23</v>
      </c>
      <c r="TR11" s="41">
        <f t="shared" si="241"/>
        <v>37.864999999999995</v>
      </c>
      <c r="TS11" s="41">
        <f t="shared" si="242"/>
        <v>6.55</v>
      </c>
      <c r="TT11" s="41">
        <f t="shared" si="243"/>
        <v>7.1150000000000002</v>
      </c>
      <c r="TU11" s="41">
        <f t="shared" si="244"/>
        <v>25.715000000000003</v>
      </c>
      <c r="TV11" s="41">
        <f t="shared" si="245"/>
        <v>63.58</v>
      </c>
    </row>
    <row r="12" spans="1:542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83</v>
      </c>
      <c r="C12" s="4" t="s">
        <v>6</v>
      </c>
      <c r="D12" s="4">
        <v>2002</v>
      </c>
      <c r="E12" s="9">
        <f t="shared" si="0"/>
        <v>226.17002261700503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50.08</v>
      </c>
      <c r="K12" s="8" t="str">
        <f t="shared" si="5"/>
        <v>2023 Nationals</v>
      </c>
      <c r="L12" s="8">
        <f>IF(COUNT(AQ12,AT12,BR12,BU12,CS12,CV12)&gt;1,LARGE((AQ12,AT12,BR12,BU12,CS12,CV12),2),0)</f>
        <v>49.940000000000005</v>
      </c>
      <c r="M12" s="8" t="str">
        <f t="shared" si="6"/>
        <v>2023 Nationals</v>
      </c>
      <c r="N12" s="8">
        <f>IF(COUNT(AQ12,AT12,BR12,BU12,CS12,CV12)&gt;2,LARGE((AQ12,AT12,BR12,BU12,CS12,CV12),3),0)</f>
        <v>49.150000000000006</v>
      </c>
      <c r="O12" s="8" t="str">
        <f t="shared" si="7"/>
        <v>2023 Domestic 3rd Trial</v>
      </c>
      <c r="P12" s="8">
        <f t="shared" si="8"/>
        <v>50.56</v>
      </c>
      <c r="Q12" s="8" t="str">
        <f t="shared" si="9"/>
        <v>2023 Nationals</v>
      </c>
      <c r="R12" s="8">
        <f t="shared" si="10"/>
        <v>12.7</v>
      </c>
      <c r="S12" s="8" t="str">
        <f t="shared" si="11"/>
        <v>2023 Nationals</v>
      </c>
      <c r="T12" s="8">
        <f t="shared" si="12"/>
        <v>13.74</v>
      </c>
      <c r="U12" s="8" t="str">
        <f t="shared" si="13"/>
        <v>2023 Nationals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 t="shared" si="17"/>
        <v>8.1</v>
      </c>
      <c r="AP12" s="39">
        <f t="shared" si="18"/>
        <v>8.59</v>
      </c>
      <c r="AQ12" s="41">
        <f t="shared" si="19"/>
        <v>29.889999999999997</v>
      </c>
      <c r="AR12" s="41">
        <f t="shared" si="20"/>
        <v>0.6</v>
      </c>
      <c r="AS12" s="41">
        <f t="shared" si="21"/>
        <v>1.59</v>
      </c>
      <c r="AT12" s="41">
        <f t="shared" si="22"/>
        <v>5.09</v>
      </c>
      <c r="AU12" s="41">
        <f t="shared" si="23"/>
        <v>29.889999999999997</v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>
        <f t="shared" si="27"/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 t="shared" si="28"/>
        <v>12.7</v>
      </c>
      <c r="BQ12" s="40">
        <f t="shared" si="29"/>
        <v>13.74</v>
      </c>
      <c r="BR12" s="11">
        <f t="shared" si="30"/>
        <v>49.940000000000005</v>
      </c>
      <c r="BS12" s="11">
        <f t="shared" si="31"/>
        <v>12.4</v>
      </c>
      <c r="BT12" s="11">
        <f t="shared" si="32"/>
        <v>13.88</v>
      </c>
      <c r="BU12" s="11">
        <f t="shared" si="33"/>
        <v>50.08</v>
      </c>
      <c r="BV12" s="11">
        <f t="shared" si="34"/>
        <v>50.08</v>
      </c>
      <c r="BW12" s="11">
        <f t="shared" si="35"/>
        <v>12</v>
      </c>
      <c r="BX12" s="11">
        <f t="shared" si="36"/>
        <v>14.16</v>
      </c>
      <c r="BY12" s="11">
        <f t="shared" si="37"/>
        <v>50.56</v>
      </c>
      <c r="BZ12" s="11">
        <f t="shared" si="38"/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 t="shared" si="39"/>
        <v>11.3</v>
      </c>
      <c r="CR12" s="39">
        <f t="shared" si="40"/>
        <v>14.45</v>
      </c>
      <c r="CS12" s="41">
        <f t="shared" si="41"/>
        <v>49.150000000000006</v>
      </c>
      <c r="CT12" s="41">
        <f t="shared" si="42"/>
        <v>12.4</v>
      </c>
      <c r="CU12" s="41">
        <f t="shared" si="43"/>
        <v>14.05</v>
      </c>
      <c r="CV12" s="41">
        <f t="shared" si="44"/>
        <v>46.95</v>
      </c>
      <c r="CW12" s="41">
        <f t="shared" si="45"/>
        <v>49.150000000000006</v>
      </c>
      <c r="CX12" s="41">
        <f t="shared" si="46"/>
        <v>12.4</v>
      </c>
      <c r="CY12" s="41">
        <f t="shared" si="47"/>
        <v>14.16</v>
      </c>
      <c r="CZ12" s="41">
        <f t="shared" si="48"/>
        <v>49.459999999999994</v>
      </c>
      <c r="DA12" s="41">
        <f t="shared" si="49"/>
        <v>98.61</v>
      </c>
      <c r="DB12" s="52" t="str">
        <f t="shared" si="50"/>
        <v/>
      </c>
      <c r="DC12" s="52" t="str">
        <f t="shared" si="51"/>
        <v/>
      </c>
      <c r="DD12" s="17">
        <v>11.6</v>
      </c>
      <c r="DE12" s="17">
        <v>8.9</v>
      </c>
      <c r="DF12" s="17">
        <v>11.7</v>
      </c>
      <c r="DG12" s="17">
        <v>13.42</v>
      </c>
      <c r="DH12" s="17">
        <v>0</v>
      </c>
      <c r="DI12" s="17">
        <v>1.2</v>
      </c>
      <c r="DJ12" s="17">
        <v>1</v>
      </c>
      <c r="DK12" s="17">
        <v>1.7</v>
      </c>
      <c r="DL12" s="17">
        <v>1.5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>
        <f t="shared" si="52"/>
        <v>11.7</v>
      </c>
      <c r="DY12" s="41">
        <f t="shared" si="53"/>
        <v>13.42</v>
      </c>
      <c r="DZ12" s="41">
        <f t="shared" si="54"/>
        <v>45.620000000000005</v>
      </c>
      <c r="EA12" s="41">
        <f t="shared" si="55"/>
        <v>1.7</v>
      </c>
      <c r="EB12" s="41">
        <f t="shared" si="56"/>
        <v>1.5</v>
      </c>
      <c r="EC12" s="41">
        <f t="shared" si="57"/>
        <v>5.4</v>
      </c>
      <c r="ED12" s="41">
        <f t="shared" si="58"/>
        <v>45.620000000000005</v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>
        <f t="shared" si="65"/>
        <v>45.620000000000005</v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14.5</v>
      </c>
      <c r="SW12" s="23">
        <f t="shared" si="221"/>
        <v>8.9499999999999993</v>
      </c>
      <c r="SX12" s="23">
        <f t="shared" si="222"/>
        <v>12</v>
      </c>
      <c r="SY12" s="23">
        <f t="shared" si="223"/>
        <v>14.094999999999999</v>
      </c>
      <c r="SZ12" s="23">
        <f t="shared" si="224"/>
        <v>0</v>
      </c>
      <c r="TA12" s="23">
        <f t="shared" si="225"/>
        <v>12.95</v>
      </c>
      <c r="TB12" s="23">
        <f t="shared" si="226"/>
        <v>9.1999999999999993</v>
      </c>
      <c r="TC12" s="23">
        <f t="shared" si="227"/>
        <v>12.4</v>
      </c>
      <c r="TD12" s="23">
        <f t="shared" si="228"/>
        <v>13.965</v>
      </c>
      <c r="TE12" s="23">
        <f t="shared" si="229"/>
        <v>0</v>
      </c>
      <c r="TF12" s="23">
        <f t="shared" si="230"/>
        <v>14.55</v>
      </c>
      <c r="TG12" s="23">
        <f t="shared" si="231"/>
        <v>9.1</v>
      </c>
      <c r="TH12" s="23">
        <f t="shared" si="232"/>
        <v>12.2</v>
      </c>
      <c r="TI12" s="23">
        <f t="shared" si="233"/>
        <v>14.16</v>
      </c>
      <c r="TJ12" s="23">
        <f t="shared" si="234"/>
        <v>0</v>
      </c>
      <c r="TK12" s="28" t="s">
        <v>57</v>
      </c>
      <c r="TL12" s="41">
        <f t="shared" si="235"/>
        <v>12</v>
      </c>
      <c r="TM12" s="41">
        <f t="shared" si="236"/>
        <v>14.094999999999999</v>
      </c>
      <c r="TN12" s="41">
        <f t="shared" si="237"/>
        <v>49.545000000000002</v>
      </c>
      <c r="TO12" s="41">
        <f t="shared" si="238"/>
        <v>12.4</v>
      </c>
      <c r="TP12" s="41">
        <f t="shared" si="239"/>
        <v>13.965</v>
      </c>
      <c r="TQ12" s="41">
        <f t="shared" si="240"/>
        <v>48.515000000000001</v>
      </c>
      <c r="TR12" s="41">
        <f t="shared" si="241"/>
        <v>49.545000000000002</v>
      </c>
      <c r="TS12" s="41">
        <f t="shared" si="242"/>
        <v>12.2</v>
      </c>
      <c r="TT12" s="41">
        <f t="shared" si="243"/>
        <v>14.16</v>
      </c>
      <c r="TU12" s="41">
        <f t="shared" si="244"/>
        <v>50.009999999999991</v>
      </c>
      <c r="TV12" s="41">
        <f t="shared" si="245"/>
        <v>99.554999999999993</v>
      </c>
    </row>
    <row r="13" spans="1:542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27</v>
      </c>
      <c r="C13" s="4" t="s">
        <v>6</v>
      </c>
      <c r="D13" s="4">
        <v>1992</v>
      </c>
      <c r="E13" s="9">
        <f t="shared" si="0"/>
        <v>82.080002878999991</v>
      </c>
      <c r="F13" s="3" t="str">
        <f t="shared" si="1"/>
        <v>P</v>
      </c>
      <c r="G13" s="3" t="str">
        <f t="shared" si="2"/>
        <v>P</v>
      </c>
      <c r="H13" s="37" t="str">
        <f t="shared" si="3"/>
        <v>Excellence</v>
      </c>
      <c r="I13" s="3" t="str">
        <f t="shared" si="4"/>
        <v>P</v>
      </c>
      <c r="J13" s="8">
        <f>IF(COUNT(AQ13,AT13,BR13,BU13,CS13,CV13)&gt;0,LARGE((AQ13,AT13,BR13,BU13,CS13,CV13),1),0)</f>
        <v>0</v>
      </c>
      <c r="K13" s="8" t="str">
        <f t="shared" si="5"/>
        <v/>
      </c>
      <c r="L13" s="8">
        <f>IF(COUNT(AQ13,AT13,BR13,BU13,CS13,CV13)&gt;1,LARGE((AQ13,AT13,BR13,BU13,CS13,CV13),2),0)</f>
        <v>0</v>
      </c>
      <c r="M13" s="8" t="str">
        <f t="shared" si="6"/>
        <v/>
      </c>
      <c r="N13" s="8">
        <f>IF(COUNT(AQ13,AT13,BR13,BU13,CS13,CV13)&gt;2,LARGE((AQ13,AT13,BR13,BU13,CS13,CV13),3),0)</f>
        <v>0</v>
      </c>
      <c r="O13" s="8" t="str">
        <f t="shared" si="7"/>
        <v/>
      </c>
      <c r="P13" s="8">
        <f t="shared" si="8"/>
        <v>0</v>
      </c>
      <c r="Q13" s="8" t="str">
        <f t="shared" si="9"/>
        <v/>
      </c>
      <c r="R13" s="8">
        <f t="shared" si="10"/>
        <v>14</v>
      </c>
      <c r="S13" s="8" t="str">
        <f t="shared" si="11"/>
        <v>2023 World Cup POR 2 (July 8)</v>
      </c>
      <c r="T13" s="8">
        <f t="shared" si="12"/>
        <v>14.79</v>
      </c>
      <c r="U13" s="8" t="str">
        <f t="shared" si="13"/>
        <v>2023 World Cup POR 2 (July 8)</v>
      </c>
      <c r="V13" s="8">
        <f t="shared" si="14"/>
        <v>53.29</v>
      </c>
      <c r="W13" s="11" t="str">
        <f t="shared" si="15"/>
        <v>(Prelim)</v>
      </c>
      <c r="X13" s="8" t="str">
        <f t="shared" si="16"/>
        <v>2023 Pan Am [Club] Championships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 t="shared" si="17"/>
        <v/>
      </c>
      <c r="AP13" s="39" t="str">
        <f t="shared" si="18"/>
        <v/>
      </c>
      <c r="AQ13" s="41" t="str">
        <f t="shared" si="19"/>
        <v/>
      </c>
      <c r="AR13" s="41" t="str">
        <f t="shared" si="20"/>
        <v/>
      </c>
      <c r="AS13" s="41" t="str">
        <f t="shared" si="21"/>
        <v/>
      </c>
      <c r="AT13" s="41" t="str">
        <f t="shared" si="22"/>
        <v/>
      </c>
      <c r="AU13" s="41" t="str">
        <f t="shared" si="23"/>
        <v/>
      </c>
      <c r="AV13" s="41" t="str">
        <f t="shared" si="24"/>
        <v/>
      </c>
      <c r="AW13" s="41" t="str">
        <f t="shared" si="25"/>
        <v/>
      </c>
      <c r="AX13" s="41" t="str">
        <f t="shared" si="26"/>
        <v/>
      </c>
      <c r="AY13" s="41" t="str">
        <f t="shared" si="27"/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 t="shared" si="28"/>
        <v/>
      </c>
      <c r="BQ13" s="40" t="str">
        <f t="shared" si="29"/>
        <v/>
      </c>
      <c r="BR13" s="11" t="str">
        <f t="shared" si="30"/>
        <v/>
      </c>
      <c r="BS13" s="11" t="str">
        <f t="shared" si="31"/>
        <v/>
      </c>
      <c r="BT13" s="11" t="str">
        <f t="shared" si="32"/>
        <v/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 t="str">
        <f t="shared" si="36"/>
        <v/>
      </c>
      <c r="BY13" s="11" t="str">
        <f t="shared" si="37"/>
        <v/>
      </c>
      <c r="BZ13" s="11" t="str">
        <f t="shared" si="38"/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 t="shared" si="39"/>
        <v/>
      </c>
      <c r="CR13" s="39" t="str">
        <f t="shared" si="40"/>
        <v/>
      </c>
      <c r="CS13" s="41" t="str">
        <f t="shared" si="41"/>
        <v/>
      </c>
      <c r="CT13" s="41" t="str">
        <f t="shared" si="42"/>
        <v/>
      </c>
      <c r="CU13" s="41" t="str">
        <f t="shared" si="43"/>
        <v/>
      </c>
      <c r="CV13" s="41" t="str">
        <f t="shared" si="44"/>
        <v/>
      </c>
      <c r="CW13" s="41" t="str">
        <f t="shared" si="45"/>
        <v/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 t="str">
        <f t="shared" si="49"/>
        <v/>
      </c>
      <c r="DB13" s="52">
        <f t="shared" si="50"/>
        <v>53.29</v>
      </c>
      <c r="DC13" s="52">
        <f t="shared" si="51"/>
        <v>53.24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>
        <v>15</v>
      </c>
      <c r="EM13" s="18">
        <v>9.4</v>
      </c>
      <c r="EN13" s="18">
        <v>14</v>
      </c>
      <c r="EO13" s="18">
        <v>14.71</v>
      </c>
      <c r="EP13" s="18">
        <v>0</v>
      </c>
      <c r="EQ13" s="18">
        <v>15</v>
      </c>
      <c r="ER13" s="18">
        <v>9.6</v>
      </c>
      <c r="ES13" s="18">
        <v>14</v>
      </c>
      <c r="ET13" s="18">
        <v>14.69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 t="shared" si="66"/>
        <v>14</v>
      </c>
      <c r="FG13" s="11">
        <f t="shared" si="67"/>
        <v>14.71</v>
      </c>
      <c r="FH13" s="11">
        <f t="shared" si="68"/>
        <v>53.11</v>
      </c>
      <c r="FI13" s="11">
        <f t="shared" si="69"/>
        <v>14</v>
      </c>
      <c r="FJ13" s="11">
        <f t="shared" si="70"/>
        <v>14.69</v>
      </c>
      <c r="FK13" s="11">
        <f t="shared" si="71"/>
        <v>53.29</v>
      </c>
      <c r="FL13" s="11">
        <f t="shared" si="72"/>
        <v>53.29</v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>
        <f t="shared" si="79"/>
        <v>53.29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>
        <v>15.2</v>
      </c>
      <c r="GJ13" s="17">
        <v>9.5</v>
      </c>
      <c r="GK13" s="17">
        <v>14</v>
      </c>
      <c r="GL13" s="17">
        <v>14.54</v>
      </c>
      <c r="GM13" s="17">
        <v>0</v>
      </c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>
        <f t="shared" si="90"/>
        <v>14</v>
      </c>
      <c r="GY13" s="41">
        <f t="shared" si="91"/>
        <v>14.54</v>
      </c>
      <c r="GZ13" s="41">
        <f t="shared" si="92"/>
        <v>53.24</v>
      </c>
      <c r="HA13" s="41">
        <f t="shared" si="93"/>
        <v>53.24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>
        <v>13.8</v>
      </c>
      <c r="IK13" s="17">
        <v>9.6</v>
      </c>
      <c r="IL13" s="17">
        <v>14</v>
      </c>
      <c r="IM13" s="17">
        <v>14.79</v>
      </c>
      <c r="IN13" s="17">
        <v>0</v>
      </c>
      <c r="IO13" s="17">
        <v>14.1</v>
      </c>
      <c r="IP13" s="17">
        <v>9</v>
      </c>
      <c r="IQ13" s="17">
        <v>13.7</v>
      </c>
      <c r="IR13" s="17">
        <v>14.43</v>
      </c>
      <c r="IS13" s="17">
        <v>0</v>
      </c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>
        <f t="shared" si="108"/>
        <v>14</v>
      </c>
      <c r="JE13" s="41">
        <f t="shared" si="109"/>
        <v>14.79</v>
      </c>
      <c r="JF13" s="41">
        <f t="shared" si="110"/>
        <v>52.19</v>
      </c>
      <c r="JG13" s="41">
        <f t="shared" si="111"/>
        <v>13.7</v>
      </c>
      <c r="JH13" s="41">
        <f t="shared" si="112"/>
        <v>14.43</v>
      </c>
      <c r="JI13" s="41">
        <f t="shared" si="113"/>
        <v>51.23</v>
      </c>
      <c r="JJ13" s="41">
        <f t="shared" si="114"/>
        <v>52.19</v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>
        <f t="shared" si="121"/>
        <v>52.19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0</v>
      </c>
      <c r="SW13" s="23">
        <f t="shared" si="221"/>
        <v>0</v>
      </c>
      <c r="SX13" s="23">
        <f t="shared" si="222"/>
        <v>0</v>
      </c>
      <c r="SY13" s="23">
        <f t="shared" si="223"/>
        <v>0</v>
      </c>
      <c r="SZ13" s="23">
        <f t="shared" si="224"/>
        <v>0</v>
      </c>
      <c r="TA13" s="23">
        <f t="shared" si="225"/>
        <v>0</v>
      </c>
      <c r="TB13" s="23">
        <f t="shared" si="226"/>
        <v>0</v>
      </c>
      <c r="TC13" s="23">
        <f t="shared" si="227"/>
        <v>0</v>
      </c>
      <c r="TD13" s="23">
        <f t="shared" si="228"/>
        <v>0</v>
      </c>
      <c r="TE13" s="23">
        <f t="shared" si="229"/>
        <v>0</v>
      </c>
      <c r="TF13" s="23">
        <f t="shared" si="230"/>
        <v>0</v>
      </c>
      <c r="TG13" s="23">
        <f t="shared" si="231"/>
        <v>0</v>
      </c>
      <c r="TH13" s="23">
        <f t="shared" si="232"/>
        <v>0</v>
      </c>
      <c r="TI13" s="23">
        <f t="shared" si="233"/>
        <v>0</v>
      </c>
      <c r="TJ13" s="23">
        <f t="shared" si="234"/>
        <v>0</v>
      </c>
      <c r="TK13" s="28" t="s">
        <v>57</v>
      </c>
      <c r="TL13" s="41" t="str">
        <f t="shared" si="235"/>
        <v/>
      </c>
      <c r="TM13" s="41" t="str">
        <f t="shared" si="236"/>
        <v/>
      </c>
      <c r="TN13" s="41" t="str">
        <f t="shared" si="237"/>
        <v/>
      </c>
      <c r="TO13" s="41" t="str">
        <f t="shared" si="238"/>
        <v/>
      </c>
      <c r="TP13" s="41" t="str">
        <f t="shared" si="239"/>
        <v/>
      </c>
      <c r="TQ13" s="41" t="str">
        <f t="shared" si="240"/>
        <v/>
      </c>
      <c r="TR13" s="41" t="str">
        <f t="shared" si="241"/>
        <v/>
      </c>
      <c r="TS13" s="41" t="str">
        <f t="shared" si="242"/>
        <v/>
      </c>
      <c r="TT13" s="41" t="str">
        <f t="shared" si="243"/>
        <v/>
      </c>
      <c r="TU13" s="41" t="str">
        <f t="shared" si="244"/>
        <v/>
      </c>
      <c r="TV13" s="41" t="str">
        <f t="shared" si="245"/>
        <v/>
      </c>
    </row>
    <row r="14" spans="1:542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5" t="s">
        <v>176</v>
      </c>
      <c r="C14" s="4" t="s">
        <v>3</v>
      </c>
      <c r="D14" s="4">
        <v>2006</v>
      </c>
      <c r="E14" s="9">
        <f t="shared" si="0"/>
        <v>225.12002250200493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49.31</v>
      </c>
      <c r="K14" s="8" t="str">
        <f t="shared" si="5"/>
        <v>2023 Elite Canada</v>
      </c>
      <c r="L14" s="8">
        <f>IF(COUNT(AQ14,AT14,BR14,BU14,CS14,CV14)&gt;1,LARGE((AQ14,AT14,BR14,BU14,CS14,CV14),2),0)</f>
        <v>49.09</v>
      </c>
      <c r="M14" s="8" t="str">
        <f t="shared" si="6"/>
        <v>2023 Elite Canada</v>
      </c>
      <c r="N14" s="8">
        <f>IF(COUNT(AQ14,AT14,BR14,BU14,CS14,CV14)&gt;2,LARGE((AQ14,AT14,BR14,BU14,CS14,CV14),3),0)</f>
        <v>48.790000000000006</v>
      </c>
      <c r="O14" s="8" t="str">
        <f t="shared" si="7"/>
        <v>2023 Domestic 3rd Trial</v>
      </c>
      <c r="P14" s="8">
        <f t="shared" si="8"/>
        <v>50.55</v>
      </c>
      <c r="Q14" s="8" t="str">
        <f t="shared" si="9"/>
        <v>2023 Elite Canada</v>
      </c>
      <c r="R14" s="8">
        <f t="shared" si="10"/>
        <v>13</v>
      </c>
      <c r="S14" s="8" t="str">
        <f t="shared" si="11"/>
        <v>2023 Nationals</v>
      </c>
      <c r="T14" s="8">
        <f t="shared" si="12"/>
        <v>14.280000000000001</v>
      </c>
      <c r="U14" s="8" t="str">
        <f t="shared" si="13"/>
        <v>2023 Domestic 3rd Trial</v>
      </c>
      <c r="V14" s="8">
        <f t="shared" si="14"/>
        <v>9.9999999999994316E-2</v>
      </c>
      <c r="W14" s="11" t="str">
        <f t="shared" si="15"/>
        <v>(Prelim)</v>
      </c>
      <c r="X14" s="8" t="str">
        <f t="shared" si="16"/>
        <v>2023 Pan Am [Club] Championships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 t="shared" si="17"/>
        <v>11.3</v>
      </c>
      <c r="AP14" s="39">
        <f t="shared" si="18"/>
        <v>13.99</v>
      </c>
      <c r="AQ14" s="41">
        <f t="shared" si="19"/>
        <v>49.09</v>
      </c>
      <c r="AR14" s="41">
        <f t="shared" si="20"/>
        <v>11.1</v>
      </c>
      <c r="AS14" s="41">
        <f t="shared" si="21"/>
        <v>13.91</v>
      </c>
      <c r="AT14" s="41">
        <f t="shared" si="22"/>
        <v>49.31</v>
      </c>
      <c r="AU14" s="41">
        <f t="shared" si="23"/>
        <v>49.31</v>
      </c>
      <c r="AV14" s="41">
        <f t="shared" si="24"/>
        <v>12.4</v>
      </c>
      <c r="AW14" s="41">
        <f t="shared" si="25"/>
        <v>14.75</v>
      </c>
      <c r="AX14" s="41">
        <f t="shared" si="26"/>
        <v>50.55</v>
      </c>
      <c r="AY14" s="41">
        <f t="shared" si="27"/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 t="shared" si="28"/>
        <v>1.5</v>
      </c>
      <c r="BQ14" s="40">
        <f t="shared" si="29"/>
        <v>1.52</v>
      </c>
      <c r="BR14" s="11">
        <f t="shared" si="30"/>
        <v>5.6199999999999992</v>
      </c>
      <c r="BS14" s="11">
        <f t="shared" si="31"/>
        <v>12</v>
      </c>
      <c r="BT14" s="11">
        <f t="shared" si="32"/>
        <v>13.37</v>
      </c>
      <c r="BU14" s="11">
        <f t="shared" si="33"/>
        <v>48.269999999999996</v>
      </c>
      <c r="BV14" s="11">
        <f t="shared" si="34"/>
        <v>48.269999999999996</v>
      </c>
      <c r="BW14" s="11">
        <f t="shared" si="35"/>
        <v>13</v>
      </c>
      <c r="BX14" s="11">
        <f t="shared" si="36"/>
        <v>13.81</v>
      </c>
      <c r="BY14" s="11">
        <f t="shared" si="37"/>
        <v>49.010000000000005</v>
      </c>
      <c r="BZ14" s="11">
        <f t="shared" si="38"/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 t="shared" si="39"/>
        <v>6.4</v>
      </c>
      <c r="CR14" s="39">
        <f t="shared" si="40"/>
        <v>7.7549999999999999</v>
      </c>
      <c r="CS14" s="41">
        <f t="shared" si="41"/>
        <v>27.355</v>
      </c>
      <c r="CT14" s="41">
        <f t="shared" si="42"/>
        <v>11.55</v>
      </c>
      <c r="CU14" s="41">
        <f t="shared" si="43"/>
        <v>13.64</v>
      </c>
      <c r="CV14" s="41">
        <f t="shared" si="44"/>
        <v>48.790000000000006</v>
      </c>
      <c r="CW14" s="41">
        <f t="shared" si="45"/>
        <v>48.790000000000006</v>
      </c>
      <c r="CX14" s="41">
        <f t="shared" si="46"/>
        <v>12.7</v>
      </c>
      <c r="CY14" s="41">
        <f t="shared" si="47"/>
        <v>14.280000000000001</v>
      </c>
      <c r="CZ14" s="41">
        <f t="shared" si="48"/>
        <v>49.78</v>
      </c>
      <c r="DA14" s="41">
        <f t="shared" si="49"/>
        <v>98.570000000000007</v>
      </c>
      <c r="DB14" s="52">
        <f t="shared" si="50"/>
        <v>9.9999999999994316E-2</v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>
        <v>13.3</v>
      </c>
      <c r="EM14" s="18">
        <v>9.3000000000000007</v>
      </c>
      <c r="EN14" s="18">
        <v>12.4</v>
      </c>
      <c r="EO14" s="18">
        <v>13.89</v>
      </c>
      <c r="EP14" s="18">
        <v>0</v>
      </c>
      <c r="EQ14" s="18">
        <v>13</v>
      </c>
      <c r="ER14" s="18">
        <v>9.1</v>
      </c>
      <c r="ES14" s="18">
        <v>12.2</v>
      </c>
      <c r="ET14" s="18">
        <v>13.41</v>
      </c>
      <c r="EU14" s="18">
        <v>0</v>
      </c>
      <c r="EV14" s="18"/>
      <c r="EW14" s="18"/>
      <c r="EX14" s="18"/>
      <c r="EY14" s="18"/>
      <c r="EZ14" s="18"/>
      <c r="FA14" s="18">
        <v>1.4</v>
      </c>
      <c r="FB14" s="18">
        <v>0.9</v>
      </c>
      <c r="FC14" s="18">
        <v>1.5</v>
      </c>
      <c r="FD14" s="18">
        <v>1.5</v>
      </c>
      <c r="FE14" s="18">
        <v>0</v>
      </c>
      <c r="FF14" s="11">
        <f t="shared" si="66"/>
        <v>12.4</v>
      </c>
      <c r="FG14" s="11">
        <f t="shared" si="67"/>
        <v>13.89</v>
      </c>
      <c r="FH14" s="11">
        <f t="shared" si="68"/>
        <v>48.89</v>
      </c>
      <c r="FI14" s="11">
        <f t="shared" si="69"/>
        <v>12.2</v>
      </c>
      <c r="FJ14" s="11">
        <f t="shared" si="70"/>
        <v>13.41</v>
      </c>
      <c r="FK14" s="11">
        <f t="shared" si="71"/>
        <v>47.709999999999994</v>
      </c>
      <c r="FL14" s="11">
        <f t="shared" si="72"/>
        <v>48.89</v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>
        <f t="shared" si="76"/>
        <v>1.5</v>
      </c>
      <c r="FQ14" s="11">
        <f t="shared" si="77"/>
        <v>1.5</v>
      </c>
      <c r="FR14" s="11">
        <f t="shared" si="78"/>
        <v>5.3</v>
      </c>
      <c r="FS14" s="11">
        <f t="shared" si="79"/>
        <v>54.19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>
        <v>12.9</v>
      </c>
      <c r="QG14" s="17">
        <v>9</v>
      </c>
      <c r="QH14" s="17">
        <v>12.2</v>
      </c>
      <c r="QI14" s="17">
        <v>13.26</v>
      </c>
      <c r="QJ14" s="17">
        <v>0</v>
      </c>
      <c r="QK14" s="17">
        <v>8.4</v>
      </c>
      <c r="QL14" s="17">
        <v>5.3</v>
      </c>
      <c r="QM14" s="17">
        <v>7.5</v>
      </c>
      <c r="QN14" s="17">
        <v>8.26</v>
      </c>
      <c r="QO14" s="17">
        <v>0</v>
      </c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>
        <f t="shared" si="192"/>
        <v>12.2</v>
      </c>
      <c r="RA14" s="41">
        <f t="shared" si="193"/>
        <v>13.26</v>
      </c>
      <c r="RB14" s="41">
        <f t="shared" si="194"/>
        <v>47.359999999999992</v>
      </c>
      <c r="RC14" s="41">
        <f t="shared" si="195"/>
        <v>7.5</v>
      </c>
      <c r="RD14" s="41">
        <f t="shared" si="196"/>
        <v>8.26</v>
      </c>
      <c r="RE14" s="41">
        <f t="shared" si="197"/>
        <v>29.46</v>
      </c>
      <c r="RF14" s="41">
        <f t="shared" si="198"/>
        <v>47.359999999999992</v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>
        <f t="shared" si="205"/>
        <v>47.359999999999992</v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8.2000000000000011</v>
      </c>
      <c r="SW14" s="23">
        <f t="shared" si="221"/>
        <v>5</v>
      </c>
      <c r="SX14" s="23">
        <f t="shared" si="222"/>
        <v>6.4</v>
      </c>
      <c r="SY14" s="23">
        <f t="shared" si="223"/>
        <v>7.7549999999999999</v>
      </c>
      <c r="SZ14" s="23">
        <f t="shared" si="224"/>
        <v>0</v>
      </c>
      <c r="TA14" s="23">
        <f t="shared" si="225"/>
        <v>14.25</v>
      </c>
      <c r="TB14" s="23">
        <f t="shared" si="226"/>
        <v>9.35</v>
      </c>
      <c r="TC14" s="23">
        <f t="shared" si="227"/>
        <v>11.55</v>
      </c>
      <c r="TD14" s="23">
        <f t="shared" si="228"/>
        <v>13.64</v>
      </c>
      <c r="TE14" s="23">
        <f t="shared" si="229"/>
        <v>0</v>
      </c>
      <c r="TF14" s="23">
        <f t="shared" si="230"/>
        <v>13.75</v>
      </c>
      <c r="TG14" s="23">
        <f t="shared" si="231"/>
        <v>9.0500000000000007</v>
      </c>
      <c r="TH14" s="23">
        <f t="shared" si="232"/>
        <v>12.7</v>
      </c>
      <c r="TI14" s="23">
        <f t="shared" si="233"/>
        <v>14.280000000000001</v>
      </c>
      <c r="TJ14" s="23">
        <f t="shared" si="234"/>
        <v>0</v>
      </c>
      <c r="TK14" s="28" t="s">
        <v>57</v>
      </c>
      <c r="TL14" s="41">
        <f t="shared" si="235"/>
        <v>6.4</v>
      </c>
      <c r="TM14" s="41">
        <f t="shared" si="236"/>
        <v>7.7549999999999999</v>
      </c>
      <c r="TN14" s="41">
        <f t="shared" si="237"/>
        <v>27.355</v>
      </c>
      <c r="TO14" s="41">
        <f t="shared" si="238"/>
        <v>11.55</v>
      </c>
      <c r="TP14" s="41">
        <f t="shared" si="239"/>
        <v>13.64</v>
      </c>
      <c r="TQ14" s="41">
        <f t="shared" si="240"/>
        <v>48.790000000000006</v>
      </c>
      <c r="TR14" s="41">
        <f t="shared" si="241"/>
        <v>48.790000000000006</v>
      </c>
      <c r="TS14" s="41">
        <f t="shared" si="242"/>
        <v>12.7</v>
      </c>
      <c r="TT14" s="41">
        <f t="shared" si="243"/>
        <v>14.280000000000001</v>
      </c>
      <c r="TU14" s="41">
        <f t="shared" si="244"/>
        <v>49.78</v>
      </c>
      <c r="TV14" s="41">
        <f t="shared" si="245"/>
        <v>98.570000000000007</v>
      </c>
    </row>
    <row r="15" spans="1:542" x14ac:dyDescent="0.2">
      <c r="A15" s="4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>12</v>
      </c>
      <c r="B15" s="5" t="s">
        <v>252</v>
      </c>
      <c r="C15" s="4" t="s">
        <v>8</v>
      </c>
      <c r="D15" s="4">
        <v>2007</v>
      </c>
      <c r="E15" s="9">
        <f t="shared" si="0"/>
        <v>210.52001604900502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49.93</v>
      </c>
      <c r="K15" s="8" t="str">
        <f t="shared" si="5"/>
        <v>2023 Domestic 3rd Trial</v>
      </c>
      <c r="L15" s="8">
        <f>IF(COUNT(AQ15,AT15,BR15,BU15,CS15,CV15)&gt;1,LARGE((AQ15,AT15,BR15,BU15,CS15,CV15),2),0)</f>
        <v>49.19</v>
      </c>
      <c r="M15" s="8" t="str">
        <f t="shared" si="6"/>
        <v>2023 Nationals</v>
      </c>
      <c r="N15" s="8">
        <f>IF(COUNT(AQ15,AT15,BR15,BU15,CS15,CV15)&gt;2,LARGE((AQ15,AT15,BR15,BU15,CS15,CV15),3),0)</f>
        <v>0</v>
      </c>
      <c r="O15" s="8" t="str">
        <f t="shared" si="7"/>
        <v/>
      </c>
      <c r="P15" s="8">
        <f t="shared" si="8"/>
        <v>49.47</v>
      </c>
      <c r="Q15" s="8" t="str">
        <f t="shared" si="9"/>
        <v>2023 Nationals</v>
      </c>
      <c r="R15" s="8">
        <f t="shared" si="10"/>
        <v>11.9</v>
      </c>
      <c r="S15" s="8" t="str">
        <f t="shared" si="11"/>
        <v>2023 WAGC (Nov 18)</v>
      </c>
      <c r="T15" s="8">
        <f t="shared" si="12"/>
        <v>0</v>
      </c>
      <c r="U15" s="8" t="str">
        <f t="shared" si="13"/>
        <v/>
      </c>
      <c r="V15" s="8">
        <f t="shared" si="14"/>
        <v>50.03</v>
      </c>
      <c r="W15" s="11" t="str">
        <f t="shared" si="15"/>
        <v>(Prelim)</v>
      </c>
      <c r="X15" s="8" t="str">
        <f t="shared" si="16"/>
        <v>2023 WAGC (Nov 18)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 t="shared" si="17"/>
        <v/>
      </c>
      <c r="AP15" s="39" t="str">
        <f t="shared" si="18"/>
        <v/>
      </c>
      <c r="AQ15" s="41" t="str">
        <f t="shared" si="19"/>
        <v/>
      </c>
      <c r="AR15" s="41" t="str">
        <f t="shared" si="20"/>
        <v/>
      </c>
      <c r="AS15" s="41" t="str">
        <f t="shared" si="21"/>
        <v/>
      </c>
      <c r="AT15" s="41" t="str">
        <f t="shared" si="22"/>
        <v/>
      </c>
      <c r="AU15" s="41" t="str">
        <f t="shared" si="23"/>
        <v/>
      </c>
      <c r="AV15" s="41" t="str">
        <f t="shared" si="24"/>
        <v/>
      </c>
      <c r="AW15" s="41" t="str">
        <f t="shared" si="25"/>
        <v/>
      </c>
      <c r="AX15" s="41" t="str">
        <f t="shared" si="26"/>
        <v/>
      </c>
      <c r="AY15" s="41" t="str">
        <f t="shared" si="27"/>
        <v/>
      </c>
      <c r="AZ15" s="27">
        <v>14.6</v>
      </c>
      <c r="BA15" s="27">
        <v>9.1999999999999993</v>
      </c>
      <c r="BB15" s="27">
        <v>11.7</v>
      </c>
      <c r="BC15" s="27">
        <v>13.69</v>
      </c>
      <c r="BD15" s="27">
        <v>0</v>
      </c>
      <c r="BE15" s="27"/>
      <c r="BF15" s="27"/>
      <c r="BG15" s="27"/>
      <c r="BH15" s="27"/>
      <c r="BI15" s="27"/>
      <c r="BJ15" s="27">
        <v>15</v>
      </c>
      <c r="BK15" s="27">
        <v>9.3000000000000007</v>
      </c>
      <c r="BL15" s="27">
        <v>11.7</v>
      </c>
      <c r="BM15" s="27">
        <v>13.47</v>
      </c>
      <c r="BN15" s="27">
        <v>0</v>
      </c>
      <c r="BO15" s="29"/>
      <c r="BP15" s="40">
        <f t="shared" si="28"/>
        <v>11.7</v>
      </c>
      <c r="BQ15" s="40">
        <f t="shared" si="29"/>
        <v>13.69</v>
      </c>
      <c r="BR15" s="11">
        <f t="shared" si="30"/>
        <v>49.19</v>
      </c>
      <c r="BS15" s="11" t="str">
        <f t="shared" si="31"/>
        <v/>
      </c>
      <c r="BT15" s="11" t="str">
        <f t="shared" si="32"/>
        <v/>
      </c>
      <c r="BU15" s="11" t="str">
        <f t="shared" si="33"/>
        <v/>
      </c>
      <c r="BV15" s="11">
        <f t="shared" si="34"/>
        <v>49.19</v>
      </c>
      <c r="BW15" s="11">
        <f t="shared" si="35"/>
        <v>11.7</v>
      </c>
      <c r="BX15" s="11">
        <f t="shared" si="36"/>
        <v>13.47</v>
      </c>
      <c r="BY15" s="11">
        <f t="shared" si="37"/>
        <v>49.47</v>
      </c>
      <c r="BZ15" s="11">
        <f t="shared" si="38"/>
        <v>98.66</v>
      </c>
      <c r="CA15" s="23">
        <v>15.2</v>
      </c>
      <c r="CB15" s="23">
        <v>9</v>
      </c>
      <c r="CC15" s="23">
        <v>11.700000000000001</v>
      </c>
      <c r="CD15" s="23">
        <v>14.03</v>
      </c>
      <c r="CE15" s="23">
        <v>0</v>
      </c>
      <c r="CF15" s="23"/>
      <c r="CG15" s="23"/>
      <c r="CH15" s="23"/>
      <c r="CI15" s="23"/>
      <c r="CJ15" s="23"/>
      <c r="CK15" s="23">
        <v>6.9</v>
      </c>
      <c r="CL15" s="23">
        <v>4.5</v>
      </c>
      <c r="CM15" s="23">
        <v>6.2</v>
      </c>
      <c r="CN15" s="23">
        <v>7.25</v>
      </c>
      <c r="CO15" s="23">
        <v>0</v>
      </c>
      <c r="CP15" s="28"/>
      <c r="CQ15" s="39">
        <f t="shared" si="39"/>
        <v>11.700000000000001</v>
      </c>
      <c r="CR15" s="39">
        <f t="shared" si="40"/>
        <v>14.03</v>
      </c>
      <c r="CS15" s="41">
        <f t="shared" si="41"/>
        <v>49.93</v>
      </c>
      <c r="CT15" s="41" t="str">
        <f t="shared" si="42"/>
        <v/>
      </c>
      <c r="CU15" s="41" t="str">
        <f t="shared" si="43"/>
        <v/>
      </c>
      <c r="CV15" s="41" t="str">
        <f t="shared" si="44"/>
        <v/>
      </c>
      <c r="CW15" s="41">
        <f t="shared" si="45"/>
        <v>49.93</v>
      </c>
      <c r="CX15" s="41">
        <f t="shared" si="46"/>
        <v>6.2</v>
      </c>
      <c r="CY15" s="41">
        <f t="shared" si="47"/>
        <v>7.25</v>
      </c>
      <c r="CZ15" s="41">
        <f t="shared" si="48"/>
        <v>24.85</v>
      </c>
      <c r="DA15" s="41">
        <f t="shared" si="49"/>
        <v>74.78</v>
      </c>
      <c r="DB15" s="52">
        <f t="shared" si="50"/>
        <v>50.03</v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>
        <v>14.9</v>
      </c>
      <c r="QG15" s="17">
        <v>9.1</v>
      </c>
      <c r="QH15" s="17">
        <v>11.9</v>
      </c>
      <c r="QI15" s="17">
        <v>14.13</v>
      </c>
      <c r="QJ15" s="17">
        <v>0</v>
      </c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>
        <f t="shared" si="192"/>
        <v>11.9</v>
      </c>
      <c r="RA15" s="41">
        <f t="shared" si="193"/>
        <v>14.13</v>
      </c>
      <c r="RB15" s="41">
        <f t="shared" si="194"/>
        <v>50.03</v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>
        <f t="shared" si="198"/>
        <v>50.03</v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>
        <f t="shared" si="205"/>
        <v>50.03</v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14.899999999999999</v>
      </c>
      <c r="SW15" s="23">
        <f t="shared" si="221"/>
        <v>9.1</v>
      </c>
      <c r="SX15" s="23">
        <f t="shared" si="222"/>
        <v>11.7</v>
      </c>
      <c r="SY15" s="23">
        <f t="shared" si="223"/>
        <v>13.86</v>
      </c>
      <c r="SZ15" s="23">
        <f t="shared" si="224"/>
        <v>0</v>
      </c>
      <c r="TA15" s="23">
        <f t="shared" si="225"/>
        <v>0</v>
      </c>
      <c r="TB15" s="23">
        <f t="shared" si="226"/>
        <v>0</v>
      </c>
      <c r="TC15" s="23">
        <f t="shared" si="227"/>
        <v>0</v>
      </c>
      <c r="TD15" s="23">
        <f t="shared" si="228"/>
        <v>0</v>
      </c>
      <c r="TE15" s="23">
        <f t="shared" si="229"/>
        <v>0</v>
      </c>
      <c r="TF15" s="23">
        <f t="shared" si="230"/>
        <v>10.95</v>
      </c>
      <c r="TG15" s="23">
        <f t="shared" si="231"/>
        <v>6.9</v>
      </c>
      <c r="TH15" s="23">
        <f t="shared" si="232"/>
        <v>8.9499999999999993</v>
      </c>
      <c r="TI15" s="23">
        <f t="shared" si="233"/>
        <v>10.36</v>
      </c>
      <c r="TJ15" s="23">
        <f t="shared" si="234"/>
        <v>0</v>
      </c>
      <c r="TK15" s="28" t="s">
        <v>57</v>
      </c>
      <c r="TL15" s="41">
        <f t="shared" si="235"/>
        <v>11.7</v>
      </c>
      <c r="TM15" s="41">
        <f t="shared" si="236"/>
        <v>13.86</v>
      </c>
      <c r="TN15" s="41">
        <f t="shared" si="237"/>
        <v>49.56</v>
      </c>
      <c r="TO15" s="41" t="str">
        <f t="shared" si="238"/>
        <v/>
      </c>
      <c r="TP15" s="41" t="str">
        <f t="shared" si="239"/>
        <v/>
      </c>
      <c r="TQ15" s="41" t="str">
        <f t="shared" si="240"/>
        <v/>
      </c>
      <c r="TR15" s="41">
        <f t="shared" si="241"/>
        <v>49.56</v>
      </c>
      <c r="TS15" s="41">
        <f t="shared" si="242"/>
        <v>8.9499999999999993</v>
      </c>
      <c r="TT15" s="41">
        <f t="shared" si="243"/>
        <v>10.36</v>
      </c>
      <c r="TU15" s="41">
        <f t="shared" si="244"/>
        <v>37.159999999999997</v>
      </c>
      <c r="TV15" s="41">
        <f t="shared" si="245"/>
        <v>86.72</v>
      </c>
    </row>
    <row r="16" spans="1:542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154</v>
      </c>
      <c r="C16" s="4" t="s">
        <v>5</v>
      </c>
      <c r="D16" s="4">
        <v>2004</v>
      </c>
      <c r="E16" s="9">
        <f t="shared" si="0"/>
        <v>193.14001931400472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47.3</v>
      </c>
      <c r="K16" s="8" t="str">
        <f t="shared" si="5"/>
        <v>2023 Nationals</v>
      </c>
      <c r="L16" s="8">
        <f>IF(COUNT(AQ16,AT16,BR16,BU16,CS16,CV16)&gt;1,LARGE((AQ16,AT16,BR16,BU16,CS16,CV16),2),0)</f>
        <v>47.12</v>
      </c>
      <c r="M16" s="8" t="str">
        <f t="shared" si="6"/>
        <v>2023 Nationals</v>
      </c>
      <c r="N16" s="8">
        <f>IF(COUNT(AQ16,AT16,BR16,BU16,CS16,CV16)&gt;2,LARGE((AQ16,AT16,BR16,BU16,CS16,CV16),3),0)</f>
        <v>44.34</v>
      </c>
      <c r="O16" s="8" t="str">
        <f t="shared" si="7"/>
        <v>2023 Domestic 3rd Trial</v>
      </c>
      <c r="P16" s="8">
        <f t="shared" si="8"/>
        <v>42.98</v>
      </c>
      <c r="Q16" s="8" t="str">
        <f t="shared" si="9"/>
        <v>2023 Nationals</v>
      </c>
      <c r="R16" s="8">
        <f t="shared" si="10"/>
        <v>11.4</v>
      </c>
      <c r="S16" s="8" t="str">
        <f t="shared" si="11"/>
        <v>2023 Nationals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8"/>
      <c r="AO16" s="39" t="str">
        <f t="shared" si="17"/>
        <v/>
      </c>
      <c r="AP16" s="39" t="str">
        <f t="shared" si="18"/>
        <v/>
      </c>
      <c r="AQ16" s="41" t="str">
        <f t="shared" si="19"/>
        <v/>
      </c>
      <c r="AR16" s="41" t="str">
        <f t="shared" si="20"/>
        <v/>
      </c>
      <c r="AS16" s="41" t="str">
        <f t="shared" si="21"/>
        <v/>
      </c>
      <c r="AT16" s="41" t="str">
        <f t="shared" si="22"/>
        <v/>
      </c>
      <c r="AU16" s="41" t="str">
        <f t="shared" si="23"/>
        <v/>
      </c>
      <c r="AV16" s="41" t="str">
        <f t="shared" si="24"/>
        <v/>
      </c>
      <c r="AW16" s="41" t="str">
        <f t="shared" si="25"/>
        <v/>
      </c>
      <c r="AX16" s="41" t="str">
        <f t="shared" si="26"/>
        <v/>
      </c>
      <c r="AY16" s="41" t="str">
        <f t="shared" si="27"/>
        <v/>
      </c>
      <c r="AZ16" s="27">
        <v>13.4</v>
      </c>
      <c r="BA16" s="27">
        <v>8.9</v>
      </c>
      <c r="BB16" s="27">
        <v>11.2</v>
      </c>
      <c r="BC16" s="27">
        <v>13.62</v>
      </c>
      <c r="BD16" s="27">
        <v>0</v>
      </c>
      <c r="BE16" s="27">
        <v>13.7</v>
      </c>
      <c r="BF16" s="27">
        <v>8.6999999999999993</v>
      </c>
      <c r="BG16" s="27">
        <v>11.4</v>
      </c>
      <c r="BH16" s="27">
        <v>13.5</v>
      </c>
      <c r="BI16" s="27">
        <v>0</v>
      </c>
      <c r="BJ16" s="27">
        <v>12.3</v>
      </c>
      <c r="BK16" s="27">
        <v>8.6</v>
      </c>
      <c r="BL16" s="27">
        <v>10.1</v>
      </c>
      <c r="BM16" s="27">
        <v>13.08</v>
      </c>
      <c r="BN16" s="27">
        <v>1.1000000000000001</v>
      </c>
      <c r="BO16" s="29"/>
      <c r="BP16" s="40">
        <f t="shared" si="28"/>
        <v>11.2</v>
      </c>
      <c r="BQ16" s="40">
        <f t="shared" si="29"/>
        <v>13.62</v>
      </c>
      <c r="BR16" s="11">
        <f t="shared" si="30"/>
        <v>47.12</v>
      </c>
      <c r="BS16" s="11">
        <f t="shared" si="31"/>
        <v>11.4</v>
      </c>
      <c r="BT16" s="11">
        <f t="shared" si="32"/>
        <v>13.5</v>
      </c>
      <c r="BU16" s="11">
        <f t="shared" si="33"/>
        <v>47.3</v>
      </c>
      <c r="BV16" s="11">
        <f t="shared" si="34"/>
        <v>47.3</v>
      </c>
      <c r="BW16" s="11">
        <f t="shared" si="35"/>
        <v>10.1</v>
      </c>
      <c r="BX16" s="11">
        <f t="shared" si="36"/>
        <v>13.08</v>
      </c>
      <c r="BY16" s="11">
        <f t="shared" si="37"/>
        <v>42.98</v>
      </c>
      <c r="BZ16" s="11">
        <f t="shared" si="38"/>
        <v>90.28</v>
      </c>
      <c r="CA16" s="23">
        <v>11.9</v>
      </c>
      <c r="CB16" s="23">
        <v>8.6</v>
      </c>
      <c r="CC16" s="23">
        <v>10.3</v>
      </c>
      <c r="CD16" s="23">
        <v>14.44</v>
      </c>
      <c r="CE16" s="23">
        <v>0.9</v>
      </c>
      <c r="CF16" s="23">
        <v>5.2</v>
      </c>
      <c r="CG16" s="23">
        <v>3.2</v>
      </c>
      <c r="CH16" s="23">
        <v>3.7</v>
      </c>
      <c r="CI16" s="23">
        <v>5.93</v>
      </c>
      <c r="CJ16" s="23">
        <v>0.2</v>
      </c>
      <c r="CK16" s="23">
        <v>11.3</v>
      </c>
      <c r="CL16" s="23">
        <v>7.2</v>
      </c>
      <c r="CM16" s="23">
        <v>9.1999999999999993</v>
      </c>
      <c r="CN16" s="23">
        <v>11.73</v>
      </c>
      <c r="CO16" s="23">
        <v>0</v>
      </c>
      <c r="CP16" s="28"/>
      <c r="CQ16" s="39">
        <f t="shared" si="39"/>
        <v>10.3</v>
      </c>
      <c r="CR16" s="39">
        <f t="shared" si="40"/>
        <v>14.44</v>
      </c>
      <c r="CS16" s="41">
        <f t="shared" si="41"/>
        <v>44.34</v>
      </c>
      <c r="CT16" s="41">
        <f t="shared" si="42"/>
        <v>3.7</v>
      </c>
      <c r="CU16" s="41">
        <f t="shared" si="43"/>
        <v>5.93</v>
      </c>
      <c r="CV16" s="41">
        <f t="shared" si="44"/>
        <v>17.830000000000002</v>
      </c>
      <c r="CW16" s="41">
        <f t="shared" si="45"/>
        <v>44.34</v>
      </c>
      <c r="CX16" s="41">
        <f t="shared" si="46"/>
        <v>9.1999999999999993</v>
      </c>
      <c r="CY16" s="41">
        <f t="shared" si="47"/>
        <v>11.73</v>
      </c>
      <c r="CZ16" s="41">
        <f t="shared" si="48"/>
        <v>39.43</v>
      </c>
      <c r="DA16" s="41">
        <f t="shared" si="49"/>
        <v>83.77000000000001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12.65</v>
      </c>
      <c r="SW16" s="23">
        <f t="shared" si="221"/>
        <v>8.75</v>
      </c>
      <c r="SX16" s="23">
        <f t="shared" si="222"/>
        <v>10.75</v>
      </c>
      <c r="SY16" s="23">
        <f t="shared" si="223"/>
        <v>14.03</v>
      </c>
      <c r="SZ16" s="23">
        <f t="shared" si="224"/>
        <v>0.45</v>
      </c>
      <c r="TA16" s="23">
        <f t="shared" si="225"/>
        <v>9.4499999999999993</v>
      </c>
      <c r="TB16" s="23">
        <f t="shared" si="226"/>
        <v>5.9499999999999993</v>
      </c>
      <c r="TC16" s="23">
        <f t="shared" si="227"/>
        <v>7.5500000000000007</v>
      </c>
      <c r="TD16" s="23">
        <f t="shared" si="228"/>
        <v>9.7149999999999999</v>
      </c>
      <c r="TE16" s="23">
        <f t="shared" si="229"/>
        <v>0.1</v>
      </c>
      <c r="TF16" s="23">
        <f t="shared" si="230"/>
        <v>11.8</v>
      </c>
      <c r="TG16" s="23">
        <f t="shared" si="231"/>
        <v>7.9</v>
      </c>
      <c r="TH16" s="23">
        <f t="shared" si="232"/>
        <v>9.6499999999999986</v>
      </c>
      <c r="TI16" s="23">
        <f t="shared" si="233"/>
        <v>12.405000000000001</v>
      </c>
      <c r="TJ16" s="23">
        <f t="shared" si="234"/>
        <v>0.55000000000000004</v>
      </c>
      <c r="TK16" s="28" t="s">
        <v>57</v>
      </c>
      <c r="TL16" s="41">
        <f t="shared" si="235"/>
        <v>10.75</v>
      </c>
      <c r="TM16" s="41">
        <f t="shared" si="236"/>
        <v>14.03</v>
      </c>
      <c r="TN16" s="41">
        <f t="shared" si="237"/>
        <v>45.73</v>
      </c>
      <c r="TO16" s="41">
        <f t="shared" si="238"/>
        <v>7.5500000000000007</v>
      </c>
      <c r="TP16" s="41">
        <f t="shared" si="239"/>
        <v>9.7149999999999999</v>
      </c>
      <c r="TQ16" s="41">
        <f t="shared" si="240"/>
        <v>32.564999999999998</v>
      </c>
      <c r="TR16" s="41">
        <f t="shared" si="241"/>
        <v>45.73</v>
      </c>
      <c r="TS16" s="41">
        <f t="shared" si="242"/>
        <v>9.6499999999999986</v>
      </c>
      <c r="TT16" s="41">
        <f t="shared" si="243"/>
        <v>12.405000000000001</v>
      </c>
      <c r="TU16" s="41">
        <f t="shared" si="244"/>
        <v>41.205000000000005</v>
      </c>
      <c r="TV16" s="41">
        <f t="shared" si="245"/>
        <v>86.935000000000002</v>
      </c>
    </row>
    <row r="17" spans="1:544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133</v>
      </c>
      <c r="C17" s="4" t="s">
        <v>39</v>
      </c>
      <c r="D17" s="4">
        <v>2000</v>
      </c>
      <c r="E17" s="9">
        <f t="shared" si="0"/>
        <v>115.97001159700453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45.39</v>
      </c>
      <c r="K17" s="8" t="str">
        <f t="shared" si="5"/>
        <v>2023 Elite Canada</v>
      </c>
      <c r="L17" s="8">
        <f>IF(COUNT(AQ17,AT17,BR17,BU17,CS17,CV17)&gt;1,LARGE((AQ17,AT17,BR17,BU17,CS17,CV17),2),0)</f>
        <v>19.53</v>
      </c>
      <c r="M17" s="8" t="str">
        <f t="shared" si="6"/>
        <v>2023 Nationals</v>
      </c>
      <c r="N17" s="8">
        <f>IF(COUNT(AQ17,AT17,BR17,BU17,CS17,CV17)&gt;2,LARGE((AQ17,AT17,BR17,BU17,CS17,CV17),3),0)</f>
        <v>10.129999999999999</v>
      </c>
      <c r="O17" s="8" t="str">
        <f t="shared" si="7"/>
        <v>2023 Elite Canada</v>
      </c>
      <c r="P17" s="8">
        <f t="shared" si="8"/>
        <v>30.52</v>
      </c>
      <c r="Q17" s="8" t="str">
        <f t="shared" si="9"/>
        <v>2023 Elite Canada</v>
      </c>
      <c r="R17" s="8">
        <f t="shared" si="10"/>
        <v>10.4</v>
      </c>
      <c r="S17" s="8" t="str">
        <f t="shared" si="11"/>
        <v>2023 Elite Canada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12.4</v>
      </c>
      <c r="Z17" s="23">
        <v>8.6</v>
      </c>
      <c r="AA17" s="23">
        <v>10.4</v>
      </c>
      <c r="AB17" s="23">
        <v>13.99</v>
      </c>
      <c r="AC17" s="23">
        <v>0</v>
      </c>
      <c r="AD17" s="23">
        <v>2.6</v>
      </c>
      <c r="AE17" s="23">
        <v>2</v>
      </c>
      <c r="AF17" s="23">
        <v>2.5</v>
      </c>
      <c r="AG17" s="23">
        <v>3.03</v>
      </c>
      <c r="AH17" s="23">
        <v>0</v>
      </c>
      <c r="AI17" s="23">
        <v>8.4</v>
      </c>
      <c r="AJ17" s="23">
        <v>5.8</v>
      </c>
      <c r="AK17" s="23">
        <v>6.8</v>
      </c>
      <c r="AL17" s="23">
        <v>9.52</v>
      </c>
      <c r="AM17" s="23">
        <v>0</v>
      </c>
      <c r="AN17" s="28"/>
      <c r="AO17" s="39">
        <f t="shared" si="17"/>
        <v>10.4</v>
      </c>
      <c r="AP17" s="39">
        <f t="shared" si="18"/>
        <v>13.99</v>
      </c>
      <c r="AQ17" s="41">
        <f t="shared" si="19"/>
        <v>45.39</v>
      </c>
      <c r="AR17" s="41">
        <f t="shared" si="20"/>
        <v>2.5</v>
      </c>
      <c r="AS17" s="41">
        <f t="shared" si="21"/>
        <v>3.03</v>
      </c>
      <c r="AT17" s="41">
        <f t="shared" si="22"/>
        <v>10.129999999999999</v>
      </c>
      <c r="AU17" s="41">
        <f t="shared" si="23"/>
        <v>45.39</v>
      </c>
      <c r="AV17" s="41">
        <f t="shared" si="24"/>
        <v>6.8</v>
      </c>
      <c r="AW17" s="41">
        <f t="shared" si="25"/>
        <v>9.52</v>
      </c>
      <c r="AX17" s="41">
        <f t="shared" si="26"/>
        <v>30.52</v>
      </c>
      <c r="AY17" s="41">
        <f t="shared" si="27"/>
        <v>75.91</v>
      </c>
      <c r="AZ17" s="27">
        <v>3.1</v>
      </c>
      <c r="BA17" s="27">
        <v>1.8</v>
      </c>
      <c r="BB17" s="27">
        <v>2</v>
      </c>
      <c r="BC17" s="27">
        <v>2.94</v>
      </c>
      <c r="BD17" s="27">
        <v>0</v>
      </c>
      <c r="BE17" s="27">
        <v>5.9</v>
      </c>
      <c r="BF17" s="27">
        <v>3.4</v>
      </c>
      <c r="BG17" s="27">
        <v>4.4000000000000004</v>
      </c>
      <c r="BH17" s="27">
        <v>5.83</v>
      </c>
      <c r="BI17" s="27">
        <v>0</v>
      </c>
      <c r="BJ17" s="27"/>
      <c r="BK17" s="27"/>
      <c r="BL17" s="27"/>
      <c r="BM17" s="27"/>
      <c r="BN17" s="27"/>
      <c r="BO17" s="29"/>
      <c r="BP17" s="40">
        <f t="shared" si="28"/>
        <v>2</v>
      </c>
      <c r="BQ17" s="40">
        <f t="shared" si="29"/>
        <v>2.94</v>
      </c>
      <c r="BR17" s="11">
        <f t="shared" si="30"/>
        <v>9.84</v>
      </c>
      <c r="BS17" s="11">
        <f t="shared" si="31"/>
        <v>4.4000000000000004</v>
      </c>
      <c r="BT17" s="11">
        <f t="shared" si="32"/>
        <v>5.83</v>
      </c>
      <c r="BU17" s="11">
        <f t="shared" si="33"/>
        <v>19.53</v>
      </c>
      <c r="BV17" s="11">
        <f t="shared" si="34"/>
        <v>19.53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19.53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1.55</v>
      </c>
      <c r="SW17" s="23">
        <f t="shared" si="221"/>
        <v>0.9</v>
      </c>
      <c r="SX17" s="23">
        <f t="shared" si="222"/>
        <v>1</v>
      </c>
      <c r="SY17" s="23">
        <f t="shared" si="223"/>
        <v>1.47</v>
      </c>
      <c r="SZ17" s="23">
        <f t="shared" si="224"/>
        <v>0</v>
      </c>
      <c r="TA17" s="23">
        <f t="shared" si="225"/>
        <v>2.95</v>
      </c>
      <c r="TB17" s="23">
        <f t="shared" si="226"/>
        <v>1.7</v>
      </c>
      <c r="TC17" s="23">
        <f t="shared" si="227"/>
        <v>2.2000000000000002</v>
      </c>
      <c r="TD17" s="23">
        <f t="shared" si="228"/>
        <v>2.915</v>
      </c>
      <c r="TE17" s="23">
        <f t="shared" si="229"/>
        <v>0</v>
      </c>
      <c r="TF17" s="23">
        <f t="shared" si="230"/>
        <v>0</v>
      </c>
      <c r="TG17" s="23">
        <f t="shared" si="231"/>
        <v>0</v>
      </c>
      <c r="TH17" s="23">
        <f t="shared" si="232"/>
        <v>0</v>
      </c>
      <c r="TI17" s="23">
        <f t="shared" si="233"/>
        <v>0</v>
      </c>
      <c r="TJ17" s="23">
        <f t="shared" si="234"/>
        <v>0</v>
      </c>
      <c r="TK17" s="28" t="s">
        <v>57</v>
      </c>
      <c r="TL17" s="41">
        <f t="shared" si="235"/>
        <v>1</v>
      </c>
      <c r="TM17" s="41">
        <f t="shared" si="236"/>
        <v>1.47</v>
      </c>
      <c r="TN17" s="41">
        <f t="shared" si="237"/>
        <v>4.92</v>
      </c>
      <c r="TO17" s="41">
        <f t="shared" si="238"/>
        <v>2.2000000000000002</v>
      </c>
      <c r="TP17" s="41">
        <f t="shared" si="239"/>
        <v>2.915</v>
      </c>
      <c r="TQ17" s="41">
        <f t="shared" si="240"/>
        <v>9.7650000000000006</v>
      </c>
      <c r="TR17" s="41">
        <f t="shared" si="241"/>
        <v>9.7650000000000006</v>
      </c>
      <c r="TS17" s="41" t="str">
        <f t="shared" si="242"/>
        <v/>
      </c>
      <c r="TT17" s="41" t="str">
        <f t="shared" si="243"/>
        <v/>
      </c>
      <c r="TU17" s="41" t="str">
        <f t="shared" si="244"/>
        <v/>
      </c>
      <c r="TV17" s="41">
        <f t="shared" si="245"/>
        <v>9.7650000000000006</v>
      </c>
    </row>
    <row r="18" spans="1:544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82</v>
      </c>
      <c r="C18" s="4" t="s">
        <v>3</v>
      </c>
      <c r="D18" s="4">
        <v>2002</v>
      </c>
      <c r="E18" s="9">
        <f t="shared" si="0"/>
        <v>60.450006045004521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45.2</v>
      </c>
      <c r="K18" s="8" t="str">
        <f t="shared" si="5"/>
        <v>2023 Elite Canada</v>
      </c>
      <c r="L18" s="8">
        <f>IF(COUNT(AQ18,AT18,BR18,BU18,CS18,CV18)&gt;1,LARGE((AQ18,AT18,BR18,BU18,CS18,CV18),2),0)</f>
        <v>5.35</v>
      </c>
      <c r="M18" s="8" t="str">
        <f t="shared" si="6"/>
        <v>2023 Elite Canada</v>
      </c>
      <c r="N18" s="8">
        <f>IF(COUNT(AQ18,AT18,BR18,BU18,CS18,CV18)&gt;2,LARGE((AQ18,AT18,BR18,BU18,CS18,CV18),3),0)</f>
        <v>0</v>
      </c>
      <c r="O18" s="8" t="str">
        <f t="shared" si="7"/>
        <v/>
      </c>
      <c r="P18" s="8">
        <f t="shared" si="8"/>
        <v>0</v>
      </c>
      <c r="Q18" s="8" t="str">
        <f t="shared" si="9"/>
        <v/>
      </c>
      <c r="R18" s="8">
        <f t="shared" si="10"/>
        <v>9.9</v>
      </c>
      <c r="S18" s="8" t="str">
        <f t="shared" si="11"/>
        <v>2023 Elite Canada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14</v>
      </c>
      <c r="Z18" s="23">
        <v>8.5</v>
      </c>
      <c r="AA18" s="23">
        <v>9.9</v>
      </c>
      <c r="AB18" s="23">
        <v>12.8</v>
      </c>
      <c r="AC18" s="23">
        <v>0</v>
      </c>
      <c r="AD18" s="23">
        <v>1.4</v>
      </c>
      <c r="AE18" s="23">
        <v>0.9</v>
      </c>
      <c r="AF18" s="23">
        <v>1.5</v>
      </c>
      <c r="AG18" s="23">
        <v>1.55</v>
      </c>
      <c r="AH18" s="23">
        <v>0</v>
      </c>
      <c r="AI18" s="23"/>
      <c r="AJ18" s="23"/>
      <c r="AK18" s="23"/>
      <c r="AL18" s="23"/>
      <c r="AM18" s="23"/>
      <c r="AN18" s="28"/>
      <c r="AO18" s="39">
        <f t="shared" si="17"/>
        <v>9.9</v>
      </c>
      <c r="AP18" s="39">
        <f t="shared" si="18"/>
        <v>12.8</v>
      </c>
      <c r="AQ18" s="41">
        <f t="shared" si="19"/>
        <v>45.2</v>
      </c>
      <c r="AR18" s="41">
        <f t="shared" si="20"/>
        <v>1.5</v>
      </c>
      <c r="AS18" s="41">
        <f t="shared" si="21"/>
        <v>1.55</v>
      </c>
      <c r="AT18" s="41">
        <f t="shared" si="22"/>
        <v>5.35</v>
      </c>
      <c r="AU18" s="41">
        <f t="shared" si="23"/>
        <v>45.2</v>
      </c>
      <c r="AV18" s="41" t="str">
        <f t="shared" si="24"/>
        <v/>
      </c>
      <c r="AW18" s="41" t="str">
        <f t="shared" si="25"/>
        <v/>
      </c>
      <c r="AX18" s="41" t="str">
        <f t="shared" si="26"/>
        <v/>
      </c>
      <c r="AY18" s="41">
        <f t="shared" si="27"/>
        <v>45.2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 t="shared" si="28"/>
        <v/>
      </c>
      <c r="BQ18" s="40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 t="str">
        <f t="shared" si="38"/>
        <v/>
      </c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8"/>
      <c r="CQ18" s="39" t="str">
        <f t="shared" si="39"/>
        <v/>
      </c>
      <c r="CR18" s="39" t="str">
        <f t="shared" si="40"/>
        <v/>
      </c>
      <c r="CS18" s="41" t="str">
        <f t="shared" si="41"/>
        <v/>
      </c>
      <c r="CT18" s="41" t="str">
        <f t="shared" si="42"/>
        <v/>
      </c>
      <c r="CU18" s="41" t="str">
        <f t="shared" si="43"/>
        <v/>
      </c>
      <c r="CV18" s="41" t="str">
        <f t="shared" si="44"/>
        <v/>
      </c>
      <c r="CW18" s="41" t="str">
        <f t="shared" si="45"/>
        <v/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 t="str">
        <f t="shared" si="49"/>
        <v/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0</v>
      </c>
      <c r="SW18" s="23">
        <f t="shared" si="221"/>
        <v>0</v>
      </c>
      <c r="SX18" s="23">
        <f t="shared" si="222"/>
        <v>0</v>
      </c>
      <c r="SY18" s="23">
        <f t="shared" si="223"/>
        <v>0</v>
      </c>
      <c r="SZ18" s="23">
        <f t="shared" si="224"/>
        <v>0</v>
      </c>
      <c r="TA18" s="23">
        <f t="shared" si="225"/>
        <v>0</v>
      </c>
      <c r="TB18" s="23">
        <f t="shared" si="226"/>
        <v>0</v>
      </c>
      <c r="TC18" s="23">
        <f t="shared" si="227"/>
        <v>0</v>
      </c>
      <c r="TD18" s="23">
        <f t="shared" si="228"/>
        <v>0</v>
      </c>
      <c r="TE18" s="23">
        <f t="shared" si="229"/>
        <v>0</v>
      </c>
      <c r="TF18" s="23">
        <f t="shared" si="230"/>
        <v>0</v>
      </c>
      <c r="TG18" s="23">
        <f t="shared" si="231"/>
        <v>0</v>
      </c>
      <c r="TH18" s="23">
        <f t="shared" si="232"/>
        <v>0</v>
      </c>
      <c r="TI18" s="23">
        <f t="shared" si="233"/>
        <v>0</v>
      </c>
      <c r="TJ18" s="23">
        <f t="shared" si="234"/>
        <v>0</v>
      </c>
      <c r="TK18" s="28" t="s">
        <v>57</v>
      </c>
      <c r="TL18" s="41" t="str">
        <f t="shared" si="235"/>
        <v/>
      </c>
      <c r="TM18" s="41" t="str">
        <f t="shared" si="236"/>
        <v/>
      </c>
      <c r="TN18" s="41" t="str">
        <f t="shared" si="237"/>
        <v/>
      </c>
      <c r="TO18" s="41" t="str">
        <f t="shared" si="238"/>
        <v/>
      </c>
      <c r="TP18" s="41" t="str">
        <f t="shared" si="239"/>
        <v/>
      </c>
      <c r="TQ18" s="41" t="str">
        <f t="shared" si="240"/>
        <v/>
      </c>
      <c r="TR18" s="41" t="str">
        <f t="shared" si="241"/>
        <v/>
      </c>
      <c r="TS18" s="41" t="str">
        <f t="shared" si="242"/>
        <v/>
      </c>
      <c r="TT18" s="41" t="str">
        <f t="shared" si="243"/>
        <v/>
      </c>
      <c r="TU18" s="41" t="str">
        <f t="shared" si="244"/>
        <v/>
      </c>
      <c r="TV18" s="41" t="str">
        <f t="shared" si="245"/>
        <v/>
      </c>
    </row>
    <row r="19" spans="1:544" x14ac:dyDescent="0.2">
      <c r="B19" s="5"/>
      <c r="D19" s="1"/>
    </row>
    <row r="20" spans="1:544" x14ac:dyDescent="0.2">
      <c r="G20" s="37"/>
      <c r="I20" s="37"/>
    </row>
    <row r="21" spans="1:544" x14ac:dyDescent="0.2">
      <c r="B21" s="24" t="s">
        <v>54</v>
      </c>
      <c r="C21" s="5"/>
      <c r="G21" s="3"/>
      <c r="AR21" s="42"/>
      <c r="AS21" s="42"/>
      <c r="AT21" s="42"/>
      <c r="AV21" s="33"/>
      <c r="AW21" s="33"/>
      <c r="AY21" s="43">
        <v>12.7</v>
      </c>
      <c r="BS21" s="42"/>
      <c r="BT21" s="42"/>
      <c r="BU21" s="42"/>
      <c r="BW21" s="33"/>
      <c r="BX21" s="33"/>
      <c r="BZ21" s="43">
        <v>12.7</v>
      </c>
      <c r="CT21" s="42"/>
      <c r="CU21" s="42"/>
      <c r="CV21" s="42"/>
      <c r="CX21" s="33"/>
      <c r="CY21" s="33"/>
      <c r="DA21" s="43">
        <v>12.7</v>
      </c>
      <c r="DX21" s="5"/>
      <c r="DY21" s="5"/>
      <c r="EH21" s="2"/>
      <c r="EI21" s="2"/>
      <c r="EK21" s="43">
        <v>12.7</v>
      </c>
      <c r="FF21" s="5"/>
      <c r="FG21" s="5"/>
      <c r="FP21" s="2"/>
      <c r="FQ21" s="2"/>
      <c r="FS21" s="43">
        <v>12.7</v>
      </c>
      <c r="GN21" s="5"/>
      <c r="GO21" s="5"/>
      <c r="GX21" s="2"/>
      <c r="GY21" s="2"/>
      <c r="HA21" s="43">
        <v>12.7</v>
      </c>
      <c r="HV21" s="5"/>
      <c r="HW21" s="5"/>
      <c r="IF21" s="2"/>
      <c r="IG21" s="2"/>
      <c r="II21" s="43">
        <v>12.7</v>
      </c>
      <c r="JD21" s="5"/>
      <c r="JE21" s="5"/>
      <c r="JN21" s="2"/>
      <c r="JO21" s="2"/>
      <c r="JQ21" s="43">
        <v>12.7</v>
      </c>
      <c r="KL21" s="5"/>
      <c r="KM21" s="5"/>
      <c r="KV21" s="2"/>
      <c r="KW21" s="2"/>
      <c r="KY21" s="43">
        <v>12.7</v>
      </c>
      <c r="LT21" s="5"/>
      <c r="LU21" s="5"/>
      <c r="MD21" s="2"/>
      <c r="ME21" s="2"/>
      <c r="MG21" s="43">
        <v>12.7</v>
      </c>
      <c r="NB21" s="5"/>
      <c r="NC21" s="5"/>
      <c r="NL21" s="2"/>
      <c r="NM21" s="2"/>
      <c r="NO21" s="43">
        <v>12.7</v>
      </c>
      <c r="OJ21" s="5"/>
      <c r="OK21" s="5"/>
      <c r="OT21" s="2"/>
      <c r="OU21" s="2"/>
      <c r="OW21" s="43">
        <v>12.7</v>
      </c>
      <c r="PR21" s="5"/>
      <c r="PS21" s="5"/>
      <c r="QB21" s="2"/>
      <c r="QC21" s="2"/>
      <c r="QE21" s="43">
        <v>12.7</v>
      </c>
      <c r="QZ21" s="5"/>
      <c r="RA21" s="5"/>
      <c r="RJ21" s="2"/>
      <c r="RK21" s="2"/>
      <c r="RM21" s="43">
        <v>12.7</v>
      </c>
      <c r="SH21" s="5"/>
      <c r="SI21" s="5"/>
      <c r="SR21" s="2"/>
      <c r="SS21" s="2"/>
      <c r="SU21" s="43">
        <v>12.7</v>
      </c>
    </row>
    <row r="22" spans="1:544" x14ac:dyDescent="0.2">
      <c r="B22" s="31" t="s">
        <v>53</v>
      </c>
      <c r="C22" s="5"/>
      <c r="X22" s="2"/>
      <c r="AR22" s="42"/>
      <c r="AS22" s="42"/>
      <c r="AT22" s="42"/>
      <c r="AV22" s="33"/>
      <c r="AW22" s="33"/>
      <c r="AY22" s="44">
        <v>13.1</v>
      </c>
      <c r="BS22" s="42"/>
      <c r="BT22" s="42"/>
      <c r="BU22" s="42"/>
      <c r="BW22" s="33"/>
      <c r="BX22" s="33"/>
      <c r="BZ22" s="44">
        <v>13.1</v>
      </c>
      <c r="CT22" s="42"/>
      <c r="CU22" s="42"/>
      <c r="CV22" s="42"/>
      <c r="CX22" s="33"/>
      <c r="CY22" s="33"/>
      <c r="DA22" s="44">
        <v>13.1</v>
      </c>
      <c r="DX22" s="5"/>
      <c r="DY22" s="5"/>
      <c r="EH22" s="2"/>
      <c r="EI22" s="2"/>
      <c r="EK22" s="44">
        <v>13.1</v>
      </c>
      <c r="FF22" s="5"/>
      <c r="FG22" s="5"/>
      <c r="FP22" s="2"/>
      <c r="FQ22" s="2"/>
      <c r="FS22" s="44">
        <v>13.1</v>
      </c>
      <c r="GN22" s="5"/>
      <c r="GO22" s="5"/>
      <c r="GX22" s="2"/>
      <c r="GY22" s="2"/>
      <c r="HA22" s="44">
        <v>13.1</v>
      </c>
      <c r="HV22" s="5"/>
      <c r="HW22" s="5"/>
      <c r="IF22" s="2"/>
      <c r="IG22" s="2"/>
      <c r="II22" s="44">
        <v>13.1</v>
      </c>
      <c r="JD22" s="5"/>
      <c r="JE22" s="5"/>
      <c r="JN22" s="2"/>
      <c r="JO22" s="2"/>
      <c r="JQ22" s="44">
        <v>13.1</v>
      </c>
      <c r="KL22" s="5"/>
      <c r="KM22" s="5"/>
      <c r="KV22" s="2"/>
      <c r="KW22" s="2"/>
      <c r="KY22" s="44">
        <v>13.1</v>
      </c>
      <c r="LT22" s="5"/>
      <c r="LU22" s="5"/>
      <c r="MD22" s="2"/>
      <c r="ME22" s="2"/>
      <c r="MG22" s="44">
        <v>13.1</v>
      </c>
      <c r="NB22" s="5"/>
      <c r="NC22" s="5"/>
      <c r="NL22" s="2"/>
      <c r="NM22" s="2"/>
      <c r="NO22" s="44">
        <v>13.1</v>
      </c>
      <c r="OJ22" s="5"/>
      <c r="OK22" s="5"/>
      <c r="OT22" s="2"/>
      <c r="OU22" s="2"/>
      <c r="OW22" s="44">
        <v>13.1</v>
      </c>
      <c r="PR22" s="5"/>
      <c r="PS22" s="5"/>
      <c r="QB22" s="2"/>
      <c r="QC22" s="2"/>
      <c r="QE22" s="44">
        <v>13.1</v>
      </c>
      <c r="QZ22" s="5"/>
      <c r="RA22" s="5"/>
      <c r="RJ22" s="2"/>
      <c r="RK22" s="2"/>
      <c r="RM22" s="44">
        <v>13.1</v>
      </c>
      <c r="SH22" s="5"/>
      <c r="SI22" s="5"/>
      <c r="SR22" s="2"/>
      <c r="SS22" s="2"/>
      <c r="SU22" s="44">
        <v>13.1</v>
      </c>
    </row>
    <row r="23" spans="1:544" x14ac:dyDescent="0.2">
      <c r="A23" s="5"/>
      <c r="B23" s="32" t="s">
        <v>67</v>
      </c>
      <c r="C23" s="5"/>
      <c r="E23" s="2"/>
      <c r="AR23" s="42"/>
      <c r="AS23" s="42"/>
      <c r="AT23" s="42"/>
      <c r="AU23" s="33"/>
      <c r="AV23" s="33"/>
      <c r="AW23" s="33"/>
      <c r="AX23" s="33"/>
      <c r="AY23" s="45">
        <v>13.5</v>
      </c>
      <c r="BS23" s="42"/>
      <c r="BT23" s="42"/>
      <c r="BU23" s="42"/>
      <c r="BW23" s="33"/>
      <c r="BX23" s="33"/>
      <c r="BZ23" s="45">
        <v>13.5</v>
      </c>
      <c r="CT23" s="42"/>
      <c r="CU23" s="42"/>
      <c r="CV23" s="42"/>
      <c r="CW23" s="33"/>
      <c r="CX23" s="33"/>
      <c r="CY23" s="33"/>
      <c r="CZ23" s="33"/>
      <c r="DA23" s="45">
        <v>13.5</v>
      </c>
      <c r="DX23" s="5"/>
      <c r="DY23" s="5"/>
      <c r="EH23" s="2"/>
      <c r="EI23" s="2"/>
      <c r="EK23" s="45">
        <v>13.5</v>
      </c>
      <c r="FF23" s="5"/>
      <c r="FG23" s="5"/>
      <c r="FP23" s="2"/>
      <c r="FQ23" s="2"/>
      <c r="FS23" s="45">
        <v>13.5</v>
      </c>
      <c r="GN23" s="5"/>
      <c r="GO23" s="5"/>
      <c r="GX23" s="2"/>
      <c r="GY23" s="2"/>
      <c r="HA23" s="45">
        <v>13.5</v>
      </c>
      <c r="HV23" s="5"/>
      <c r="HW23" s="5"/>
      <c r="IF23" s="2"/>
      <c r="IG23" s="2"/>
      <c r="II23" s="45">
        <v>13.5</v>
      </c>
      <c r="JD23" s="5"/>
      <c r="JE23" s="5"/>
      <c r="JN23" s="2"/>
      <c r="JO23" s="2"/>
      <c r="JQ23" s="45">
        <v>13.5</v>
      </c>
      <c r="KL23" s="5"/>
      <c r="KM23" s="5"/>
      <c r="KV23" s="2"/>
      <c r="KW23" s="2"/>
      <c r="KY23" s="45">
        <v>13.5</v>
      </c>
      <c r="LT23" s="5"/>
      <c r="LU23" s="5"/>
      <c r="MD23" s="2"/>
      <c r="ME23" s="2"/>
      <c r="MG23" s="45">
        <v>13.5</v>
      </c>
      <c r="NB23" s="5"/>
      <c r="NC23" s="5"/>
      <c r="NL23" s="2"/>
      <c r="NM23" s="2"/>
      <c r="NO23" s="45">
        <v>13.5</v>
      </c>
      <c r="OJ23" s="5"/>
      <c r="OK23" s="5"/>
      <c r="OT23" s="2"/>
      <c r="OU23" s="2"/>
      <c r="OW23" s="45">
        <v>13.5</v>
      </c>
      <c r="PR23" s="5"/>
      <c r="PS23" s="5"/>
      <c r="QB23" s="2"/>
      <c r="QC23" s="2"/>
      <c r="QE23" s="45">
        <v>13.5</v>
      </c>
      <c r="QZ23" s="5"/>
      <c r="RA23" s="5"/>
      <c r="RJ23" s="2"/>
      <c r="RK23" s="2"/>
      <c r="RM23" s="45">
        <v>13.5</v>
      </c>
      <c r="SH23" s="5"/>
      <c r="SI23" s="5"/>
      <c r="SR23" s="2"/>
      <c r="SS23" s="2"/>
      <c r="SU23" s="45">
        <v>13.5</v>
      </c>
    </row>
    <row r="24" spans="1:544" x14ac:dyDescent="0.2">
      <c r="A24" s="5"/>
      <c r="B24" s="36" t="s">
        <v>80</v>
      </c>
      <c r="C24" s="5"/>
      <c r="E24" s="2"/>
      <c r="AR24" s="42"/>
      <c r="AS24" s="42"/>
      <c r="AT24" s="42"/>
      <c r="AU24" s="33"/>
      <c r="AV24" s="33"/>
      <c r="AW24" s="33"/>
      <c r="AX24" s="33"/>
      <c r="AY24" s="46">
        <v>14</v>
      </c>
      <c r="BS24" s="42"/>
      <c r="BT24" s="42"/>
      <c r="BU24" s="42"/>
      <c r="BW24" s="33"/>
      <c r="BX24" s="33"/>
      <c r="BZ24" s="46">
        <v>14</v>
      </c>
      <c r="CT24" s="42"/>
      <c r="CU24" s="42"/>
      <c r="CV24" s="42"/>
      <c r="CW24" s="33"/>
      <c r="CX24" s="33"/>
      <c r="CY24" s="33"/>
      <c r="CZ24" s="33"/>
      <c r="DA24" s="46">
        <v>14</v>
      </c>
      <c r="DX24" s="5"/>
      <c r="DY24" s="5"/>
      <c r="EH24" s="2"/>
      <c r="EI24" s="2"/>
      <c r="EK24" s="46">
        <v>14</v>
      </c>
      <c r="FF24" s="5"/>
      <c r="FG24" s="5"/>
      <c r="FP24" s="2"/>
      <c r="FQ24" s="2"/>
      <c r="FS24" s="46">
        <v>14</v>
      </c>
      <c r="GN24" s="5"/>
      <c r="GO24" s="5"/>
      <c r="GX24" s="2"/>
      <c r="GY24" s="2"/>
      <c r="HA24" s="46">
        <v>14</v>
      </c>
      <c r="HV24" s="5"/>
      <c r="HW24" s="5"/>
      <c r="IF24" s="2"/>
      <c r="IG24" s="2"/>
      <c r="II24" s="46">
        <v>14</v>
      </c>
      <c r="JD24" s="5"/>
      <c r="JE24" s="5"/>
      <c r="JN24" s="2"/>
      <c r="JO24" s="2"/>
      <c r="JQ24" s="46">
        <v>14</v>
      </c>
      <c r="KL24" s="5"/>
      <c r="KM24" s="5"/>
      <c r="KV24" s="2"/>
      <c r="KW24" s="2"/>
      <c r="KY24" s="46">
        <v>14</v>
      </c>
      <c r="LT24" s="5"/>
      <c r="LU24" s="5"/>
      <c r="MD24" s="2"/>
      <c r="ME24" s="2"/>
      <c r="MG24" s="46">
        <v>14</v>
      </c>
      <c r="NB24" s="5"/>
      <c r="NC24" s="5"/>
      <c r="NL24" s="2"/>
      <c r="NM24" s="2"/>
      <c r="NO24" s="46">
        <v>14</v>
      </c>
      <c r="OJ24" s="5"/>
      <c r="OK24" s="5"/>
      <c r="OT24" s="2"/>
      <c r="OU24" s="2"/>
      <c r="OW24" s="46">
        <v>14</v>
      </c>
      <c r="PR24" s="5"/>
      <c r="PS24" s="5"/>
      <c r="QB24" s="2"/>
      <c r="QC24" s="2"/>
      <c r="QE24" s="46">
        <v>14</v>
      </c>
      <c r="QZ24" s="5"/>
      <c r="RA24" s="5"/>
      <c r="RJ24" s="2"/>
      <c r="RK24" s="2"/>
      <c r="RM24" s="46">
        <v>14</v>
      </c>
      <c r="SH24" s="5"/>
      <c r="SI24" s="5"/>
      <c r="SR24" s="2"/>
      <c r="SS24" s="2"/>
      <c r="SU24" s="46">
        <v>14</v>
      </c>
    </row>
    <row r="25" spans="1:544" x14ac:dyDescent="0.2">
      <c r="A25" s="5"/>
      <c r="B25" s="35" t="s">
        <v>51</v>
      </c>
      <c r="C25" s="5"/>
      <c r="P25" s="2"/>
      <c r="AR25" s="42"/>
      <c r="AS25" s="42"/>
      <c r="AT25" s="42"/>
      <c r="AU25" s="33"/>
      <c r="AV25" s="33"/>
      <c r="AW25" s="33"/>
      <c r="AX25" s="33"/>
      <c r="AY25" s="47">
        <v>49.5</v>
      </c>
      <c r="BS25" s="42"/>
      <c r="BT25" s="42"/>
      <c r="BU25" s="42"/>
      <c r="BW25" s="33"/>
      <c r="BX25" s="33"/>
      <c r="BZ25" s="47">
        <v>49.5</v>
      </c>
      <c r="CT25" s="42"/>
      <c r="CU25" s="42"/>
      <c r="CV25" s="42"/>
      <c r="CW25" s="33"/>
      <c r="CX25" s="33"/>
      <c r="CY25" s="33"/>
      <c r="CZ25" s="33"/>
      <c r="DA25" s="47">
        <v>49.5</v>
      </c>
      <c r="DX25" s="5"/>
      <c r="DY25" s="5"/>
      <c r="EH25" s="2"/>
      <c r="EI25" s="2"/>
      <c r="EK25" s="47">
        <v>49.5</v>
      </c>
      <c r="FF25" s="5"/>
      <c r="FG25" s="5"/>
      <c r="FP25" s="2"/>
      <c r="FQ25" s="2"/>
      <c r="FS25" s="47">
        <v>49.5</v>
      </c>
      <c r="GN25" s="5"/>
      <c r="GO25" s="5"/>
      <c r="GX25" s="2"/>
      <c r="GY25" s="2"/>
      <c r="HA25" s="47">
        <v>49.5</v>
      </c>
      <c r="HV25" s="5"/>
      <c r="HW25" s="5"/>
      <c r="IF25" s="2"/>
      <c r="IG25" s="2"/>
      <c r="II25" s="47">
        <v>49.5</v>
      </c>
      <c r="JD25" s="5"/>
      <c r="JE25" s="5"/>
      <c r="JN25" s="2"/>
      <c r="JO25" s="2"/>
      <c r="JQ25" s="47">
        <v>49.5</v>
      </c>
      <c r="KL25" s="5"/>
      <c r="KM25" s="5"/>
      <c r="KV25" s="2"/>
      <c r="KW25" s="2"/>
      <c r="KY25" s="47">
        <v>49.5</v>
      </c>
      <c r="LT25" s="5"/>
      <c r="LU25" s="5"/>
      <c r="MD25" s="2"/>
      <c r="ME25" s="2"/>
      <c r="MG25" s="47">
        <v>49.5</v>
      </c>
      <c r="NB25" s="5"/>
      <c r="NC25" s="5"/>
      <c r="NL25" s="2"/>
      <c r="NM25" s="2"/>
      <c r="NO25" s="47">
        <v>49.5</v>
      </c>
      <c r="OJ25" s="5"/>
      <c r="OK25" s="5"/>
      <c r="OT25" s="2"/>
      <c r="OU25" s="2"/>
      <c r="OW25" s="47">
        <v>49.5</v>
      </c>
      <c r="PR25" s="5"/>
      <c r="PS25" s="5"/>
      <c r="QB25" s="2"/>
      <c r="QC25" s="2"/>
      <c r="QE25" s="47">
        <v>49.5</v>
      </c>
      <c r="QZ25" s="5"/>
      <c r="RA25" s="5"/>
      <c r="RJ25" s="2"/>
      <c r="RK25" s="2"/>
      <c r="RM25" s="47">
        <v>49.5</v>
      </c>
      <c r="SH25" s="5"/>
      <c r="SI25" s="5"/>
      <c r="SR25" s="2"/>
      <c r="SS25" s="2"/>
      <c r="SU25" s="47">
        <v>49.5</v>
      </c>
    </row>
    <row r="26" spans="1:544" x14ac:dyDescent="0.2">
      <c r="A26" s="5"/>
      <c r="B26" s="25" t="s">
        <v>52</v>
      </c>
      <c r="C26" s="5"/>
      <c r="P26" s="2"/>
      <c r="AR26" s="42"/>
      <c r="AS26" s="42"/>
      <c r="AT26" s="42"/>
      <c r="AU26" s="33"/>
      <c r="AV26" s="33"/>
      <c r="AW26" s="33"/>
      <c r="AX26" s="33"/>
      <c r="AY26" s="48">
        <v>51.3</v>
      </c>
      <c r="BS26" s="42"/>
      <c r="BT26" s="42"/>
      <c r="BU26" s="42"/>
      <c r="BW26" s="33"/>
      <c r="BX26" s="33"/>
      <c r="BZ26" s="48">
        <v>51.3</v>
      </c>
      <c r="CT26" s="42"/>
      <c r="CU26" s="42"/>
      <c r="CV26" s="42"/>
      <c r="CW26" s="33"/>
      <c r="CX26" s="33"/>
      <c r="CY26" s="33"/>
      <c r="CZ26" s="33"/>
      <c r="DA26" s="48">
        <v>51.3</v>
      </c>
      <c r="DX26" s="5"/>
      <c r="DY26" s="5"/>
      <c r="EH26" s="2"/>
      <c r="EI26" s="2"/>
      <c r="EK26" s="48">
        <v>51.3</v>
      </c>
      <c r="FF26" s="5"/>
      <c r="FG26" s="5"/>
      <c r="FP26" s="2"/>
      <c r="FQ26" s="2"/>
      <c r="FS26" s="48">
        <v>51.3</v>
      </c>
      <c r="GN26" s="5"/>
      <c r="GO26" s="5"/>
      <c r="GX26" s="2"/>
      <c r="GY26" s="2"/>
      <c r="HA26" s="48">
        <v>51.3</v>
      </c>
      <c r="HV26" s="5"/>
      <c r="HW26" s="5"/>
      <c r="IF26" s="2"/>
      <c r="IG26" s="2"/>
      <c r="II26" s="48">
        <v>51.3</v>
      </c>
      <c r="JD26" s="5"/>
      <c r="JE26" s="5"/>
      <c r="JN26" s="2"/>
      <c r="JO26" s="2"/>
      <c r="JQ26" s="48">
        <v>51.3</v>
      </c>
      <c r="KL26" s="5"/>
      <c r="KM26" s="5"/>
      <c r="KV26" s="2"/>
      <c r="KW26" s="2"/>
      <c r="KY26" s="48">
        <v>51.3</v>
      </c>
      <c r="LT26" s="5"/>
      <c r="LU26" s="5"/>
      <c r="MD26" s="2"/>
      <c r="ME26" s="2"/>
      <c r="MG26" s="48">
        <v>51.3</v>
      </c>
      <c r="NB26" s="5"/>
      <c r="NC26" s="5"/>
      <c r="NL26" s="2"/>
      <c r="NM26" s="2"/>
      <c r="NO26" s="48">
        <v>51.3</v>
      </c>
      <c r="OJ26" s="5"/>
      <c r="OK26" s="5"/>
      <c r="OT26" s="2"/>
      <c r="OU26" s="2"/>
      <c r="OW26" s="48">
        <v>51.3</v>
      </c>
      <c r="PR26" s="5"/>
      <c r="PS26" s="5"/>
      <c r="QB26" s="2"/>
      <c r="QC26" s="2"/>
      <c r="QE26" s="48">
        <v>51.3</v>
      </c>
      <c r="QZ26" s="5"/>
      <c r="RA26" s="5"/>
      <c r="RJ26" s="2"/>
      <c r="RK26" s="2"/>
      <c r="RM26" s="48">
        <v>51.3</v>
      </c>
      <c r="SH26" s="5"/>
      <c r="SI26" s="5"/>
      <c r="SR26" s="2"/>
      <c r="SS26" s="2"/>
      <c r="SU26" s="48">
        <v>51.3</v>
      </c>
    </row>
    <row r="27" spans="1:544" x14ac:dyDescent="0.2">
      <c r="A27" s="5"/>
      <c r="B27" s="34" t="s">
        <v>66</v>
      </c>
      <c r="C27" s="5"/>
      <c r="AR27" s="42"/>
      <c r="AS27" s="42"/>
      <c r="AT27" s="42"/>
      <c r="AU27" s="33"/>
      <c r="AV27" s="33"/>
      <c r="AW27" s="33"/>
      <c r="AX27" s="33"/>
      <c r="AY27" s="49">
        <v>52.2</v>
      </c>
      <c r="BS27" s="42"/>
      <c r="BT27" s="42"/>
      <c r="BU27" s="42"/>
      <c r="BW27" s="33"/>
      <c r="BX27" s="33"/>
      <c r="BZ27" s="49">
        <v>52.2</v>
      </c>
      <c r="CT27" s="42"/>
      <c r="CU27" s="42"/>
      <c r="CV27" s="42"/>
      <c r="CW27" s="33"/>
      <c r="CX27" s="33"/>
      <c r="CY27" s="33"/>
      <c r="CZ27" s="33"/>
      <c r="DA27" s="49">
        <v>52.2</v>
      </c>
      <c r="DX27" s="5"/>
      <c r="DY27" s="5"/>
      <c r="EH27" s="2"/>
      <c r="EI27" s="2"/>
      <c r="EJ27" s="38"/>
      <c r="EK27" s="49">
        <v>52.2</v>
      </c>
      <c r="FF27" s="5"/>
      <c r="FG27" s="5"/>
      <c r="FP27" s="2"/>
      <c r="FQ27" s="2"/>
      <c r="FR27" s="38"/>
      <c r="FS27" s="49">
        <v>52.2</v>
      </c>
      <c r="GN27" s="5"/>
      <c r="GO27" s="5"/>
      <c r="GX27" s="2"/>
      <c r="GY27" s="2"/>
      <c r="GZ27" s="38"/>
      <c r="HA27" s="49">
        <v>52.2</v>
      </c>
      <c r="HV27" s="5"/>
      <c r="HW27" s="5"/>
      <c r="IF27" s="2"/>
      <c r="IG27" s="2"/>
      <c r="IH27" s="38"/>
      <c r="II27" s="49">
        <v>52.2</v>
      </c>
      <c r="JD27" s="5"/>
      <c r="JE27" s="5"/>
      <c r="JN27" s="2"/>
      <c r="JO27" s="2"/>
      <c r="JP27" s="38"/>
      <c r="JQ27" s="49">
        <v>52.2</v>
      </c>
      <c r="KL27" s="5"/>
      <c r="KM27" s="5"/>
      <c r="KV27" s="2"/>
      <c r="KW27" s="2"/>
      <c r="KX27" s="38"/>
      <c r="KY27" s="49">
        <v>52.2</v>
      </c>
      <c r="LT27" s="5"/>
      <c r="LU27" s="5"/>
      <c r="MD27" s="2"/>
      <c r="ME27" s="2"/>
      <c r="MF27" s="38"/>
      <c r="MG27" s="49">
        <v>52.2</v>
      </c>
      <c r="NB27" s="5"/>
      <c r="NC27" s="5"/>
      <c r="NL27" s="2"/>
      <c r="NM27" s="2"/>
      <c r="NN27" s="38"/>
      <c r="NO27" s="49">
        <v>52.2</v>
      </c>
      <c r="OJ27" s="5"/>
      <c r="OK27" s="5"/>
      <c r="OT27" s="2"/>
      <c r="OU27" s="2"/>
      <c r="OV27" s="38"/>
      <c r="OW27" s="49">
        <v>52.2</v>
      </c>
      <c r="PR27" s="5"/>
      <c r="PS27" s="5"/>
      <c r="QB27" s="2"/>
      <c r="QC27" s="2"/>
      <c r="QD27" s="38"/>
      <c r="QE27" s="49">
        <v>52.2</v>
      </c>
      <c r="QZ27" s="5"/>
      <c r="RA27" s="5"/>
      <c r="RJ27" s="2"/>
      <c r="RK27" s="2"/>
      <c r="RL27" s="38"/>
      <c r="RM27" s="49">
        <v>52.2</v>
      </c>
      <c r="SH27" s="5"/>
      <c r="SI27" s="5"/>
      <c r="SR27" s="2"/>
      <c r="SS27" s="2"/>
      <c r="ST27" s="38"/>
      <c r="SU27" s="49">
        <v>52.2</v>
      </c>
    </row>
    <row r="28" spans="1:544" x14ac:dyDescent="0.2">
      <c r="A28" s="5"/>
      <c r="B28" s="26" t="s">
        <v>35</v>
      </c>
      <c r="C28" s="5"/>
      <c r="P28" s="2"/>
      <c r="AR28" s="42"/>
      <c r="AS28" s="42"/>
      <c r="AT28" s="42"/>
      <c r="AU28" s="33"/>
      <c r="AV28" s="42"/>
      <c r="AW28" s="42"/>
      <c r="AX28" s="33"/>
      <c r="AY28" s="50">
        <v>54</v>
      </c>
      <c r="BS28" s="42"/>
      <c r="BT28" s="42"/>
      <c r="BU28" s="42"/>
      <c r="BW28" s="42"/>
      <c r="BX28" s="33"/>
      <c r="BZ28" s="50">
        <v>54</v>
      </c>
      <c r="CT28" s="42"/>
      <c r="CU28" s="42"/>
      <c r="CV28" s="42"/>
      <c r="CW28" s="33"/>
      <c r="CX28" s="42"/>
      <c r="CY28" s="33"/>
      <c r="CZ28" s="33"/>
      <c r="DA28" s="50">
        <v>54</v>
      </c>
      <c r="DX28" s="5"/>
      <c r="DY28" s="5"/>
      <c r="EH28" s="42"/>
      <c r="EI28" s="2"/>
      <c r="EK28" s="50">
        <v>54</v>
      </c>
      <c r="FF28" s="5"/>
      <c r="FG28" s="5"/>
      <c r="FP28" s="42"/>
      <c r="FQ28" s="2"/>
      <c r="FS28" s="50">
        <v>54</v>
      </c>
      <c r="GN28" s="5"/>
      <c r="GO28" s="5"/>
      <c r="GX28" s="2"/>
      <c r="GY28" s="2"/>
      <c r="HA28" s="50">
        <v>54</v>
      </c>
      <c r="HV28" s="5"/>
      <c r="HW28" s="5"/>
      <c r="IF28" s="42"/>
      <c r="IG28" s="2"/>
      <c r="II28" s="50">
        <v>54</v>
      </c>
      <c r="JD28" s="5"/>
      <c r="JE28" s="5"/>
      <c r="JN28" s="2"/>
      <c r="JO28" s="2"/>
      <c r="JQ28" s="50">
        <v>54</v>
      </c>
      <c r="KL28" s="5"/>
      <c r="KM28" s="5"/>
      <c r="KV28" s="2"/>
      <c r="KW28" s="2"/>
      <c r="KY28" s="50">
        <v>54</v>
      </c>
      <c r="LT28" s="5"/>
      <c r="LU28" s="5"/>
      <c r="MD28" s="2"/>
      <c r="ME28" s="2"/>
      <c r="MG28" s="50">
        <v>54</v>
      </c>
      <c r="NB28" s="5"/>
      <c r="NC28" s="5"/>
      <c r="NL28" s="2"/>
      <c r="NM28" s="2"/>
      <c r="NO28" s="50">
        <v>54</v>
      </c>
      <c r="OJ28" s="5"/>
      <c r="OK28" s="5"/>
      <c r="OT28" s="2"/>
      <c r="OU28" s="2"/>
      <c r="OW28" s="50">
        <v>54</v>
      </c>
      <c r="PR28" s="5"/>
      <c r="PS28" s="5"/>
      <c r="QB28" s="2"/>
      <c r="QC28" s="2"/>
      <c r="QE28" s="50">
        <v>54</v>
      </c>
      <c r="QZ28" s="5"/>
      <c r="RA28" s="5"/>
      <c r="RJ28" s="2"/>
      <c r="RK28" s="2"/>
      <c r="RM28" s="50">
        <v>54</v>
      </c>
      <c r="SH28" s="5"/>
      <c r="SI28" s="5"/>
      <c r="SR28" s="2"/>
      <c r="SS28" s="2"/>
      <c r="SU28" s="50">
        <v>54</v>
      </c>
    </row>
    <row r="29" spans="1:544" s="37" customFormat="1" x14ac:dyDescent="0.2">
      <c r="A29"/>
      <c r="B29" s="30" t="s">
        <v>58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3"/>
      <c r="AR35" s="33"/>
      <c r="AS35" s="33"/>
      <c r="AT35" s="33"/>
      <c r="AU35" s="33"/>
      <c r="AX35" s="33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3"/>
      <c r="CT35" s="33"/>
      <c r="CU35" s="33"/>
      <c r="CV35" s="33"/>
      <c r="CW35" s="33"/>
      <c r="CZ35" s="33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8">
      <sortCondition descending="1" ref="F1:F19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8">
    <cfRule type="expression" dxfId="583" priority="42" stopIfTrue="1">
      <formula>IF($AN4&lt;&gt;"",1,0)</formula>
    </cfRule>
  </conditionalFormatting>
  <conditionalFormatting sqref="AZ4:BZ18">
    <cfRule type="expression" dxfId="582" priority="35" stopIfTrue="1">
      <formula>IF($BO4&lt;&gt;"",1,0)</formula>
    </cfRule>
  </conditionalFormatting>
  <conditionalFormatting sqref="CA4:DA18">
    <cfRule type="expression" dxfId="581" priority="34" stopIfTrue="1">
      <formula>IF($CP4&lt;&gt;"",1,0)</formula>
    </cfRule>
  </conditionalFormatting>
  <conditionalFormatting sqref="BW29:BW1048576 BP1:BP1048576 BS1:BS1048576 BW1:BW27">
    <cfRule type="cellIs" dxfId="580" priority="47" operator="between">
      <formula>$BZ$24</formula>
      <formula>1000</formula>
    </cfRule>
    <cfRule type="cellIs" dxfId="579" priority="48" operator="between">
      <formula>$BZ$23</formula>
      <formula>$BZ$24</formula>
    </cfRule>
    <cfRule type="cellIs" dxfId="578" priority="49" operator="between">
      <formula>$BZ$22</formula>
      <formula>$BZ$23</formula>
    </cfRule>
    <cfRule type="cellIs" dxfId="577" priority="50" operator="between">
      <formula>$BZ$21</formula>
      <formula>$BZ$22</formula>
    </cfRule>
  </conditionalFormatting>
  <conditionalFormatting sqref="CX29:CX1048576 CQ1:CQ1048576 CT1:CT1048576 CX1:CX27">
    <cfRule type="cellIs" dxfId="576" priority="43" operator="between">
      <formula>$DA$24</formula>
      <formula>1000</formula>
    </cfRule>
    <cfRule type="cellIs" dxfId="575" priority="44" operator="between">
      <formula>$DA$23</formula>
      <formula>$DA$24</formula>
    </cfRule>
    <cfRule type="cellIs" dxfId="574" priority="45" operator="between">
      <formula>$DA$22</formula>
      <formula>$DA$23</formula>
    </cfRule>
    <cfRule type="cellIs" dxfId="573" priority="46" operator="between">
      <formula>$DA$21</formula>
      <formula>$DA$22</formula>
    </cfRule>
  </conditionalFormatting>
  <conditionalFormatting sqref="EH29:EH1048576 DX1:DX1048576 EA1:EA1048576 EE1:EE1048576 EH1:EH27">
    <cfRule type="cellIs" dxfId="572" priority="54" operator="between">
      <formula>$EK$24</formula>
      <formula>1000</formula>
    </cfRule>
    <cfRule type="cellIs" dxfId="571" priority="55" operator="between">
      <formula>$EK$23</formula>
      <formula>$EK$24</formula>
    </cfRule>
    <cfRule type="cellIs" dxfId="570" priority="56" operator="between">
      <formula>$EK$22</formula>
      <formula>$EK$23</formula>
    </cfRule>
    <cfRule type="cellIs" dxfId="569" priority="57" operator="between">
      <formula>$EK$21</formula>
      <formula>$EK$22</formula>
    </cfRule>
  </conditionalFormatting>
  <conditionalFormatting sqref="FP29:FP1048576 FF1:FF1048576 FI1:FI1048576 FM1:FM1048576 FP1:FP27">
    <cfRule type="cellIs" dxfId="568" priority="30" operator="between">
      <formula>$FS$24</formula>
      <formula>1000</formula>
    </cfRule>
    <cfRule type="cellIs" dxfId="567" priority="31" operator="between">
      <formula>$FS$23</formula>
      <formula>$FS$24</formula>
    </cfRule>
    <cfRule type="cellIs" dxfId="566" priority="32" operator="between">
      <formula>$FS$22</formula>
      <formula>$FS$23</formula>
    </cfRule>
    <cfRule type="cellIs" dxfId="565" priority="33" operator="between">
      <formula>$FS$21</formula>
      <formula>$FS$22</formula>
    </cfRule>
  </conditionalFormatting>
  <conditionalFormatting sqref="IF29:IF1048576 HV1:HV1048576 HY1:HY1048576 IC1:IC1048576 IF1:IF27">
    <cfRule type="cellIs" dxfId="564" priority="26" operator="between">
      <formula>$II$24</formula>
      <formula>1000</formula>
    </cfRule>
    <cfRule type="cellIs" dxfId="563" priority="27" operator="between">
      <formula>$II$23</formula>
      <formula>$II$24</formula>
    </cfRule>
    <cfRule type="cellIs" dxfId="562" priority="28" operator="between">
      <formula>$II$22</formula>
      <formula>$II$23</formula>
    </cfRule>
    <cfRule type="cellIs" dxfId="561" priority="29" operator="between">
      <formula>$II$21</formula>
      <formula>$II$22</formula>
    </cfRule>
  </conditionalFormatting>
  <conditionalFormatting sqref="AW28 AO1:AO1048576 AR1:AR1048576 AV1:AV1048576">
    <cfRule type="cellIs" dxfId="560" priority="22" operator="between">
      <formula>$AY$24</formula>
      <formula>1000</formula>
    </cfRule>
    <cfRule type="cellIs" dxfId="559" priority="23" operator="between">
      <formula>$AY$23</formula>
      <formula>$AY$24</formula>
    </cfRule>
    <cfRule type="cellIs" dxfId="558" priority="24" operator="between">
      <formula>$AY$22</formula>
      <formula>$AY$23</formula>
    </cfRule>
    <cfRule type="cellIs" dxfId="557" priority="25" operator="between">
      <formula>$AY$21</formula>
      <formula>$AY$22</formula>
    </cfRule>
  </conditionalFormatting>
  <conditionalFormatting sqref="BW28">
    <cfRule type="cellIs" dxfId="556" priority="18" operator="between">
      <formula>$AY$24</formula>
      <formula>1000</formula>
    </cfRule>
    <cfRule type="cellIs" dxfId="555" priority="19" operator="between">
      <formula>$AY$23</formula>
      <formula>$AY$24</formula>
    </cfRule>
    <cfRule type="cellIs" dxfId="554" priority="20" operator="between">
      <formula>$AY$22</formula>
      <formula>$AY$23</formula>
    </cfRule>
    <cfRule type="cellIs" dxfId="553" priority="21" operator="between">
      <formula>$AY$21</formula>
      <formula>$AY$22</formula>
    </cfRule>
  </conditionalFormatting>
  <conditionalFormatting sqref="CX28">
    <cfRule type="cellIs" dxfId="552" priority="14" operator="between">
      <formula>$AY$24</formula>
      <formula>1000</formula>
    </cfRule>
    <cfRule type="cellIs" dxfId="551" priority="15" operator="between">
      <formula>$AY$23</formula>
      <formula>$AY$24</formula>
    </cfRule>
    <cfRule type="cellIs" dxfId="550" priority="16" operator="between">
      <formula>$AY$22</formula>
      <formula>$AY$23</formula>
    </cfRule>
    <cfRule type="cellIs" dxfId="549" priority="17" operator="between">
      <formula>$AY$21</formula>
      <formula>$AY$22</formula>
    </cfRule>
  </conditionalFormatting>
  <conditionalFormatting sqref="EH28">
    <cfRule type="cellIs" dxfId="548" priority="10" operator="between">
      <formula>$AY$24</formula>
      <formula>1000</formula>
    </cfRule>
    <cfRule type="cellIs" dxfId="547" priority="11" operator="between">
      <formula>$AY$23</formula>
      <formula>$AY$24</formula>
    </cfRule>
    <cfRule type="cellIs" dxfId="546" priority="12" operator="between">
      <formula>$AY$22</formula>
      <formula>$AY$23</formula>
    </cfRule>
    <cfRule type="cellIs" dxfId="545" priority="13" operator="between">
      <formula>$AY$21</formula>
      <formula>$AY$22</formula>
    </cfRule>
  </conditionalFormatting>
  <conditionalFormatting sqref="FP28">
    <cfRule type="cellIs" dxfId="544" priority="6" operator="between">
      <formula>$AY$24</formula>
      <formula>1000</formula>
    </cfRule>
    <cfRule type="cellIs" dxfId="543" priority="7" operator="between">
      <formula>$AY$23</formula>
      <formula>$AY$24</formula>
    </cfRule>
    <cfRule type="cellIs" dxfId="542" priority="8" operator="between">
      <formula>$AY$22</formula>
      <formula>$AY$23</formula>
    </cfRule>
    <cfRule type="cellIs" dxfId="541" priority="9" operator="between">
      <formula>$AY$21</formula>
      <formula>$AY$22</formula>
    </cfRule>
  </conditionalFormatting>
  <conditionalFormatting sqref="IF28">
    <cfRule type="cellIs" dxfId="540" priority="2" operator="between">
      <formula>$AY$24</formula>
      <formula>1000</formula>
    </cfRule>
    <cfRule type="cellIs" dxfId="539" priority="3" operator="between">
      <formula>$AY$23</formula>
      <formula>$AY$24</formula>
    </cfRule>
    <cfRule type="cellIs" dxfId="538" priority="4" operator="between">
      <formula>$AY$22</formula>
      <formula>$AY$23</formula>
    </cfRule>
    <cfRule type="cellIs" dxfId="537" priority="5" operator="between">
      <formula>$AY$21</formula>
      <formula>$AY$22</formula>
    </cfRule>
  </conditionalFormatting>
  <conditionalFormatting sqref="CV1:CV1048576 AT1:AT1048576">
    <cfRule type="cellIs" dxfId="536" priority="73223" operator="between">
      <formula>AY$28</formula>
      <formula>1000</formula>
    </cfRule>
    <cfRule type="cellIs" dxfId="535" priority="73224" operator="between">
      <formula>AY$27</formula>
      <formula>AY$28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4" priority="73235" operator="between">
      <formula>EK$28</formula>
      <formula>1000</formula>
    </cfRule>
    <cfRule type="cellIs" dxfId="533" priority="73236" operator="between">
      <formula>EK$27</formula>
      <formula>EK$28</formula>
    </cfRule>
  </conditionalFormatting>
  <conditionalFormatting sqref="AQ1:AQ1048576 AT1:AT1048576 AX1:AX1048576">
    <cfRule type="cellIs" dxfId="532" priority="73307" operator="between">
      <formula>$AY$28</formula>
      <formula>1000</formula>
    </cfRule>
    <cfRule type="cellIs" dxfId="531" priority="73308" operator="between">
      <formula>$AY$27</formula>
      <formula>$AY$28</formula>
    </cfRule>
    <cfRule type="cellIs" dxfId="530" priority="73309" operator="between">
      <formula>$AY$26</formula>
      <formula>$AY$27</formula>
    </cfRule>
    <cfRule type="cellIs" dxfId="529" priority="73310" operator="between">
      <formula>$AY$25</formula>
      <formula>$AY$26</formula>
    </cfRule>
  </conditionalFormatting>
  <conditionalFormatting sqref="BR1:BR1048576 BU1:BU1048576 BY1:BY1048576">
    <cfRule type="cellIs" dxfId="528" priority="73343" operator="between">
      <formula>$BZ$28</formula>
      <formula>1000</formula>
    </cfRule>
    <cfRule type="cellIs" dxfId="527" priority="73344" operator="between">
      <formula>$BZ$27</formula>
      <formula>$BZ$28</formula>
    </cfRule>
    <cfRule type="cellIs" dxfId="526" priority="73345" operator="between">
      <formula>$BZ$26</formula>
      <formula>$BZ$27</formula>
    </cfRule>
    <cfRule type="cellIs" dxfId="525" priority="73346" operator="between">
      <formula>$BZ$25</formula>
      <formula>$BZ$26</formula>
    </cfRule>
  </conditionalFormatting>
  <conditionalFormatting sqref="CS1:CS1048576 CV1:CV1048576 CZ1:CZ1048576">
    <cfRule type="cellIs" dxfId="524" priority="73379" operator="between">
      <formula>$DA$28</formula>
      <formula>1000</formula>
    </cfRule>
    <cfRule type="cellIs" dxfId="523" priority="73380" operator="between">
      <formula>$DA$27</formula>
      <formula>$DA$28</formula>
    </cfRule>
    <cfRule type="cellIs" dxfId="522" priority="73381" operator="between">
      <formula>$DA$26</formula>
      <formula>$DA$27</formula>
    </cfRule>
    <cfRule type="cellIs" dxfId="521" priority="73382" operator="between">
      <formula>$DA$25</formula>
      <formula>$DA$26</formula>
    </cfRule>
  </conditionalFormatting>
  <conditionalFormatting sqref="NB1:NB1048576 NE1:NE1048576 NI1:NI1048576 NL1:NL1048576">
    <cfRule type="cellIs" dxfId="520" priority="73415" operator="between">
      <formula>$NO$21</formula>
      <formula>$NO$22</formula>
    </cfRule>
  </conditionalFormatting>
  <conditionalFormatting sqref="DZ1:DZ1048576 EC1:EC1048576 EG1:EG1048576 EJ1:EJ1048576">
    <cfRule type="cellIs" dxfId="519" priority="73427" operator="between">
      <formula>$EK$28</formula>
      <formula>1000</formula>
    </cfRule>
    <cfRule type="cellIs" dxfId="518" priority="73428" operator="between">
      <formula>$EK$27</formula>
      <formula>$EK$28</formula>
    </cfRule>
    <cfRule type="cellIs" dxfId="517" priority="73429" operator="between">
      <formula>$EK$26</formula>
      <formula>$EK$27</formula>
    </cfRule>
    <cfRule type="cellIs" dxfId="516" priority="73430" operator="between">
      <formula>$EK$25</formula>
      <formula>$EK$26</formula>
    </cfRule>
  </conditionalFormatting>
  <conditionalFormatting sqref="FH1:FH1048576 FK1:FK1048576 FO1:FO1048576 FR1:FR1048576">
    <cfRule type="cellIs" dxfId="515" priority="73475" operator="between">
      <formula>$FS$28</formula>
      <formula>1000</formula>
    </cfRule>
    <cfRule type="cellIs" dxfId="514" priority="73476" operator="between">
      <formula>$FS$27</formula>
      <formula>$FS$28</formula>
    </cfRule>
    <cfRule type="cellIs" dxfId="513" priority="73477" operator="between">
      <formula>$FS$26</formula>
      <formula>$FS$27</formula>
    </cfRule>
    <cfRule type="cellIs" dxfId="512" priority="73478" operator="between">
      <formula>$FS$25</formula>
      <formula>$FS$26</formula>
    </cfRule>
  </conditionalFormatting>
  <conditionalFormatting sqref="GN1:GN1048576 GQ1:GQ1048576 GU1:GU1048576 GX1:GX1048576">
    <cfRule type="cellIs" dxfId="511" priority="73523" operator="between">
      <formula>$HA$24</formula>
      <formula>1000</formula>
    </cfRule>
    <cfRule type="cellIs" dxfId="510" priority="73524" operator="between">
      <formula>$HA$23</formula>
      <formula>$HA$24</formula>
    </cfRule>
    <cfRule type="cellIs" dxfId="509" priority="73525" operator="between">
      <formula>$HA$22</formula>
      <formula>$HA$23</formula>
    </cfRule>
    <cfRule type="cellIs" dxfId="508" priority="73526" operator="between">
      <formula>$HA$21</formula>
      <formula>$HA$22</formula>
    </cfRule>
  </conditionalFormatting>
  <conditionalFormatting sqref="GP1:GP1048576 GS1:GS1048576 GW1:GW1048576 GZ1:GZ1048576">
    <cfRule type="cellIs" dxfId="507" priority="73571" operator="between">
      <formula>$HA$28</formula>
      <formula>1000</formula>
    </cfRule>
    <cfRule type="cellIs" dxfId="506" priority="73572" operator="between">
      <formula>$HA$27</formula>
      <formula>$HA$28</formula>
    </cfRule>
    <cfRule type="cellIs" dxfId="505" priority="73573" operator="between">
      <formula>$HA$26</formula>
      <formula>$HA$27</formula>
    </cfRule>
    <cfRule type="cellIs" dxfId="504" priority="73574" operator="between">
      <formula>$HA$25</formula>
      <formula>$HA$26</formula>
    </cfRule>
  </conditionalFormatting>
  <conditionalFormatting sqref="HX1:HX1048576 IA1:IA1048576 IE1:IE1048576 IH1:IH1048576">
    <cfRule type="cellIs" dxfId="503" priority="73619" operator="between">
      <formula>$II$28</formula>
      <formula>1000</formula>
    </cfRule>
    <cfRule type="cellIs" dxfId="502" priority="73620" operator="between">
      <formula>$II$27</formula>
      <formula>$II$28</formula>
    </cfRule>
    <cfRule type="cellIs" dxfId="501" priority="73621" operator="between">
      <formula>$II$26</formula>
      <formula>$II$27</formula>
    </cfRule>
    <cfRule type="cellIs" dxfId="500" priority="73622" operator="between">
      <formula>$II$25</formula>
      <formula>$II$26</formula>
    </cfRule>
  </conditionalFormatting>
  <conditionalFormatting sqref="JD1:JD1048576 JG1:JG1048576 JK1:JK1048576 JN1:JN1048576">
    <cfRule type="cellIs" dxfId="499" priority="73667" operator="between">
      <formula>$JQ$24</formula>
      <formula>1000</formula>
    </cfRule>
    <cfRule type="cellIs" dxfId="498" priority="73668" operator="between">
      <formula>$JQ$23</formula>
      <formula>$JQ$24</formula>
    </cfRule>
    <cfRule type="cellIs" dxfId="497" priority="73669" operator="between">
      <formula>$JQ$22</formula>
      <formula>$JQ$23</formula>
    </cfRule>
    <cfRule type="cellIs" dxfId="496" priority="73670" operator="between">
      <formula>$JQ$21</formula>
      <formula>$JQ$22</formula>
    </cfRule>
  </conditionalFormatting>
  <conditionalFormatting sqref="JF1:JF1048576 JI1:JI1048576 JM1:JM1048576 JP1:JP1048576">
    <cfRule type="cellIs" dxfId="495" priority="73715" operator="between">
      <formula>$JQ$28</formula>
      <formula>1000</formula>
    </cfRule>
    <cfRule type="cellIs" dxfId="494" priority="73716" operator="between">
      <formula>$JQ$27</formula>
      <formula>$JQ$28</formula>
    </cfRule>
    <cfRule type="cellIs" dxfId="493" priority="73717" operator="between">
      <formula>$JQ$26</formula>
      <formula>$JQ$27</formula>
    </cfRule>
    <cfRule type="cellIs" dxfId="492" priority="73718" operator="between">
      <formula>$JQ$25</formula>
      <formula>$JQ$26</formula>
    </cfRule>
  </conditionalFormatting>
  <conditionalFormatting sqref="KL1:KL1048576 KO1:KO1048576 KS1:KS1048576 KV1:KV1048576">
    <cfRule type="cellIs" dxfId="491" priority="73763" operator="between">
      <formula>$KY$24</formula>
      <formula>1000</formula>
    </cfRule>
    <cfRule type="cellIs" dxfId="490" priority="73764" operator="between">
      <formula>$KY$23</formula>
      <formula>$KY$24</formula>
    </cfRule>
    <cfRule type="cellIs" dxfId="489" priority="73765" operator="between">
      <formula>$KY$22</formula>
      <formula>$KY$23</formula>
    </cfRule>
    <cfRule type="cellIs" dxfId="488" priority="73766" operator="between">
      <formula>$KY$21</formula>
      <formula>$KY$22</formula>
    </cfRule>
  </conditionalFormatting>
  <conditionalFormatting sqref="KN1:KN1048576 KQ1:KQ1048576 KU1:KU1048576 KX1:KX1048576">
    <cfRule type="cellIs" dxfId="487" priority="73811" operator="between">
      <formula>$KY$28</formula>
      <formula>1000</formula>
    </cfRule>
    <cfRule type="cellIs" dxfId="486" priority="73812" operator="between">
      <formula>$KY$27</formula>
      <formula>$KY$28</formula>
    </cfRule>
    <cfRule type="cellIs" dxfId="485" priority="73813" operator="between">
      <formula>$KY$26</formula>
      <formula>$KY$27</formula>
    </cfRule>
    <cfRule type="cellIs" dxfId="484" priority="73814" operator="between">
      <formula>$KY$25</formula>
      <formula>$KY$26</formula>
    </cfRule>
  </conditionalFormatting>
  <conditionalFormatting sqref="LT1:LT1048576 LW1:LW1048576 MA1:MA1048576 MD1:MD1048576">
    <cfRule type="cellIs" dxfId="483" priority="73859" operator="between">
      <formula>$MG$24</formula>
      <formula>1000</formula>
    </cfRule>
    <cfRule type="cellIs" dxfId="482" priority="73860" operator="between">
      <formula>$MG$23</formula>
      <formula>$MG$24</formula>
    </cfRule>
    <cfRule type="cellIs" dxfId="481" priority="73861" operator="between">
      <formula>$MG$22</formula>
      <formula>$MG$23</formula>
    </cfRule>
    <cfRule type="cellIs" dxfId="480" priority="73862" operator="between">
      <formula>$MG$21</formula>
      <formula>$MG$22</formula>
    </cfRule>
  </conditionalFormatting>
  <conditionalFormatting sqref="LV1:LV1048576 LY1:LY1048576 MC1:MC1048576 MF1:MF1048576">
    <cfRule type="cellIs" dxfId="479" priority="73907" operator="between">
      <formula>$MG$28</formula>
      <formula>1000</formula>
    </cfRule>
    <cfRule type="cellIs" dxfId="478" priority="73908" operator="between">
      <formula>$MG$27</formula>
      <formula>$MG$28</formula>
    </cfRule>
    <cfRule type="cellIs" dxfId="477" priority="73909" operator="between">
      <formula>$MG$26</formula>
      <formula>$MG$27</formula>
    </cfRule>
    <cfRule type="cellIs" dxfId="476" priority="73910" operator="between">
      <formula>$MG$25</formula>
      <formula>$MG$26</formula>
    </cfRule>
  </conditionalFormatting>
  <conditionalFormatting sqref="NB1:NB1048576 NE1:NE1048576 NI1:NI1048576">
    <cfRule type="cellIs" dxfId="475" priority="73955" operator="between">
      <formula>$NO$24</formula>
      <formula>1000</formula>
    </cfRule>
    <cfRule type="cellIs" dxfId="474" priority="73956" operator="between">
      <formula>$NO$23</formula>
      <formula>$NO$24</formula>
    </cfRule>
    <cfRule type="cellIs" dxfId="473" priority="73957" operator="between">
      <formula>$NO$22</formula>
      <formula>$NO$23</formula>
    </cfRule>
  </conditionalFormatting>
  <conditionalFormatting sqref="ND1:ND1048576 NG1:NG1048576 NK1:NK1048576 NN1:NN1048576">
    <cfRule type="cellIs" dxfId="472" priority="73982" operator="between">
      <formula>$NO$28</formula>
      <formula>1000</formula>
    </cfRule>
    <cfRule type="cellIs" dxfId="471" priority="73983" operator="between">
      <formula>$NO$27</formula>
      <formula>$NO$28</formula>
    </cfRule>
    <cfRule type="cellIs" dxfId="470" priority="73984" operator="between">
      <formula>$NO$26</formula>
      <formula>$NO$27</formula>
    </cfRule>
    <cfRule type="cellIs" dxfId="469" priority="73985" operator="between">
      <formula>$NO$25</formula>
      <formula>$NO$26</formula>
    </cfRule>
  </conditionalFormatting>
  <conditionalFormatting sqref="OJ1:OJ1048576 OM1:OM1048576 OQ1:OQ1048576 OT1:OT1048576">
    <cfRule type="cellIs" dxfId="468" priority="74030" operator="between">
      <formula>$OW$24</formula>
      <formula>1000</formula>
    </cfRule>
    <cfRule type="cellIs" dxfId="467" priority="74031" operator="between">
      <formula>$OW$23</formula>
      <formula>$OW$24</formula>
    </cfRule>
    <cfRule type="cellIs" dxfId="466" priority="74032" operator="between">
      <formula>$OW$22</formula>
      <formula>$OW$23</formula>
    </cfRule>
    <cfRule type="cellIs" dxfId="465" priority="74033" operator="between">
      <formula>$OW$21</formula>
      <formula>$OW$22</formula>
    </cfRule>
  </conditionalFormatting>
  <conditionalFormatting sqref="OL1:OL1048576 OO1:OO1048576 OS1:OS1048576 OV1:OV1048576">
    <cfRule type="cellIs" dxfId="464" priority="74078" operator="between">
      <formula>$OW$28</formula>
      <formula>1000</formula>
    </cfRule>
    <cfRule type="cellIs" dxfId="463" priority="74079" operator="between">
      <formula>$OW$27</formula>
      <formula>$OW$28</formula>
    </cfRule>
    <cfRule type="cellIs" dxfId="462" priority="74080" operator="between">
      <formula>$OW$26</formula>
      <formula>$OW$27</formula>
    </cfRule>
    <cfRule type="cellIs" dxfId="461" priority="74081" operator="between">
      <formula>$OW$25</formula>
      <formula>$OW$26</formula>
    </cfRule>
  </conditionalFormatting>
  <conditionalFormatting sqref="PR1:PR1048576 PU1:PU1048576 PY1:PY1048576 QB1:QB1048576">
    <cfRule type="cellIs" dxfId="460" priority="74126" operator="between">
      <formula>$QE$24</formula>
      <formula>1000</formula>
    </cfRule>
    <cfRule type="cellIs" dxfId="459" priority="74127" operator="between">
      <formula>$QE$23</formula>
      <formula>$QE$24</formula>
    </cfRule>
    <cfRule type="cellIs" dxfId="458" priority="74128" operator="between">
      <formula>$QE$22</formula>
      <formula>$QE$23</formula>
    </cfRule>
    <cfRule type="cellIs" dxfId="457" priority="74129" operator="between">
      <formula>$QE$21</formula>
      <formula>$QE$22</formula>
    </cfRule>
  </conditionalFormatting>
  <conditionalFormatting sqref="PT1:PT1048576 PW1:PW1048576 QA1:QA1048576 QD1:QD1048576">
    <cfRule type="cellIs" dxfId="456" priority="74174" operator="between">
      <formula>$QE$28</formula>
      <formula>1000</formula>
    </cfRule>
    <cfRule type="cellIs" dxfId="455" priority="74175" operator="between">
      <formula>$QE$27</formula>
      <formula>$QE$28</formula>
    </cfRule>
    <cfRule type="cellIs" dxfId="454" priority="74176" operator="between">
      <formula>$QE$26</formula>
      <formula>$QE$27</formula>
    </cfRule>
    <cfRule type="cellIs" dxfId="453" priority="74177" operator="between">
      <formula>$QE$25</formula>
      <formula>$QE$26</formula>
    </cfRule>
  </conditionalFormatting>
  <conditionalFormatting sqref="QZ1:QZ1048576 RC1:RC1048576 RG1:RG1048576 RJ1:RJ1048576">
    <cfRule type="cellIs" dxfId="452" priority="74222" operator="between">
      <formula>$RM$24</formula>
      <formula>1000</formula>
    </cfRule>
    <cfRule type="cellIs" dxfId="451" priority="74223" operator="between">
      <formula>$RM$23</formula>
      <formula>$RM$24</formula>
    </cfRule>
    <cfRule type="cellIs" dxfId="450" priority="74224" operator="between">
      <formula>$RM$22</formula>
      <formula>$RM$23</formula>
    </cfRule>
    <cfRule type="cellIs" dxfId="449" priority="74225" operator="between">
      <formula>$RM$21</formula>
      <formula>$RM$22</formula>
    </cfRule>
  </conditionalFormatting>
  <conditionalFormatting sqref="RB1:RB1048576 RE1:RE1048576 RI1:RI1048576 RL1:RL1048576">
    <cfRule type="cellIs" dxfId="448" priority="74270" operator="between">
      <formula>$RM$28</formula>
      <formula>1000</formula>
    </cfRule>
    <cfRule type="cellIs" dxfId="447" priority="74271" operator="between">
      <formula>$RM$27</formula>
      <formula>$RM$28</formula>
    </cfRule>
    <cfRule type="cellIs" dxfId="446" priority="74272" operator="between">
      <formula>$RM$26</formula>
      <formula>$RM$27</formula>
    </cfRule>
    <cfRule type="cellIs" dxfId="445" priority="74273" operator="between">
      <formula>$RM$25</formula>
      <formula>$RM$26</formula>
    </cfRule>
  </conditionalFormatting>
  <conditionalFormatting sqref="SH1:SH1048576 SK1:SK1048576 SO1:SO1048576 SR1:SR1048576">
    <cfRule type="cellIs" dxfId="444" priority="74318" operator="between">
      <formula>$SU$24</formula>
      <formula>1000</formula>
    </cfRule>
    <cfRule type="cellIs" dxfId="443" priority="74319" operator="between">
      <formula>$SU$23</formula>
      <formula>$SU$24</formula>
    </cfRule>
    <cfRule type="cellIs" dxfId="442" priority="74320" operator="between">
      <formula>$SU$22</formula>
      <formula>$SU$23</formula>
    </cfRule>
    <cfRule type="cellIs" dxfId="441" priority="74321" operator="between">
      <formula>$SU$21</formula>
      <formula>$SU$22</formula>
    </cfRule>
  </conditionalFormatting>
  <conditionalFormatting sqref="SJ1:SJ1048576 SM1:SM1048576 SQ1:SQ1048576 ST1:ST1048576">
    <cfRule type="cellIs" dxfId="440" priority="74366" operator="between">
      <formula>$SU$28</formula>
      <formula>1000</formula>
    </cfRule>
    <cfRule type="cellIs" dxfId="439" priority="74367" operator="between">
      <formula>$SU$27</formula>
      <formula>$SU$28</formula>
    </cfRule>
    <cfRule type="cellIs" dxfId="438" priority="74368" operator="between">
      <formula>$SU$26</formula>
      <formula>$SU$27</formula>
    </cfRule>
    <cfRule type="cellIs" dxfId="437" priority="74369" operator="between">
      <formula>$SU$25</formula>
      <formula>$SU$26</formula>
    </cfRule>
  </conditionalFormatting>
  <conditionalFormatting sqref="K1:K1048576 M1:M1048576 O1:O1048576 Q1:Q1048576 S1:S1048576 U1:U1048576">
    <cfRule type="expression" dxfId="436" priority="51">
      <formula>IF(K1=$CA$1,1,0)</formula>
    </cfRule>
    <cfRule type="expression" dxfId="435" priority="52" stopIfTrue="1">
      <formula>IF(K1=$AZ$1,1,0)</formula>
    </cfRule>
    <cfRule type="expression" dxfId="434" priority="53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112</v>
      </c>
      <c r="K1" s="71" t="s">
        <v>33</v>
      </c>
      <c r="L1" s="73" t="s">
        <v>174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175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212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229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197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196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205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211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224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235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236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241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239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 t="s">
        <v>245</v>
      </c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/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104</v>
      </c>
      <c r="AH2" s="14" t="s">
        <v>143</v>
      </c>
      <c r="AI2" s="14" t="s">
        <v>21</v>
      </c>
      <c r="AJ2" s="14" t="s">
        <v>81</v>
      </c>
      <c r="AK2" s="14" t="s">
        <v>142</v>
      </c>
      <c r="AL2" s="14" t="s">
        <v>22</v>
      </c>
      <c r="AM2" s="14" t="s">
        <v>24</v>
      </c>
      <c r="AN2" s="14" t="s">
        <v>107</v>
      </c>
      <c r="AO2" s="14" t="s">
        <v>144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104</v>
      </c>
      <c r="BI2" s="13" t="s">
        <v>143</v>
      </c>
      <c r="BJ2" s="13" t="s">
        <v>21</v>
      </c>
      <c r="BK2" s="13" t="s">
        <v>81</v>
      </c>
      <c r="BL2" s="13" t="s">
        <v>142</v>
      </c>
      <c r="BM2" s="13" t="s">
        <v>22</v>
      </c>
      <c r="BN2" s="13" t="s">
        <v>24</v>
      </c>
      <c r="BO2" s="13" t="s">
        <v>107</v>
      </c>
      <c r="BP2" s="13" t="s">
        <v>144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104</v>
      </c>
      <c r="CJ2" s="14" t="s">
        <v>143</v>
      </c>
      <c r="CK2" s="14" t="s">
        <v>21</v>
      </c>
      <c r="CL2" s="14" t="s">
        <v>81</v>
      </c>
      <c r="CM2" s="14" t="s">
        <v>142</v>
      </c>
      <c r="CN2" s="14" t="s">
        <v>22</v>
      </c>
      <c r="CO2" s="14" t="s">
        <v>24</v>
      </c>
      <c r="CP2" s="14" t="s">
        <v>107</v>
      </c>
      <c r="CQ2" s="14" t="s">
        <v>144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109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104</v>
      </c>
      <c r="DQ2" s="14" t="s">
        <v>143</v>
      </c>
      <c r="DR2" s="14" t="s">
        <v>21</v>
      </c>
      <c r="DS2" s="14" t="s">
        <v>81</v>
      </c>
      <c r="DT2" s="14" t="s">
        <v>142</v>
      </c>
      <c r="DU2" s="14" t="s">
        <v>22</v>
      </c>
      <c r="DV2" s="14" t="s">
        <v>24</v>
      </c>
      <c r="DW2" s="14" t="s">
        <v>110</v>
      </c>
      <c r="DX2" s="14" t="s">
        <v>145</v>
      </c>
      <c r="DY2" s="14" t="s">
        <v>109</v>
      </c>
      <c r="DZ2" s="14" t="s">
        <v>107</v>
      </c>
      <c r="EA2" s="14" t="s">
        <v>144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109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104</v>
      </c>
      <c r="EY2" s="13" t="s">
        <v>143</v>
      </c>
      <c r="EZ2" s="13" t="s">
        <v>21</v>
      </c>
      <c r="FA2" s="13" t="s">
        <v>81</v>
      </c>
      <c r="FB2" s="13" t="s">
        <v>142</v>
      </c>
      <c r="FC2" s="13" t="s">
        <v>22</v>
      </c>
      <c r="FD2" s="13" t="s">
        <v>24</v>
      </c>
      <c r="FE2" s="13" t="s">
        <v>110</v>
      </c>
      <c r="FF2" s="13" t="s">
        <v>145</v>
      </c>
      <c r="FG2" s="13" t="s">
        <v>109</v>
      </c>
      <c r="FH2" s="13" t="s">
        <v>107</v>
      </c>
      <c r="FI2" s="13" t="s">
        <v>144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109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104</v>
      </c>
      <c r="GG2" s="14" t="s">
        <v>143</v>
      </c>
      <c r="GH2" s="14" t="s">
        <v>21</v>
      </c>
      <c r="GI2" s="14" t="s">
        <v>81</v>
      </c>
      <c r="GJ2" s="14" t="s">
        <v>142</v>
      </c>
      <c r="GK2" s="14" t="s">
        <v>22</v>
      </c>
      <c r="GL2" s="14" t="s">
        <v>24</v>
      </c>
      <c r="GM2" s="14" t="s">
        <v>110</v>
      </c>
      <c r="GN2" s="14" t="s">
        <v>145</v>
      </c>
      <c r="GO2" s="14" t="s">
        <v>109</v>
      </c>
      <c r="GP2" s="14" t="s">
        <v>107</v>
      </c>
      <c r="GQ2" s="14" t="s">
        <v>144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109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104</v>
      </c>
      <c r="HO2" s="13" t="s">
        <v>143</v>
      </c>
      <c r="HP2" s="13" t="s">
        <v>21</v>
      </c>
      <c r="HQ2" s="13" t="s">
        <v>81</v>
      </c>
      <c r="HR2" s="13" t="s">
        <v>142</v>
      </c>
      <c r="HS2" s="13" t="s">
        <v>22</v>
      </c>
      <c r="HT2" s="13" t="s">
        <v>24</v>
      </c>
      <c r="HU2" s="13" t="s">
        <v>110</v>
      </c>
      <c r="HV2" s="13" t="s">
        <v>145</v>
      </c>
      <c r="HW2" s="13" t="s">
        <v>109</v>
      </c>
      <c r="HX2" s="13" t="s">
        <v>107</v>
      </c>
      <c r="HY2" s="13" t="s">
        <v>144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109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104</v>
      </c>
      <c r="IW2" s="14" t="s">
        <v>143</v>
      </c>
      <c r="IX2" s="14" t="s">
        <v>21</v>
      </c>
      <c r="IY2" s="14" t="s">
        <v>81</v>
      </c>
      <c r="IZ2" s="14" t="s">
        <v>142</v>
      </c>
      <c r="JA2" s="14" t="s">
        <v>22</v>
      </c>
      <c r="JB2" s="14" t="s">
        <v>24</v>
      </c>
      <c r="JC2" s="14" t="s">
        <v>110</v>
      </c>
      <c r="JD2" s="14" t="s">
        <v>145</v>
      </c>
      <c r="JE2" s="14" t="s">
        <v>109</v>
      </c>
      <c r="JF2" s="14" t="s">
        <v>107</v>
      </c>
      <c r="JG2" s="14" t="s">
        <v>144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109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104</v>
      </c>
      <c r="KE2" s="13" t="s">
        <v>143</v>
      </c>
      <c r="KF2" s="13" t="s">
        <v>21</v>
      </c>
      <c r="KG2" s="13" t="s">
        <v>81</v>
      </c>
      <c r="KH2" s="13" t="s">
        <v>142</v>
      </c>
      <c r="KI2" s="13" t="s">
        <v>22</v>
      </c>
      <c r="KJ2" s="13" t="s">
        <v>24</v>
      </c>
      <c r="KK2" s="13" t="s">
        <v>110</v>
      </c>
      <c r="KL2" s="13" t="s">
        <v>145</v>
      </c>
      <c r="KM2" s="13" t="s">
        <v>109</v>
      </c>
      <c r="KN2" s="13" t="s">
        <v>107</v>
      </c>
      <c r="KO2" s="13" t="s">
        <v>144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109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104</v>
      </c>
      <c r="LM2" s="14" t="s">
        <v>143</v>
      </c>
      <c r="LN2" s="14" t="s">
        <v>21</v>
      </c>
      <c r="LO2" s="14" t="s">
        <v>81</v>
      </c>
      <c r="LP2" s="14" t="s">
        <v>142</v>
      </c>
      <c r="LQ2" s="14" t="s">
        <v>22</v>
      </c>
      <c r="LR2" s="14" t="s">
        <v>24</v>
      </c>
      <c r="LS2" s="14" t="s">
        <v>110</v>
      </c>
      <c r="LT2" s="14" t="s">
        <v>145</v>
      </c>
      <c r="LU2" s="14" t="s">
        <v>109</v>
      </c>
      <c r="LV2" s="14" t="s">
        <v>107</v>
      </c>
      <c r="LW2" s="14" t="s">
        <v>144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109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104</v>
      </c>
      <c r="MU2" s="13" t="s">
        <v>143</v>
      </c>
      <c r="MV2" s="13" t="s">
        <v>21</v>
      </c>
      <c r="MW2" s="13" t="s">
        <v>81</v>
      </c>
      <c r="MX2" s="13" t="s">
        <v>142</v>
      </c>
      <c r="MY2" s="13" t="s">
        <v>22</v>
      </c>
      <c r="MZ2" s="13" t="s">
        <v>24</v>
      </c>
      <c r="NA2" s="13" t="s">
        <v>110</v>
      </c>
      <c r="NB2" s="13" t="s">
        <v>145</v>
      </c>
      <c r="NC2" s="13" t="s">
        <v>109</v>
      </c>
      <c r="ND2" s="13" t="s">
        <v>107</v>
      </c>
      <c r="NE2" s="13" t="s">
        <v>144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109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104</v>
      </c>
      <c r="OC2" s="14" t="s">
        <v>143</v>
      </c>
      <c r="OD2" s="14" t="s">
        <v>21</v>
      </c>
      <c r="OE2" s="14" t="s">
        <v>81</v>
      </c>
      <c r="OF2" s="14" t="s">
        <v>142</v>
      </c>
      <c r="OG2" s="14" t="s">
        <v>22</v>
      </c>
      <c r="OH2" s="14" t="s">
        <v>24</v>
      </c>
      <c r="OI2" s="14" t="s">
        <v>110</v>
      </c>
      <c r="OJ2" s="14" t="s">
        <v>145</v>
      </c>
      <c r="OK2" s="14" t="s">
        <v>109</v>
      </c>
      <c r="OL2" s="14" t="s">
        <v>107</v>
      </c>
      <c r="OM2" s="14" t="s">
        <v>144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109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104</v>
      </c>
      <c r="PK2" s="13" t="s">
        <v>143</v>
      </c>
      <c r="PL2" s="13" t="s">
        <v>21</v>
      </c>
      <c r="PM2" s="13" t="s">
        <v>81</v>
      </c>
      <c r="PN2" s="13" t="s">
        <v>142</v>
      </c>
      <c r="PO2" s="13" t="s">
        <v>22</v>
      </c>
      <c r="PP2" s="13" t="s">
        <v>24</v>
      </c>
      <c r="PQ2" s="13" t="s">
        <v>110</v>
      </c>
      <c r="PR2" s="13" t="s">
        <v>145</v>
      </c>
      <c r="PS2" s="13" t="s">
        <v>109</v>
      </c>
      <c r="PT2" s="13" t="s">
        <v>107</v>
      </c>
      <c r="PU2" s="13" t="s">
        <v>144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109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104</v>
      </c>
      <c r="QS2" s="14" t="s">
        <v>143</v>
      </c>
      <c r="QT2" s="14" t="s">
        <v>21</v>
      </c>
      <c r="QU2" s="14" t="s">
        <v>81</v>
      </c>
      <c r="QV2" s="14" t="s">
        <v>142</v>
      </c>
      <c r="QW2" s="14" t="s">
        <v>22</v>
      </c>
      <c r="QX2" s="14" t="s">
        <v>24</v>
      </c>
      <c r="QY2" s="14" t="s">
        <v>110</v>
      </c>
      <c r="QZ2" s="14" t="s">
        <v>145</v>
      </c>
      <c r="RA2" s="14" t="s">
        <v>109</v>
      </c>
      <c r="RB2" s="14" t="s">
        <v>107</v>
      </c>
      <c r="RC2" s="14" t="s">
        <v>144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109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104</v>
      </c>
      <c r="SA2" s="13" t="s">
        <v>143</v>
      </c>
      <c r="SB2" s="13" t="s">
        <v>21</v>
      </c>
      <c r="SC2" s="13" t="s">
        <v>81</v>
      </c>
      <c r="SD2" s="13" t="s">
        <v>142</v>
      </c>
      <c r="SE2" s="13" t="s">
        <v>22</v>
      </c>
      <c r="SF2" s="13" t="s">
        <v>24</v>
      </c>
      <c r="SG2" s="13" t="s">
        <v>110</v>
      </c>
      <c r="SH2" s="13" t="s">
        <v>145</v>
      </c>
      <c r="SI2" s="13" t="s">
        <v>109</v>
      </c>
      <c r="SJ2" s="13" t="s">
        <v>107</v>
      </c>
      <c r="SK2" s="13" t="s">
        <v>144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104</v>
      </c>
      <c r="TE2" s="14" t="s">
        <v>143</v>
      </c>
      <c r="TF2" s="14" t="s">
        <v>21</v>
      </c>
      <c r="TG2" s="14" t="s">
        <v>81</v>
      </c>
      <c r="TH2" s="14" t="s">
        <v>142</v>
      </c>
      <c r="TI2" s="14" t="s">
        <v>22</v>
      </c>
      <c r="TJ2" s="14" t="s">
        <v>24</v>
      </c>
      <c r="TK2" s="14" t="s">
        <v>107</v>
      </c>
      <c r="TL2" s="14" t="s">
        <v>144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141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141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141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141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141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141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141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141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141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141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141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141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141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141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141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141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141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141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141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141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141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141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141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141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141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141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141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141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141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141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141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141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141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141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141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141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141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141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141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141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141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141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141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141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141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141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141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141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141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141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141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141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141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141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141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141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141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141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141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141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215</v>
      </c>
      <c r="C4" s="4" t="s">
        <v>214</v>
      </c>
      <c r="D4" s="4" t="s">
        <v>213</v>
      </c>
      <c r="E4" s="9">
        <f t="shared" ref="E4:E15" si="0">SUM(J4,L4,N4)</f>
        <v>103.07000000000001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 t="shared" ref="K4:K15" si="5"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 t="shared" ref="M4:M15" si="6">IF(L4="","",IF(OR(L4=CK4,L4=CN4,L4=CR4),$BS$1,IF(OR(L4=BJ4,L4=BM4,L4=BQ4),$AR$1,IF(OR(L4=AI4,L4=AL4,L4=AP4),$Q$1,""))))</f>
        <v>2023 Nationals</v>
      </c>
      <c r="N4" s="8">
        <f t="shared" ref="N4:N15" si="7">IF(MAX(CT4,CU4)&gt;0,MAX(CT4,CU4),"")</f>
        <v>5.8599999999999994</v>
      </c>
      <c r="O4" s="11" t="str">
        <f t="shared" ref="O4:O15" si="8">IF(N4="","",IF(N4=CT4,"("&amp;CT$2&amp;")",IF(N4=CU4,"("&amp;CU$2&amp;")")))</f>
        <v>(Final)</v>
      </c>
      <c r="P4" s="8" t="str">
        <f t="shared" ref="P4:P15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 t="shared" ref="AG4:AG15" si="10">IF(S4&gt;0,S4,"")</f>
        <v/>
      </c>
      <c r="AH4" s="39" t="str">
        <f t="shared" ref="AH4:AH15" si="11">IF(T4&gt;0,T4,"")</f>
        <v/>
      </c>
      <c r="AI4" s="41" t="str">
        <f t="shared" ref="AI4:AI15" si="12">IF(SUM(Q4:T4)-U4&gt;0,SUM(Q4:T4)-U4,"")</f>
        <v/>
      </c>
      <c r="AJ4" s="41" t="str">
        <f t="shared" ref="AJ4:AJ15" si="13">IF(X4&gt;0,X4,"")</f>
        <v/>
      </c>
      <c r="AK4" s="41" t="str">
        <f t="shared" ref="AK4:AK15" si="14">IF(Y4&gt;0,Y4,"")</f>
        <v/>
      </c>
      <c r="AL4" s="41" t="str">
        <f t="shared" ref="AL4:AL15" si="15">IF(SUM(V4:Y4)-Z4&gt;0,SUM(V4:Y4)-Z4,"")</f>
        <v/>
      </c>
      <c r="AM4" s="41" t="str">
        <f t="shared" ref="AM4:AM15" si="16">IF(AI4="","",MAX(AI4,AL4))</f>
        <v/>
      </c>
      <c r="AN4" s="41" t="str">
        <f t="shared" ref="AN4:AN15" si="17">IF(AC4&gt;0,AC4,"")</f>
        <v/>
      </c>
      <c r="AO4" s="41" t="str">
        <f t="shared" ref="AO4:AO15" si="18">IF(AD4&gt;0,AD4,"")</f>
        <v/>
      </c>
      <c r="AP4" s="41" t="str">
        <f t="shared" ref="AP4:AP15" si="19">IF(SUM(AA4:AD4)-AE4&gt;0,SUM(AA4:AD4)-AE4,"")</f>
        <v/>
      </c>
      <c r="AQ4" s="41" t="str">
        <f t="shared" ref="AQ4:AQ15" si="20"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 t="shared" ref="BH4:BH15" si="21">IF(AT4&gt;0,AT4,"")</f>
        <v>5.0999999999999996</v>
      </c>
      <c r="BI4" s="40">
        <f t="shared" ref="BI4:BI15" si="22">IF(AU4&gt;0,AU4,"")</f>
        <v>4.66</v>
      </c>
      <c r="BJ4" s="11">
        <f t="shared" ref="BJ4:BJ15" si="23">IF(SUM(AR4:AU4)-AV4&gt;0,SUM(AR4:AU4)-AV4,"")</f>
        <v>14.91</v>
      </c>
      <c r="BK4" s="11">
        <f t="shared" ref="BK4:BK15" si="24">IF(AY4&gt;0,AY4,"")</f>
        <v>15.6</v>
      </c>
      <c r="BL4" s="11">
        <f t="shared" ref="BL4:BL15" si="25">IF(AZ4&gt;0,AZ4,"")</f>
        <v>13.74</v>
      </c>
      <c r="BM4" s="11">
        <f t="shared" ref="BM4:BM15" si="26">IF(SUM(AW4:AZ4)-BA4&gt;0,SUM(AW4:AZ4)-BA4,"")</f>
        <v>46.09</v>
      </c>
      <c r="BN4" s="11">
        <f t="shared" ref="BN4:BN15" si="27">IF(BJ4="","",MAX(BJ4,BM4))</f>
        <v>46.09</v>
      </c>
      <c r="BO4" s="11">
        <f t="shared" ref="BO4:BO15" si="28">IF(BD4&gt;0,BD4,"")</f>
        <v>15.6</v>
      </c>
      <c r="BP4" s="11">
        <f t="shared" ref="BP4:BP15" si="29">IF(BE4&gt;0,BE4,"")</f>
        <v>17.72</v>
      </c>
      <c r="BQ4" s="11">
        <f t="shared" ref="BQ4:BQ15" si="30">IF(SUM(BB4:BE4)-BF4&gt;0,SUM(BB4:BE4)-BF4,"")</f>
        <v>51.12</v>
      </c>
      <c r="BR4" s="11">
        <f t="shared" ref="BR4:BR15" si="31"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15" si="32">IF(BU4&gt;0,BU4,"")</f>
        <v/>
      </c>
      <c r="CJ4" s="39" t="str">
        <f t="shared" ref="CJ4:CJ15" si="33">IF(BV4&gt;0,BV4,"")</f>
        <v/>
      </c>
      <c r="CK4" s="41" t="str">
        <f t="shared" ref="CK4:CK15" si="34">IF(SUM(BS4:BV4)-BW4&gt;0,SUM(BS4:BV4)-BW4,"")</f>
        <v/>
      </c>
      <c r="CL4" s="41" t="str">
        <f t="shared" ref="CL4:CL15" si="35">IF(BZ4&gt;0,BZ4,"")</f>
        <v/>
      </c>
      <c r="CM4" s="41" t="str">
        <f t="shared" ref="CM4:CM15" si="36">IF(CA4&gt;0,CA4,"")</f>
        <v/>
      </c>
      <c r="CN4" s="41" t="str">
        <f t="shared" ref="CN4:CN15" si="37">IF(SUM(BX4:CA4)-CB4&gt;0,SUM(BX4:CA4)-CB4,"")</f>
        <v/>
      </c>
      <c r="CO4" s="41" t="str">
        <f t="shared" ref="CO4:CO15" si="38">IF(CK4="","",MAX(CK4,CN4))</f>
        <v/>
      </c>
      <c r="CP4" s="41" t="str">
        <f t="shared" ref="CP4:CP15" si="39">IF(CE4&gt;0,CE4,"")</f>
        <v/>
      </c>
      <c r="CQ4" s="41" t="str">
        <f t="shared" ref="CQ4:CQ15" si="40">IF(CF4&gt;0,CF4,"")</f>
        <v/>
      </c>
      <c r="CR4" s="41" t="str">
        <f t="shared" ref="CR4:CR15" si="41">IF(SUM(CC4:CF4)-CG4&gt;0,SUM(CC4:CF4)-CG4,"")</f>
        <v/>
      </c>
      <c r="CS4" s="41" t="str">
        <f t="shared" ref="CS4:CS15" si="42">IF(SUM(CO4,CR4)&gt;0,SUM(CO4,CR4),"")</f>
        <v/>
      </c>
      <c r="CT4" s="52">
        <f t="shared" ref="CT4:CT15" si="43">IF(MAX(DV4,FD4,GL4,HT4,JB4,KJ4,LR4,MZ4,OH4,PP4,QX4,SF4)-IF(L4="",0,L4)&gt;0.001,MAX(DV4,FD4,GL4,HT4,JB4,KJ4,LR4,MZ4,OH4,PP4,QX4,SF4)-IF(L4="",0,L4),"")</f>
        <v>4.2199999999999989</v>
      </c>
      <c r="CU4" s="52">
        <f t="shared" ref="CU4:CU15" si="44"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15" si="45">IF(CX4&gt;0,CX4,"")</f>
        <v/>
      </c>
      <c r="DQ4" s="41" t="str">
        <f t="shared" ref="DQ4:DQ15" si="46">IF(CY4&gt;0,CY4,"")</f>
        <v/>
      </c>
      <c r="DR4" s="41" t="str">
        <f t="shared" ref="DR4:DR15" si="47">IF(SUM(CV4:CY4)-CZ4&gt;0,SUM(CV4:CY4)-CZ4,"")</f>
        <v/>
      </c>
      <c r="DS4" s="41" t="str">
        <f t="shared" ref="DS4:DS15" si="48">IF(DC4&gt;0,DC4,"")</f>
        <v/>
      </c>
      <c r="DT4" s="41" t="str">
        <f t="shared" ref="DT4:DT15" si="49">IF(DD4&gt;0,DD4,"")</f>
        <v/>
      </c>
      <c r="DU4" s="41" t="str">
        <f t="shared" ref="DU4:DU15" si="50">IF(SUM(DA4:DD4)-DE4&gt;0,SUM(DA4:DD4)-DE4,"")</f>
        <v/>
      </c>
      <c r="DV4" s="41" t="str">
        <f t="shared" ref="DV4:DV15" si="51">IF(MAX(DR4,DU4)&gt;0,MAX(DR4,DU4),"")</f>
        <v/>
      </c>
      <c r="DW4" s="41" t="str">
        <f t="shared" ref="DW4:DW15" si="52">IF(DH4&gt;0,DH4,"")</f>
        <v/>
      </c>
      <c r="DX4" s="41" t="str">
        <f t="shared" ref="DX4:DX15" si="53">IF(DI4&gt;0,DI4,"")</f>
        <v/>
      </c>
      <c r="DY4" s="41" t="str">
        <f t="shared" ref="DY4:DY15" si="54">IF(SUM(DF4:DI4)-DJ4&gt;0,SUM(DF4:DI4)-DJ4,"")</f>
        <v/>
      </c>
      <c r="DZ4" s="41" t="str">
        <f t="shared" ref="DZ4:DZ15" si="55">IF(DM4&gt;0,DM4,"")</f>
        <v/>
      </c>
      <c r="EA4" s="41" t="str">
        <f t="shared" ref="EA4:EA15" si="56">IF(DN4&gt;0,DN4,"")</f>
        <v/>
      </c>
      <c r="EB4" s="41" t="str">
        <f t="shared" ref="EB4:EB15" si="57">IF(SUM(DK4:DN4)-DO4&gt;0,SUM(DK4:DN4)-DO4,"")</f>
        <v/>
      </c>
      <c r="EC4" s="41" t="str">
        <f t="shared" ref="EC4:EC15" si="58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5" si="59">IF(EF4&gt;0,EF4,"")</f>
        <v/>
      </c>
      <c r="EY4" s="11" t="str">
        <f t="shared" ref="EY4:EY15" si="60">IF(EG4&gt;0,EG4,"")</f>
        <v/>
      </c>
      <c r="EZ4" s="11" t="str">
        <f t="shared" ref="EZ4:EZ15" si="61">IF(SUM(ED4:EG4)-EH4&gt;0,SUM(ED4:EG4)-EH4,"")</f>
        <v/>
      </c>
      <c r="FA4" s="11" t="str">
        <f t="shared" ref="FA4:FA15" si="62">IF(EK4&gt;0,EK4,"")</f>
        <v/>
      </c>
      <c r="FB4" s="11" t="str">
        <f t="shared" ref="FB4:FB15" si="63">IF(EL4&gt;0,EL4,"")</f>
        <v/>
      </c>
      <c r="FC4" s="11" t="str">
        <f t="shared" ref="FC4:FC15" si="64">IF(SUM(EI4:EL4)-EM4&gt;0,SUM(EI4:EL4)-EM4,"")</f>
        <v/>
      </c>
      <c r="FD4" s="11" t="str">
        <f t="shared" ref="FD4:FD15" si="65">IF(MAX(EZ4,FC4)&gt;0,MAX(EZ4,FC4),"")</f>
        <v/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 t="str">
        <f t="shared" ref="FH4:FH15" si="69">IF(EU4&gt;0,EU4,"")</f>
        <v/>
      </c>
      <c r="FI4" s="11" t="str">
        <f t="shared" ref="FI4:FI15" si="70">IF(EV4&gt;0,EV4,"")</f>
        <v/>
      </c>
      <c r="FJ4" s="11" t="str">
        <f t="shared" ref="FJ4:FJ15" si="71">IF(SUM(ES4:EV4)-EW4&gt;0,SUM(ES4:EV4)-EW4,"")</f>
        <v/>
      </c>
      <c r="FK4" s="11" t="str">
        <f t="shared" ref="FK4:FK15" si="72"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15" si="73">IF(FN4&gt;0,FN4,"")</f>
        <v/>
      </c>
      <c r="GG4" s="41" t="str">
        <f t="shared" ref="GG4:GG15" si="74">IF(FO4&gt;0,FO4,"")</f>
        <v/>
      </c>
      <c r="GH4" s="41" t="str">
        <f t="shared" ref="GH4:GH15" si="75">IF(SUM(FL4:FO4)-FP4&gt;0,SUM(FL4:FO4)-FP4,"")</f>
        <v/>
      </c>
      <c r="GI4" s="41" t="str">
        <f t="shared" ref="GI4:GI15" si="76">IF(FS4&gt;0,FS4,"")</f>
        <v/>
      </c>
      <c r="GJ4" s="41" t="str">
        <f t="shared" ref="GJ4:GJ15" si="77">IF(FT4&gt;0,FT4,"")</f>
        <v/>
      </c>
      <c r="GK4" s="41" t="str">
        <f t="shared" ref="GK4:GK15" si="78">IF(SUM(FQ4:FT4)-FU4&gt;0,SUM(FQ4:FT4)-FU4,"")</f>
        <v/>
      </c>
      <c r="GL4" s="41" t="str">
        <f t="shared" ref="GL4:GL15" si="79">IF(MAX(GH4,GK4)&gt;0,MAX(GH4,GK4),"")</f>
        <v/>
      </c>
      <c r="GM4" s="41" t="str">
        <f t="shared" ref="GM4:GM15" si="80">IF(FX4&gt;0,FX4,"")</f>
        <v/>
      </c>
      <c r="GN4" s="41" t="str">
        <f t="shared" ref="GN4:GN15" si="81">IF(FY4&gt;0,FY4,"")</f>
        <v/>
      </c>
      <c r="GO4" s="41" t="str">
        <f t="shared" ref="GO4:GO15" si="82">IF(SUM(FV4:FY4)-FZ4&gt;0,SUM(FV4:FY4)-FZ4,"")</f>
        <v/>
      </c>
      <c r="GP4" s="41" t="str">
        <f t="shared" ref="GP4:GP15" si="83">IF(GC4&gt;0,GC4,"")</f>
        <v/>
      </c>
      <c r="GQ4" s="41" t="str">
        <f t="shared" ref="GQ4:GQ15" si="84">IF(GD4&gt;0,GD4,"")</f>
        <v/>
      </c>
      <c r="GR4" s="41" t="str">
        <f t="shared" ref="GR4:GR15" si="85">IF(SUM(GA4:GD4)-GE4&gt;0,SUM(GA4:GD4)-GE4,"")</f>
        <v/>
      </c>
      <c r="GS4" s="41" t="str">
        <f t="shared" ref="GS4:GS15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5" si="87">IF(GV4&gt;0,GV4,"")</f>
        <v/>
      </c>
      <c r="HO4" s="11" t="str">
        <f t="shared" ref="HO4:HO15" si="88">IF(GW4&gt;0,GW4,"")</f>
        <v/>
      </c>
      <c r="HP4" s="11" t="str">
        <f t="shared" ref="HP4:HP15" si="89">IF(SUM(GT4:GW4)-GX4&gt;0,SUM(GT4:GW4)-GX4,"")</f>
        <v/>
      </c>
      <c r="HQ4" s="11" t="str">
        <f t="shared" ref="HQ4:HQ15" si="90">IF(HA4&gt;0,HA4,"")</f>
        <v/>
      </c>
      <c r="HR4" s="11" t="str">
        <f t="shared" ref="HR4:HR15" si="91">IF(HB4&gt;0,HB4,"")</f>
        <v/>
      </c>
      <c r="HS4" s="11" t="str">
        <f t="shared" ref="HS4:HS15" si="92">IF(SUM(GY4:HB4)-HC4&gt;0,SUM(GY4:HB4)-HC4,"")</f>
        <v/>
      </c>
      <c r="HT4" s="11" t="str">
        <f t="shared" ref="HT4:HT15" si="93">IF(MAX(HP4,HS4)&gt;0,MAX(HP4,HS4),"")</f>
        <v/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 t="str">
        <f t="shared" ref="IA4:IA15" si="100">IF(SUM(HT4,HZ4)&gt;0,SUM(HT4,HZ4),"")</f>
        <v/>
      </c>
      <c r="IB4" s="17">
        <v>3.05</v>
      </c>
      <c r="IC4" s="17">
        <v>3.6</v>
      </c>
      <c r="ID4" s="17">
        <v>6.7</v>
      </c>
      <c r="IE4" s="17">
        <v>7.08</v>
      </c>
      <c r="IF4" s="17">
        <v>0</v>
      </c>
      <c r="IG4" s="17">
        <v>7.4</v>
      </c>
      <c r="IH4" s="17">
        <v>9.25</v>
      </c>
      <c r="II4" s="17">
        <v>15.6</v>
      </c>
      <c r="IJ4" s="17">
        <v>18.059999999999999</v>
      </c>
      <c r="IK4" s="17">
        <v>0</v>
      </c>
      <c r="IL4" s="17"/>
      <c r="IM4" s="17"/>
      <c r="IN4" s="17"/>
      <c r="IO4" s="17"/>
      <c r="IP4" s="17"/>
      <c r="IQ4" s="17">
        <v>7.6</v>
      </c>
      <c r="IR4" s="17">
        <v>9.0500000000000007</v>
      </c>
      <c r="IS4" s="17">
        <v>15.6</v>
      </c>
      <c r="IT4" s="17">
        <v>18.78</v>
      </c>
      <c r="IU4" s="17">
        <v>0</v>
      </c>
      <c r="IV4" s="41">
        <f t="shared" ref="IV4:IV15" si="101">IF(ID4&gt;0,ID4,"")</f>
        <v>6.7</v>
      </c>
      <c r="IW4" s="41">
        <f t="shared" ref="IW4:IW15" si="102">IF(IE4&gt;0,IE4,"")</f>
        <v>7.08</v>
      </c>
      <c r="IX4" s="41">
        <f t="shared" ref="IX4:IX15" si="103">IF(SUM(IB4:IE4)-IF4&gt;0,SUM(IB4:IE4)-IF4,"")</f>
        <v>20.43</v>
      </c>
      <c r="IY4" s="41">
        <f t="shared" ref="IY4:IY15" si="104">IF(II4&gt;0,II4,"")</f>
        <v>15.6</v>
      </c>
      <c r="IZ4" s="41">
        <f t="shared" ref="IZ4:IZ15" si="105">IF(IJ4&gt;0,IJ4,"")</f>
        <v>18.059999999999999</v>
      </c>
      <c r="JA4" s="41">
        <f t="shared" ref="JA4:JA15" si="106">IF(SUM(IG4:IJ4)-IK4&gt;0,SUM(IG4:IJ4)-IK4,"")</f>
        <v>50.31</v>
      </c>
      <c r="JB4" s="41">
        <f t="shared" ref="JB4:JB15" si="107">IF(MAX(IX4,JA4)&gt;0,MAX(IX4,JA4),"")</f>
        <v>50.31</v>
      </c>
      <c r="JC4" s="41" t="str">
        <f t="shared" ref="JC4:JC15" si="108">IF(IN4&gt;0,IN4,"")</f>
        <v/>
      </c>
      <c r="JD4" s="41" t="str">
        <f t="shared" ref="JD4:JD15" si="109">IF(IO4&gt;0,IO4,"")</f>
        <v/>
      </c>
      <c r="JE4" s="41" t="str">
        <f t="shared" ref="JE4:JE15" si="110">IF(SUM(IL4:IO4)-IP4&gt;0,SUM(IL4:IO4)-IP4,"")</f>
        <v/>
      </c>
      <c r="JF4" s="41">
        <f t="shared" ref="JF4:JF15" si="111">IF(IS4&gt;0,IS4,"")</f>
        <v>15.6</v>
      </c>
      <c r="JG4" s="41">
        <f t="shared" ref="JG4:JG15" si="112">IF(IT4&gt;0,IT4,"")</f>
        <v>18.78</v>
      </c>
      <c r="JH4" s="41">
        <f t="shared" ref="JH4:JH15" si="113">IF(SUM(IQ4:IT4)-IU4&gt;0,SUM(IQ4:IT4)-IU4,"")</f>
        <v>51.03</v>
      </c>
      <c r="JI4" s="41">
        <f t="shared" ref="JI4:JI15" si="114">IF(SUM(JB4,JH4)&gt;0,SUM(JB4,JH4),"")</f>
        <v>101.34</v>
      </c>
      <c r="JJ4" s="18">
        <v>4.7</v>
      </c>
      <c r="JK4" s="18">
        <v>5.65</v>
      </c>
      <c r="JL4" s="18">
        <v>9.8000000000000007</v>
      </c>
      <c r="JM4" s="18">
        <v>10.1</v>
      </c>
      <c r="JN4" s="18">
        <v>0</v>
      </c>
      <c r="JO4" s="18">
        <v>7.2</v>
      </c>
      <c r="JP4" s="18">
        <v>9.0500000000000007</v>
      </c>
      <c r="JQ4" s="18">
        <v>15.6</v>
      </c>
      <c r="JR4" s="18">
        <v>16.22</v>
      </c>
      <c r="JS4" s="18">
        <v>0.4</v>
      </c>
      <c r="JT4" s="18"/>
      <c r="JU4" s="18"/>
      <c r="JV4" s="18"/>
      <c r="JW4" s="18"/>
      <c r="JX4" s="18"/>
      <c r="JY4" s="18">
        <v>7.75</v>
      </c>
      <c r="JZ4" s="18">
        <v>9.1</v>
      </c>
      <c r="KA4" s="18">
        <v>15.6</v>
      </c>
      <c r="KB4" s="18">
        <v>19.5</v>
      </c>
      <c r="KC4" s="18">
        <v>0</v>
      </c>
      <c r="KD4" s="11">
        <f t="shared" ref="KD4:KD15" si="115">IF(JL4&gt;0,JL4,"")</f>
        <v>9.8000000000000007</v>
      </c>
      <c r="KE4" s="11">
        <f t="shared" ref="KE4:KE15" si="116">IF(JM4&gt;0,JM4,"")</f>
        <v>10.1</v>
      </c>
      <c r="KF4" s="11">
        <f t="shared" ref="KF4:KF15" si="117">IF(SUM(JJ4:JM4)-JN4&gt;0,SUM(JJ4:JM4)-JN4,"")</f>
        <v>30.25</v>
      </c>
      <c r="KG4" s="11">
        <f t="shared" ref="KG4:KG15" si="118">IF(JQ4&gt;0,JQ4,"")</f>
        <v>15.6</v>
      </c>
      <c r="KH4" s="11">
        <f t="shared" ref="KH4:KH15" si="119">IF(JR4&gt;0,JR4,"")</f>
        <v>16.22</v>
      </c>
      <c r="KI4" s="11">
        <f t="shared" ref="KI4:KI15" si="120">IF(SUM(JO4:JR4)-JS4&gt;0,SUM(JO4:JR4)-JS4,"")</f>
        <v>47.67</v>
      </c>
      <c r="KJ4" s="11">
        <f t="shared" ref="KJ4:KJ15" si="121">IF(MAX(KF4,KI4)&gt;0,MAX(KF4,KI4),"")</f>
        <v>47.67</v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>
        <f t="shared" ref="KN4:KN15" si="125">IF(KA4&gt;0,KA4,"")</f>
        <v>15.6</v>
      </c>
      <c r="KO4" s="11">
        <f t="shared" ref="KO4:KO15" si="126">IF(KB4&gt;0,KB4,"")</f>
        <v>19.5</v>
      </c>
      <c r="KP4" s="11">
        <f t="shared" ref="KP4:KP15" si="127">IF(SUM(JY4:KB4)-KC4&gt;0,SUM(JY4:KB4)-KC4,"")</f>
        <v>51.95</v>
      </c>
      <c r="KQ4" s="11">
        <f t="shared" ref="KQ4:KQ15" si="128">IF(SUM(KJ4,KP4)&gt;0,SUM(KJ4,KP4),"")</f>
        <v>99.62</v>
      </c>
      <c r="KR4" s="17">
        <v>0.8</v>
      </c>
      <c r="KS4" s="17">
        <v>0.9</v>
      </c>
      <c r="KT4" s="17">
        <v>2</v>
      </c>
      <c r="KU4" s="17">
        <v>1.6</v>
      </c>
      <c r="KV4" s="17">
        <v>0</v>
      </c>
      <c r="KW4" s="17">
        <v>7.65</v>
      </c>
      <c r="KX4" s="17">
        <v>9.35</v>
      </c>
      <c r="KY4" s="17">
        <v>15.6</v>
      </c>
      <c r="KZ4" s="17">
        <v>16.64</v>
      </c>
      <c r="LA4" s="17">
        <v>0</v>
      </c>
      <c r="LB4" s="17"/>
      <c r="LC4" s="17"/>
      <c r="LD4" s="17"/>
      <c r="LE4" s="17"/>
      <c r="LF4" s="17"/>
      <c r="LG4" s="17">
        <v>7.25</v>
      </c>
      <c r="LH4" s="17">
        <v>9.0500000000000007</v>
      </c>
      <c r="LI4" s="17">
        <v>15.6</v>
      </c>
      <c r="LJ4" s="17">
        <v>16.579999999999998</v>
      </c>
      <c r="LK4" s="17">
        <v>0</v>
      </c>
      <c r="LL4" s="41">
        <f t="shared" ref="LL4:LL15" si="129">IF(KT4&gt;0,KT4,"")</f>
        <v>2</v>
      </c>
      <c r="LM4" s="41">
        <f t="shared" ref="LM4:LM15" si="130">IF(KU4&gt;0,KU4,"")</f>
        <v>1.6</v>
      </c>
      <c r="LN4" s="41">
        <f t="shared" ref="LN4:LN15" si="131">IF(SUM(KR4:KU4)-KV4&gt;0,SUM(KR4:KU4)-KV4,"")</f>
        <v>5.3000000000000007</v>
      </c>
      <c r="LO4" s="41">
        <f t="shared" ref="LO4:LO15" si="132">IF(KY4&gt;0,KY4,"")</f>
        <v>15.6</v>
      </c>
      <c r="LP4" s="41">
        <f t="shared" ref="LP4:LP15" si="133">IF(KZ4&gt;0,KZ4,"")</f>
        <v>16.64</v>
      </c>
      <c r="LQ4" s="41">
        <f t="shared" ref="LQ4:LQ15" si="134">IF(SUM(KW4:KZ4)-LA4&gt;0,SUM(KW4:KZ4)-LA4,"")</f>
        <v>49.24</v>
      </c>
      <c r="LR4" s="41">
        <f t="shared" ref="LR4:LR15" si="135">IF(MAX(LN4,LQ4)&gt;0,MAX(LN4,LQ4),"")</f>
        <v>49.24</v>
      </c>
      <c r="LS4" s="41" t="str">
        <f t="shared" ref="LS4:LS15" si="136">IF(LD4&gt;0,LD4,"")</f>
        <v/>
      </c>
      <c r="LT4" s="41" t="str">
        <f t="shared" ref="LT4:LT15" si="137">IF(LE4&gt;0,LE4,"")</f>
        <v/>
      </c>
      <c r="LU4" s="41" t="str">
        <f t="shared" ref="LU4:LU15" si="138">IF(SUM(LB4:LE4)-LF4&gt;0,SUM(LB4:LE4)-LF4,"")</f>
        <v/>
      </c>
      <c r="LV4" s="41">
        <f t="shared" ref="LV4:LV15" si="139">IF(LI4&gt;0,LI4,"")</f>
        <v>15.6</v>
      </c>
      <c r="LW4" s="41">
        <f t="shared" ref="LW4:LW15" si="140">IF(LJ4&gt;0,LJ4,"")</f>
        <v>16.579999999999998</v>
      </c>
      <c r="LX4" s="41">
        <f t="shared" ref="LX4:LX15" si="141">IF(SUM(LG4:LJ4)-LK4&gt;0,SUM(LG4:LJ4)-LK4,"")</f>
        <v>48.48</v>
      </c>
      <c r="LY4" s="41">
        <f t="shared" ref="LY4:LY15" si="142">IF(SUM(LR4,LX4)&gt;0,SUM(LR4,LX4),"")</f>
        <v>97.72</v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5" si="143">IF(MB4&gt;0,MB4,"")</f>
        <v/>
      </c>
      <c r="MU4" s="11" t="str">
        <f t="shared" ref="MU4:MU15" si="144">IF(MC4&gt;0,MC4,"")</f>
        <v/>
      </c>
      <c r="MV4" s="11" t="str">
        <f t="shared" ref="MV4:MV15" si="145">IF(SUM(LZ4:MC4)-MD4&gt;0,SUM(LZ4:MC4)-MD4,"")</f>
        <v/>
      </c>
      <c r="MW4" s="11" t="str">
        <f t="shared" ref="MW4:MW15" si="146">IF(MG4&gt;0,MG4,"")</f>
        <v/>
      </c>
      <c r="MX4" s="11" t="str">
        <f t="shared" ref="MX4:MX15" si="147">IF(MH4&gt;0,MH4,"")</f>
        <v/>
      </c>
      <c r="MY4" s="11" t="str">
        <f t="shared" ref="MY4:MY15" si="148">IF(SUM(ME4:MH4)-MI4&gt;0,SUM(ME4:MH4)-MI4,"")</f>
        <v/>
      </c>
      <c r="MZ4" s="11" t="str">
        <f t="shared" ref="MZ4:MZ15" si="149">IF(MAX(MV4,MY4)&gt;0,MAX(MV4,MY4),"")</f>
        <v/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 t="str">
        <f t="shared" ref="ND4:ND15" si="153">IF(MQ4&gt;0,MQ4,"")</f>
        <v/>
      </c>
      <c r="NE4" s="11" t="str">
        <f t="shared" ref="NE4:NE15" si="154">IF(MR4&gt;0,MR4,"")</f>
        <v/>
      </c>
      <c r="NF4" s="11" t="str">
        <f t="shared" ref="NF4:NF15" si="155">IF(SUM(MO4:MR4)-MS4&gt;0,SUM(MO4:MR4)-MS4,"")</f>
        <v/>
      </c>
      <c r="NG4" s="11" t="str">
        <f t="shared" ref="NG4:NG15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5" si="157">IF(NJ4&gt;0,NJ4,"")</f>
        <v/>
      </c>
      <c r="OC4" s="41" t="str">
        <f t="shared" ref="OC4:OC15" si="158">IF(NK4&gt;0,NK4,"")</f>
        <v/>
      </c>
      <c r="OD4" s="41" t="str">
        <f t="shared" ref="OD4:OD15" si="159">IF(SUM(NH4:NK4)-NL4&gt;0,SUM(NH4:NK4)-NL4,"")</f>
        <v/>
      </c>
      <c r="OE4" s="41" t="str">
        <f t="shared" ref="OE4:OE15" si="160">IF(NO4&gt;0,NO4,"")</f>
        <v/>
      </c>
      <c r="OF4" s="41" t="str">
        <f t="shared" ref="OF4:OF15" si="161">IF(NP4&gt;0,NP4,"")</f>
        <v/>
      </c>
      <c r="OG4" s="41" t="str">
        <f t="shared" ref="OG4:OG15" si="162">IF(SUM(NM4:NP4)-NQ4&gt;0,SUM(NM4:NP4)-NQ4,"")</f>
        <v/>
      </c>
      <c r="OH4" s="41" t="str">
        <f t="shared" ref="OH4:OH15" si="163">IF(MAX(OD4,OG4)&gt;0,MAX(OD4,OG4),"")</f>
        <v/>
      </c>
      <c r="OI4" s="41" t="str">
        <f t="shared" ref="OI4:OI15" si="164">IF(NT4&gt;0,NT4,"")</f>
        <v/>
      </c>
      <c r="OJ4" s="41" t="str">
        <f t="shared" ref="OJ4:OJ15" si="165">IF(NU4&gt;0,NU4,"")</f>
        <v/>
      </c>
      <c r="OK4" s="41" t="str">
        <f t="shared" ref="OK4:OK15" si="166">IF(SUM(NR4:NU4)-NV4&gt;0,SUM(NR4:NU4)-NV4,"")</f>
        <v/>
      </c>
      <c r="OL4" s="41" t="str">
        <f t="shared" ref="OL4:OL15" si="167">IF(NY4&gt;0,NY4,"")</f>
        <v/>
      </c>
      <c r="OM4" s="41" t="str">
        <f t="shared" ref="OM4:OM15" si="168">IF(NZ4&gt;0,NZ4,"")</f>
        <v/>
      </c>
      <c r="ON4" s="41" t="str">
        <f t="shared" ref="ON4:ON15" si="169">IF(SUM(NW4:NZ4)-OA4&gt;0,SUM(NW4:NZ4)-OA4,"")</f>
        <v/>
      </c>
      <c r="OO4" s="41" t="str">
        <f t="shared" ref="OO4:OO15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15" si="185">IF(PZ4&gt;0,PZ4,"")</f>
        <v/>
      </c>
      <c r="QS4" s="41" t="str">
        <f t="shared" ref="QS4:QS15" si="186">IF(QA4&gt;0,QA4,"")</f>
        <v/>
      </c>
      <c r="QT4" s="41" t="str">
        <f t="shared" ref="QT4:QT15" si="187">IF(SUM(PX4:QA4)-QB4&gt;0,SUM(PX4:QA4)-QB4,"")</f>
        <v/>
      </c>
      <c r="QU4" s="41" t="str">
        <f t="shared" ref="QU4:QU15" si="188">IF(QE4&gt;0,QE4,"")</f>
        <v/>
      </c>
      <c r="QV4" s="41" t="str">
        <f t="shared" ref="QV4:QV15" si="189">IF(QF4&gt;0,QF4,"")</f>
        <v/>
      </c>
      <c r="QW4" s="41" t="str">
        <f t="shared" ref="QW4:QW15" si="190">IF(SUM(QC4:QF4)-QG4&gt;0,SUM(QC4:QF4)-QG4,"")</f>
        <v/>
      </c>
      <c r="QX4" s="41" t="str">
        <f t="shared" ref="QX4:QX15" si="191">IF(MAX(QT4,QW4)&gt;0,MAX(QT4,QW4),"")</f>
        <v/>
      </c>
      <c r="QY4" s="41" t="str">
        <f t="shared" ref="QY4:QY15" si="192">IF(QJ4&gt;0,QJ4,"")</f>
        <v/>
      </c>
      <c r="QZ4" s="41" t="str">
        <f t="shared" ref="QZ4:QZ15" si="193">IF(QK4&gt;0,QK4,"")</f>
        <v/>
      </c>
      <c r="RA4" s="41" t="str">
        <f t="shared" ref="RA4:RA15" si="194">IF(SUM(QH4:QK4)-QL4&gt;0,SUM(QH4:QK4)-QL4,"")</f>
        <v/>
      </c>
      <c r="RB4" s="41" t="str">
        <f t="shared" ref="RB4:RB15" si="195">IF(QO4&gt;0,QO4,"")</f>
        <v/>
      </c>
      <c r="RC4" s="41" t="str">
        <f t="shared" ref="RC4:RC15" si="196">IF(QP4&gt;0,QP4,"")</f>
        <v/>
      </c>
      <c r="RD4" s="41" t="str">
        <f t="shared" ref="RD4:RD15" si="197">IF(SUM(QM4:QP4)-QQ4&gt;0,SUM(QM4:QP4)-QQ4,"")</f>
        <v/>
      </c>
      <c r="RE4" s="41" t="str">
        <f t="shared" ref="RE4:RE15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IF(SUM(SF4,SL4)&gt;0,SUM(SF4,SL4),"")</f>
        <v/>
      </c>
      <c r="SN4" s="23">
        <f t="shared" ref="SN4:SN15" si="213">IF($CH4="P",BS4,(BS4+AR4)/2)</f>
        <v>1.2</v>
      </c>
      <c r="SO4" s="23">
        <f t="shared" ref="SO4:SO15" si="214">IF($CH4="P",BT4,(BT4+AS4)/2)</f>
        <v>1.375</v>
      </c>
      <c r="SP4" s="23">
        <f t="shared" ref="SP4:SP15" si="215">IF($CH4="P",BU4,(BU4+AT4)/2)</f>
        <v>2.5499999999999998</v>
      </c>
      <c r="SQ4" s="23">
        <f t="shared" ref="SQ4:SQ15" si="216">IF($CH4="P",BV4,(BV4+AU4)/2)</f>
        <v>2.33</v>
      </c>
      <c r="SR4" s="23">
        <f t="shared" ref="SR4:SR15" si="217">IF($CH4="P",BW4,(BW4+AV4)/2)</f>
        <v>0</v>
      </c>
      <c r="SS4" s="23">
        <f t="shared" ref="SS4:SS15" si="218">IF($CH4="P",BX4,(BX4+AW4)/2)</f>
        <v>3.95</v>
      </c>
      <c r="ST4" s="23">
        <f t="shared" ref="ST4:ST15" si="219">IF($CH4="P",BY4,(BY4+AX4)/2)</f>
        <v>4.4249999999999998</v>
      </c>
      <c r="SU4" s="23">
        <f t="shared" ref="SU4:SU15" si="220">IF($CH4="P",BZ4,(BZ4+AY4)/2)</f>
        <v>7.8</v>
      </c>
      <c r="SV4" s="23">
        <f t="shared" ref="SV4:SV15" si="221">IF($CH4="P",CA4,(CA4+AZ4)/2)</f>
        <v>6.87</v>
      </c>
      <c r="SW4" s="23">
        <f t="shared" ref="SW4:SW15" si="222">IF($CH4="P",CB4,(CB4+BA4)/2)</f>
        <v>0</v>
      </c>
      <c r="SX4" s="23">
        <f t="shared" ref="SX4:SX15" si="223">IF($CH4="P",CC4,(CC4+BB4)/2)</f>
        <v>4.2249999999999996</v>
      </c>
      <c r="SY4" s="23">
        <f t="shared" ref="SY4:SY15" si="224">IF($CH4="P",CD4,(CD4+BC4)/2)</f>
        <v>4.6749999999999998</v>
      </c>
      <c r="SZ4" s="23">
        <f t="shared" ref="SZ4:SZ15" si="225">IF($CH4="P",CE4,(CE4+BD4)/2)</f>
        <v>7.8</v>
      </c>
      <c r="TA4" s="23">
        <f t="shared" ref="TA4:TA15" si="226">IF($CH4="P",CF4,(CF4+BE4)/2)</f>
        <v>8.86</v>
      </c>
      <c r="TB4" s="23">
        <f t="shared" ref="TB4:TB15" si="227">IF($CH4="P",CG4,(CG4+BF4)/2)</f>
        <v>0</v>
      </c>
      <c r="TC4" s="28" t="s">
        <v>57</v>
      </c>
      <c r="TD4" s="41">
        <f t="shared" ref="TD4:TD15" si="228">IF(SP4&gt;0,SP4,"")</f>
        <v>2.5499999999999998</v>
      </c>
      <c r="TE4" s="41">
        <f t="shared" ref="TE4:TE15" si="229">IF(SQ4&gt;0,SQ4,"")</f>
        <v>2.33</v>
      </c>
      <c r="TF4" s="41">
        <f t="shared" ref="TF4:TF15" si="230">IF(SUM(SN4:SQ4)-SR4&gt;0,SUM(SN4:SQ4)-SR4,"")</f>
        <v>7.4550000000000001</v>
      </c>
      <c r="TG4" s="41">
        <f t="shared" ref="TG4:TG15" si="231">IF(SU4&gt;0,SU4,"")</f>
        <v>7.8</v>
      </c>
      <c r="TH4" s="41">
        <f t="shared" ref="TH4:TH15" si="232">IF(SV4&gt;0,SV4,"")</f>
        <v>6.87</v>
      </c>
      <c r="TI4" s="41">
        <f t="shared" ref="TI4:TI15" si="233">IF(SUM(SS4:SV4)-SW4&gt;0,SUM(SS4:SV4)-SW4,"")</f>
        <v>23.045000000000002</v>
      </c>
      <c r="TJ4" s="41">
        <f t="shared" ref="TJ4:TJ15" si="234">IF(MAX(TF4,TI4)&gt;0,MAX(TF4,TI4),"")</f>
        <v>23.045000000000002</v>
      </c>
      <c r="TK4" s="41">
        <f t="shared" ref="TK4:TK15" si="235">IF(SZ4&gt;0,SZ4,"")</f>
        <v>7.8</v>
      </c>
      <c r="TL4" s="41">
        <f t="shared" ref="TL4:TL15" si="236">IF(TA4&gt;0,TA4,"")</f>
        <v>8.86</v>
      </c>
      <c r="TM4" s="41">
        <f t="shared" ref="TM4:TM15" si="237">IF(SUM(SX4:TA4)-TB4&gt;0,SUM(SX4:TA4)-TB4,"")</f>
        <v>25.56</v>
      </c>
      <c r="TN4" s="41">
        <f t="shared" ref="TN4:TN15" si="238"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140</v>
      </c>
      <c r="C5" s="4" t="s">
        <v>139</v>
      </c>
      <c r="D5" s="4" t="s">
        <v>138</v>
      </c>
      <c r="E5" s="9">
        <f t="shared" si="0"/>
        <v>50.230000000000004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0</v>
      </c>
      <c r="K5" s="8" t="str">
        <f t="shared" si="5"/>
        <v/>
      </c>
      <c r="L5" s="8">
        <f>IF(COUNT(AI5,AL5,AP5,BJ5,BM5,BQ5,CK5,CN5,CR5)&gt;1,LARGE((AI5,AL5,AP5,BJ5,BM5,BQ5,CK5,CN5,CR5),2),0)</f>
        <v>0</v>
      </c>
      <c r="M5" s="8" t="str">
        <f t="shared" si="6"/>
        <v/>
      </c>
      <c r="N5" s="8">
        <f t="shared" si="7"/>
        <v>50.230000000000004</v>
      </c>
      <c r="O5" s="11" t="str">
        <f t="shared" si="8"/>
        <v>(Final)</v>
      </c>
      <c r="P5" s="8" t="str">
        <f t="shared" si="9"/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1"/>
        <v/>
      </c>
      <c r="AI5" s="41" t="str">
        <f t="shared" si="12"/>
        <v/>
      </c>
      <c r="AJ5" s="41" t="str">
        <f t="shared" si="13"/>
        <v/>
      </c>
      <c r="AK5" s="41" t="str">
        <f t="shared" si="14"/>
        <v/>
      </c>
      <c r="AL5" s="41" t="str">
        <f t="shared" si="15"/>
        <v/>
      </c>
      <c r="AM5" s="41" t="str">
        <f t="shared" si="16"/>
        <v/>
      </c>
      <c r="AN5" s="41" t="str">
        <f t="shared" si="17"/>
        <v/>
      </c>
      <c r="AO5" s="41" t="str">
        <f t="shared" si="18"/>
        <v/>
      </c>
      <c r="AP5" s="41" t="str">
        <f t="shared" si="19"/>
        <v/>
      </c>
      <c r="AQ5" s="41" t="str">
        <f t="shared" si="20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32"/>
        <v/>
      </c>
      <c r="CJ5" s="39" t="str">
        <f t="shared" si="33"/>
        <v/>
      </c>
      <c r="CK5" s="41" t="str">
        <f t="shared" si="34"/>
        <v/>
      </c>
      <c r="CL5" s="41" t="str">
        <f t="shared" si="35"/>
        <v/>
      </c>
      <c r="CM5" s="41" t="str">
        <f t="shared" si="36"/>
        <v/>
      </c>
      <c r="CN5" s="41" t="str">
        <f t="shared" si="37"/>
        <v/>
      </c>
      <c r="CO5" s="41" t="str">
        <f t="shared" si="38"/>
        <v/>
      </c>
      <c r="CP5" s="41" t="str">
        <f t="shared" si="39"/>
        <v/>
      </c>
      <c r="CQ5" s="41" t="str">
        <f t="shared" si="40"/>
        <v/>
      </c>
      <c r="CR5" s="41" t="str">
        <f t="shared" si="41"/>
        <v/>
      </c>
      <c r="CS5" s="41" t="str">
        <f t="shared" si="42"/>
        <v/>
      </c>
      <c r="CT5" s="52">
        <f t="shared" si="43"/>
        <v>49.48</v>
      </c>
      <c r="CU5" s="52">
        <f t="shared" si="44"/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>
        <v>8</v>
      </c>
      <c r="EE5" s="18">
        <v>9.35</v>
      </c>
      <c r="EF5" s="18">
        <v>14.2</v>
      </c>
      <c r="EG5" s="18">
        <v>16.7</v>
      </c>
      <c r="EH5" s="18">
        <v>0</v>
      </c>
      <c r="EI5" s="18">
        <v>7.55</v>
      </c>
      <c r="EJ5" s="18">
        <v>9.25</v>
      </c>
      <c r="EK5" s="18">
        <v>15.2</v>
      </c>
      <c r="EL5" s="18">
        <v>17.68</v>
      </c>
      <c r="EM5" s="18">
        <v>0.2</v>
      </c>
      <c r="EN5" s="18"/>
      <c r="EO5" s="18"/>
      <c r="EP5" s="18"/>
      <c r="EQ5" s="18"/>
      <c r="ER5" s="18"/>
      <c r="ES5" s="18">
        <v>7.8</v>
      </c>
      <c r="ET5" s="18">
        <v>9.4499999999999993</v>
      </c>
      <c r="EU5" s="18">
        <v>15.2</v>
      </c>
      <c r="EV5" s="18">
        <v>17.78</v>
      </c>
      <c r="EW5" s="18">
        <v>0</v>
      </c>
      <c r="EX5" s="11">
        <f t="shared" si="59"/>
        <v>14.2</v>
      </c>
      <c r="EY5" s="11">
        <f t="shared" si="60"/>
        <v>16.7</v>
      </c>
      <c r="EZ5" s="11">
        <f t="shared" si="61"/>
        <v>48.25</v>
      </c>
      <c r="FA5" s="11">
        <f t="shared" si="62"/>
        <v>15.2</v>
      </c>
      <c r="FB5" s="11">
        <f t="shared" si="63"/>
        <v>17.68</v>
      </c>
      <c r="FC5" s="11">
        <f t="shared" si="64"/>
        <v>49.48</v>
      </c>
      <c r="FD5" s="11">
        <f t="shared" si="65"/>
        <v>49.48</v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>
        <f t="shared" si="69"/>
        <v>15.2</v>
      </c>
      <c r="FI5" s="11">
        <f t="shared" si="70"/>
        <v>17.78</v>
      </c>
      <c r="FJ5" s="11">
        <f t="shared" si="71"/>
        <v>50.230000000000004</v>
      </c>
      <c r="FK5" s="11">
        <f t="shared" si="72"/>
        <v>99.710000000000008</v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0</v>
      </c>
      <c r="SO5" s="23">
        <f t="shared" si="214"/>
        <v>0</v>
      </c>
      <c r="SP5" s="23">
        <f t="shared" si="215"/>
        <v>0</v>
      </c>
      <c r="SQ5" s="23">
        <f t="shared" si="216"/>
        <v>0</v>
      </c>
      <c r="SR5" s="23">
        <f t="shared" si="217"/>
        <v>0</v>
      </c>
      <c r="SS5" s="23">
        <f t="shared" si="218"/>
        <v>0</v>
      </c>
      <c r="ST5" s="23">
        <f t="shared" si="219"/>
        <v>0</v>
      </c>
      <c r="SU5" s="23">
        <f t="shared" si="220"/>
        <v>0</v>
      </c>
      <c r="SV5" s="23">
        <f t="shared" si="221"/>
        <v>0</v>
      </c>
      <c r="SW5" s="23">
        <f t="shared" si="222"/>
        <v>0</v>
      </c>
      <c r="SX5" s="23">
        <f t="shared" si="223"/>
        <v>0</v>
      </c>
      <c r="SY5" s="23">
        <f t="shared" si="224"/>
        <v>0</v>
      </c>
      <c r="SZ5" s="23">
        <f t="shared" si="225"/>
        <v>0</v>
      </c>
      <c r="TA5" s="23">
        <f t="shared" si="226"/>
        <v>0</v>
      </c>
      <c r="TB5" s="23">
        <f t="shared" si="227"/>
        <v>0</v>
      </c>
      <c r="TC5" s="28" t="s">
        <v>57</v>
      </c>
      <c r="TD5" s="41" t="str">
        <f t="shared" si="228"/>
        <v/>
      </c>
      <c r="TE5" s="41" t="str">
        <f t="shared" si="229"/>
        <v/>
      </c>
      <c r="TF5" s="41" t="str">
        <f t="shared" si="230"/>
        <v/>
      </c>
      <c r="TG5" s="41" t="str">
        <f t="shared" si="231"/>
        <v/>
      </c>
      <c r="TH5" s="41" t="str">
        <f t="shared" si="232"/>
        <v/>
      </c>
      <c r="TI5" s="41" t="str">
        <f t="shared" si="233"/>
        <v/>
      </c>
      <c r="TJ5" s="41" t="str">
        <f t="shared" si="234"/>
        <v/>
      </c>
      <c r="TK5" s="41" t="str">
        <f t="shared" si="235"/>
        <v/>
      </c>
      <c r="TL5" s="41" t="str">
        <f t="shared" si="236"/>
        <v/>
      </c>
      <c r="TM5" s="41" t="str">
        <f t="shared" si="237"/>
        <v/>
      </c>
      <c r="TN5" s="41" t="str">
        <f t="shared" si="238"/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208</v>
      </c>
      <c r="C6" s="4" t="s">
        <v>207</v>
      </c>
      <c r="D6" s="4" t="s">
        <v>206</v>
      </c>
      <c r="E6" s="9">
        <f t="shared" si="0"/>
        <v>49.91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IF(COUNT(AI6,AL6,AP6,BJ6,BM6,BQ6,CK6,CN6,CR6)&gt;0,LARGE((AI6,AL6,AP6,BJ6,BM6,BQ6,CK6,CN6,CR6),1),0)</f>
        <v>0</v>
      </c>
      <c r="K6" s="8" t="str">
        <f t="shared" si="5"/>
        <v/>
      </c>
      <c r="L6" s="8">
        <f>IF(COUNT(AI6,AL6,AP6,BJ6,BM6,BQ6,CK6,CN6,CR6)&gt;1,LARGE((AI6,AL6,AP6,BJ6,BM6,BQ6,CK6,CN6,CR6),2),0)</f>
        <v>0</v>
      </c>
      <c r="M6" s="8" t="str">
        <f t="shared" si="6"/>
        <v/>
      </c>
      <c r="N6" s="8">
        <f t="shared" si="7"/>
        <v>49.91</v>
      </c>
      <c r="O6" s="11" t="str">
        <f t="shared" si="8"/>
        <v>(Final)</v>
      </c>
      <c r="P6" s="8" t="str">
        <f t="shared" si="9"/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 t="shared" si="10"/>
        <v/>
      </c>
      <c r="AH6" s="39" t="str">
        <f t="shared" si="11"/>
        <v/>
      </c>
      <c r="AI6" s="41" t="str">
        <f t="shared" si="12"/>
        <v/>
      </c>
      <c r="AJ6" s="41" t="str">
        <f t="shared" si="13"/>
        <v/>
      </c>
      <c r="AK6" s="41" t="str">
        <f t="shared" si="14"/>
        <v/>
      </c>
      <c r="AL6" s="41" t="str">
        <f t="shared" si="15"/>
        <v/>
      </c>
      <c r="AM6" s="41" t="str">
        <f t="shared" si="16"/>
        <v/>
      </c>
      <c r="AN6" s="41" t="str">
        <f t="shared" si="17"/>
        <v/>
      </c>
      <c r="AO6" s="41" t="str">
        <f t="shared" si="18"/>
        <v/>
      </c>
      <c r="AP6" s="41" t="str">
        <f t="shared" si="19"/>
        <v/>
      </c>
      <c r="AQ6" s="41" t="str">
        <f t="shared" si="20"/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48.02</v>
      </c>
      <c r="CU6" s="52">
        <f t="shared" si="44"/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>
        <v>7.4</v>
      </c>
      <c r="FM6" s="17">
        <v>9.3000000000000007</v>
      </c>
      <c r="FN6" s="17">
        <v>15.2</v>
      </c>
      <c r="FO6" s="17">
        <v>16.12</v>
      </c>
      <c r="FP6" s="17">
        <v>0</v>
      </c>
      <c r="FQ6" s="17">
        <v>6.4</v>
      </c>
      <c r="FR6" s="17">
        <v>8.1999999999999993</v>
      </c>
      <c r="FS6" s="17">
        <v>13.4</v>
      </c>
      <c r="FT6" s="17">
        <v>14.12</v>
      </c>
      <c r="FU6" s="17">
        <v>0</v>
      </c>
      <c r="FV6" s="17"/>
      <c r="FW6" s="17"/>
      <c r="FX6" s="17"/>
      <c r="FY6" s="17"/>
      <c r="FZ6" s="17"/>
      <c r="GA6" s="17">
        <v>7.35</v>
      </c>
      <c r="GB6" s="17">
        <v>9.3000000000000007</v>
      </c>
      <c r="GC6" s="17">
        <v>15.2</v>
      </c>
      <c r="GD6" s="17">
        <v>18.059999999999999</v>
      </c>
      <c r="GE6" s="17">
        <v>0</v>
      </c>
      <c r="GF6" s="41">
        <f t="shared" si="73"/>
        <v>15.2</v>
      </c>
      <c r="GG6" s="41">
        <f t="shared" si="74"/>
        <v>16.12</v>
      </c>
      <c r="GH6" s="41">
        <f t="shared" si="75"/>
        <v>48.02</v>
      </c>
      <c r="GI6" s="41">
        <f t="shared" si="76"/>
        <v>13.4</v>
      </c>
      <c r="GJ6" s="41">
        <f t="shared" si="77"/>
        <v>14.12</v>
      </c>
      <c r="GK6" s="41">
        <f t="shared" si="78"/>
        <v>42.12</v>
      </c>
      <c r="GL6" s="41">
        <f t="shared" si="79"/>
        <v>48.02</v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>
        <f t="shared" si="83"/>
        <v>15.2</v>
      </c>
      <c r="GQ6" s="41">
        <f t="shared" si="84"/>
        <v>18.059999999999999</v>
      </c>
      <c r="GR6" s="41">
        <f t="shared" si="85"/>
        <v>49.91</v>
      </c>
      <c r="GS6" s="41">
        <f t="shared" si="86"/>
        <v>97.93</v>
      </c>
      <c r="GT6" s="18">
        <v>7.15</v>
      </c>
      <c r="GU6" s="18">
        <v>8.6999999999999993</v>
      </c>
      <c r="GV6" s="18">
        <v>15.2</v>
      </c>
      <c r="GW6" s="18">
        <v>16.16</v>
      </c>
      <c r="GX6" s="18">
        <v>0</v>
      </c>
      <c r="GY6" s="18">
        <v>4.4000000000000004</v>
      </c>
      <c r="GZ6" s="18">
        <v>5.2</v>
      </c>
      <c r="HA6" s="18">
        <v>9.4</v>
      </c>
      <c r="HB6" s="18">
        <v>10.36</v>
      </c>
      <c r="HC6" s="18">
        <v>0</v>
      </c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>
        <f t="shared" si="87"/>
        <v>15.2</v>
      </c>
      <c r="HO6" s="11">
        <f t="shared" si="88"/>
        <v>16.16</v>
      </c>
      <c r="HP6" s="11">
        <f t="shared" si="89"/>
        <v>47.209999999999994</v>
      </c>
      <c r="HQ6" s="11">
        <f t="shared" si="90"/>
        <v>9.4</v>
      </c>
      <c r="HR6" s="11">
        <f t="shared" si="91"/>
        <v>10.36</v>
      </c>
      <c r="HS6" s="11">
        <f t="shared" si="92"/>
        <v>29.36</v>
      </c>
      <c r="HT6" s="11">
        <f t="shared" si="93"/>
        <v>47.209999999999994</v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>
        <f t="shared" si="100"/>
        <v>47.209999999999994</v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225</v>
      </c>
      <c r="C7" s="4" t="s">
        <v>136</v>
      </c>
      <c r="D7" s="4" t="s">
        <v>226</v>
      </c>
      <c r="E7" s="9">
        <f t="shared" si="0"/>
        <v>48.33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48.33</v>
      </c>
      <c r="O7" s="11" t="str">
        <f t="shared" si="8"/>
        <v>(Prelim)</v>
      </c>
      <c r="P7" s="8" t="str">
        <f t="shared" si="9"/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1"/>
        <v/>
      </c>
      <c r="AI7" s="41" t="str">
        <f t="shared" si="12"/>
        <v/>
      </c>
      <c r="AJ7" s="41" t="str">
        <f t="shared" si="13"/>
        <v/>
      </c>
      <c r="AK7" s="41" t="str">
        <f t="shared" si="14"/>
        <v/>
      </c>
      <c r="AL7" s="41" t="str">
        <f t="shared" si="15"/>
        <v/>
      </c>
      <c r="AM7" s="41" t="str">
        <f t="shared" si="16"/>
        <v/>
      </c>
      <c r="AN7" s="41" t="str">
        <f t="shared" si="17"/>
        <v/>
      </c>
      <c r="AO7" s="41" t="str">
        <f t="shared" si="18"/>
        <v/>
      </c>
      <c r="AP7" s="41" t="str">
        <f t="shared" si="19"/>
        <v/>
      </c>
      <c r="AQ7" s="41" t="str">
        <f t="shared" si="20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48.33</v>
      </c>
      <c r="CU7" s="52">
        <f t="shared" si="44"/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73"/>
        <v/>
      </c>
      <c r="GG7" s="41" t="str">
        <f t="shared" si="74"/>
        <v/>
      </c>
      <c r="GH7" s="41" t="str">
        <f t="shared" si="75"/>
        <v/>
      </c>
      <c r="GI7" s="41" t="str">
        <f t="shared" si="76"/>
        <v/>
      </c>
      <c r="GJ7" s="41" t="str">
        <f t="shared" si="77"/>
        <v/>
      </c>
      <c r="GK7" s="41" t="str">
        <f t="shared" si="78"/>
        <v/>
      </c>
      <c r="GL7" s="41" t="str">
        <f t="shared" si="79"/>
        <v/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 t="str">
        <f t="shared" si="83"/>
        <v/>
      </c>
      <c r="GQ7" s="41" t="str">
        <f t="shared" si="84"/>
        <v/>
      </c>
      <c r="GR7" s="41" t="str">
        <f t="shared" si="85"/>
        <v/>
      </c>
      <c r="GS7" s="41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>
        <v>1.45</v>
      </c>
      <c r="IC7" s="17">
        <v>1.55</v>
      </c>
      <c r="ID7" s="17">
        <v>3.2</v>
      </c>
      <c r="IE7" s="17">
        <v>3.58</v>
      </c>
      <c r="IF7" s="17">
        <v>0</v>
      </c>
      <c r="IG7" s="17">
        <v>6.75</v>
      </c>
      <c r="IH7" s="17">
        <v>9.0500000000000007</v>
      </c>
      <c r="II7" s="17">
        <v>14.8</v>
      </c>
      <c r="IJ7" s="17">
        <v>12.08</v>
      </c>
      <c r="IK7" s="17">
        <v>0</v>
      </c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>
        <f t="shared" si="101"/>
        <v>3.2</v>
      </c>
      <c r="IW7" s="41">
        <f t="shared" si="102"/>
        <v>3.58</v>
      </c>
      <c r="IX7" s="41">
        <f t="shared" si="103"/>
        <v>9.7800000000000011</v>
      </c>
      <c r="IY7" s="41">
        <f t="shared" si="104"/>
        <v>14.8</v>
      </c>
      <c r="IZ7" s="41">
        <f t="shared" si="105"/>
        <v>12.08</v>
      </c>
      <c r="JA7" s="41">
        <f t="shared" si="106"/>
        <v>42.68</v>
      </c>
      <c r="JB7" s="41">
        <f t="shared" si="107"/>
        <v>42.68</v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>
        <f t="shared" si="114"/>
        <v>42.68</v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>
        <v>7.2</v>
      </c>
      <c r="MA7" s="18">
        <v>9.25</v>
      </c>
      <c r="MB7" s="18">
        <v>14.4</v>
      </c>
      <c r="MC7" s="18">
        <v>17.48</v>
      </c>
      <c r="MD7" s="18">
        <v>0</v>
      </c>
      <c r="ME7" s="18">
        <v>7.1</v>
      </c>
      <c r="MF7" s="18">
        <v>8.9</v>
      </c>
      <c r="MG7" s="18">
        <v>14.4</v>
      </c>
      <c r="MH7" s="18">
        <v>15.56</v>
      </c>
      <c r="MI7" s="18">
        <v>0</v>
      </c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>
        <f t="shared" si="143"/>
        <v>14.4</v>
      </c>
      <c r="MU7" s="11">
        <f t="shared" si="144"/>
        <v>17.48</v>
      </c>
      <c r="MV7" s="11">
        <f t="shared" si="145"/>
        <v>48.33</v>
      </c>
      <c r="MW7" s="11">
        <f t="shared" si="146"/>
        <v>14.4</v>
      </c>
      <c r="MX7" s="11">
        <f t="shared" si="147"/>
        <v>15.56</v>
      </c>
      <c r="MY7" s="11">
        <f t="shared" si="148"/>
        <v>45.96</v>
      </c>
      <c r="MZ7" s="11">
        <f t="shared" si="149"/>
        <v>48.33</v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>
        <f t="shared" si="156"/>
        <v>48.33</v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>
        <v>2.95</v>
      </c>
      <c r="NX7" s="17">
        <v>3.6</v>
      </c>
      <c r="NY7" s="17">
        <v>6.5</v>
      </c>
      <c r="NZ7" s="17">
        <v>5.96</v>
      </c>
      <c r="OA7" s="17">
        <v>0.2</v>
      </c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>
        <f t="shared" si="167"/>
        <v>6.5</v>
      </c>
      <c r="OM7" s="41">
        <f t="shared" si="168"/>
        <v>5.96</v>
      </c>
      <c r="ON7" s="41">
        <f t="shared" si="169"/>
        <v>18.810000000000002</v>
      </c>
      <c r="OO7" s="41">
        <f t="shared" si="170"/>
        <v>18.810000000000002</v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156</v>
      </c>
      <c r="C8" s="4" t="s">
        <v>8</v>
      </c>
      <c r="D8" s="4" t="s">
        <v>157</v>
      </c>
      <c r="E8" s="9">
        <f t="shared" si="0"/>
        <v>94.13</v>
      </c>
      <c r="F8" s="3" t="str">
        <f t="shared" si="1"/>
        <v/>
      </c>
      <c r="G8" s="3" t="str">
        <f t="shared" si="2"/>
        <v>P</v>
      </c>
      <c r="H8" s="37" t="str">
        <f t="shared" si="3"/>
        <v>No DD</v>
      </c>
      <c r="I8" s="3" t="str">
        <f t="shared" si="4"/>
        <v/>
      </c>
      <c r="J8" s="8">
        <f>IF(COUNT(AI8,AL8,AP8,BJ8,BM8,BQ8,CK8,CN8,CR8)&gt;0,LARGE((AI8,AL8,AP8,BJ8,BM8,BQ8,CK8,CN8,CR8),1),0)</f>
        <v>47.26</v>
      </c>
      <c r="K8" s="8" t="str">
        <f t="shared" si="5"/>
        <v>2023 Elite Canada</v>
      </c>
      <c r="L8" s="8">
        <f>IF(COUNT(AI8,AL8,AP8,BJ8,BM8,BQ8,CK8,CN8,CR8)&gt;1,LARGE((AI8,AL8,AP8,BJ8,BM8,BQ8,CK8,CN8,CR8),2),0)</f>
        <v>46.870000000000005</v>
      </c>
      <c r="M8" s="8" t="str">
        <f t="shared" si="6"/>
        <v>2023 Nationals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3">
        <v>1.6</v>
      </c>
      <c r="R8" s="23">
        <v>1.8</v>
      </c>
      <c r="S8" s="23">
        <v>2.5</v>
      </c>
      <c r="T8" s="23">
        <v>3.64</v>
      </c>
      <c r="U8" s="23">
        <v>0</v>
      </c>
      <c r="V8" s="23">
        <v>8.1</v>
      </c>
      <c r="W8" s="23">
        <v>9.6</v>
      </c>
      <c r="X8" s="23">
        <v>11.2</v>
      </c>
      <c r="Y8" s="23">
        <v>18.36</v>
      </c>
      <c r="Z8" s="23">
        <v>0</v>
      </c>
      <c r="AA8" s="23">
        <v>8.4499999999999993</v>
      </c>
      <c r="AB8" s="23">
        <v>9.25</v>
      </c>
      <c r="AC8" s="23">
        <v>11.2</v>
      </c>
      <c r="AD8" s="23">
        <v>17.32</v>
      </c>
      <c r="AE8" s="23">
        <v>0</v>
      </c>
      <c r="AF8" s="28"/>
      <c r="AG8" s="39">
        <f t="shared" si="10"/>
        <v>2.5</v>
      </c>
      <c r="AH8" s="39">
        <f t="shared" si="11"/>
        <v>3.64</v>
      </c>
      <c r="AI8" s="41">
        <f t="shared" si="12"/>
        <v>9.5400000000000009</v>
      </c>
      <c r="AJ8" s="41">
        <f t="shared" si="13"/>
        <v>11.2</v>
      </c>
      <c r="AK8" s="41">
        <f t="shared" si="14"/>
        <v>18.36</v>
      </c>
      <c r="AL8" s="41">
        <f t="shared" si="15"/>
        <v>47.26</v>
      </c>
      <c r="AM8" s="41">
        <f t="shared" si="16"/>
        <v>47.26</v>
      </c>
      <c r="AN8" s="41">
        <f t="shared" si="17"/>
        <v>11.2</v>
      </c>
      <c r="AO8" s="41">
        <f t="shared" si="18"/>
        <v>17.32</v>
      </c>
      <c r="AP8" s="41">
        <f t="shared" si="19"/>
        <v>46.22</v>
      </c>
      <c r="AQ8" s="41">
        <f t="shared" si="20"/>
        <v>93.47999999999999</v>
      </c>
      <c r="AR8" s="27">
        <v>7</v>
      </c>
      <c r="AS8" s="27">
        <v>9.1999999999999993</v>
      </c>
      <c r="AT8" s="27">
        <v>11.4</v>
      </c>
      <c r="AU8" s="27">
        <v>17.239999999999998</v>
      </c>
      <c r="AV8" s="27">
        <v>0</v>
      </c>
      <c r="AW8" s="27">
        <v>3.15</v>
      </c>
      <c r="AX8" s="27">
        <v>3.45</v>
      </c>
      <c r="AY8" s="27">
        <v>5.2</v>
      </c>
      <c r="AZ8" s="27">
        <v>7.08</v>
      </c>
      <c r="BA8" s="27">
        <v>0</v>
      </c>
      <c r="BB8" s="27">
        <v>8.1999999999999993</v>
      </c>
      <c r="BC8" s="27">
        <v>9.0500000000000007</v>
      </c>
      <c r="BD8" s="27">
        <v>11.2</v>
      </c>
      <c r="BE8" s="27">
        <v>18.420000000000002</v>
      </c>
      <c r="BF8" s="27">
        <v>0</v>
      </c>
      <c r="BG8" s="29"/>
      <c r="BH8" s="40">
        <f t="shared" si="21"/>
        <v>11.4</v>
      </c>
      <c r="BI8" s="40">
        <f t="shared" si="22"/>
        <v>17.239999999999998</v>
      </c>
      <c r="BJ8" s="11">
        <f t="shared" si="23"/>
        <v>44.84</v>
      </c>
      <c r="BK8" s="11">
        <f t="shared" si="24"/>
        <v>5.2</v>
      </c>
      <c r="BL8" s="11">
        <f t="shared" si="25"/>
        <v>7.08</v>
      </c>
      <c r="BM8" s="11">
        <f t="shared" si="26"/>
        <v>18.880000000000003</v>
      </c>
      <c r="BN8" s="11">
        <f t="shared" si="27"/>
        <v>44.84</v>
      </c>
      <c r="BO8" s="11">
        <f t="shared" si="28"/>
        <v>11.2</v>
      </c>
      <c r="BP8" s="11">
        <f t="shared" si="29"/>
        <v>18.420000000000002</v>
      </c>
      <c r="BQ8" s="11">
        <f t="shared" si="30"/>
        <v>46.870000000000005</v>
      </c>
      <c r="BR8" s="11">
        <f t="shared" si="31"/>
        <v>91.710000000000008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 t="str">
        <f t="shared" si="43"/>
        <v/>
      </c>
      <c r="CU8" s="52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101"/>
        <v/>
      </c>
      <c r="IW8" s="41" t="str">
        <f t="shared" si="102"/>
        <v/>
      </c>
      <c r="IX8" s="41" t="str">
        <f t="shared" si="103"/>
        <v/>
      </c>
      <c r="IY8" s="41" t="str">
        <f t="shared" si="104"/>
        <v/>
      </c>
      <c r="IZ8" s="41" t="str">
        <f t="shared" si="105"/>
        <v/>
      </c>
      <c r="JA8" s="41" t="str">
        <f t="shared" si="106"/>
        <v/>
      </c>
      <c r="JB8" s="41" t="str">
        <f t="shared" si="107"/>
        <v/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3.5</v>
      </c>
      <c r="SO8" s="23">
        <f t="shared" si="214"/>
        <v>4.5999999999999996</v>
      </c>
      <c r="SP8" s="23">
        <f t="shared" si="215"/>
        <v>5.7</v>
      </c>
      <c r="SQ8" s="23">
        <f t="shared" si="216"/>
        <v>8.6199999999999992</v>
      </c>
      <c r="SR8" s="23">
        <f t="shared" si="217"/>
        <v>0</v>
      </c>
      <c r="SS8" s="23">
        <f t="shared" si="218"/>
        <v>1.575</v>
      </c>
      <c r="ST8" s="23">
        <f t="shared" si="219"/>
        <v>1.7250000000000001</v>
      </c>
      <c r="SU8" s="23">
        <f t="shared" si="220"/>
        <v>2.6</v>
      </c>
      <c r="SV8" s="23">
        <f t="shared" si="221"/>
        <v>3.54</v>
      </c>
      <c r="SW8" s="23">
        <f t="shared" si="222"/>
        <v>0</v>
      </c>
      <c r="SX8" s="23">
        <f t="shared" si="223"/>
        <v>4.0999999999999996</v>
      </c>
      <c r="SY8" s="23">
        <f t="shared" si="224"/>
        <v>4.5250000000000004</v>
      </c>
      <c r="SZ8" s="23">
        <f t="shared" si="225"/>
        <v>5.6</v>
      </c>
      <c r="TA8" s="23">
        <f t="shared" si="226"/>
        <v>9.2100000000000009</v>
      </c>
      <c r="TB8" s="23">
        <f t="shared" si="227"/>
        <v>0</v>
      </c>
      <c r="TC8" s="28" t="s">
        <v>57</v>
      </c>
      <c r="TD8" s="41">
        <f t="shared" si="228"/>
        <v>5.7</v>
      </c>
      <c r="TE8" s="41">
        <f t="shared" si="229"/>
        <v>8.6199999999999992</v>
      </c>
      <c r="TF8" s="41">
        <f t="shared" si="230"/>
        <v>22.42</v>
      </c>
      <c r="TG8" s="41">
        <f t="shared" si="231"/>
        <v>2.6</v>
      </c>
      <c r="TH8" s="41">
        <f t="shared" si="232"/>
        <v>3.54</v>
      </c>
      <c r="TI8" s="41">
        <f t="shared" si="233"/>
        <v>9.4400000000000013</v>
      </c>
      <c r="TJ8" s="41">
        <f t="shared" si="234"/>
        <v>22.42</v>
      </c>
      <c r="TK8" s="41">
        <f t="shared" si="235"/>
        <v>5.6</v>
      </c>
      <c r="TL8" s="41">
        <f t="shared" si="236"/>
        <v>9.2100000000000009</v>
      </c>
      <c r="TM8" s="41">
        <f t="shared" si="237"/>
        <v>23.435000000000002</v>
      </c>
      <c r="TN8" s="41">
        <f t="shared" si="238"/>
        <v>45.855000000000004</v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194</v>
      </c>
      <c r="C9" s="4" t="s">
        <v>193</v>
      </c>
      <c r="D9" s="4" t="s">
        <v>192</v>
      </c>
      <c r="E9" s="9">
        <f t="shared" si="0"/>
        <v>89.539999999999992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45.97</v>
      </c>
      <c r="K9" s="8" t="str">
        <f t="shared" si="5"/>
        <v>2023 Elite Canada</v>
      </c>
      <c r="L9" s="8">
        <f>IF(COUNT(AI9,AL9,AP9,BJ9,BM9,BQ9,CK9,CN9,CR9)&gt;1,LARGE((AI9,AL9,AP9,BJ9,BM9,BQ9,CK9,CN9,CR9),2),0)</f>
        <v>43.569999999999993</v>
      </c>
      <c r="M9" s="8" t="str">
        <f t="shared" si="6"/>
        <v>2023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>
        <v>8.1999999999999993</v>
      </c>
      <c r="R9" s="23">
        <v>9.35</v>
      </c>
      <c r="S9" s="23">
        <v>10.7</v>
      </c>
      <c r="T9" s="23">
        <v>15.32</v>
      </c>
      <c r="U9" s="23">
        <v>0</v>
      </c>
      <c r="V9" s="23">
        <v>7.95</v>
      </c>
      <c r="W9" s="23">
        <v>9.1999999999999993</v>
      </c>
      <c r="X9" s="23">
        <v>11.8</v>
      </c>
      <c r="Y9" s="23">
        <v>17.02</v>
      </c>
      <c r="Z9" s="23">
        <v>0</v>
      </c>
      <c r="AA9" s="23">
        <v>4.7</v>
      </c>
      <c r="AB9" s="23">
        <v>5.35</v>
      </c>
      <c r="AC9" s="23">
        <v>7.5</v>
      </c>
      <c r="AD9" s="23">
        <v>8.7799999999999994</v>
      </c>
      <c r="AE9" s="23">
        <v>0</v>
      </c>
      <c r="AF9" s="28"/>
      <c r="AG9" s="39">
        <f t="shared" si="10"/>
        <v>10.7</v>
      </c>
      <c r="AH9" s="39">
        <f t="shared" si="11"/>
        <v>15.32</v>
      </c>
      <c r="AI9" s="41">
        <f t="shared" si="12"/>
        <v>43.569999999999993</v>
      </c>
      <c r="AJ9" s="41">
        <f t="shared" si="13"/>
        <v>11.8</v>
      </c>
      <c r="AK9" s="41">
        <f t="shared" si="14"/>
        <v>17.02</v>
      </c>
      <c r="AL9" s="41">
        <f t="shared" si="15"/>
        <v>45.97</v>
      </c>
      <c r="AM9" s="41">
        <f t="shared" si="16"/>
        <v>45.97</v>
      </c>
      <c r="AN9" s="41">
        <f t="shared" si="17"/>
        <v>7.5</v>
      </c>
      <c r="AO9" s="41">
        <f t="shared" si="18"/>
        <v>8.7799999999999994</v>
      </c>
      <c r="AP9" s="41">
        <f t="shared" si="19"/>
        <v>26.33</v>
      </c>
      <c r="AQ9" s="41">
        <f t="shared" si="20"/>
        <v>72.3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 t="str">
        <f t="shared" si="43"/>
        <v/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216</v>
      </c>
      <c r="C10" s="4" t="s">
        <v>139</v>
      </c>
      <c r="D10" s="4" t="s">
        <v>157</v>
      </c>
      <c r="E10" s="9">
        <f t="shared" si="0"/>
        <v>87.01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43.650000000000006</v>
      </c>
      <c r="K10" s="8" t="str">
        <f t="shared" si="5"/>
        <v>2023 Nationals</v>
      </c>
      <c r="L10" s="8">
        <f>IF(COUNT(AI10,AL10,AP10,BJ10,BM10,BQ10,CK10,CN10,CR10)&gt;1,LARGE((AI10,AL10,AP10,BJ10,BM10,BQ10,CK10,CN10,CR10),2),0)</f>
        <v>43.36</v>
      </c>
      <c r="M10" s="8" t="str">
        <f t="shared" si="6"/>
        <v>2023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>
        <v>7.05</v>
      </c>
      <c r="AS10" s="27">
        <v>9</v>
      </c>
      <c r="AT10" s="27">
        <v>10.5</v>
      </c>
      <c r="AU10" s="27">
        <v>17.100000000000001</v>
      </c>
      <c r="AV10" s="27">
        <v>0</v>
      </c>
      <c r="AW10" s="27">
        <v>7.05</v>
      </c>
      <c r="AX10" s="27">
        <v>9.15</v>
      </c>
      <c r="AY10" s="27">
        <v>10.5</v>
      </c>
      <c r="AZ10" s="27">
        <v>17.059999999999999</v>
      </c>
      <c r="BA10" s="27">
        <v>0.4</v>
      </c>
      <c r="BB10" s="27">
        <v>7.25</v>
      </c>
      <c r="BC10" s="27">
        <v>8.8000000000000007</v>
      </c>
      <c r="BD10" s="27">
        <v>10.5</v>
      </c>
      <c r="BE10" s="27">
        <v>15.68</v>
      </c>
      <c r="BF10" s="27">
        <v>0</v>
      </c>
      <c r="BG10" s="29"/>
      <c r="BH10" s="40">
        <f t="shared" si="21"/>
        <v>10.5</v>
      </c>
      <c r="BI10" s="40">
        <f t="shared" si="22"/>
        <v>17.100000000000001</v>
      </c>
      <c r="BJ10" s="11">
        <f t="shared" si="23"/>
        <v>43.650000000000006</v>
      </c>
      <c r="BK10" s="11">
        <f t="shared" si="24"/>
        <v>10.5</v>
      </c>
      <c r="BL10" s="11">
        <f t="shared" si="25"/>
        <v>17.059999999999999</v>
      </c>
      <c r="BM10" s="11">
        <f t="shared" si="26"/>
        <v>43.36</v>
      </c>
      <c r="BN10" s="11">
        <f t="shared" si="27"/>
        <v>43.650000000000006</v>
      </c>
      <c r="BO10" s="11">
        <f t="shared" si="28"/>
        <v>10.5</v>
      </c>
      <c r="BP10" s="11">
        <f t="shared" si="29"/>
        <v>15.68</v>
      </c>
      <c r="BQ10" s="11">
        <f t="shared" si="30"/>
        <v>42.230000000000004</v>
      </c>
      <c r="BR10" s="11">
        <f t="shared" si="31"/>
        <v>85.88000000000001</v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 t="str">
        <f t="shared" si="43"/>
        <v/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3.5249999999999999</v>
      </c>
      <c r="SO10" s="23">
        <f t="shared" si="214"/>
        <v>4.5</v>
      </c>
      <c r="SP10" s="23">
        <f t="shared" si="215"/>
        <v>5.25</v>
      </c>
      <c r="SQ10" s="23">
        <f t="shared" si="216"/>
        <v>8.5500000000000007</v>
      </c>
      <c r="SR10" s="23">
        <f t="shared" si="217"/>
        <v>0</v>
      </c>
      <c r="SS10" s="23">
        <f t="shared" si="218"/>
        <v>3.5249999999999999</v>
      </c>
      <c r="ST10" s="23">
        <f t="shared" si="219"/>
        <v>4.5750000000000002</v>
      </c>
      <c r="SU10" s="23">
        <f t="shared" si="220"/>
        <v>5.25</v>
      </c>
      <c r="SV10" s="23">
        <f t="shared" si="221"/>
        <v>8.5299999999999994</v>
      </c>
      <c r="SW10" s="23">
        <f t="shared" si="222"/>
        <v>0.2</v>
      </c>
      <c r="SX10" s="23">
        <f t="shared" si="223"/>
        <v>3.625</v>
      </c>
      <c r="SY10" s="23">
        <f t="shared" si="224"/>
        <v>4.4000000000000004</v>
      </c>
      <c r="SZ10" s="23">
        <f t="shared" si="225"/>
        <v>5.25</v>
      </c>
      <c r="TA10" s="23">
        <f t="shared" si="226"/>
        <v>7.84</v>
      </c>
      <c r="TB10" s="23">
        <f t="shared" si="227"/>
        <v>0</v>
      </c>
      <c r="TC10" s="28" t="s">
        <v>57</v>
      </c>
      <c r="TD10" s="41">
        <f t="shared" si="228"/>
        <v>5.25</v>
      </c>
      <c r="TE10" s="41">
        <f t="shared" si="229"/>
        <v>8.5500000000000007</v>
      </c>
      <c r="TF10" s="41">
        <f t="shared" si="230"/>
        <v>21.825000000000003</v>
      </c>
      <c r="TG10" s="41">
        <f t="shared" si="231"/>
        <v>5.25</v>
      </c>
      <c r="TH10" s="41">
        <f t="shared" si="232"/>
        <v>8.5299999999999994</v>
      </c>
      <c r="TI10" s="41">
        <f t="shared" si="233"/>
        <v>21.68</v>
      </c>
      <c r="TJ10" s="41">
        <f t="shared" si="234"/>
        <v>21.825000000000003</v>
      </c>
      <c r="TK10" s="41">
        <f t="shared" si="235"/>
        <v>5.25</v>
      </c>
      <c r="TL10" s="41">
        <f t="shared" si="236"/>
        <v>7.84</v>
      </c>
      <c r="TM10" s="41">
        <f t="shared" si="237"/>
        <v>21.115000000000002</v>
      </c>
      <c r="TN10" s="41">
        <f t="shared" si="238"/>
        <v>42.940000000000005</v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246</v>
      </c>
      <c r="C11" s="4" t="s">
        <v>3</v>
      </c>
      <c r="D11" s="4" t="s">
        <v>247</v>
      </c>
      <c r="E11" s="9">
        <f t="shared" si="0"/>
        <v>45.730000000000004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45.730000000000004</v>
      </c>
      <c r="O11" s="11" t="str">
        <f t="shared" si="8"/>
        <v>(Prelim)</v>
      </c>
      <c r="P11" s="8" t="str">
        <f t="shared" si="9"/>
        <v>2023 WAGC (Nov 16)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 t="shared" si="10"/>
        <v/>
      </c>
      <c r="AH11" s="39" t="str">
        <f t="shared" si="11"/>
        <v/>
      </c>
      <c r="AI11" s="41" t="str">
        <f t="shared" si="12"/>
        <v/>
      </c>
      <c r="AJ11" s="41" t="str">
        <f t="shared" si="13"/>
        <v/>
      </c>
      <c r="AK11" s="41" t="str">
        <f t="shared" si="14"/>
        <v/>
      </c>
      <c r="AL11" s="41" t="str">
        <f t="shared" si="15"/>
        <v/>
      </c>
      <c r="AM11" s="41" t="str">
        <f t="shared" si="16"/>
        <v/>
      </c>
      <c r="AN11" s="41" t="str">
        <f t="shared" si="17"/>
        <v/>
      </c>
      <c r="AO11" s="41" t="str">
        <f t="shared" si="18"/>
        <v/>
      </c>
      <c r="AP11" s="41" t="str">
        <f t="shared" si="19"/>
        <v/>
      </c>
      <c r="AQ11" s="41" t="str">
        <f t="shared" si="20"/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>
        <f t="shared" si="43"/>
        <v>45.730000000000004</v>
      </c>
      <c r="CU11" s="52">
        <f t="shared" si="44"/>
        <v>43.739999999999995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>
        <v>7.3</v>
      </c>
      <c r="OQ11" s="18">
        <v>9.5500000000000007</v>
      </c>
      <c r="OR11" s="18">
        <v>11.6</v>
      </c>
      <c r="OS11" s="18">
        <v>17.28</v>
      </c>
      <c r="OT11" s="18">
        <v>0</v>
      </c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>
        <v>7.55</v>
      </c>
      <c r="PF11" s="18">
        <v>8.65</v>
      </c>
      <c r="PG11" s="18">
        <v>11.6</v>
      </c>
      <c r="PH11" s="18">
        <v>15.94</v>
      </c>
      <c r="PI11" s="18">
        <v>0</v>
      </c>
      <c r="PJ11" s="11">
        <f t="shared" si="171"/>
        <v>11.6</v>
      </c>
      <c r="PK11" s="11">
        <f t="shared" si="172"/>
        <v>17.28</v>
      </c>
      <c r="PL11" s="11">
        <f t="shared" si="173"/>
        <v>45.730000000000004</v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>
        <f t="shared" si="177"/>
        <v>45.730000000000004</v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>
        <f t="shared" si="181"/>
        <v>11.6</v>
      </c>
      <c r="PU11" s="11">
        <f t="shared" si="182"/>
        <v>15.94</v>
      </c>
      <c r="PV11" s="11">
        <f t="shared" si="183"/>
        <v>43.739999999999995</v>
      </c>
      <c r="PW11" s="11">
        <f t="shared" si="184"/>
        <v>89.47</v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201</v>
      </c>
      <c r="C12" s="4" t="s">
        <v>200</v>
      </c>
      <c r="D12" s="4" t="s">
        <v>157</v>
      </c>
      <c r="E12" s="9">
        <f t="shared" si="0"/>
        <v>43.93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0</v>
      </c>
      <c r="K12" s="8" t="str">
        <f t="shared" si="5"/>
        <v/>
      </c>
      <c r="L12" s="8">
        <f>IF(COUNT(AI12,AL12,AP12,BJ12,BM12,BQ12,CK12,CN12,CR12)&gt;1,LARGE((AI12,AL12,AP12,BJ12,BM12,BQ12,CK12,CN12,CR12),2),0)</f>
        <v>0</v>
      </c>
      <c r="M12" s="8" t="str">
        <f t="shared" si="6"/>
        <v/>
      </c>
      <c r="N12" s="8">
        <f t="shared" si="7"/>
        <v>43.93</v>
      </c>
      <c r="O12" s="11" t="str">
        <f t="shared" si="8"/>
        <v>(Final)</v>
      </c>
      <c r="P12" s="8" t="str">
        <f t="shared" si="9"/>
        <v>2023 Pan Am Club Championships (May 14)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>
        <f t="shared" si="44"/>
        <v>43.93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>
        <v>8.0500000000000007</v>
      </c>
      <c r="DL12" s="17">
        <v>9.5</v>
      </c>
      <c r="DM12" s="17">
        <v>10</v>
      </c>
      <c r="DN12" s="17">
        <v>16.38</v>
      </c>
      <c r="DO12" s="17">
        <v>0</v>
      </c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>
        <f t="shared" si="55"/>
        <v>10</v>
      </c>
      <c r="EA12" s="41">
        <f t="shared" si="56"/>
        <v>16.38</v>
      </c>
      <c r="EB12" s="41">
        <f t="shared" si="57"/>
        <v>43.93</v>
      </c>
      <c r="EC12" s="41">
        <f t="shared" si="58"/>
        <v>43.93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0</v>
      </c>
      <c r="SO12" s="23">
        <f t="shared" si="214"/>
        <v>0</v>
      </c>
      <c r="SP12" s="23">
        <f t="shared" si="215"/>
        <v>0</v>
      </c>
      <c r="SQ12" s="23">
        <f t="shared" si="216"/>
        <v>0</v>
      </c>
      <c r="SR12" s="23">
        <f t="shared" si="217"/>
        <v>0</v>
      </c>
      <c r="SS12" s="23">
        <f t="shared" si="218"/>
        <v>0</v>
      </c>
      <c r="ST12" s="23">
        <f t="shared" si="219"/>
        <v>0</v>
      </c>
      <c r="SU12" s="23">
        <f t="shared" si="220"/>
        <v>0</v>
      </c>
      <c r="SV12" s="23">
        <f t="shared" si="221"/>
        <v>0</v>
      </c>
      <c r="SW12" s="23">
        <f t="shared" si="222"/>
        <v>0</v>
      </c>
      <c r="SX12" s="23">
        <f t="shared" si="223"/>
        <v>0</v>
      </c>
      <c r="SY12" s="23">
        <f t="shared" si="224"/>
        <v>0</v>
      </c>
      <c r="SZ12" s="23">
        <f t="shared" si="225"/>
        <v>0</v>
      </c>
      <c r="TA12" s="23">
        <f t="shared" si="226"/>
        <v>0</v>
      </c>
      <c r="TB12" s="23">
        <f t="shared" si="227"/>
        <v>0</v>
      </c>
      <c r="TC12" s="28" t="s">
        <v>57</v>
      </c>
      <c r="TD12" s="41" t="str">
        <f t="shared" si="228"/>
        <v/>
      </c>
      <c r="TE12" s="41" t="str">
        <f t="shared" si="229"/>
        <v/>
      </c>
      <c r="TF12" s="41" t="str">
        <f t="shared" si="230"/>
        <v/>
      </c>
      <c r="TG12" s="41" t="str">
        <f t="shared" si="231"/>
        <v/>
      </c>
      <c r="TH12" s="41" t="str">
        <f t="shared" si="232"/>
        <v/>
      </c>
      <c r="TI12" s="41" t="str">
        <f t="shared" si="233"/>
        <v/>
      </c>
      <c r="TJ12" s="41" t="str">
        <f t="shared" si="234"/>
        <v/>
      </c>
      <c r="TK12" s="41" t="str">
        <f t="shared" si="235"/>
        <v/>
      </c>
      <c r="TL12" s="41" t="str">
        <f t="shared" si="236"/>
        <v/>
      </c>
      <c r="TM12" s="41" t="str">
        <f t="shared" si="237"/>
        <v/>
      </c>
      <c r="TN12" s="41" t="str">
        <f t="shared" si="238"/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218</v>
      </c>
      <c r="C13" s="4" t="s">
        <v>5</v>
      </c>
      <c r="D13" s="4" t="s">
        <v>217</v>
      </c>
      <c r="E13" s="9">
        <f t="shared" si="0"/>
        <v>28.9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24.009999999999998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 t="shared" si="6"/>
        <v>2023 Nationals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 t="shared" si="21"/>
        <v>1.7</v>
      </c>
      <c r="BI13" s="40">
        <f t="shared" si="22"/>
        <v>1.74</v>
      </c>
      <c r="BJ13" s="11">
        <f t="shared" si="23"/>
        <v>4.8900000000000006</v>
      </c>
      <c r="BK13" s="11">
        <f t="shared" si="24"/>
        <v>6.7</v>
      </c>
      <c r="BL13" s="11">
        <f t="shared" si="25"/>
        <v>9.26</v>
      </c>
      <c r="BM13" s="11">
        <f t="shared" si="26"/>
        <v>24.009999999999998</v>
      </c>
      <c r="BN13" s="11">
        <f t="shared" si="27"/>
        <v>24.009999999999998</v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>
        <f t="shared" si="31"/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 t="str">
        <f t="shared" si="43"/>
        <v/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0.27500000000000002</v>
      </c>
      <c r="SO13" s="23">
        <f t="shared" si="214"/>
        <v>0.45</v>
      </c>
      <c r="SP13" s="23">
        <f t="shared" si="215"/>
        <v>0.85</v>
      </c>
      <c r="SQ13" s="23">
        <f t="shared" si="216"/>
        <v>0.87</v>
      </c>
      <c r="SR13" s="23">
        <f t="shared" si="217"/>
        <v>0</v>
      </c>
      <c r="SS13" s="23">
        <f t="shared" si="218"/>
        <v>1.75</v>
      </c>
      <c r="ST13" s="23">
        <f t="shared" si="219"/>
        <v>2.2749999999999999</v>
      </c>
      <c r="SU13" s="23">
        <f t="shared" si="220"/>
        <v>3.35</v>
      </c>
      <c r="SV13" s="23">
        <f t="shared" si="221"/>
        <v>4.63</v>
      </c>
      <c r="SW13" s="23">
        <f t="shared" si="222"/>
        <v>0</v>
      </c>
      <c r="SX13" s="23">
        <f t="shared" si="223"/>
        <v>0</v>
      </c>
      <c r="SY13" s="23">
        <f t="shared" si="224"/>
        <v>0</v>
      </c>
      <c r="SZ13" s="23">
        <f t="shared" si="225"/>
        <v>0</v>
      </c>
      <c r="TA13" s="23">
        <f t="shared" si="226"/>
        <v>0</v>
      </c>
      <c r="TB13" s="23">
        <f t="shared" si="227"/>
        <v>0</v>
      </c>
      <c r="TC13" s="28" t="s">
        <v>57</v>
      </c>
      <c r="TD13" s="41">
        <f t="shared" si="228"/>
        <v>0.85</v>
      </c>
      <c r="TE13" s="41">
        <f t="shared" si="229"/>
        <v>0.87</v>
      </c>
      <c r="TF13" s="41">
        <f t="shared" si="230"/>
        <v>2.4450000000000003</v>
      </c>
      <c r="TG13" s="41">
        <f t="shared" si="231"/>
        <v>3.35</v>
      </c>
      <c r="TH13" s="41">
        <f t="shared" si="232"/>
        <v>4.63</v>
      </c>
      <c r="TI13" s="41">
        <f t="shared" si="233"/>
        <v>12.004999999999999</v>
      </c>
      <c r="TJ13" s="41">
        <f t="shared" si="234"/>
        <v>12.004999999999999</v>
      </c>
      <c r="TK13" s="41" t="str">
        <f t="shared" si="235"/>
        <v/>
      </c>
      <c r="TL13" s="41" t="str">
        <f t="shared" si="236"/>
        <v/>
      </c>
      <c r="TM13" s="41" t="str">
        <f t="shared" si="237"/>
        <v/>
      </c>
      <c r="TN13" s="41">
        <f t="shared" si="238"/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249</v>
      </c>
      <c r="C14" s="4" t="s">
        <v>8</v>
      </c>
      <c r="D14" s="4" t="s">
        <v>248</v>
      </c>
      <c r="E14" s="9">
        <f t="shared" si="0"/>
        <v>28.13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28.13</v>
      </c>
      <c r="O14" s="11" t="str">
        <f t="shared" si="8"/>
        <v>(Prelim)</v>
      </c>
      <c r="P14" s="8" t="str">
        <f t="shared" si="9"/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>
        <f t="shared" si="43"/>
        <v>28.13</v>
      </c>
      <c r="CU14" s="52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>
        <v>4.5</v>
      </c>
      <c r="OQ14" s="18">
        <v>5.55</v>
      </c>
      <c r="OR14" s="18">
        <v>8.1</v>
      </c>
      <c r="OS14" s="18">
        <v>9.98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>
        <f t="shared" si="171"/>
        <v>8.1</v>
      </c>
      <c r="PK14" s="11">
        <f t="shared" si="172"/>
        <v>9.98</v>
      </c>
      <c r="PL14" s="11">
        <f t="shared" si="173"/>
        <v>28.13</v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>
        <f t="shared" si="177"/>
        <v>28.13</v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>
        <f t="shared" si="184"/>
        <v>28.13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159</v>
      </c>
      <c r="C15" s="4" t="s">
        <v>5</v>
      </c>
      <c r="D15" s="4" t="s">
        <v>158</v>
      </c>
      <c r="E15" s="9">
        <f t="shared" si="0"/>
        <v>12.68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7.55</v>
      </c>
      <c r="K15" s="8" t="str">
        <f t="shared" si="5"/>
        <v>2023 Nationals</v>
      </c>
      <c r="L15" s="8">
        <f>IF(COUNT(AI15,AL15,AP15,BJ15,BM15,BQ15,CK15,CN15,CR15)&gt;1,LARGE((AI15,AL15,AP15,BJ15,BM15,BQ15,CK15,CN15,CR15),2),0)</f>
        <v>5.13</v>
      </c>
      <c r="M15" s="8" t="str">
        <f t="shared" si="6"/>
        <v>2023 Nationals</v>
      </c>
      <c r="N15" s="8" t="str">
        <f t="shared" si="7"/>
        <v/>
      </c>
      <c r="O15" s="11" t="str">
        <f t="shared" si="8"/>
        <v/>
      </c>
      <c r="P15" s="8" t="str">
        <f t="shared" si="9"/>
        <v/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>
        <v>0.7</v>
      </c>
      <c r="AS15" s="27">
        <v>0.95</v>
      </c>
      <c r="AT15" s="27">
        <v>1.5</v>
      </c>
      <c r="AU15" s="27">
        <v>1.98</v>
      </c>
      <c r="AV15" s="27">
        <v>0</v>
      </c>
      <c r="AW15" s="27">
        <v>1.35</v>
      </c>
      <c r="AX15" s="27">
        <v>1.8</v>
      </c>
      <c r="AY15" s="27">
        <v>2.1</v>
      </c>
      <c r="AZ15" s="27">
        <v>2.2999999999999998</v>
      </c>
      <c r="BA15" s="27">
        <v>0</v>
      </c>
      <c r="BB15" s="27"/>
      <c r="BC15" s="27"/>
      <c r="BD15" s="27"/>
      <c r="BE15" s="27"/>
      <c r="BF15" s="27"/>
      <c r="BG15" s="29"/>
      <c r="BH15" s="40">
        <f t="shared" si="21"/>
        <v>1.5</v>
      </c>
      <c r="BI15" s="40">
        <f t="shared" si="22"/>
        <v>1.98</v>
      </c>
      <c r="BJ15" s="11">
        <f t="shared" si="23"/>
        <v>5.13</v>
      </c>
      <c r="BK15" s="11">
        <f t="shared" si="24"/>
        <v>2.1</v>
      </c>
      <c r="BL15" s="11">
        <f t="shared" si="25"/>
        <v>2.2999999999999998</v>
      </c>
      <c r="BM15" s="11">
        <f t="shared" si="26"/>
        <v>7.55</v>
      </c>
      <c r="BN15" s="11">
        <f t="shared" si="27"/>
        <v>7.55</v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>
        <f t="shared" si="31"/>
        <v>7.55</v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 t="str">
        <f t="shared" si="55"/>
        <v/>
      </c>
      <c r="EA15" s="41" t="str">
        <f t="shared" si="56"/>
        <v/>
      </c>
      <c r="EB15" s="41" t="str">
        <f t="shared" si="57"/>
        <v/>
      </c>
      <c r="EC15" s="41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0.35</v>
      </c>
      <c r="SO15" s="23">
        <f t="shared" si="214"/>
        <v>0.47499999999999998</v>
      </c>
      <c r="SP15" s="23">
        <f t="shared" si="215"/>
        <v>0.75</v>
      </c>
      <c r="SQ15" s="23">
        <f t="shared" si="216"/>
        <v>0.99</v>
      </c>
      <c r="SR15" s="23">
        <f t="shared" si="217"/>
        <v>0</v>
      </c>
      <c r="SS15" s="23">
        <f t="shared" si="218"/>
        <v>0.67500000000000004</v>
      </c>
      <c r="ST15" s="23">
        <f t="shared" si="219"/>
        <v>0.9</v>
      </c>
      <c r="SU15" s="23">
        <f t="shared" si="220"/>
        <v>1.05</v>
      </c>
      <c r="SV15" s="23">
        <f t="shared" si="221"/>
        <v>1.1499999999999999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>
        <f t="shared" si="228"/>
        <v>0.75</v>
      </c>
      <c r="TE15" s="41">
        <f t="shared" si="229"/>
        <v>0.99</v>
      </c>
      <c r="TF15" s="41">
        <f t="shared" si="230"/>
        <v>2.5649999999999999</v>
      </c>
      <c r="TG15" s="41">
        <f t="shared" si="231"/>
        <v>1.05</v>
      </c>
      <c r="TH15" s="41">
        <f t="shared" si="232"/>
        <v>1.1499999999999999</v>
      </c>
      <c r="TI15" s="41">
        <f t="shared" si="233"/>
        <v>3.7749999999999999</v>
      </c>
      <c r="TJ15" s="41">
        <f t="shared" si="234"/>
        <v>3.7749999999999999</v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>
        <f t="shared" si="238"/>
        <v>3.7749999999999999</v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15">
    <cfRule type="expression" dxfId="426" priority="42" stopIfTrue="1">
      <formula>IF($AF4&lt;&gt;"",1,0)</formula>
    </cfRule>
  </conditionalFormatting>
  <conditionalFormatting sqref="AR4:BR15">
    <cfRule type="expression" dxfId="425" priority="35" stopIfTrue="1">
      <formula>IF($BG4&lt;&gt;"",1,0)</formula>
    </cfRule>
  </conditionalFormatting>
  <conditionalFormatting sqref="BS4:CS15">
    <cfRule type="expression" dxfId="424" priority="34" stopIfTrue="1">
      <formula>IF($CH4&lt;&gt;"",1,0)</formula>
    </cfRule>
  </conditionalFormatting>
  <conditionalFormatting sqref="BO26:BO1048576 BH1:BH1048576 BK1:BK1048576 BO1:BO24">
    <cfRule type="cellIs" dxfId="423" priority="47" operator="between">
      <formula>$BR$21</formula>
      <formula>1000</formula>
    </cfRule>
    <cfRule type="cellIs" dxfId="422" priority="48" operator="between">
      <formula>$BR$20</formula>
      <formula>$BR$21</formula>
    </cfRule>
    <cfRule type="cellIs" dxfId="421" priority="49" operator="between">
      <formula>$BR$19</formula>
      <formula>$BR$20</formula>
    </cfRule>
    <cfRule type="cellIs" dxfId="420" priority="50" operator="between">
      <formula>$BR$18</formula>
      <formula>$BR$19</formula>
    </cfRule>
  </conditionalFormatting>
  <conditionalFormatting sqref="CP26:CP1048576 CI1:CI1048576 CL1:CL1048576 CP1:CP24">
    <cfRule type="cellIs" dxfId="419" priority="43" operator="between">
      <formula>$CS$21</formula>
      <formula>1000</formula>
    </cfRule>
    <cfRule type="cellIs" dxfId="418" priority="44" operator="between">
      <formula>$CS$20</formula>
      <formula>$CS$21</formula>
    </cfRule>
    <cfRule type="cellIs" dxfId="417" priority="45" operator="between">
      <formula>$CS$19</formula>
      <formula>$CS$20</formula>
    </cfRule>
    <cfRule type="cellIs" dxfId="416" priority="46" operator="between">
      <formula>$CS$18</formula>
      <formula>$CS$19</formula>
    </cfRule>
  </conditionalFormatting>
  <conditionalFormatting sqref="DZ26:DZ1048576 DP1:DP1048576 DS1:DS1048576 DW1:DW1048576 DZ1:DZ24">
    <cfRule type="cellIs" dxfId="415" priority="54" operator="between">
      <formula>$EC$21</formula>
      <formula>1000</formula>
    </cfRule>
    <cfRule type="cellIs" dxfId="414" priority="55" operator="between">
      <formula>$EC$20</formula>
      <formula>$EC$21</formula>
    </cfRule>
    <cfRule type="cellIs" dxfId="413" priority="56" operator="between">
      <formula>$EC$19</formula>
      <formula>$EC$20</formula>
    </cfRule>
    <cfRule type="cellIs" dxfId="412" priority="57" operator="between">
      <formula>$EC$18</formula>
      <formula>$EC$19</formula>
    </cfRule>
  </conditionalFormatting>
  <conditionalFormatting sqref="FH26:FH1048576 EX1:EX1048576 FA1:FA1048576 FE1:FE1048576 FH1:FH24">
    <cfRule type="cellIs" dxfId="411" priority="30" operator="between">
      <formula>$FK$21</formula>
      <formula>1000</formula>
    </cfRule>
    <cfRule type="cellIs" dxfId="410" priority="31" operator="between">
      <formula>$FK$20</formula>
      <formula>$FK$21</formula>
    </cfRule>
    <cfRule type="cellIs" dxfId="409" priority="32" operator="between">
      <formula>$FK$19</formula>
      <formula>$FK$20</formula>
    </cfRule>
    <cfRule type="cellIs" dxfId="408" priority="33" operator="between">
      <formula>$FK$18</formula>
      <formula>$FK$19</formula>
    </cfRule>
  </conditionalFormatting>
  <conditionalFormatting sqref="HX26:HX1048576 HN1:HN1048576 HQ1:HQ1048576 HU1:HU1048576 HX1:HX24">
    <cfRule type="cellIs" dxfId="407" priority="26" operator="between">
      <formula>$IA$21</formula>
      <formula>1000</formula>
    </cfRule>
    <cfRule type="cellIs" dxfId="406" priority="27" operator="between">
      <formula>$IA$20</formula>
      <formula>$IA$21</formula>
    </cfRule>
    <cfRule type="cellIs" dxfId="405" priority="28" operator="between">
      <formula>$IA$19</formula>
      <formula>$IA$20</formula>
    </cfRule>
    <cfRule type="cellIs" dxfId="404" priority="29" operator="between">
      <formula>$IA$18</formula>
      <formula>$IA$19</formula>
    </cfRule>
  </conditionalFormatting>
  <conditionalFormatting sqref="AO25 AG1:AG1048576 AJ1:AJ1048576 AN1:AN1048576">
    <cfRule type="cellIs" dxfId="403" priority="22" operator="between">
      <formula>$AQ$21</formula>
      <formula>1000</formula>
    </cfRule>
    <cfRule type="cellIs" dxfId="402" priority="23" operator="between">
      <formula>$AQ$20</formula>
      <formula>$AQ$21</formula>
    </cfRule>
    <cfRule type="cellIs" dxfId="401" priority="24" operator="between">
      <formula>$AQ$19</formula>
      <formula>$AQ$20</formula>
    </cfRule>
    <cfRule type="cellIs" dxfId="400" priority="25" operator="between">
      <formula>$AQ$18</formula>
      <formula>$AQ$19</formula>
    </cfRule>
  </conditionalFormatting>
  <conditionalFormatting sqref="BO25">
    <cfRule type="cellIs" dxfId="399" priority="18" operator="between">
      <formula>$AQ$21</formula>
      <formula>1000</formula>
    </cfRule>
    <cfRule type="cellIs" dxfId="398" priority="19" operator="between">
      <formula>$AQ$20</formula>
      <formula>$AQ$21</formula>
    </cfRule>
    <cfRule type="cellIs" dxfId="397" priority="20" operator="between">
      <formula>$AQ$19</formula>
      <formula>$AQ$20</formula>
    </cfRule>
    <cfRule type="cellIs" dxfId="396" priority="21" operator="between">
      <formula>$AQ$18</formula>
      <formula>$AQ$19</formula>
    </cfRule>
  </conditionalFormatting>
  <conditionalFormatting sqref="CP25">
    <cfRule type="cellIs" dxfId="395" priority="14" operator="between">
      <formula>$AQ$21</formula>
      <formula>1000</formula>
    </cfRule>
    <cfRule type="cellIs" dxfId="394" priority="15" operator="between">
      <formula>$AQ$20</formula>
      <formula>$AQ$21</formula>
    </cfRule>
    <cfRule type="cellIs" dxfId="393" priority="16" operator="between">
      <formula>$AQ$19</formula>
      <formula>$AQ$20</formula>
    </cfRule>
    <cfRule type="cellIs" dxfId="392" priority="17" operator="between">
      <formula>$AQ$18</formula>
      <formula>$AQ$19</formula>
    </cfRule>
  </conditionalFormatting>
  <conditionalFormatting sqref="DZ25">
    <cfRule type="cellIs" dxfId="391" priority="10" operator="between">
      <formula>$AQ$21</formula>
      <formula>1000</formula>
    </cfRule>
    <cfRule type="cellIs" dxfId="390" priority="11" operator="between">
      <formula>$AQ$20</formula>
      <formula>$AQ$21</formula>
    </cfRule>
    <cfRule type="cellIs" dxfId="389" priority="12" operator="between">
      <formula>$AQ$19</formula>
      <formula>$AQ$20</formula>
    </cfRule>
    <cfRule type="cellIs" dxfId="388" priority="13" operator="between">
      <formula>$AQ$18</formula>
      <formula>$AQ$19</formula>
    </cfRule>
  </conditionalFormatting>
  <conditionalFormatting sqref="FH25">
    <cfRule type="cellIs" dxfId="387" priority="6" operator="between">
      <formula>$AQ$21</formula>
      <formula>1000</formula>
    </cfRule>
    <cfRule type="cellIs" dxfId="386" priority="7" operator="between">
      <formula>$AQ$20</formula>
      <formula>$AQ$21</formula>
    </cfRule>
    <cfRule type="cellIs" dxfId="385" priority="8" operator="between">
      <formula>$AQ$19</formula>
      <formula>$AQ$20</formula>
    </cfRule>
    <cfRule type="cellIs" dxfId="384" priority="9" operator="between">
      <formula>$AQ$18</formula>
      <formula>$AQ$19</formula>
    </cfRule>
  </conditionalFormatting>
  <conditionalFormatting sqref="HX25">
    <cfRule type="cellIs" dxfId="383" priority="2" operator="between">
      <formula>$AQ$21</formula>
      <formula>1000</formula>
    </cfRule>
    <cfRule type="cellIs" dxfId="382" priority="3" operator="between">
      <formula>$AQ$20</formula>
      <formula>$AQ$21</formula>
    </cfRule>
    <cfRule type="cellIs" dxfId="381" priority="4" operator="between">
      <formula>$AQ$19</formula>
      <formula>$AQ$20</formula>
    </cfRule>
    <cfRule type="cellIs" dxfId="380" priority="5" operator="between">
      <formula>$AQ$18</formula>
      <formula>$AQ$19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88102" operator="between">
      <formula>AQ$25</formula>
      <formula>1000</formula>
    </cfRule>
    <cfRule type="cellIs" dxfId="375" priority="88103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88114" operator="between">
      <formula>EC$25</formula>
      <formula>1000</formula>
    </cfRule>
    <cfRule type="cellIs" dxfId="373" priority="88115" operator="between">
      <formula>EC$24</formula>
      <formula>EC$25</formula>
    </cfRule>
  </conditionalFormatting>
  <conditionalFormatting sqref="AI1:AI1048576 AL1:AL1048576 AP1:AP1048576">
    <cfRule type="cellIs" dxfId="372" priority="88186" operator="between">
      <formula>$AQ$25</formula>
      <formula>1000</formula>
    </cfRule>
    <cfRule type="cellIs" dxfId="371" priority="88187" operator="between">
      <formula>$AQ$24</formula>
      <formula>$AQ$25</formula>
    </cfRule>
    <cfRule type="cellIs" dxfId="370" priority="88188" operator="between">
      <formula>$AQ$23</formula>
      <formula>$AQ$24</formula>
    </cfRule>
    <cfRule type="cellIs" dxfId="369" priority="88189" operator="between">
      <formula>$AQ$22</formula>
      <formula>$AQ$23</formula>
    </cfRule>
  </conditionalFormatting>
  <conditionalFormatting sqref="BJ1:BJ1048576 BM1:BM1048576 BQ1:BQ1048576">
    <cfRule type="cellIs" dxfId="368" priority="88222" operator="between">
      <formula>$BR$25</formula>
      <formula>1000</formula>
    </cfRule>
    <cfRule type="cellIs" dxfId="367" priority="88223" operator="between">
      <formula>$BR$24</formula>
      <formula>$BR$25</formula>
    </cfRule>
    <cfRule type="cellIs" dxfId="366" priority="88224" operator="between">
      <formula>$BR$23</formula>
      <formula>$BR$24</formula>
    </cfRule>
    <cfRule type="cellIs" dxfId="365" priority="88225" operator="between">
      <formula>$BR$22</formula>
      <formula>$BR$23</formula>
    </cfRule>
  </conditionalFormatting>
  <conditionalFormatting sqref="CK1:CK1048576 CN1:CN1048576 CR1:CR1048576">
    <cfRule type="cellIs" dxfId="364" priority="88258" operator="between">
      <formula>$CS$25</formula>
      <formula>1000</formula>
    </cfRule>
    <cfRule type="cellIs" dxfId="363" priority="88259" operator="between">
      <formula>$CS$24</formula>
      <formula>$CS$25</formula>
    </cfRule>
    <cfRule type="cellIs" dxfId="362" priority="88260" operator="between">
      <formula>$CS$23</formula>
      <formula>$CS$24</formula>
    </cfRule>
    <cfRule type="cellIs" dxfId="361" priority="88261" operator="between">
      <formula>$CS$22</formula>
      <formula>$CS$23</formula>
    </cfRule>
  </conditionalFormatting>
  <conditionalFormatting sqref="MT1:MT1048576 MW1:MW1048576 NA1:NA1048576 ND1:ND1048576">
    <cfRule type="cellIs" dxfId="360" priority="88294" operator="between">
      <formula>$NG$18</formula>
      <formula>$NG$19</formula>
    </cfRule>
  </conditionalFormatting>
  <conditionalFormatting sqref="DR1:DR1048576 DU1:DU1048576 DY1:DY1048576 EB1:EB1048576">
    <cfRule type="cellIs" dxfId="359" priority="88306" operator="between">
      <formula>$EC$25</formula>
      <formula>1000</formula>
    </cfRule>
    <cfRule type="cellIs" dxfId="358" priority="88307" operator="between">
      <formula>$EC$24</formula>
      <formula>$EC$25</formula>
    </cfRule>
    <cfRule type="cellIs" dxfId="357" priority="88308" operator="between">
      <formula>$EC$23</formula>
      <formula>$EC$24</formula>
    </cfRule>
    <cfRule type="cellIs" dxfId="356" priority="88309" operator="between">
      <formula>$EC$22</formula>
      <formula>$EC$23</formula>
    </cfRule>
  </conditionalFormatting>
  <conditionalFormatting sqref="EZ1:EZ1048576 FC1:FC1048576 FG1:FG1048576 FJ1:FJ1048576">
    <cfRule type="cellIs" dxfId="355" priority="88354" operator="between">
      <formula>$FK$25</formula>
      <formula>1000</formula>
    </cfRule>
    <cfRule type="cellIs" dxfId="354" priority="88355" operator="between">
      <formula>$FK$24</formula>
      <formula>$FK$25</formula>
    </cfRule>
    <cfRule type="cellIs" dxfId="353" priority="88356" operator="between">
      <formula>$FK$23</formula>
      <formula>$FK$24</formula>
    </cfRule>
    <cfRule type="cellIs" dxfId="352" priority="88357" operator="between">
      <formula>$FK$22</formula>
      <formula>$FK$23</formula>
    </cfRule>
  </conditionalFormatting>
  <conditionalFormatting sqref="GF1:GF1048576 GI1:GI1048576 GM1:GM1048576 GP1:GP1048576">
    <cfRule type="cellIs" dxfId="351" priority="88402" operator="between">
      <formula>$GS$21</formula>
      <formula>1000</formula>
    </cfRule>
    <cfRule type="cellIs" dxfId="350" priority="88403" operator="between">
      <formula>$GS$20</formula>
      <formula>$GS$21</formula>
    </cfRule>
    <cfRule type="cellIs" dxfId="349" priority="88404" operator="between">
      <formula>$GS$19</formula>
      <formula>$GS$20</formula>
    </cfRule>
    <cfRule type="cellIs" dxfId="348" priority="88405" operator="between">
      <formula>$GS$18</formula>
      <formula>$GS$19</formula>
    </cfRule>
  </conditionalFormatting>
  <conditionalFormatting sqref="GH1:GH1048576 GK1:GK1048576 GO1:GO1048576 GR1:GR1048576">
    <cfRule type="cellIs" dxfId="347" priority="88450" operator="between">
      <formula>$GS$25</formula>
      <formula>1000</formula>
    </cfRule>
    <cfRule type="cellIs" dxfId="346" priority="88451" operator="between">
      <formula>$GS$24</formula>
      <formula>$GS$25</formula>
    </cfRule>
    <cfRule type="cellIs" dxfId="345" priority="88452" operator="between">
      <formula>$GS$23</formula>
      <formula>$GS$24</formula>
    </cfRule>
    <cfRule type="cellIs" dxfId="344" priority="88453" operator="between">
      <formula>$GS$22</formula>
      <formula>$GS$23</formula>
    </cfRule>
  </conditionalFormatting>
  <conditionalFormatting sqref="HP1:HP1048576 HS1:HS1048576 HW1:HW1048576 HZ1:HZ1048576">
    <cfRule type="cellIs" dxfId="343" priority="88498" operator="between">
      <formula>$IA$25</formula>
      <formula>1000</formula>
    </cfRule>
    <cfRule type="cellIs" dxfId="342" priority="88499" operator="between">
      <formula>$IA$24</formula>
      <formula>$IA$25</formula>
    </cfRule>
    <cfRule type="cellIs" dxfId="341" priority="88500" operator="between">
      <formula>$IA$23</formula>
      <formula>$IA$24</formula>
    </cfRule>
    <cfRule type="cellIs" dxfId="340" priority="88501" operator="between">
      <formula>$IA$22</formula>
      <formula>$IA$23</formula>
    </cfRule>
  </conditionalFormatting>
  <conditionalFormatting sqref="IV1:IV1048576 IY1:IY1048576 JC1:JC1048576 JF1:JF1048576">
    <cfRule type="cellIs" dxfId="339" priority="88546" operator="between">
      <formula>$JI$21</formula>
      <formula>1000</formula>
    </cfRule>
    <cfRule type="cellIs" dxfId="338" priority="88547" operator="between">
      <formula>$JI$20</formula>
      <formula>$JI$21</formula>
    </cfRule>
    <cfRule type="cellIs" dxfId="337" priority="88548" operator="between">
      <formula>$JI$19</formula>
      <formula>$JI$20</formula>
    </cfRule>
    <cfRule type="cellIs" dxfId="336" priority="88549" operator="between">
      <formula>$JI$18</formula>
      <formula>$JI$19</formula>
    </cfRule>
  </conditionalFormatting>
  <conditionalFormatting sqref="IX1:IX1048576 JA1:JA1048576 JE1:JE1048576 JH1:JH1048576">
    <cfRule type="cellIs" dxfId="335" priority="88594" operator="between">
      <formula>$JI$25</formula>
      <formula>1000</formula>
    </cfRule>
    <cfRule type="cellIs" dxfId="334" priority="88595" operator="between">
      <formula>$JI$24</formula>
      <formula>$JI$25</formula>
    </cfRule>
    <cfRule type="cellIs" dxfId="333" priority="88596" operator="between">
      <formula>$JI$23</formula>
      <formula>$JI$24</formula>
    </cfRule>
    <cfRule type="cellIs" dxfId="332" priority="88597" operator="between">
      <formula>$JI$22</formula>
      <formula>$JI$23</formula>
    </cfRule>
  </conditionalFormatting>
  <conditionalFormatting sqref="KD1:KD1048576 KG1:KG1048576 KK1:KK1048576 KN1:KN1048576">
    <cfRule type="cellIs" dxfId="331" priority="88642" operator="between">
      <formula>$KQ$21</formula>
      <formula>1000</formula>
    </cfRule>
    <cfRule type="cellIs" dxfId="330" priority="88643" operator="between">
      <formula>$KQ$20</formula>
      <formula>$KQ$21</formula>
    </cfRule>
    <cfRule type="cellIs" dxfId="329" priority="88644" operator="between">
      <formula>$KQ$19</formula>
      <formula>$KQ$20</formula>
    </cfRule>
    <cfRule type="cellIs" dxfId="328" priority="88645" operator="between">
      <formula>$KQ$18</formula>
      <formula>$KQ$19</formula>
    </cfRule>
  </conditionalFormatting>
  <conditionalFormatting sqref="KF1:KF1048576 KI1:KI1048576 KM1:KM1048576 KP1:KP1048576">
    <cfRule type="cellIs" dxfId="327" priority="88690" operator="between">
      <formula>$KQ$25</formula>
      <formula>1000</formula>
    </cfRule>
    <cfRule type="cellIs" dxfId="326" priority="88691" operator="between">
      <formula>$KQ$24</formula>
      <formula>$KQ$25</formula>
    </cfRule>
    <cfRule type="cellIs" dxfId="325" priority="88692" operator="between">
      <formula>$KQ$23</formula>
      <formula>$KQ$24</formula>
    </cfRule>
    <cfRule type="cellIs" dxfId="324" priority="88693" operator="between">
      <formula>$KQ$22</formula>
      <formula>$KQ$23</formula>
    </cfRule>
  </conditionalFormatting>
  <conditionalFormatting sqref="LL1:LL1048576 LO1:LO1048576 LS1:LS1048576 LV1:LV1048576">
    <cfRule type="cellIs" dxfId="323" priority="88738" operator="between">
      <formula>$LY$21</formula>
      <formula>1000</formula>
    </cfRule>
    <cfRule type="cellIs" dxfId="322" priority="88739" operator="between">
      <formula>$LY$20</formula>
      <formula>$LY$21</formula>
    </cfRule>
    <cfRule type="cellIs" dxfId="321" priority="88740" operator="between">
      <formula>$LY$19</formula>
      <formula>$LY$20</formula>
    </cfRule>
    <cfRule type="cellIs" dxfId="320" priority="88741" operator="between">
      <formula>$LY$18</formula>
      <formula>$LY$19</formula>
    </cfRule>
  </conditionalFormatting>
  <conditionalFormatting sqref="LN1:LN1048576 LQ1:LQ1048576 LU1:LU1048576 LX1:LX1048576">
    <cfRule type="cellIs" dxfId="319" priority="88786" operator="between">
      <formula>$LY$25</formula>
      <formula>1000</formula>
    </cfRule>
    <cfRule type="cellIs" dxfId="318" priority="88787" operator="between">
      <formula>$LY$24</formula>
      <formula>$LY$25</formula>
    </cfRule>
    <cfRule type="cellIs" dxfId="317" priority="88788" operator="between">
      <formula>$LY$23</formula>
      <formula>$LY$24</formula>
    </cfRule>
    <cfRule type="cellIs" dxfId="316" priority="88789" operator="between">
      <formula>$LY$22</formula>
      <formula>$LY$23</formula>
    </cfRule>
  </conditionalFormatting>
  <conditionalFormatting sqref="MT1:MT1048576 MW1:MW1048576 NA1:NA1048576">
    <cfRule type="cellIs" dxfId="315" priority="88834" operator="between">
      <formula>$NG$21</formula>
      <formula>1000</formula>
    </cfRule>
    <cfRule type="cellIs" dxfId="314" priority="88835" operator="between">
      <formula>$NG$20</formula>
      <formula>$NG$21</formula>
    </cfRule>
    <cfRule type="cellIs" dxfId="313" priority="88836" operator="between">
      <formula>$NG$19</formula>
      <formula>$NG$20</formula>
    </cfRule>
  </conditionalFormatting>
  <conditionalFormatting sqref="MV1:MV1048576 MY1:MY1048576 NC1:NC1048576 NF1:NF1048576">
    <cfRule type="cellIs" dxfId="312" priority="88861" operator="between">
      <formula>$NG$25</formula>
      <formula>1000</formula>
    </cfRule>
    <cfRule type="cellIs" dxfId="311" priority="88862" operator="between">
      <formula>$NG$24</formula>
      <formula>$NG$25</formula>
    </cfRule>
    <cfRule type="cellIs" dxfId="310" priority="88863" operator="between">
      <formula>$NG$23</formula>
      <formula>$NG$24</formula>
    </cfRule>
    <cfRule type="cellIs" dxfId="309" priority="88864" operator="between">
      <formula>$NG$22</formula>
      <formula>$NG$23</formula>
    </cfRule>
  </conditionalFormatting>
  <conditionalFormatting sqref="OB1:OB1048576 OE1:OE1048576 OI1:OI1048576 OL1:OL1048576">
    <cfRule type="cellIs" dxfId="308" priority="88909" operator="between">
      <formula>$OO$21</formula>
      <formula>1000</formula>
    </cfRule>
    <cfRule type="cellIs" dxfId="307" priority="88910" operator="between">
      <formula>$OO$20</formula>
      <formula>$OO$21</formula>
    </cfRule>
    <cfRule type="cellIs" dxfId="306" priority="88911" operator="between">
      <formula>$OO$19</formula>
      <formula>$OO$20</formula>
    </cfRule>
    <cfRule type="cellIs" dxfId="305" priority="88912" operator="between">
      <formula>$OO$18</formula>
      <formula>$OO$19</formula>
    </cfRule>
  </conditionalFormatting>
  <conditionalFormatting sqref="OD1:OD1048576 OG1:OG1048576 OK1:OK1048576 ON1:ON1048576">
    <cfRule type="cellIs" dxfId="304" priority="88957" operator="between">
      <formula>$OO$25</formula>
      <formula>1000</formula>
    </cfRule>
    <cfRule type="cellIs" dxfId="303" priority="88958" operator="between">
      <formula>$OO$24</formula>
      <formula>$OO$25</formula>
    </cfRule>
    <cfRule type="cellIs" dxfId="302" priority="88959" operator="between">
      <formula>$OO$23</formula>
      <formula>$OO$24</formula>
    </cfRule>
    <cfRule type="cellIs" dxfId="301" priority="88960" operator="between">
      <formula>$OO$22</formula>
      <formula>$OO$23</formula>
    </cfRule>
  </conditionalFormatting>
  <conditionalFormatting sqref="PJ1:PJ1048576 PM1:PM1048576 PQ1:PQ1048576 PT1:PT1048576">
    <cfRule type="cellIs" dxfId="300" priority="89005" operator="between">
      <formula>$PW$21</formula>
      <formula>1000</formula>
    </cfRule>
    <cfRule type="cellIs" dxfId="299" priority="89006" operator="between">
      <formula>$PW$20</formula>
      <formula>$PW$21</formula>
    </cfRule>
    <cfRule type="cellIs" dxfId="298" priority="89007" operator="between">
      <formula>$PW$19</formula>
      <formula>$PW$20</formula>
    </cfRule>
    <cfRule type="cellIs" dxfId="297" priority="89008" operator="between">
      <formula>$PW$18</formula>
      <formula>$PW$19</formula>
    </cfRule>
  </conditionalFormatting>
  <conditionalFormatting sqref="PL1:PL1048576 PO1:PO1048576 PS1:PS1048576 PV1:PV1048576">
    <cfRule type="cellIs" dxfId="296" priority="89053" operator="between">
      <formula>$PW$25</formula>
      <formula>1000</formula>
    </cfRule>
    <cfRule type="cellIs" dxfId="295" priority="89054" operator="between">
      <formula>$PW$24</formula>
      <formula>$PW$25</formula>
    </cfRule>
    <cfRule type="cellIs" dxfId="294" priority="89055" operator="between">
      <formula>$PW$23</formula>
      <formula>$PW$24</formula>
    </cfRule>
    <cfRule type="cellIs" dxfId="293" priority="89056" operator="between">
      <formula>$PW$22</formula>
      <formula>$PW$23</formula>
    </cfRule>
  </conditionalFormatting>
  <conditionalFormatting sqref="QR1:QR1048576 QU1:QU1048576 QY1:QY1048576 RB1:RB1048576">
    <cfRule type="cellIs" dxfId="292" priority="89101" operator="between">
      <formula>$RE$21</formula>
      <formula>1000</formula>
    </cfRule>
    <cfRule type="cellIs" dxfId="291" priority="89102" operator="between">
      <formula>$RE$20</formula>
      <formula>$RE$21</formula>
    </cfRule>
    <cfRule type="cellIs" dxfId="290" priority="89103" operator="between">
      <formula>$RE$19</formula>
      <formula>$RE$20</formula>
    </cfRule>
    <cfRule type="cellIs" dxfId="289" priority="89104" operator="between">
      <formula>$RE$18</formula>
      <formula>$RE$19</formula>
    </cfRule>
  </conditionalFormatting>
  <conditionalFormatting sqref="QT1:QT1048576 QW1:QW1048576 RA1:RA1048576 RD1:RD1048576">
    <cfRule type="cellIs" dxfId="288" priority="89149" operator="between">
      <formula>$RE$25</formula>
      <formula>1000</formula>
    </cfRule>
    <cfRule type="cellIs" dxfId="287" priority="89150" operator="between">
      <formula>$RE$24</formula>
      <formula>$RE$25</formula>
    </cfRule>
    <cfRule type="cellIs" dxfId="286" priority="89151" operator="between">
      <formula>$RE$23</formula>
      <formula>$RE$24</formula>
    </cfRule>
    <cfRule type="cellIs" dxfId="285" priority="89152" operator="between">
      <formula>$RE$22</formula>
      <formula>$RE$23</formula>
    </cfRule>
  </conditionalFormatting>
  <conditionalFormatting sqref="RZ1:RZ1048576 SC1:SC1048576 SG1:SG1048576 SJ1:SJ1048576">
    <cfRule type="cellIs" dxfId="284" priority="89197" operator="between">
      <formula>$SM$21</formula>
      <formula>1000</formula>
    </cfRule>
    <cfRule type="cellIs" dxfId="283" priority="89198" operator="between">
      <formula>$SM$20</formula>
      <formula>$SM$21</formula>
    </cfRule>
    <cfRule type="cellIs" dxfId="282" priority="89199" operator="between">
      <formula>$SM$19</formula>
      <formula>$SM$20</formula>
    </cfRule>
    <cfRule type="cellIs" dxfId="281" priority="89200" operator="between">
      <formula>$SM$18</formula>
      <formula>$SM$19</formula>
    </cfRule>
  </conditionalFormatting>
  <conditionalFormatting sqref="SB1:SB1048576 SE1:SE1048576 SI1:SI1048576 SL1:SL1048576">
    <cfRule type="cellIs" dxfId="280" priority="89245" operator="between">
      <formula>$SM$25</formula>
      <formula>1000</formula>
    </cfRule>
    <cfRule type="cellIs" dxfId="279" priority="89246" operator="between">
      <formula>$SM$24</formula>
      <formula>$SM$25</formula>
    </cfRule>
    <cfRule type="cellIs" dxfId="278" priority="89247" operator="between">
      <formula>$SM$23</formula>
      <formula>$SM$24</formula>
    </cfRule>
    <cfRule type="cellIs" dxfId="277" priority="89248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112</v>
      </c>
      <c r="K1" s="71" t="s">
        <v>33</v>
      </c>
      <c r="L1" s="73" t="s">
        <v>174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175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212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229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173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237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205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211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224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235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236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240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239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 t="s">
        <v>245</v>
      </c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/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104</v>
      </c>
      <c r="AH2" s="14" t="s">
        <v>143</v>
      </c>
      <c r="AI2" s="14" t="s">
        <v>21</v>
      </c>
      <c r="AJ2" s="14" t="s">
        <v>81</v>
      </c>
      <c r="AK2" s="14" t="s">
        <v>142</v>
      </c>
      <c r="AL2" s="14" t="s">
        <v>22</v>
      </c>
      <c r="AM2" s="14" t="s">
        <v>24</v>
      </c>
      <c r="AN2" s="14" t="s">
        <v>107</v>
      </c>
      <c r="AO2" s="14" t="s">
        <v>144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104</v>
      </c>
      <c r="BI2" s="13" t="s">
        <v>143</v>
      </c>
      <c r="BJ2" s="13" t="s">
        <v>21</v>
      </c>
      <c r="BK2" s="13" t="s">
        <v>81</v>
      </c>
      <c r="BL2" s="13" t="s">
        <v>142</v>
      </c>
      <c r="BM2" s="13" t="s">
        <v>22</v>
      </c>
      <c r="BN2" s="13" t="s">
        <v>24</v>
      </c>
      <c r="BO2" s="13" t="s">
        <v>107</v>
      </c>
      <c r="BP2" s="13" t="s">
        <v>144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104</v>
      </c>
      <c r="CJ2" s="14" t="s">
        <v>143</v>
      </c>
      <c r="CK2" s="14" t="s">
        <v>21</v>
      </c>
      <c r="CL2" s="14" t="s">
        <v>81</v>
      </c>
      <c r="CM2" s="14" t="s">
        <v>142</v>
      </c>
      <c r="CN2" s="14" t="s">
        <v>22</v>
      </c>
      <c r="CO2" s="14" t="s">
        <v>24</v>
      </c>
      <c r="CP2" s="14" t="s">
        <v>107</v>
      </c>
      <c r="CQ2" s="14" t="s">
        <v>144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109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104</v>
      </c>
      <c r="DQ2" s="14" t="s">
        <v>143</v>
      </c>
      <c r="DR2" s="14" t="s">
        <v>21</v>
      </c>
      <c r="DS2" s="14" t="s">
        <v>81</v>
      </c>
      <c r="DT2" s="14" t="s">
        <v>142</v>
      </c>
      <c r="DU2" s="14" t="s">
        <v>22</v>
      </c>
      <c r="DV2" s="14" t="s">
        <v>24</v>
      </c>
      <c r="DW2" s="14" t="s">
        <v>110</v>
      </c>
      <c r="DX2" s="14" t="s">
        <v>145</v>
      </c>
      <c r="DY2" s="14" t="s">
        <v>109</v>
      </c>
      <c r="DZ2" s="14" t="s">
        <v>107</v>
      </c>
      <c r="EA2" s="14" t="s">
        <v>144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109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104</v>
      </c>
      <c r="EY2" s="13" t="s">
        <v>143</v>
      </c>
      <c r="EZ2" s="13" t="s">
        <v>21</v>
      </c>
      <c r="FA2" s="13" t="s">
        <v>81</v>
      </c>
      <c r="FB2" s="13" t="s">
        <v>142</v>
      </c>
      <c r="FC2" s="13" t="s">
        <v>22</v>
      </c>
      <c r="FD2" s="13" t="s">
        <v>24</v>
      </c>
      <c r="FE2" s="13" t="s">
        <v>110</v>
      </c>
      <c r="FF2" s="13" t="s">
        <v>145</v>
      </c>
      <c r="FG2" s="13" t="s">
        <v>109</v>
      </c>
      <c r="FH2" s="13" t="s">
        <v>107</v>
      </c>
      <c r="FI2" s="13" t="s">
        <v>144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109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104</v>
      </c>
      <c r="GG2" s="14" t="s">
        <v>143</v>
      </c>
      <c r="GH2" s="14" t="s">
        <v>21</v>
      </c>
      <c r="GI2" s="14" t="s">
        <v>81</v>
      </c>
      <c r="GJ2" s="14" t="s">
        <v>142</v>
      </c>
      <c r="GK2" s="14" t="s">
        <v>22</v>
      </c>
      <c r="GL2" s="14" t="s">
        <v>24</v>
      </c>
      <c r="GM2" s="14" t="s">
        <v>110</v>
      </c>
      <c r="GN2" s="14" t="s">
        <v>145</v>
      </c>
      <c r="GO2" s="14" t="s">
        <v>109</v>
      </c>
      <c r="GP2" s="14" t="s">
        <v>107</v>
      </c>
      <c r="GQ2" s="14" t="s">
        <v>144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109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104</v>
      </c>
      <c r="HO2" s="13" t="s">
        <v>143</v>
      </c>
      <c r="HP2" s="13" t="s">
        <v>21</v>
      </c>
      <c r="HQ2" s="13" t="s">
        <v>81</v>
      </c>
      <c r="HR2" s="13" t="s">
        <v>142</v>
      </c>
      <c r="HS2" s="13" t="s">
        <v>22</v>
      </c>
      <c r="HT2" s="13" t="s">
        <v>24</v>
      </c>
      <c r="HU2" s="13" t="s">
        <v>110</v>
      </c>
      <c r="HV2" s="13" t="s">
        <v>145</v>
      </c>
      <c r="HW2" s="13" t="s">
        <v>109</v>
      </c>
      <c r="HX2" s="13" t="s">
        <v>107</v>
      </c>
      <c r="HY2" s="13" t="s">
        <v>144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109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104</v>
      </c>
      <c r="IW2" s="14" t="s">
        <v>143</v>
      </c>
      <c r="IX2" s="14" t="s">
        <v>21</v>
      </c>
      <c r="IY2" s="14" t="s">
        <v>81</v>
      </c>
      <c r="IZ2" s="14" t="s">
        <v>142</v>
      </c>
      <c r="JA2" s="14" t="s">
        <v>22</v>
      </c>
      <c r="JB2" s="14" t="s">
        <v>24</v>
      </c>
      <c r="JC2" s="14" t="s">
        <v>110</v>
      </c>
      <c r="JD2" s="14" t="s">
        <v>145</v>
      </c>
      <c r="JE2" s="14" t="s">
        <v>109</v>
      </c>
      <c r="JF2" s="14" t="s">
        <v>107</v>
      </c>
      <c r="JG2" s="14" t="s">
        <v>144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109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104</v>
      </c>
      <c r="KE2" s="13" t="s">
        <v>143</v>
      </c>
      <c r="KF2" s="13" t="s">
        <v>21</v>
      </c>
      <c r="KG2" s="13" t="s">
        <v>81</v>
      </c>
      <c r="KH2" s="13" t="s">
        <v>142</v>
      </c>
      <c r="KI2" s="13" t="s">
        <v>22</v>
      </c>
      <c r="KJ2" s="13" t="s">
        <v>24</v>
      </c>
      <c r="KK2" s="13" t="s">
        <v>110</v>
      </c>
      <c r="KL2" s="13" t="s">
        <v>145</v>
      </c>
      <c r="KM2" s="13" t="s">
        <v>109</v>
      </c>
      <c r="KN2" s="13" t="s">
        <v>107</v>
      </c>
      <c r="KO2" s="13" t="s">
        <v>144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109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104</v>
      </c>
      <c r="LM2" s="14" t="s">
        <v>143</v>
      </c>
      <c r="LN2" s="14" t="s">
        <v>21</v>
      </c>
      <c r="LO2" s="14" t="s">
        <v>81</v>
      </c>
      <c r="LP2" s="14" t="s">
        <v>142</v>
      </c>
      <c r="LQ2" s="14" t="s">
        <v>22</v>
      </c>
      <c r="LR2" s="14" t="s">
        <v>24</v>
      </c>
      <c r="LS2" s="14" t="s">
        <v>110</v>
      </c>
      <c r="LT2" s="14" t="s">
        <v>145</v>
      </c>
      <c r="LU2" s="14" t="s">
        <v>109</v>
      </c>
      <c r="LV2" s="14" t="s">
        <v>107</v>
      </c>
      <c r="LW2" s="14" t="s">
        <v>144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109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104</v>
      </c>
      <c r="MU2" s="13" t="s">
        <v>143</v>
      </c>
      <c r="MV2" s="13" t="s">
        <v>21</v>
      </c>
      <c r="MW2" s="13" t="s">
        <v>81</v>
      </c>
      <c r="MX2" s="13" t="s">
        <v>142</v>
      </c>
      <c r="MY2" s="13" t="s">
        <v>22</v>
      </c>
      <c r="MZ2" s="13" t="s">
        <v>24</v>
      </c>
      <c r="NA2" s="13" t="s">
        <v>110</v>
      </c>
      <c r="NB2" s="13" t="s">
        <v>145</v>
      </c>
      <c r="NC2" s="13" t="s">
        <v>109</v>
      </c>
      <c r="ND2" s="13" t="s">
        <v>107</v>
      </c>
      <c r="NE2" s="13" t="s">
        <v>144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109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104</v>
      </c>
      <c r="OC2" s="14" t="s">
        <v>143</v>
      </c>
      <c r="OD2" s="14" t="s">
        <v>21</v>
      </c>
      <c r="OE2" s="14" t="s">
        <v>81</v>
      </c>
      <c r="OF2" s="14" t="s">
        <v>142</v>
      </c>
      <c r="OG2" s="14" t="s">
        <v>22</v>
      </c>
      <c r="OH2" s="14" t="s">
        <v>24</v>
      </c>
      <c r="OI2" s="14" t="s">
        <v>110</v>
      </c>
      <c r="OJ2" s="14" t="s">
        <v>145</v>
      </c>
      <c r="OK2" s="14" t="s">
        <v>109</v>
      </c>
      <c r="OL2" s="14" t="s">
        <v>107</v>
      </c>
      <c r="OM2" s="14" t="s">
        <v>144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109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104</v>
      </c>
      <c r="PK2" s="13" t="s">
        <v>143</v>
      </c>
      <c r="PL2" s="13" t="s">
        <v>21</v>
      </c>
      <c r="PM2" s="13" t="s">
        <v>81</v>
      </c>
      <c r="PN2" s="13" t="s">
        <v>142</v>
      </c>
      <c r="PO2" s="13" t="s">
        <v>22</v>
      </c>
      <c r="PP2" s="13" t="s">
        <v>24</v>
      </c>
      <c r="PQ2" s="13" t="s">
        <v>110</v>
      </c>
      <c r="PR2" s="13" t="s">
        <v>145</v>
      </c>
      <c r="PS2" s="13" t="s">
        <v>109</v>
      </c>
      <c r="PT2" s="13" t="s">
        <v>107</v>
      </c>
      <c r="PU2" s="13" t="s">
        <v>144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109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104</v>
      </c>
      <c r="QS2" s="14" t="s">
        <v>143</v>
      </c>
      <c r="QT2" s="14" t="s">
        <v>21</v>
      </c>
      <c r="QU2" s="14" t="s">
        <v>81</v>
      </c>
      <c r="QV2" s="14" t="s">
        <v>142</v>
      </c>
      <c r="QW2" s="14" t="s">
        <v>22</v>
      </c>
      <c r="QX2" s="14" t="s">
        <v>24</v>
      </c>
      <c r="QY2" s="14" t="s">
        <v>110</v>
      </c>
      <c r="QZ2" s="14" t="s">
        <v>145</v>
      </c>
      <c r="RA2" s="14" t="s">
        <v>109</v>
      </c>
      <c r="RB2" s="14" t="s">
        <v>107</v>
      </c>
      <c r="RC2" s="14" t="s">
        <v>144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109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104</v>
      </c>
      <c r="SA2" s="13" t="s">
        <v>143</v>
      </c>
      <c r="SB2" s="13" t="s">
        <v>21</v>
      </c>
      <c r="SC2" s="13" t="s">
        <v>81</v>
      </c>
      <c r="SD2" s="13" t="s">
        <v>142</v>
      </c>
      <c r="SE2" s="13" t="s">
        <v>22</v>
      </c>
      <c r="SF2" s="13" t="s">
        <v>24</v>
      </c>
      <c r="SG2" s="13" t="s">
        <v>110</v>
      </c>
      <c r="SH2" s="13" t="s">
        <v>145</v>
      </c>
      <c r="SI2" s="13" t="s">
        <v>109</v>
      </c>
      <c r="SJ2" s="13" t="s">
        <v>107</v>
      </c>
      <c r="SK2" s="13" t="s">
        <v>144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104</v>
      </c>
      <c r="TE2" s="14" t="s">
        <v>143</v>
      </c>
      <c r="TF2" s="14" t="s">
        <v>21</v>
      </c>
      <c r="TG2" s="14" t="s">
        <v>81</v>
      </c>
      <c r="TH2" s="14" t="s">
        <v>142</v>
      </c>
      <c r="TI2" s="14" t="s">
        <v>22</v>
      </c>
      <c r="TJ2" s="14" t="s">
        <v>24</v>
      </c>
      <c r="TK2" s="14" t="s">
        <v>107</v>
      </c>
      <c r="TL2" s="14" t="s">
        <v>144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141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141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141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141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141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141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141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141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141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141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141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141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141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141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141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141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141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141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141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141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141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141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141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141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141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141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141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141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141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141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141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141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141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141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141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141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141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141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141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141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141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141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141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141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141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141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141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141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141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141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141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141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141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141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141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141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141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141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141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141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99</v>
      </c>
      <c r="C4" s="4" t="s">
        <v>8</v>
      </c>
      <c r="D4" s="4" t="s">
        <v>98</v>
      </c>
      <c r="E4" s="9">
        <f t="shared" ref="E4:E15" si="0">SUM(J4,L4,N4)</f>
        <v>92.9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 t="shared" ref="K4:K15" si="5"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 t="shared" ref="M4:M15" si="6">IF(L4="","",IF(OR(L4=CK4,L4=CN4,L4=CR4),$BS$1,IF(OR(L4=BJ4,L4=BM4,L4=BQ4),$AR$1,IF(OR(L4=AI4,L4=AL4,L4=AP4),$Q$1,""))))</f>
        <v>2023 Elite Canada</v>
      </c>
      <c r="N4" s="8">
        <f t="shared" ref="N4:N15" si="7">IF(MAX(CT4,CU4)&gt;0,MAX(CT4,CU4),"")</f>
        <v>38.549999999999997</v>
      </c>
      <c r="O4" s="11" t="str">
        <f t="shared" ref="O4:O15" si="8">IF(N4="","",IF(N4=CT4,"("&amp;CT$2&amp;")",IF(N4=CU4,"("&amp;CU$2&amp;")")))</f>
        <v>(Prelim)</v>
      </c>
      <c r="P4" s="8" t="str">
        <f t="shared" ref="P4:P15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 t="shared" ref="AG4:AG15" si="10">IF(S4&gt;0,S4,"")</f>
        <v>12</v>
      </c>
      <c r="AH4" s="39">
        <f t="shared" ref="AH4:AH15" si="11">IF(T4&gt;0,T4,"")</f>
        <v>15.16</v>
      </c>
      <c r="AI4" s="41">
        <f t="shared" ref="AI4:AI15" si="12">IF(SUM(Q4:T4)-U4&gt;0,SUM(Q4:T4)-U4,"")</f>
        <v>45.21</v>
      </c>
      <c r="AJ4" s="41">
        <f t="shared" ref="AJ4:AJ15" si="13">IF(X4&gt;0,X4,"")</f>
        <v>2.9</v>
      </c>
      <c r="AK4" s="41">
        <f t="shared" ref="AK4:AK15" si="14">IF(Y4&gt;0,Y4,"")</f>
        <v>2.54</v>
      </c>
      <c r="AL4" s="41">
        <f t="shared" ref="AL4:AL15" si="15">IF(SUM(V4:Y4)-Z4&gt;0,SUM(V4:Y4)-Z4,"")</f>
        <v>9.14</v>
      </c>
      <c r="AM4" s="41">
        <f t="shared" ref="AM4:AM15" si="16">IF(AI4="","",MAX(AI4,AL4))</f>
        <v>45.21</v>
      </c>
      <c r="AN4" s="41">
        <f t="shared" ref="AN4:AN15" si="17">IF(AC4&gt;0,AC4,"")</f>
        <v>1.5</v>
      </c>
      <c r="AO4" s="41">
        <f t="shared" ref="AO4:AO15" si="18">IF(AD4&gt;0,AD4,"")</f>
        <v>1.4</v>
      </c>
      <c r="AP4" s="41">
        <f t="shared" ref="AP4:AP15" si="19">IF(SUM(AA4:AD4)-AE4&gt;0,SUM(AA4:AD4)-AE4,"")</f>
        <v>4.6999999999999993</v>
      </c>
      <c r="AQ4" s="41">
        <f t="shared" ref="AQ4:AQ15" si="20"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15" si="21">IF(AT4&gt;0,AT4,"")</f>
        <v/>
      </c>
      <c r="BI4" s="40" t="str">
        <f t="shared" ref="BI4:BI15" si="22">IF(AU4&gt;0,AU4,"")</f>
        <v/>
      </c>
      <c r="BJ4" s="11" t="str">
        <f t="shared" ref="BJ4:BJ15" si="23">IF(SUM(AR4:AU4)-AV4&gt;0,SUM(AR4:AU4)-AV4,"")</f>
        <v/>
      </c>
      <c r="BK4" s="11" t="str">
        <f t="shared" ref="BK4:BK15" si="24">IF(AY4&gt;0,AY4,"")</f>
        <v/>
      </c>
      <c r="BL4" s="11" t="str">
        <f t="shared" ref="BL4:BL15" si="25">IF(AZ4&gt;0,AZ4,"")</f>
        <v/>
      </c>
      <c r="BM4" s="11" t="str">
        <f t="shared" ref="BM4:BM15" si="26">IF(SUM(AW4:AZ4)-BA4&gt;0,SUM(AW4:AZ4)-BA4,"")</f>
        <v/>
      </c>
      <c r="BN4" s="11" t="str">
        <f t="shared" ref="BN4:BN15" si="27">IF(BJ4="","",MAX(BJ4,BM4))</f>
        <v/>
      </c>
      <c r="BO4" s="11" t="str">
        <f t="shared" ref="BO4:BO15" si="28">IF(BD4&gt;0,BD4,"")</f>
        <v/>
      </c>
      <c r="BP4" s="11" t="str">
        <f t="shared" ref="BP4:BP15" si="29">IF(BE4&gt;0,BE4,"")</f>
        <v/>
      </c>
      <c r="BQ4" s="11" t="str">
        <f t="shared" ref="BQ4:BQ15" si="30">IF(SUM(BB4:BE4)-BF4&gt;0,SUM(BB4:BE4)-BF4,"")</f>
        <v/>
      </c>
      <c r="BR4" s="11" t="str">
        <f t="shared" ref="BR4:BR15" si="31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15" si="32">IF(BU4&gt;0,BU4,"")</f>
        <v/>
      </c>
      <c r="CJ4" s="39" t="str">
        <f t="shared" ref="CJ4:CJ15" si="33">IF(BV4&gt;0,BV4,"")</f>
        <v/>
      </c>
      <c r="CK4" s="41" t="str">
        <f t="shared" ref="CK4:CK15" si="34">IF(SUM(BS4:BV4)-BW4&gt;0,SUM(BS4:BV4)-BW4,"")</f>
        <v/>
      </c>
      <c r="CL4" s="41" t="str">
        <f t="shared" ref="CL4:CL15" si="35">IF(BZ4&gt;0,BZ4,"")</f>
        <v/>
      </c>
      <c r="CM4" s="41" t="str">
        <f t="shared" ref="CM4:CM15" si="36">IF(CA4&gt;0,CA4,"")</f>
        <v/>
      </c>
      <c r="CN4" s="41" t="str">
        <f t="shared" ref="CN4:CN15" si="37">IF(SUM(BX4:CA4)-CB4&gt;0,SUM(BX4:CA4)-CB4,"")</f>
        <v/>
      </c>
      <c r="CO4" s="41" t="str">
        <f t="shared" ref="CO4:CO15" si="38">IF(CK4="","",MAX(CK4,CN4))</f>
        <v/>
      </c>
      <c r="CP4" s="41" t="str">
        <f t="shared" ref="CP4:CP15" si="39">IF(CE4&gt;0,CE4,"")</f>
        <v/>
      </c>
      <c r="CQ4" s="41" t="str">
        <f t="shared" ref="CQ4:CQ15" si="40">IF(CF4&gt;0,CF4,"")</f>
        <v/>
      </c>
      <c r="CR4" s="41" t="str">
        <f t="shared" ref="CR4:CR15" si="41">IF(SUM(CC4:CF4)-CG4&gt;0,SUM(CC4:CF4)-CG4,"")</f>
        <v/>
      </c>
      <c r="CS4" s="41" t="str">
        <f t="shared" ref="CS4:CS15" si="42">IF(SUM(CO4,CR4)&gt;0,SUM(CO4,CR4),"")</f>
        <v/>
      </c>
      <c r="CT4" s="52">
        <f t="shared" ref="CT4:CT15" si="43">IF(MAX(DV4,FD4,GL4,HT4,JB4,KJ4,LR4,MZ4,OH4,PP4,QX4,SF4)-IF(L4="",0,L4)&gt;0.001,MAX(DV4,FD4,GL4,HT4,JB4,KJ4,LR4,MZ4,OH4,PP4,QX4,SF4)-IF(L4="",0,L4),"")</f>
        <v>38.549999999999997</v>
      </c>
      <c r="CU4" s="52" t="str">
        <f t="shared" ref="CU4:CU15" si="44"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15" si="45">IF(CX4&gt;0,CX4,"")</f>
        <v/>
      </c>
      <c r="DQ4" s="41" t="str">
        <f t="shared" ref="DQ4:DQ15" si="46">IF(CY4&gt;0,CY4,"")</f>
        <v/>
      </c>
      <c r="DR4" s="41" t="str">
        <f t="shared" ref="DR4:DR15" si="47">IF(SUM(CV4:CY4)-CZ4&gt;0,SUM(CV4:CY4)-CZ4,"")</f>
        <v/>
      </c>
      <c r="DS4" s="41" t="str">
        <f t="shared" ref="DS4:DS15" si="48">IF(DC4&gt;0,DC4,"")</f>
        <v/>
      </c>
      <c r="DT4" s="41" t="str">
        <f t="shared" ref="DT4:DT15" si="49">IF(DD4&gt;0,DD4,"")</f>
        <v/>
      </c>
      <c r="DU4" s="41" t="str">
        <f t="shared" ref="DU4:DU15" si="50">IF(SUM(DA4:DD4)-DE4&gt;0,SUM(DA4:DD4)-DE4,"")</f>
        <v/>
      </c>
      <c r="DV4" s="41" t="str">
        <f t="shared" ref="DV4:DV15" si="51">IF(MAX(DR4,DU4)&gt;0,MAX(DR4,DU4),"")</f>
        <v/>
      </c>
      <c r="DW4" s="41" t="str">
        <f t="shared" ref="DW4:DW15" si="52">IF(DH4&gt;0,DH4,"")</f>
        <v/>
      </c>
      <c r="DX4" s="41" t="str">
        <f t="shared" ref="DX4:DX15" si="53">IF(DI4&gt;0,DI4,"")</f>
        <v/>
      </c>
      <c r="DY4" s="41" t="str">
        <f t="shared" ref="DY4:DY15" si="54">IF(SUM(DF4:DI4)-DJ4&gt;0,SUM(DF4:DI4)-DJ4,"")</f>
        <v/>
      </c>
      <c r="DZ4" s="41" t="str">
        <f t="shared" ref="DZ4:DZ15" si="55">IF(DM4&gt;0,DM4,"")</f>
        <v/>
      </c>
      <c r="EA4" s="41" t="str">
        <f t="shared" ref="EA4:EA15" si="56">IF(DN4&gt;0,DN4,"")</f>
        <v/>
      </c>
      <c r="EB4" s="41" t="str">
        <f t="shared" ref="EB4:EB15" si="57">IF(SUM(DK4:DN4)-DO4&gt;0,SUM(DK4:DN4)-DO4,"")</f>
        <v/>
      </c>
      <c r="EC4" s="41" t="str">
        <f t="shared" ref="EC4:EC15" si="58">IF(SUM(DV4,DY4,EB4)&gt;0,SUM(DV4,DY4,EB4),"")</f>
        <v/>
      </c>
      <c r="ED4" s="18">
        <v>8.5500000000000007</v>
      </c>
      <c r="EE4" s="18">
        <v>9.35</v>
      </c>
      <c r="EF4" s="18">
        <v>11.8</v>
      </c>
      <c r="EG4" s="18">
        <v>17.66</v>
      </c>
      <c r="EH4" s="18">
        <v>0</v>
      </c>
      <c r="EI4" s="18">
        <v>8.35</v>
      </c>
      <c r="EJ4" s="18">
        <v>9.6</v>
      </c>
      <c r="EK4" s="18">
        <v>11.8</v>
      </c>
      <c r="EL4" s="18">
        <v>17</v>
      </c>
      <c r="EM4" s="18">
        <v>0.6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 t="shared" ref="EX4:EX15" si="59">IF(EF4&gt;0,EF4,"")</f>
        <v>11.8</v>
      </c>
      <c r="EY4" s="11">
        <f t="shared" ref="EY4:EY15" si="60">IF(EG4&gt;0,EG4,"")</f>
        <v>17.66</v>
      </c>
      <c r="EZ4" s="11">
        <f t="shared" ref="EZ4:EZ15" si="61">IF(SUM(ED4:EG4)-EH4&gt;0,SUM(ED4:EG4)-EH4,"")</f>
        <v>47.36</v>
      </c>
      <c r="FA4" s="11">
        <f t="shared" ref="FA4:FA15" si="62">IF(EK4&gt;0,EK4,"")</f>
        <v>11.8</v>
      </c>
      <c r="FB4" s="11">
        <f t="shared" ref="FB4:FB15" si="63">IF(EL4&gt;0,EL4,"")</f>
        <v>17</v>
      </c>
      <c r="FC4" s="11">
        <f t="shared" ref="FC4:FC15" si="64">IF(SUM(EI4:EL4)-EM4&gt;0,SUM(EI4:EL4)-EM4,"")</f>
        <v>46.15</v>
      </c>
      <c r="FD4" s="11">
        <f t="shared" ref="FD4:FD15" si="65">IF(MAX(EZ4,FC4)&gt;0,MAX(EZ4,FC4),"")</f>
        <v>47.36</v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 t="str">
        <f t="shared" ref="FH4:FH15" si="69">IF(EU4&gt;0,EU4,"")</f>
        <v/>
      </c>
      <c r="FI4" s="11" t="str">
        <f t="shared" ref="FI4:FI15" si="70">IF(EV4&gt;0,EV4,"")</f>
        <v/>
      </c>
      <c r="FJ4" s="11" t="str">
        <f t="shared" ref="FJ4:FJ15" si="71">IF(SUM(ES4:EV4)-EW4&gt;0,SUM(ES4:EV4)-EW4,"")</f>
        <v/>
      </c>
      <c r="FK4" s="11">
        <f t="shared" ref="FK4:FK15" si="72">IF(SUM(FD4,FG4,FJ4)&gt;0,SUM(FD4,FG4,FJ4),"")</f>
        <v>47.36</v>
      </c>
      <c r="FL4" s="17">
        <v>8.1</v>
      </c>
      <c r="FM4" s="17">
        <v>9</v>
      </c>
      <c r="FN4" s="17">
        <v>11.8</v>
      </c>
      <c r="FO4" s="17">
        <v>15.96</v>
      </c>
      <c r="FP4" s="17">
        <v>0</v>
      </c>
      <c r="FQ4" s="17">
        <v>7.9</v>
      </c>
      <c r="FR4" s="17">
        <v>9.1</v>
      </c>
      <c r="FS4" s="17">
        <v>11.8</v>
      </c>
      <c r="FT4" s="17">
        <v>16.2</v>
      </c>
      <c r="FU4" s="17">
        <v>0.2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 t="shared" ref="GF4:GF15" si="73">IF(FN4&gt;0,FN4,"")</f>
        <v>11.8</v>
      </c>
      <c r="GG4" s="41">
        <f t="shared" ref="GG4:GG15" si="74">IF(FO4&gt;0,FO4,"")</f>
        <v>15.96</v>
      </c>
      <c r="GH4" s="41">
        <f t="shared" ref="GH4:GH15" si="75">IF(SUM(FL4:FO4)-FP4&gt;0,SUM(FL4:FO4)-FP4,"")</f>
        <v>44.86</v>
      </c>
      <c r="GI4" s="41">
        <f t="shared" ref="GI4:GI15" si="76">IF(FS4&gt;0,FS4,"")</f>
        <v>11.8</v>
      </c>
      <c r="GJ4" s="41">
        <f t="shared" ref="GJ4:GJ15" si="77">IF(FT4&gt;0,FT4,"")</f>
        <v>16.2</v>
      </c>
      <c r="GK4" s="41">
        <f t="shared" ref="GK4:GK15" si="78">IF(SUM(FQ4:FT4)-FU4&gt;0,SUM(FQ4:FT4)-FU4,"")</f>
        <v>44.8</v>
      </c>
      <c r="GL4" s="41">
        <f t="shared" ref="GL4:GL15" si="79">IF(MAX(GH4,GK4)&gt;0,MAX(GH4,GK4),"")</f>
        <v>44.86</v>
      </c>
      <c r="GM4" s="41" t="str">
        <f t="shared" ref="GM4:GM15" si="80">IF(FX4&gt;0,FX4,"")</f>
        <v/>
      </c>
      <c r="GN4" s="41" t="str">
        <f t="shared" ref="GN4:GN15" si="81">IF(FY4&gt;0,FY4,"")</f>
        <v/>
      </c>
      <c r="GO4" s="41" t="str">
        <f t="shared" ref="GO4:GO15" si="82">IF(SUM(FV4:FY4)-FZ4&gt;0,SUM(FV4:FY4)-FZ4,"")</f>
        <v/>
      </c>
      <c r="GP4" s="41" t="str">
        <f t="shared" ref="GP4:GP15" si="83">IF(GC4&gt;0,GC4,"")</f>
        <v/>
      </c>
      <c r="GQ4" s="41" t="str">
        <f t="shared" ref="GQ4:GQ15" si="84">IF(GD4&gt;0,GD4,"")</f>
        <v/>
      </c>
      <c r="GR4" s="41" t="str">
        <f t="shared" ref="GR4:GR15" si="85">IF(SUM(GA4:GD4)-GE4&gt;0,SUM(GA4:GD4)-GE4,"")</f>
        <v/>
      </c>
      <c r="GS4" s="41">
        <f t="shared" ref="GS4:GS15" si="86">IF(SUM(GL4,GO4,GR4)&gt;0,SUM(GL4,GO4,GR4),"")</f>
        <v>44.86</v>
      </c>
      <c r="GT4" s="18">
        <v>8.4</v>
      </c>
      <c r="GU4" s="18">
        <v>9.35</v>
      </c>
      <c r="GV4" s="18">
        <v>11.8</v>
      </c>
      <c r="GW4" s="18">
        <v>18.14</v>
      </c>
      <c r="GX4" s="18">
        <v>0</v>
      </c>
      <c r="GY4" s="18">
        <v>8.1999999999999993</v>
      </c>
      <c r="GZ4" s="18">
        <v>8.8000000000000007</v>
      </c>
      <c r="HA4" s="18">
        <v>11.8</v>
      </c>
      <c r="HB4" s="18">
        <v>15.74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N15" si="87">IF(GV4&gt;0,GV4,"")</f>
        <v>11.8</v>
      </c>
      <c r="HO4" s="11">
        <f t="shared" ref="HO4:HO15" si="88">IF(GW4&gt;0,GW4,"")</f>
        <v>18.14</v>
      </c>
      <c r="HP4" s="11">
        <f t="shared" ref="HP4:HP15" si="89">IF(SUM(GT4:GW4)-GX4&gt;0,SUM(GT4:GW4)-GX4,"")</f>
        <v>47.69</v>
      </c>
      <c r="HQ4" s="11">
        <f t="shared" ref="HQ4:HQ15" si="90">IF(HA4&gt;0,HA4,"")</f>
        <v>11.8</v>
      </c>
      <c r="HR4" s="11">
        <f t="shared" ref="HR4:HR15" si="91">IF(HB4&gt;0,HB4,"")</f>
        <v>15.74</v>
      </c>
      <c r="HS4" s="11">
        <f t="shared" ref="HS4:HS15" si="92">IF(SUM(GY4:HB4)-HC4&gt;0,SUM(GY4:HB4)-HC4,"")</f>
        <v>44.54</v>
      </c>
      <c r="HT4" s="11">
        <f t="shared" ref="HT4:HT15" si="93">IF(MAX(HP4,HS4)&gt;0,MAX(HP4,HS4),"")</f>
        <v>47.69</v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>
        <f t="shared" ref="IA4:IA15" si="100">IF(SUM(HT4,HW4,HZ4)&gt;0,SUM(HT4,HW4,HZ4),"")</f>
        <v>47.69</v>
      </c>
      <c r="IB4" s="17">
        <v>0.75</v>
      </c>
      <c r="IC4" s="17">
        <v>0.95</v>
      </c>
      <c r="ID4" s="17">
        <v>1.5</v>
      </c>
      <c r="IE4" s="17">
        <v>1.68</v>
      </c>
      <c r="IF4" s="17">
        <v>0</v>
      </c>
      <c r="IG4" s="17">
        <v>7.85</v>
      </c>
      <c r="IH4" s="17">
        <v>9.1999999999999993</v>
      </c>
      <c r="II4" s="17">
        <v>11.8</v>
      </c>
      <c r="IJ4" s="17">
        <v>16.02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>
        <f t="shared" ref="IV4:IV15" si="101">IF(ID4&gt;0,ID4,"")</f>
        <v>1.5</v>
      </c>
      <c r="IW4" s="41">
        <f t="shared" ref="IW4:IW15" si="102">IF(IE4&gt;0,IE4,"")</f>
        <v>1.68</v>
      </c>
      <c r="IX4" s="41">
        <f t="shared" ref="IX4:IX15" si="103">IF(SUM(IB4:IE4)-IF4&gt;0,SUM(IB4:IE4)-IF4,"")</f>
        <v>4.88</v>
      </c>
      <c r="IY4" s="41">
        <f t="shared" ref="IY4:IY15" si="104">IF(II4&gt;0,II4,"")</f>
        <v>11.8</v>
      </c>
      <c r="IZ4" s="41">
        <f t="shared" ref="IZ4:IZ15" si="105">IF(IJ4&gt;0,IJ4,"")</f>
        <v>16.02</v>
      </c>
      <c r="JA4" s="41">
        <f t="shared" ref="JA4:JA15" si="106">IF(SUM(IG4:IJ4)-IK4&gt;0,SUM(IG4:IJ4)-IK4,"")</f>
        <v>44.87</v>
      </c>
      <c r="JB4" s="41">
        <f t="shared" ref="JB4:JB15" si="107">IF(MAX(IX4,JA4)&gt;0,MAX(IX4,JA4),"")</f>
        <v>44.87</v>
      </c>
      <c r="JC4" s="41" t="str">
        <f t="shared" ref="JC4:JC15" si="108">IF(IN4&gt;0,IN4,"")</f>
        <v/>
      </c>
      <c r="JD4" s="41" t="str">
        <f t="shared" ref="JD4:JD15" si="109">IF(IO4&gt;0,IO4,"")</f>
        <v/>
      </c>
      <c r="JE4" s="41" t="str">
        <f t="shared" ref="JE4:JE15" si="110">IF(SUM(IL4:IO4)-IP4&gt;0,SUM(IL4:IO4)-IP4,"")</f>
        <v/>
      </c>
      <c r="JF4" s="41" t="str">
        <f t="shared" ref="JF4:JF15" si="111">IF(IS4&gt;0,IS4,"")</f>
        <v/>
      </c>
      <c r="JG4" s="41" t="str">
        <f t="shared" ref="JG4:JG15" si="112">IF(IT4&gt;0,IT4,"")</f>
        <v/>
      </c>
      <c r="JH4" s="41" t="str">
        <f t="shared" ref="JH4:JH15" si="113">IF(SUM(IQ4:IT4)-IU4&gt;0,SUM(IQ4:IT4)-IU4,"")</f>
        <v/>
      </c>
      <c r="JI4" s="41">
        <f t="shared" ref="JI4:JI15" si="114">IF(SUM(JB4,JE4,JH4)&gt;0,SUM(JB4,JE4,JH4),"")</f>
        <v>44.87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5" si="115">IF(JL4&gt;0,JL4,"")</f>
        <v/>
      </c>
      <c r="KE4" s="11" t="str">
        <f t="shared" ref="KE4:KE15" si="116">IF(JM4&gt;0,JM4,"")</f>
        <v/>
      </c>
      <c r="KF4" s="11" t="str">
        <f t="shared" ref="KF4:KF15" si="117">IF(SUM(JJ4:JM4)-JN4&gt;0,SUM(JJ4:JM4)-JN4,"")</f>
        <v/>
      </c>
      <c r="KG4" s="11" t="str">
        <f t="shared" ref="KG4:KG15" si="118">IF(JQ4&gt;0,JQ4,"")</f>
        <v/>
      </c>
      <c r="KH4" s="11" t="str">
        <f t="shared" ref="KH4:KH15" si="119">IF(JR4&gt;0,JR4,"")</f>
        <v/>
      </c>
      <c r="KI4" s="11" t="str">
        <f t="shared" ref="KI4:KI15" si="120">IF(SUM(JO4:JR4)-JS4&gt;0,SUM(JO4:JR4)-JS4,"")</f>
        <v/>
      </c>
      <c r="KJ4" s="11" t="str">
        <f t="shared" ref="KJ4:KJ15" si="121">IF(MAX(KF4,KI4)&gt;0,MAX(KF4,KI4),"")</f>
        <v/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 t="str">
        <f t="shared" ref="KQ4:KQ15" si="128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L15" si="129">IF(KT4&gt;0,KT4,"")</f>
        <v/>
      </c>
      <c r="LM4" s="41" t="str">
        <f t="shared" ref="LM4:LM15" si="130">IF(KU4&gt;0,KU4,"")</f>
        <v/>
      </c>
      <c r="LN4" s="41" t="str">
        <f t="shared" ref="LN4:LN15" si="131">IF(SUM(KR4:KU4)-KV4&gt;0,SUM(KR4:KU4)-KV4,"")</f>
        <v/>
      </c>
      <c r="LO4" s="41" t="str">
        <f t="shared" ref="LO4:LO15" si="132">IF(KY4&gt;0,KY4,"")</f>
        <v/>
      </c>
      <c r="LP4" s="41" t="str">
        <f t="shared" ref="LP4:LP15" si="133">IF(KZ4&gt;0,KZ4,"")</f>
        <v/>
      </c>
      <c r="LQ4" s="41" t="str">
        <f t="shared" ref="LQ4:LQ15" si="134">IF(SUM(KW4:KZ4)-LA4&gt;0,SUM(KW4:KZ4)-LA4,"")</f>
        <v/>
      </c>
      <c r="LR4" s="41" t="str">
        <f t="shared" ref="LR4:LR15" si="135">IF(MAX(LN4,LQ4)&gt;0,MAX(LN4,LQ4),"")</f>
        <v/>
      </c>
      <c r="LS4" s="41" t="str">
        <f t="shared" ref="LS4:LS15" si="136">IF(LD4&gt;0,LD4,"")</f>
        <v/>
      </c>
      <c r="LT4" s="41" t="str">
        <f t="shared" ref="LT4:LT15" si="137">IF(LE4&gt;0,LE4,"")</f>
        <v/>
      </c>
      <c r="LU4" s="41" t="str">
        <f t="shared" ref="LU4:LU15" si="138">IF(SUM(LB4:LE4)-LF4&gt;0,SUM(LB4:LE4)-LF4,"")</f>
        <v/>
      </c>
      <c r="LV4" s="41" t="str">
        <f t="shared" ref="LV4:LV15" si="139">IF(LI4&gt;0,LI4,"")</f>
        <v/>
      </c>
      <c r="LW4" s="41" t="str">
        <f t="shared" ref="LW4:LW15" si="140">IF(LJ4&gt;0,LJ4,"")</f>
        <v/>
      </c>
      <c r="LX4" s="41" t="str">
        <f t="shared" ref="LX4:LX15" si="141">IF(SUM(LG4:LJ4)-LK4&gt;0,SUM(LG4:LJ4)-LK4,"")</f>
        <v/>
      </c>
      <c r="LY4" s="41" t="str">
        <f t="shared" ref="LY4:LY15" si="142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5" si="143">IF(MB4&gt;0,MB4,"")</f>
        <v/>
      </c>
      <c r="MU4" s="11" t="str">
        <f t="shared" ref="MU4:MU15" si="144">IF(MC4&gt;0,MC4,"")</f>
        <v/>
      </c>
      <c r="MV4" s="11" t="str">
        <f t="shared" ref="MV4:MV15" si="145">IF(SUM(LZ4:MC4)-MD4&gt;0,SUM(LZ4:MC4)-MD4,"")</f>
        <v/>
      </c>
      <c r="MW4" s="11" t="str">
        <f t="shared" ref="MW4:MW15" si="146">IF(MG4&gt;0,MG4,"")</f>
        <v/>
      </c>
      <c r="MX4" s="11" t="str">
        <f t="shared" ref="MX4:MX15" si="147">IF(MH4&gt;0,MH4,"")</f>
        <v/>
      </c>
      <c r="MY4" s="11" t="str">
        <f t="shared" ref="MY4:MY15" si="148">IF(SUM(ME4:MH4)-MI4&gt;0,SUM(ME4:MH4)-MI4,"")</f>
        <v/>
      </c>
      <c r="MZ4" s="11" t="str">
        <f t="shared" ref="MZ4:MZ15" si="149">IF(MAX(MV4,MY4)&gt;0,MAX(MV4,MY4),"")</f>
        <v/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 t="str">
        <f t="shared" ref="ND4:ND15" si="153">IF(MQ4&gt;0,MQ4,"")</f>
        <v/>
      </c>
      <c r="NE4" s="11" t="str">
        <f t="shared" ref="NE4:NE15" si="154">IF(MR4&gt;0,MR4,"")</f>
        <v/>
      </c>
      <c r="NF4" s="11" t="str">
        <f t="shared" ref="NF4:NF15" si="155">IF(SUM(MO4:MR4)-MS4&gt;0,SUM(MO4:MR4)-MS4,"")</f>
        <v/>
      </c>
      <c r="NG4" s="11" t="str">
        <f t="shared" ref="NG4:NG15" si="156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5" si="157">IF(NJ4&gt;0,NJ4,"")</f>
        <v/>
      </c>
      <c r="OC4" s="41" t="str">
        <f t="shared" ref="OC4:OC15" si="158">IF(NK4&gt;0,NK4,"")</f>
        <v/>
      </c>
      <c r="OD4" s="41" t="str">
        <f t="shared" ref="OD4:OD15" si="159">IF(SUM(NH4:NK4)-NL4&gt;0,SUM(NH4:NK4)-NL4,"")</f>
        <v/>
      </c>
      <c r="OE4" s="41" t="str">
        <f t="shared" ref="OE4:OE15" si="160">IF(NO4&gt;0,NO4,"")</f>
        <v/>
      </c>
      <c r="OF4" s="41" t="str">
        <f t="shared" ref="OF4:OF15" si="161">IF(NP4&gt;0,NP4,"")</f>
        <v/>
      </c>
      <c r="OG4" s="41" t="str">
        <f t="shared" ref="OG4:OG15" si="162">IF(SUM(NM4:NP4)-NQ4&gt;0,SUM(NM4:NP4)-NQ4,"")</f>
        <v/>
      </c>
      <c r="OH4" s="41" t="str">
        <f t="shared" ref="OH4:OH15" si="163">IF(MAX(OD4,OG4)&gt;0,MAX(OD4,OG4),"")</f>
        <v/>
      </c>
      <c r="OI4" s="41" t="str">
        <f t="shared" ref="OI4:OI15" si="164">IF(NT4&gt;0,NT4,"")</f>
        <v/>
      </c>
      <c r="OJ4" s="41" t="str">
        <f t="shared" ref="OJ4:OJ15" si="165">IF(NU4&gt;0,NU4,"")</f>
        <v/>
      </c>
      <c r="OK4" s="41" t="str">
        <f t="shared" ref="OK4:OK15" si="166">IF(SUM(NR4:NU4)-NV4&gt;0,SUM(NR4:NU4)-NV4,"")</f>
        <v/>
      </c>
      <c r="OL4" s="41" t="str">
        <f t="shared" ref="OL4:OL15" si="167">IF(NY4&gt;0,NY4,"")</f>
        <v/>
      </c>
      <c r="OM4" s="41" t="str">
        <f t="shared" ref="OM4:OM15" si="168">IF(NZ4&gt;0,NZ4,"")</f>
        <v/>
      </c>
      <c r="ON4" s="41" t="str">
        <f t="shared" ref="ON4:ON15" si="169">IF(SUM(NW4:NZ4)-OA4&gt;0,SUM(NW4:NZ4)-OA4,"")</f>
        <v/>
      </c>
      <c r="OO4" s="41" t="str">
        <f t="shared" ref="OO4:OO15" si="170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15" si="185">IF(PZ4&gt;0,PZ4,"")</f>
        <v/>
      </c>
      <c r="QS4" s="41" t="str">
        <f t="shared" ref="QS4:QS15" si="186">IF(QA4&gt;0,QA4,"")</f>
        <v/>
      </c>
      <c r="QT4" s="41" t="str">
        <f t="shared" ref="QT4:QT15" si="187">IF(SUM(PX4:QA4)-QB4&gt;0,SUM(PX4:QA4)-QB4,"")</f>
        <v/>
      </c>
      <c r="QU4" s="41" t="str">
        <f t="shared" ref="QU4:QU15" si="188">IF(QE4&gt;0,QE4,"")</f>
        <v/>
      </c>
      <c r="QV4" s="41" t="str">
        <f t="shared" ref="QV4:QV15" si="189">IF(QF4&gt;0,QF4,"")</f>
        <v/>
      </c>
      <c r="QW4" s="41" t="str">
        <f t="shared" ref="QW4:QW15" si="190">IF(SUM(QC4:QF4)-QG4&gt;0,SUM(QC4:QF4)-QG4,"")</f>
        <v/>
      </c>
      <c r="QX4" s="41" t="str">
        <f t="shared" ref="QX4:QX15" si="191">IF(MAX(QT4,QW4)&gt;0,MAX(QT4,QW4),"")</f>
        <v/>
      </c>
      <c r="QY4" s="41" t="str">
        <f t="shared" ref="QY4:QY15" si="192">IF(QJ4&gt;0,QJ4,"")</f>
        <v/>
      </c>
      <c r="QZ4" s="41" t="str">
        <f t="shared" ref="QZ4:QZ15" si="193">IF(QK4&gt;0,QK4,"")</f>
        <v/>
      </c>
      <c r="RA4" s="41" t="str">
        <f t="shared" ref="RA4:RA15" si="194">IF(SUM(QH4:QK4)-QL4&gt;0,SUM(QH4:QK4)-QL4,"")</f>
        <v/>
      </c>
      <c r="RB4" s="41" t="str">
        <f t="shared" ref="RB4:RB15" si="195">IF(QO4&gt;0,QO4,"")</f>
        <v/>
      </c>
      <c r="RC4" s="41" t="str">
        <f t="shared" ref="RC4:RC15" si="196">IF(QP4&gt;0,QP4,"")</f>
        <v/>
      </c>
      <c r="RD4" s="41" t="str">
        <f t="shared" ref="RD4:RD15" si="197">IF(SUM(QM4:QP4)-QQ4&gt;0,SUM(QM4:QP4)-QQ4,"")</f>
        <v/>
      </c>
      <c r="RE4" s="41" t="str">
        <f t="shared" ref="RE4:RE15" si="198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IF(SUM(SF4,SI4,SL4)&gt;0,SUM(SF4,SI4,SL4),"")</f>
        <v/>
      </c>
      <c r="SN4" s="23">
        <f t="shared" ref="SN4:SN15" si="213">IF($CH4="P",BS4,(BS4+AR4)/2)</f>
        <v>0</v>
      </c>
      <c r="SO4" s="23">
        <f t="shared" ref="SO4:SO15" si="214">IF($CH4="P",BT4,(BT4+AS4)/2)</f>
        <v>0</v>
      </c>
      <c r="SP4" s="23">
        <f t="shared" ref="SP4:SP15" si="215">IF($CH4="P",BU4,(BU4+AT4)/2)</f>
        <v>0</v>
      </c>
      <c r="SQ4" s="23">
        <f t="shared" ref="SQ4:SQ15" si="216">IF($CH4="P",BV4,(BV4+AU4)/2)</f>
        <v>0</v>
      </c>
      <c r="SR4" s="23">
        <f t="shared" ref="SR4:SR15" si="217">IF($CH4="P",BW4,(BW4+AV4)/2)</f>
        <v>0</v>
      </c>
      <c r="SS4" s="23">
        <f t="shared" ref="SS4:SS15" si="218">IF($CH4="P",BX4,(BX4+AW4)/2)</f>
        <v>0</v>
      </c>
      <c r="ST4" s="23">
        <f t="shared" ref="ST4:ST15" si="219">IF($CH4="P",BY4,(BY4+AX4)/2)</f>
        <v>0</v>
      </c>
      <c r="SU4" s="23">
        <f t="shared" ref="SU4:SU15" si="220">IF($CH4="P",BZ4,(BZ4+AY4)/2)</f>
        <v>0</v>
      </c>
      <c r="SV4" s="23">
        <f t="shared" ref="SV4:SV15" si="221">IF($CH4="P",CA4,(CA4+AZ4)/2)</f>
        <v>0</v>
      </c>
      <c r="SW4" s="23">
        <f t="shared" ref="SW4:SW15" si="222">IF($CH4="P",CB4,(CB4+BA4)/2)</f>
        <v>0</v>
      </c>
      <c r="SX4" s="23">
        <f t="shared" ref="SX4:SX15" si="223">IF($CH4="P",CC4,(CC4+BB4)/2)</f>
        <v>0</v>
      </c>
      <c r="SY4" s="23">
        <f t="shared" ref="SY4:SY15" si="224">IF($CH4="P",CD4,(CD4+BC4)/2)</f>
        <v>0</v>
      </c>
      <c r="SZ4" s="23">
        <f t="shared" ref="SZ4:SZ15" si="225">IF($CH4="P",CE4,(CE4+BD4)/2)</f>
        <v>0</v>
      </c>
      <c r="TA4" s="23">
        <f t="shared" ref="TA4:TA15" si="226">IF($CH4="P",CF4,(CF4+BE4)/2)</f>
        <v>0</v>
      </c>
      <c r="TB4" s="23">
        <f t="shared" ref="TB4:TB15" si="227">IF($CH4="P",CG4,(CG4+BF4)/2)</f>
        <v>0</v>
      </c>
      <c r="TC4" s="28" t="s">
        <v>57</v>
      </c>
      <c r="TD4" s="41" t="str">
        <f t="shared" ref="TD4:TD15" si="228">IF(SP4&gt;0,SP4,"")</f>
        <v/>
      </c>
      <c r="TE4" s="41" t="str">
        <f t="shared" ref="TE4:TE15" si="229">IF(SQ4&gt;0,SQ4,"")</f>
        <v/>
      </c>
      <c r="TF4" s="41" t="str">
        <f t="shared" ref="TF4:TF15" si="230">IF(SUM(SN4:SQ4)-SR4&gt;0,SUM(SN4:SQ4)-SR4,"")</f>
        <v/>
      </c>
      <c r="TG4" s="41" t="str">
        <f t="shared" ref="TG4:TG15" si="231">IF(SU4&gt;0,SU4,"")</f>
        <v/>
      </c>
      <c r="TH4" s="41" t="str">
        <f t="shared" ref="TH4:TH15" si="232">IF(SV4&gt;0,SV4,"")</f>
        <v/>
      </c>
      <c r="TI4" s="41" t="str">
        <f t="shared" ref="TI4:TI15" si="233">IF(SUM(SS4:SV4)-SW4&gt;0,SUM(SS4:SV4)-SW4,"")</f>
        <v/>
      </c>
      <c r="TJ4" s="41" t="str">
        <f t="shared" ref="TJ4:TJ15" si="234">IF(MAX(TF4,TI4)&gt;0,MAX(TF4,TI4),"")</f>
        <v/>
      </c>
      <c r="TK4" s="41" t="str">
        <f t="shared" ref="TK4:TK15" si="235">IF(SZ4&gt;0,SZ4,"")</f>
        <v/>
      </c>
      <c r="TL4" s="41" t="str">
        <f t="shared" ref="TL4:TL15" si="236">IF(TA4&gt;0,TA4,"")</f>
        <v/>
      </c>
      <c r="TM4" s="41" t="str">
        <f t="shared" ref="TM4:TM15" si="237">IF(SUM(SX4:TA4)-TB4&gt;0,SUM(SX4:TA4)-TB4,"")</f>
        <v/>
      </c>
      <c r="TN4" s="41" t="str">
        <f t="shared" ref="TN4:TN15" si="238"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150</v>
      </c>
      <c r="C5" s="4" t="s">
        <v>6</v>
      </c>
      <c r="D5" s="4" t="s">
        <v>149</v>
      </c>
      <c r="E5" s="9">
        <f t="shared" si="0"/>
        <v>91.850000000000009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45.870000000000005</v>
      </c>
      <c r="K5" s="8" t="str">
        <f t="shared" si="5"/>
        <v>2023 Nationals</v>
      </c>
      <c r="L5" s="8">
        <f>IF(COUNT(AI5,AL5,AP5,BJ5,BM5,BQ5,CK5,CN5,CR5)&gt;1,LARGE((AI5,AL5,AP5,BJ5,BM5,BQ5,CK5,CN5,CR5),2),0)</f>
        <v>45.510000000000005</v>
      </c>
      <c r="M5" s="8" t="str">
        <f t="shared" si="6"/>
        <v>2023 Elite Canada</v>
      </c>
      <c r="N5" s="8">
        <f t="shared" si="7"/>
        <v>0.46999999999999886</v>
      </c>
      <c r="O5" s="11" t="str">
        <f t="shared" si="8"/>
        <v>(Prelim)</v>
      </c>
      <c r="P5" s="8" t="str">
        <f t="shared" si="9"/>
        <v>2023 World Cup AZE (Feb 19)</v>
      </c>
      <c r="Q5" s="23">
        <v>7.55</v>
      </c>
      <c r="R5" s="23">
        <v>9.4</v>
      </c>
      <c r="S5" s="23">
        <v>11.3</v>
      </c>
      <c r="T5" s="23">
        <v>17.059999999999999</v>
      </c>
      <c r="U5" s="23">
        <v>0</v>
      </c>
      <c r="V5" s="23">
        <v>8.65</v>
      </c>
      <c r="W5" s="23">
        <v>9.3000000000000007</v>
      </c>
      <c r="X5" s="23">
        <v>6.9</v>
      </c>
      <c r="Y5" s="23">
        <v>16.739999999999998</v>
      </c>
      <c r="Z5" s="23">
        <v>2.1</v>
      </c>
      <c r="AA5" s="23">
        <v>7.65</v>
      </c>
      <c r="AB5" s="23">
        <v>9.1</v>
      </c>
      <c r="AC5" s="23">
        <v>11.3</v>
      </c>
      <c r="AD5" s="23">
        <v>17.46</v>
      </c>
      <c r="AE5" s="23">
        <v>0</v>
      </c>
      <c r="AF5" s="28"/>
      <c r="AG5" s="39">
        <f t="shared" si="10"/>
        <v>11.3</v>
      </c>
      <c r="AH5" s="39">
        <f t="shared" si="11"/>
        <v>17.059999999999999</v>
      </c>
      <c r="AI5" s="41">
        <f t="shared" si="12"/>
        <v>45.31</v>
      </c>
      <c r="AJ5" s="41">
        <f t="shared" si="13"/>
        <v>6.9</v>
      </c>
      <c r="AK5" s="41">
        <f t="shared" si="14"/>
        <v>16.739999999999998</v>
      </c>
      <c r="AL5" s="41">
        <f t="shared" si="15"/>
        <v>39.49</v>
      </c>
      <c r="AM5" s="41">
        <f t="shared" si="16"/>
        <v>45.31</v>
      </c>
      <c r="AN5" s="41">
        <f t="shared" si="17"/>
        <v>11.3</v>
      </c>
      <c r="AO5" s="41">
        <f t="shared" si="18"/>
        <v>17.46</v>
      </c>
      <c r="AP5" s="41">
        <f t="shared" si="19"/>
        <v>45.510000000000005</v>
      </c>
      <c r="AQ5" s="41">
        <f t="shared" si="20"/>
        <v>90.820000000000007</v>
      </c>
      <c r="AR5" s="27">
        <v>7.35</v>
      </c>
      <c r="AS5" s="27">
        <v>9.5500000000000007</v>
      </c>
      <c r="AT5" s="27">
        <v>11.3</v>
      </c>
      <c r="AU5" s="27">
        <v>15.04</v>
      </c>
      <c r="AV5" s="27">
        <v>0</v>
      </c>
      <c r="AW5" s="27">
        <v>7.4</v>
      </c>
      <c r="AX5" s="27">
        <v>9.25</v>
      </c>
      <c r="AY5" s="27">
        <v>11.3</v>
      </c>
      <c r="AZ5" s="27">
        <v>13.62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17.12</v>
      </c>
      <c r="BF5" s="27">
        <v>0</v>
      </c>
      <c r="BG5" s="29"/>
      <c r="BH5" s="40">
        <f t="shared" si="21"/>
        <v>11.3</v>
      </c>
      <c r="BI5" s="40">
        <f t="shared" si="22"/>
        <v>15.04</v>
      </c>
      <c r="BJ5" s="11">
        <f t="shared" si="23"/>
        <v>43.239999999999995</v>
      </c>
      <c r="BK5" s="11">
        <f t="shared" si="24"/>
        <v>11.3</v>
      </c>
      <c r="BL5" s="11">
        <f t="shared" si="25"/>
        <v>13.62</v>
      </c>
      <c r="BM5" s="11">
        <f t="shared" si="26"/>
        <v>41.57</v>
      </c>
      <c r="BN5" s="11">
        <f t="shared" si="27"/>
        <v>43.239999999999995</v>
      </c>
      <c r="BO5" s="11">
        <f t="shared" si="28"/>
        <v>11.3</v>
      </c>
      <c r="BP5" s="11">
        <f t="shared" si="29"/>
        <v>17.12</v>
      </c>
      <c r="BQ5" s="11">
        <f t="shared" si="30"/>
        <v>45.870000000000005</v>
      </c>
      <c r="BR5" s="11">
        <f t="shared" si="31"/>
        <v>89.11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32"/>
        <v/>
      </c>
      <c r="CJ5" s="39" t="str">
        <f t="shared" si="33"/>
        <v/>
      </c>
      <c r="CK5" s="41" t="str">
        <f t="shared" si="34"/>
        <v/>
      </c>
      <c r="CL5" s="41" t="str">
        <f t="shared" si="35"/>
        <v/>
      </c>
      <c r="CM5" s="41" t="str">
        <f t="shared" si="36"/>
        <v/>
      </c>
      <c r="CN5" s="41" t="str">
        <f t="shared" si="37"/>
        <v/>
      </c>
      <c r="CO5" s="41" t="str">
        <f t="shared" si="38"/>
        <v/>
      </c>
      <c r="CP5" s="41" t="str">
        <f t="shared" si="39"/>
        <v/>
      </c>
      <c r="CQ5" s="41" t="str">
        <f t="shared" si="40"/>
        <v/>
      </c>
      <c r="CR5" s="41" t="str">
        <f t="shared" si="41"/>
        <v/>
      </c>
      <c r="CS5" s="41" t="str">
        <f t="shared" si="42"/>
        <v/>
      </c>
      <c r="CT5" s="52">
        <f t="shared" si="43"/>
        <v>0.46999999999999886</v>
      </c>
      <c r="CU5" s="52" t="str">
        <f t="shared" si="44"/>
        <v/>
      </c>
      <c r="CV5" s="17">
        <v>7.2</v>
      </c>
      <c r="CW5" s="17">
        <v>9.1</v>
      </c>
      <c r="CX5" s="17">
        <v>11.3</v>
      </c>
      <c r="CY5" s="17">
        <v>18.38</v>
      </c>
      <c r="CZ5" s="17">
        <v>0</v>
      </c>
      <c r="DA5" s="17">
        <v>5.95</v>
      </c>
      <c r="DB5" s="17">
        <v>7.95</v>
      </c>
      <c r="DC5" s="17">
        <v>9.9</v>
      </c>
      <c r="DD5" s="17">
        <v>13.98</v>
      </c>
      <c r="DE5" s="17">
        <v>0</v>
      </c>
      <c r="DF5" s="17"/>
      <c r="DG5" s="17"/>
      <c r="DH5" s="17"/>
      <c r="DI5" s="17"/>
      <c r="DJ5" s="17"/>
      <c r="DK5" s="17">
        <v>6.75</v>
      </c>
      <c r="DL5" s="17">
        <v>9.4</v>
      </c>
      <c r="DM5" s="17">
        <v>11.3</v>
      </c>
      <c r="DN5" s="17">
        <v>15.96</v>
      </c>
      <c r="DO5" s="17">
        <v>0</v>
      </c>
      <c r="DP5" s="41">
        <f t="shared" si="45"/>
        <v>11.3</v>
      </c>
      <c r="DQ5" s="41">
        <f t="shared" si="46"/>
        <v>18.38</v>
      </c>
      <c r="DR5" s="41">
        <f t="shared" si="47"/>
        <v>45.980000000000004</v>
      </c>
      <c r="DS5" s="41">
        <f t="shared" si="48"/>
        <v>9.9</v>
      </c>
      <c r="DT5" s="41">
        <f t="shared" si="49"/>
        <v>13.98</v>
      </c>
      <c r="DU5" s="41">
        <f t="shared" si="50"/>
        <v>37.78</v>
      </c>
      <c r="DV5" s="41">
        <f t="shared" si="51"/>
        <v>45.980000000000004</v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>
        <f t="shared" si="55"/>
        <v>11.3</v>
      </c>
      <c r="EA5" s="41">
        <f t="shared" si="56"/>
        <v>15.96</v>
      </c>
      <c r="EB5" s="41">
        <f t="shared" si="57"/>
        <v>43.41</v>
      </c>
      <c r="EC5" s="41">
        <f t="shared" si="58"/>
        <v>89.39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3.6749999999999998</v>
      </c>
      <c r="SO5" s="23">
        <f t="shared" si="214"/>
        <v>4.7750000000000004</v>
      </c>
      <c r="SP5" s="23">
        <f t="shared" si="215"/>
        <v>5.65</v>
      </c>
      <c r="SQ5" s="23">
        <f t="shared" si="216"/>
        <v>7.52</v>
      </c>
      <c r="SR5" s="23">
        <f t="shared" si="217"/>
        <v>0</v>
      </c>
      <c r="SS5" s="23">
        <f t="shared" si="218"/>
        <v>3.7</v>
      </c>
      <c r="ST5" s="23">
        <f t="shared" si="219"/>
        <v>4.625</v>
      </c>
      <c r="SU5" s="23">
        <f t="shared" si="220"/>
        <v>5.65</v>
      </c>
      <c r="SV5" s="23">
        <f t="shared" si="221"/>
        <v>6.81</v>
      </c>
      <c r="SW5" s="23">
        <f t="shared" si="222"/>
        <v>0</v>
      </c>
      <c r="SX5" s="23">
        <f t="shared" si="223"/>
        <v>4.0999999999999996</v>
      </c>
      <c r="SY5" s="23">
        <f t="shared" si="224"/>
        <v>4.625</v>
      </c>
      <c r="SZ5" s="23">
        <f t="shared" si="225"/>
        <v>5.65</v>
      </c>
      <c r="TA5" s="23">
        <f t="shared" si="226"/>
        <v>8.56</v>
      </c>
      <c r="TB5" s="23">
        <f t="shared" si="227"/>
        <v>0</v>
      </c>
      <c r="TC5" s="28" t="s">
        <v>57</v>
      </c>
      <c r="TD5" s="41">
        <f t="shared" si="228"/>
        <v>5.65</v>
      </c>
      <c r="TE5" s="41">
        <f t="shared" si="229"/>
        <v>7.52</v>
      </c>
      <c r="TF5" s="41">
        <f t="shared" si="230"/>
        <v>21.619999999999997</v>
      </c>
      <c r="TG5" s="41">
        <f t="shared" si="231"/>
        <v>5.65</v>
      </c>
      <c r="TH5" s="41">
        <f t="shared" si="232"/>
        <v>6.81</v>
      </c>
      <c r="TI5" s="41">
        <f t="shared" si="233"/>
        <v>20.785</v>
      </c>
      <c r="TJ5" s="41">
        <f t="shared" si="234"/>
        <v>21.619999999999997</v>
      </c>
      <c r="TK5" s="41">
        <f t="shared" si="235"/>
        <v>5.65</v>
      </c>
      <c r="TL5" s="41">
        <f t="shared" si="236"/>
        <v>8.56</v>
      </c>
      <c r="TM5" s="41">
        <f t="shared" si="237"/>
        <v>22.935000000000002</v>
      </c>
      <c r="TN5" s="41">
        <f t="shared" si="238"/>
        <v>44.555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189</v>
      </c>
      <c r="C6" s="4" t="s">
        <v>188</v>
      </c>
      <c r="D6" s="4" t="s">
        <v>187</v>
      </c>
      <c r="E6" s="9">
        <f t="shared" si="0"/>
        <v>91.77000000000001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44.230000000000004</v>
      </c>
      <c r="K6" s="8" t="str">
        <f t="shared" si="5"/>
        <v>2023 Elite Canada</v>
      </c>
      <c r="L6" s="8">
        <f>IF(COUNT(AI6,AL6,AP6,BJ6,BM6,BQ6,CK6,CN6,CR6)&gt;1,LARGE((AI6,AL6,AP6,BJ6,BM6,BQ6,CK6,CN6,CR6),2),0)</f>
        <v>43.55</v>
      </c>
      <c r="M6" s="8" t="str">
        <f t="shared" si="6"/>
        <v>2023 Elite Canada</v>
      </c>
      <c r="N6" s="8">
        <f t="shared" si="7"/>
        <v>3.990000000000002</v>
      </c>
      <c r="O6" s="11" t="str">
        <f t="shared" si="8"/>
        <v>(Prelim)</v>
      </c>
      <c r="P6" s="8" t="str">
        <f t="shared" si="9"/>
        <v>2023 World Championships (Nov 12)</v>
      </c>
      <c r="Q6" s="23">
        <v>8.4499999999999993</v>
      </c>
      <c r="R6" s="23">
        <v>9.5</v>
      </c>
      <c r="S6" s="23">
        <v>9.6</v>
      </c>
      <c r="T6" s="23">
        <v>16</v>
      </c>
      <c r="U6" s="23">
        <v>0</v>
      </c>
      <c r="V6" s="23">
        <v>3.9</v>
      </c>
      <c r="W6" s="23">
        <v>4.8</v>
      </c>
      <c r="X6" s="23">
        <v>5.2</v>
      </c>
      <c r="Y6" s="23">
        <v>7.86</v>
      </c>
      <c r="Z6" s="23">
        <v>0</v>
      </c>
      <c r="AA6" s="23">
        <v>7.9</v>
      </c>
      <c r="AB6" s="23">
        <v>9.65</v>
      </c>
      <c r="AC6" s="23">
        <v>10.4</v>
      </c>
      <c r="AD6" s="23">
        <v>16.28</v>
      </c>
      <c r="AE6" s="23">
        <v>0</v>
      </c>
      <c r="AF6" s="28"/>
      <c r="AG6" s="39">
        <f t="shared" si="10"/>
        <v>9.6</v>
      </c>
      <c r="AH6" s="39">
        <f t="shared" si="11"/>
        <v>16</v>
      </c>
      <c r="AI6" s="41">
        <f t="shared" si="12"/>
        <v>43.55</v>
      </c>
      <c r="AJ6" s="41">
        <f t="shared" si="13"/>
        <v>5.2</v>
      </c>
      <c r="AK6" s="41">
        <f t="shared" si="14"/>
        <v>7.86</v>
      </c>
      <c r="AL6" s="41">
        <f t="shared" si="15"/>
        <v>21.759999999999998</v>
      </c>
      <c r="AM6" s="41">
        <f t="shared" si="16"/>
        <v>43.55</v>
      </c>
      <c r="AN6" s="41">
        <f t="shared" si="17"/>
        <v>10.4</v>
      </c>
      <c r="AO6" s="41">
        <f t="shared" si="18"/>
        <v>16.28</v>
      </c>
      <c r="AP6" s="41">
        <f t="shared" si="19"/>
        <v>44.230000000000004</v>
      </c>
      <c r="AQ6" s="41">
        <f t="shared" si="20"/>
        <v>87.78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3.990000000000002</v>
      </c>
      <c r="CU6" s="52">
        <f t="shared" si="44"/>
        <v>3.3500000000000014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>
        <v>7.55</v>
      </c>
      <c r="MA6" s="18">
        <v>9.35</v>
      </c>
      <c r="MB6" s="18">
        <v>11.7</v>
      </c>
      <c r="MC6" s="18">
        <v>18.940000000000001</v>
      </c>
      <c r="MD6" s="18">
        <v>0</v>
      </c>
      <c r="ME6" s="18">
        <v>7.15</v>
      </c>
      <c r="MF6" s="18">
        <v>9.3000000000000007</v>
      </c>
      <c r="MG6" s="18">
        <v>11.7</v>
      </c>
      <c r="MH6" s="18">
        <v>18.62</v>
      </c>
      <c r="MI6" s="18">
        <v>0</v>
      </c>
      <c r="MJ6" s="18"/>
      <c r="MK6" s="18"/>
      <c r="ML6" s="18"/>
      <c r="MM6" s="18"/>
      <c r="MN6" s="18"/>
      <c r="MO6" s="18">
        <v>6.95</v>
      </c>
      <c r="MP6" s="18">
        <v>9.35</v>
      </c>
      <c r="MQ6" s="18">
        <v>11.7</v>
      </c>
      <c r="MR6" s="18">
        <v>18.899999999999999</v>
      </c>
      <c r="MS6" s="18">
        <v>0</v>
      </c>
      <c r="MT6" s="11">
        <f t="shared" si="143"/>
        <v>11.7</v>
      </c>
      <c r="MU6" s="11">
        <f t="shared" si="144"/>
        <v>18.940000000000001</v>
      </c>
      <c r="MV6" s="11">
        <f t="shared" si="145"/>
        <v>47.54</v>
      </c>
      <c r="MW6" s="11">
        <f t="shared" si="146"/>
        <v>11.7</v>
      </c>
      <c r="MX6" s="11">
        <f t="shared" si="147"/>
        <v>18.62</v>
      </c>
      <c r="MY6" s="11">
        <f t="shared" si="148"/>
        <v>46.77</v>
      </c>
      <c r="MZ6" s="11">
        <f t="shared" si="149"/>
        <v>47.54</v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>
        <f t="shared" si="153"/>
        <v>11.7</v>
      </c>
      <c r="NE6" s="11">
        <f t="shared" si="154"/>
        <v>18.899999999999999</v>
      </c>
      <c r="NF6" s="11">
        <f t="shared" si="155"/>
        <v>46.9</v>
      </c>
      <c r="NG6" s="11">
        <f t="shared" si="156"/>
        <v>94.44</v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>
        <v>2.9</v>
      </c>
      <c r="NX6" s="17">
        <v>3.55</v>
      </c>
      <c r="NY6" s="17">
        <v>5.2</v>
      </c>
      <c r="NZ6" s="17">
        <v>7.3</v>
      </c>
      <c r="OA6" s="17">
        <v>0</v>
      </c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>
        <f t="shared" si="167"/>
        <v>5.2</v>
      </c>
      <c r="OM6" s="41">
        <f t="shared" si="168"/>
        <v>7.3</v>
      </c>
      <c r="ON6" s="41">
        <f t="shared" si="169"/>
        <v>18.95</v>
      </c>
      <c r="OO6" s="41">
        <f t="shared" si="170"/>
        <v>18.95</v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162</v>
      </c>
      <c r="C7" s="4" t="s">
        <v>3</v>
      </c>
      <c r="D7" s="4" t="s">
        <v>163</v>
      </c>
      <c r="E7" s="9">
        <f t="shared" si="0"/>
        <v>89.490000000000009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IF(COUNT(AI7,AL7,AP7,BJ7,BM7,BQ7,CK7,CN7,CR7)&gt;0,LARGE((AI7,AL7,AP7,BJ7,BM7,BQ7,CK7,CN7,CR7),1),0)</f>
        <v>44.790000000000006</v>
      </c>
      <c r="K7" s="8" t="str">
        <f t="shared" si="5"/>
        <v>2023 Elite Canada</v>
      </c>
      <c r="L7" s="8">
        <f>IF(COUNT(AI7,AL7,AP7,BJ7,BM7,BQ7,CK7,CN7,CR7)&gt;1,LARGE((AI7,AL7,AP7,BJ7,BM7,BQ7,CK7,CN7,CR7),2),0)</f>
        <v>44.7</v>
      </c>
      <c r="M7" s="8" t="str">
        <f t="shared" si="6"/>
        <v>2023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3">
        <v>7.35</v>
      </c>
      <c r="R7" s="23">
        <v>8.85</v>
      </c>
      <c r="S7" s="23">
        <v>11.3</v>
      </c>
      <c r="T7" s="23">
        <v>14.62</v>
      </c>
      <c r="U7" s="23">
        <v>0</v>
      </c>
      <c r="V7" s="23">
        <v>7</v>
      </c>
      <c r="W7" s="23">
        <v>9.15</v>
      </c>
      <c r="X7" s="23">
        <v>11.3</v>
      </c>
      <c r="Y7" s="23">
        <v>16.86</v>
      </c>
      <c r="Z7" s="23">
        <v>0</v>
      </c>
      <c r="AA7" s="23">
        <v>7.55</v>
      </c>
      <c r="AB7" s="23">
        <v>9.3000000000000007</v>
      </c>
      <c r="AC7" s="23">
        <v>11.3</v>
      </c>
      <c r="AD7" s="23">
        <v>16.64</v>
      </c>
      <c r="AE7" s="23">
        <v>0</v>
      </c>
      <c r="AF7" s="28"/>
      <c r="AG7" s="39">
        <f t="shared" si="10"/>
        <v>11.3</v>
      </c>
      <c r="AH7" s="39">
        <f t="shared" si="11"/>
        <v>14.62</v>
      </c>
      <c r="AI7" s="41">
        <f t="shared" si="12"/>
        <v>42.12</v>
      </c>
      <c r="AJ7" s="41">
        <f t="shared" si="13"/>
        <v>11.3</v>
      </c>
      <c r="AK7" s="41">
        <f t="shared" si="14"/>
        <v>16.86</v>
      </c>
      <c r="AL7" s="41">
        <f t="shared" si="15"/>
        <v>44.31</v>
      </c>
      <c r="AM7" s="41">
        <f t="shared" si="16"/>
        <v>44.31</v>
      </c>
      <c r="AN7" s="41">
        <f t="shared" si="17"/>
        <v>11.3</v>
      </c>
      <c r="AO7" s="41">
        <f t="shared" si="18"/>
        <v>16.64</v>
      </c>
      <c r="AP7" s="41">
        <f t="shared" si="19"/>
        <v>44.790000000000006</v>
      </c>
      <c r="AQ7" s="41">
        <f t="shared" si="20"/>
        <v>89.100000000000009</v>
      </c>
      <c r="AR7" s="27">
        <v>7.35</v>
      </c>
      <c r="AS7" s="27">
        <v>9</v>
      </c>
      <c r="AT7" s="27">
        <v>11.3</v>
      </c>
      <c r="AU7" s="27">
        <v>15.54</v>
      </c>
      <c r="AV7" s="27">
        <v>0</v>
      </c>
      <c r="AW7" s="27">
        <v>7.2</v>
      </c>
      <c r="AX7" s="27">
        <v>9.4</v>
      </c>
      <c r="AY7" s="27">
        <v>11.3</v>
      </c>
      <c r="AZ7" s="27">
        <v>16.12</v>
      </c>
      <c r="BA7" s="27">
        <v>0</v>
      </c>
      <c r="BB7" s="27">
        <v>7.55</v>
      </c>
      <c r="BC7" s="27">
        <v>8.9499999999999993</v>
      </c>
      <c r="BD7" s="27">
        <v>11.3</v>
      </c>
      <c r="BE7" s="27">
        <v>16.899999999999999</v>
      </c>
      <c r="BF7" s="27">
        <v>0</v>
      </c>
      <c r="BG7" s="29"/>
      <c r="BH7" s="40">
        <f t="shared" si="21"/>
        <v>11.3</v>
      </c>
      <c r="BI7" s="40">
        <f t="shared" si="22"/>
        <v>15.54</v>
      </c>
      <c r="BJ7" s="11">
        <f t="shared" si="23"/>
        <v>43.19</v>
      </c>
      <c r="BK7" s="11">
        <f t="shared" si="24"/>
        <v>11.3</v>
      </c>
      <c r="BL7" s="11">
        <f t="shared" si="25"/>
        <v>16.12</v>
      </c>
      <c r="BM7" s="11">
        <f t="shared" si="26"/>
        <v>44.02</v>
      </c>
      <c r="BN7" s="11">
        <f t="shared" si="27"/>
        <v>44.02</v>
      </c>
      <c r="BO7" s="11">
        <f t="shared" si="28"/>
        <v>11.3</v>
      </c>
      <c r="BP7" s="11">
        <f t="shared" si="29"/>
        <v>16.899999999999999</v>
      </c>
      <c r="BQ7" s="11">
        <f t="shared" si="30"/>
        <v>44.7</v>
      </c>
      <c r="BR7" s="11">
        <f t="shared" si="31"/>
        <v>88.72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 t="str">
        <f t="shared" si="43"/>
        <v/>
      </c>
      <c r="CU7" s="52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73"/>
        <v/>
      </c>
      <c r="GG7" s="41" t="str">
        <f t="shared" si="74"/>
        <v/>
      </c>
      <c r="GH7" s="41" t="str">
        <f t="shared" si="75"/>
        <v/>
      </c>
      <c r="GI7" s="41" t="str">
        <f t="shared" si="76"/>
        <v/>
      </c>
      <c r="GJ7" s="41" t="str">
        <f t="shared" si="77"/>
        <v/>
      </c>
      <c r="GK7" s="41" t="str">
        <f t="shared" si="78"/>
        <v/>
      </c>
      <c r="GL7" s="41" t="str">
        <f t="shared" si="79"/>
        <v/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 t="str">
        <f t="shared" si="83"/>
        <v/>
      </c>
      <c r="GQ7" s="41" t="str">
        <f t="shared" si="84"/>
        <v/>
      </c>
      <c r="GR7" s="41" t="str">
        <f t="shared" si="85"/>
        <v/>
      </c>
      <c r="GS7" s="41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3.6749999999999998</v>
      </c>
      <c r="SO7" s="23">
        <f t="shared" si="214"/>
        <v>4.5</v>
      </c>
      <c r="SP7" s="23">
        <f t="shared" si="215"/>
        <v>5.65</v>
      </c>
      <c r="SQ7" s="23">
        <f t="shared" si="216"/>
        <v>7.77</v>
      </c>
      <c r="SR7" s="23">
        <f t="shared" si="217"/>
        <v>0</v>
      </c>
      <c r="SS7" s="23">
        <f t="shared" si="218"/>
        <v>3.6</v>
      </c>
      <c r="ST7" s="23">
        <f t="shared" si="219"/>
        <v>4.7</v>
      </c>
      <c r="SU7" s="23">
        <f t="shared" si="220"/>
        <v>5.65</v>
      </c>
      <c r="SV7" s="23">
        <f t="shared" si="221"/>
        <v>8.06</v>
      </c>
      <c r="SW7" s="23">
        <f t="shared" si="222"/>
        <v>0</v>
      </c>
      <c r="SX7" s="23">
        <f t="shared" si="223"/>
        <v>3.7749999999999999</v>
      </c>
      <c r="SY7" s="23">
        <f t="shared" si="224"/>
        <v>4.4749999999999996</v>
      </c>
      <c r="SZ7" s="23">
        <f t="shared" si="225"/>
        <v>5.65</v>
      </c>
      <c r="TA7" s="23">
        <f t="shared" si="226"/>
        <v>8.4499999999999993</v>
      </c>
      <c r="TB7" s="23">
        <f t="shared" si="227"/>
        <v>0</v>
      </c>
      <c r="TC7" s="28" t="s">
        <v>57</v>
      </c>
      <c r="TD7" s="41">
        <f t="shared" si="228"/>
        <v>5.65</v>
      </c>
      <c r="TE7" s="41">
        <f t="shared" si="229"/>
        <v>7.77</v>
      </c>
      <c r="TF7" s="41">
        <f t="shared" si="230"/>
        <v>21.594999999999999</v>
      </c>
      <c r="TG7" s="41">
        <f t="shared" si="231"/>
        <v>5.65</v>
      </c>
      <c r="TH7" s="41">
        <f t="shared" si="232"/>
        <v>8.06</v>
      </c>
      <c r="TI7" s="41">
        <f t="shared" si="233"/>
        <v>22.01</v>
      </c>
      <c r="TJ7" s="41">
        <f t="shared" si="234"/>
        <v>22.01</v>
      </c>
      <c r="TK7" s="41">
        <f t="shared" si="235"/>
        <v>5.65</v>
      </c>
      <c r="TL7" s="41">
        <f t="shared" si="236"/>
        <v>8.4499999999999993</v>
      </c>
      <c r="TM7" s="41">
        <f t="shared" si="237"/>
        <v>22.35</v>
      </c>
      <c r="TN7" s="41">
        <f t="shared" si="238"/>
        <v>44.36</v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137</v>
      </c>
      <c r="C8" s="4" t="s">
        <v>136</v>
      </c>
      <c r="D8" s="4" t="s">
        <v>135</v>
      </c>
      <c r="E8" s="9">
        <f t="shared" si="0"/>
        <v>47.78</v>
      </c>
      <c r="F8" s="3" t="str">
        <f t="shared" si="1"/>
        <v>P</v>
      </c>
      <c r="G8" s="3" t="str">
        <f t="shared" si="2"/>
        <v>P</v>
      </c>
      <c r="H8" s="37" t="str">
        <f t="shared" si="3"/>
        <v>Merit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47.78</v>
      </c>
      <c r="O8" s="11" t="str">
        <f t="shared" si="8"/>
        <v>(Prelim)</v>
      </c>
      <c r="P8" s="8" t="str">
        <f t="shared" si="9"/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47.78</v>
      </c>
      <c r="CU8" s="52">
        <f t="shared" si="44"/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>
        <v>7.6</v>
      </c>
      <c r="EE8" s="18">
        <v>9.15</v>
      </c>
      <c r="EF8" s="18">
        <v>13.1</v>
      </c>
      <c r="EG8" s="18">
        <v>17.7</v>
      </c>
      <c r="EH8" s="18">
        <v>0</v>
      </c>
      <c r="EI8" s="18">
        <v>5.3</v>
      </c>
      <c r="EJ8" s="18">
        <v>6.6</v>
      </c>
      <c r="EK8" s="18">
        <v>9.4</v>
      </c>
      <c r="EL8" s="18">
        <v>12.56</v>
      </c>
      <c r="EM8" s="18">
        <v>0</v>
      </c>
      <c r="EN8" s="18"/>
      <c r="EO8" s="18"/>
      <c r="EP8" s="18"/>
      <c r="EQ8" s="18"/>
      <c r="ER8" s="18"/>
      <c r="ES8" s="18">
        <v>0.75</v>
      </c>
      <c r="ET8" s="18">
        <v>0.95</v>
      </c>
      <c r="EU8" s="18">
        <v>1.5</v>
      </c>
      <c r="EV8" s="18">
        <v>2</v>
      </c>
      <c r="EW8" s="18">
        <v>0</v>
      </c>
      <c r="EX8" s="11">
        <f t="shared" si="59"/>
        <v>13.1</v>
      </c>
      <c r="EY8" s="11">
        <f t="shared" si="60"/>
        <v>17.7</v>
      </c>
      <c r="EZ8" s="11">
        <f t="shared" si="61"/>
        <v>47.55</v>
      </c>
      <c r="FA8" s="11">
        <f t="shared" si="62"/>
        <v>9.4</v>
      </c>
      <c r="FB8" s="11">
        <f t="shared" si="63"/>
        <v>12.56</v>
      </c>
      <c r="FC8" s="11">
        <f t="shared" si="64"/>
        <v>33.86</v>
      </c>
      <c r="FD8" s="11">
        <f t="shared" si="65"/>
        <v>47.55</v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>
        <f t="shared" si="69"/>
        <v>1.5</v>
      </c>
      <c r="FI8" s="11">
        <f t="shared" si="70"/>
        <v>2</v>
      </c>
      <c r="FJ8" s="11">
        <f t="shared" si="71"/>
        <v>5.2</v>
      </c>
      <c r="FK8" s="11">
        <f t="shared" si="72"/>
        <v>52.75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>
        <v>7.15</v>
      </c>
      <c r="GU8" s="18">
        <v>9.25</v>
      </c>
      <c r="GV8" s="18">
        <v>13.1</v>
      </c>
      <c r="GW8" s="18">
        <v>18.28</v>
      </c>
      <c r="GX8" s="18">
        <v>0</v>
      </c>
      <c r="GY8" s="18">
        <v>6.6</v>
      </c>
      <c r="GZ8" s="18">
        <v>8.35</v>
      </c>
      <c r="HA8" s="18">
        <v>11.5</v>
      </c>
      <c r="HB8" s="18">
        <v>13.92</v>
      </c>
      <c r="HC8" s="18">
        <v>0</v>
      </c>
      <c r="HD8" s="18"/>
      <c r="HE8" s="18"/>
      <c r="HF8" s="18"/>
      <c r="HG8" s="18"/>
      <c r="HH8" s="18"/>
      <c r="HI8" s="18">
        <v>7.35</v>
      </c>
      <c r="HJ8" s="18">
        <v>9.25</v>
      </c>
      <c r="HK8" s="18">
        <v>13.1</v>
      </c>
      <c r="HL8" s="18">
        <v>18.02</v>
      </c>
      <c r="HM8" s="18">
        <v>0</v>
      </c>
      <c r="HN8" s="11">
        <f t="shared" si="87"/>
        <v>13.1</v>
      </c>
      <c r="HO8" s="11">
        <f t="shared" si="88"/>
        <v>18.28</v>
      </c>
      <c r="HP8" s="11">
        <f t="shared" si="89"/>
        <v>47.78</v>
      </c>
      <c r="HQ8" s="11">
        <f t="shared" si="90"/>
        <v>11.5</v>
      </c>
      <c r="HR8" s="11">
        <f t="shared" si="91"/>
        <v>13.92</v>
      </c>
      <c r="HS8" s="11">
        <f t="shared" si="92"/>
        <v>40.369999999999997</v>
      </c>
      <c r="HT8" s="11">
        <f t="shared" si="93"/>
        <v>47.78</v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>
        <f t="shared" si="97"/>
        <v>13.1</v>
      </c>
      <c r="HY8" s="11">
        <f t="shared" si="98"/>
        <v>18.02</v>
      </c>
      <c r="HZ8" s="11">
        <f t="shared" si="99"/>
        <v>47.72</v>
      </c>
      <c r="IA8" s="11">
        <f t="shared" si="100"/>
        <v>95.5</v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101"/>
        <v/>
      </c>
      <c r="IW8" s="41" t="str">
        <f t="shared" si="102"/>
        <v/>
      </c>
      <c r="IX8" s="41" t="str">
        <f t="shared" si="103"/>
        <v/>
      </c>
      <c r="IY8" s="41" t="str">
        <f t="shared" si="104"/>
        <v/>
      </c>
      <c r="IZ8" s="41" t="str">
        <f t="shared" si="105"/>
        <v/>
      </c>
      <c r="JA8" s="41" t="str">
        <f t="shared" si="106"/>
        <v/>
      </c>
      <c r="JB8" s="41" t="str">
        <f t="shared" si="107"/>
        <v/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210</v>
      </c>
      <c r="C9" s="4" t="s">
        <v>136</v>
      </c>
      <c r="D9" s="4" t="s">
        <v>209</v>
      </c>
      <c r="E9" s="9">
        <f t="shared" si="0"/>
        <v>46.739999999999995</v>
      </c>
      <c r="F9" s="3" t="str">
        <f t="shared" si="1"/>
        <v>P</v>
      </c>
      <c r="G9" s="3" t="str">
        <f t="shared" si="2"/>
        <v>P</v>
      </c>
      <c r="H9" s="37" t="str">
        <f t="shared" si="3"/>
        <v>Excellence</v>
      </c>
      <c r="I9" s="3" t="str">
        <f t="shared" si="4"/>
        <v>P</v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46.739999999999995</v>
      </c>
      <c r="O9" s="11" t="str">
        <f t="shared" si="8"/>
        <v>(Prelim)</v>
      </c>
      <c r="P9" s="8" t="str">
        <f t="shared" si="9"/>
        <v>2023 World Cup BUL (Oct 8)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>
        <f t="shared" si="43"/>
        <v>46.739999999999995</v>
      </c>
      <c r="CU9" s="52">
        <f t="shared" si="44"/>
        <v>44.18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>
        <v>7.2</v>
      </c>
      <c r="FM9" s="17">
        <v>9.0500000000000007</v>
      </c>
      <c r="FN9" s="17">
        <v>12.1</v>
      </c>
      <c r="FO9" s="17">
        <v>15.6</v>
      </c>
      <c r="FP9" s="17">
        <v>0</v>
      </c>
      <c r="FQ9" s="17">
        <v>7.15</v>
      </c>
      <c r="FR9" s="17">
        <v>9.65</v>
      </c>
      <c r="FS9" s="17">
        <v>12.1</v>
      </c>
      <c r="FT9" s="17">
        <v>16.32</v>
      </c>
      <c r="FU9" s="17">
        <v>0</v>
      </c>
      <c r="FV9" s="17"/>
      <c r="FW9" s="17"/>
      <c r="FX9" s="17"/>
      <c r="FY9" s="17"/>
      <c r="FZ9" s="17"/>
      <c r="GA9" s="17">
        <v>6.35</v>
      </c>
      <c r="GB9" s="17">
        <v>9.0500000000000007</v>
      </c>
      <c r="GC9" s="17">
        <v>12.1</v>
      </c>
      <c r="GD9" s="17">
        <v>16.68</v>
      </c>
      <c r="GE9" s="17">
        <v>0</v>
      </c>
      <c r="GF9" s="41">
        <f t="shared" si="73"/>
        <v>12.1</v>
      </c>
      <c r="GG9" s="41">
        <f t="shared" si="74"/>
        <v>15.6</v>
      </c>
      <c r="GH9" s="41">
        <f t="shared" si="75"/>
        <v>43.95</v>
      </c>
      <c r="GI9" s="41">
        <f t="shared" si="76"/>
        <v>12.1</v>
      </c>
      <c r="GJ9" s="41">
        <f t="shared" si="77"/>
        <v>16.32</v>
      </c>
      <c r="GK9" s="41">
        <f t="shared" si="78"/>
        <v>45.22</v>
      </c>
      <c r="GL9" s="41">
        <f t="shared" si="79"/>
        <v>45.22</v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>
        <f t="shared" si="83"/>
        <v>12.1</v>
      </c>
      <c r="GQ9" s="41">
        <f t="shared" si="84"/>
        <v>16.68</v>
      </c>
      <c r="GR9" s="41">
        <f t="shared" si="85"/>
        <v>44.18</v>
      </c>
      <c r="GS9" s="41">
        <f t="shared" si="86"/>
        <v>89.4</v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>
        <v>3.05</v>
      </c>
      <c r="JK9" s="18">
        <v>3.55</v>
      </c>
      <c r="JL9" s="18">
        <v>4.4000000000000004</v>
      </c>
      <c r="JM9" s="18">
        <v>7.1</v>
      </c>
      <c r="JN9" s="18">
        <v>0</v>
      </c>
      <c r="JO9" s="18">
        <v>7.35</v>
      </c>
      <c r="JP9" s="18">
        <v>9.4499999999999993</v>
      </c>
      <c r="JQ9" s="18">
        <v>12.1</v>
      </c>
      <c r="JR9" s="18">
        <v>17.84</v>
      </c>
      <c r="JS9" s="18">
        <v>0</v>
      </c>
      <c r="JT9" s="18"/>
      <c r="JU9" s="18"/>
      <c r="JV9" s="18"/>
      <c r="JW9" s="18"/>
      <c r="JX9" s="18"/>
      <c r="JY9" s="18">
        <v>2.35</v>
      </c>
      <c r="JZ9" s="18">
        <v>2.5499999999999998</v>
      </c>
      <c r="KA9" s="18">
        <v>3.4</v>
      </c>
      <c r="KB9" s="18">
        <v>5.6</v>
      </c>
      <c r="KC9" s="18">
        <v>0</v>
      </c>
      <c r="KD9" s="11">
        <f t="shared" si="115"/>
        <v>4.4000000000000004</v>
      </c>
      <c r="KE9" s="11">
        <f t="shared" si="116"/>
        <v>7.1</v>
      </c>
      <c r="KF9" s="11">
        <f t="shared" si="117"/>
        <v>18.100000000000001</v>
      </c>
      <c r="KG9" s="11">
        <f t="shared" si="118"/>
        <v>12.1</v>
      </c>
      <c r="KH9" s="11">
        <f t="shared" si="119"/>
        <v>17.84</v>
      </c>
      <c r="KI9" s="11">
        <f t="shared" si="120"/>
        <v>46.739999999999995</v>
      </c>
      <c r="KJ9" s="11">
        <f t="shared" si="121"/>
        <v>46.739999999999995</v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>
        <f t="shared" si="125"/>
        <v>3.4</v>
      </c>
      <c r="KO9" s="11">
        <f t="shared" si="126"/>
        <v>5.6</v>
      </c>
      <c r="KP9" s="11">
        <f t="shared" si="127"/>
        <v>13.9</v>
      </c>
      <c r="KQ9" s="11">
        <f t="shared" si="128"/>
        <v>60.639999999999993</v>
      </c>
      <c r="KR9" s="17">
        <v>2.25</v>
      </c>
      <c r="KS9" s="17">
        <v>2.6</v>
      </c>
      <c r="KT9" s="17">
        <v>2.5</v>
      </c>
      <c r="KU9" s="17">
        <v>5.84</v>
      </c>
      <c r="KV9" s="17">
        <v>0</v>
      </c>
      <c r="KW9" s="17">
        <v>7.3</v>
      </c>
      <c r="KX9" s="17">
        <v>9.0500000000000007</v>
      </c>
      <c r="KY9" s="17">
        <v>9.5</v>
      </c>
      <c r="KZ9" s="17">
        <v>19.079999999999998</v>
      </c>
      <c r="LA9" s="17">
        <v>0</v>
      </c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>
        <f t="shared" si="129"/>
        <v>2.5</v>
      </c>
      <c r="LM9" s="41">
        <f t="shared" si="130"/>
        <v>5.84</v>
      </c>
      <c r="LN9" s="41">
        <f t="shared" si="131"/>
        <v>13.19</v>
      </c>
      <c r="LO9" s="41">
        <f t="shared" si="132"/>
        <v>9.5</v>
      </c>
      <c r="LP9" s="41">
        <f t="shared" si="133"/>
        <v>19.079999999999998</v>
      </c>
      <c r="LQ9" s="41">
        <f t="shared" si="134"/>
        <v>44.93</v>
      </c>
      <c r="LR9" s="41">
        <f t="shared" si="135"/>
        <v>44.93</v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>
        <f t="shared" si="142"/>
        <v>44.93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228</v>
      </c>
      <c r="C10" s="4" t="s">
        <v>3</v>
      </c>
      <c r="D10" s="4" t="s">
        <v>227</v>
      </c>
      <c r="E10" s="9">
        <f t="shared" si="0"/>
        <v>46.2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46.2</v>
      </c>
      <c r="O10" s="11" t="str">
        <f t="shared" si="8"/>
        <v>(Prelim)</v>
      </c>
      <c r="P10" s="8" t="str">
        <f t="shared" si="9"/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>
        <f t="shared" si="43"/>
        <v>46.2</v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>
        <v>6.95</v>
      </c>
      <c r="IC10" s="17">
        <v>9.15</v>
      </c>
      <c r="ID10" s="17">
        <v>11.4</v>
      </c>
      <c r="IE10" s="17">
        <v>18.7</v>
      </c>
      <c r="IF10" s="17">
        <v>0</v>
      </c>
      <c r="IG10" s="17">
        <v>1.4</v>
      </c>
      <c r="IH10" s="17">
        <v>1.85</v>
      </c>
      <c r="II10" s="17">
        <v>2.7</v>
      </c>
      <c r="IJ10" s="17">
        <v>3.56</v>
      </c>
      <c r="IK10" s="17">
        <v>0</v>
      </c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>
        <f t="shared" si="101"/>
        <v>11.4</v>
      </c>
      <c r="IW10" s="41">
        <f t="shared" si="102"/>
        <v>18.7</v>
      </c>
      <c r="IX10" s="41">
        <f t="shared" si="103"/>
        <v>46.2</v>
      </c>
      <c r="IY10" s="41">
        <f t="shared" si="104"/>
        <v>2.7</v>
      </c>
      <c r="IZ10" s="41">
        <f t="shared" si="105"/>
        <v>3.56</v>
      </c>
      <c r="JA10" s="41">
        <f t="shared" si="106"/>
        <v>9.51</v>
      </c>
      <c r="JB10" s="41">
        <f t="shared" si="107"/>
        <v>46.2</v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>
        <f t="shared" si="114"/>
        <v>46.2</v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190</v>
      </c>
      <c r="C11" s="4" t="s">
        <v>3</v>
      </c>
      <c r="D11" s="4" t="s">
        <v>191</v>
      </c>
      <c r="E11" s="9">
        <f t="shared" si="0"/>
        <v>87.9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44.629999999999995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43.27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 t="shared" si="10"/>
        <v>9.6</v>
      </c>
      <c r="AH11" s="39">
        <f t="shared" si="11"/>
        <v>16.760000000000002</v>
      </c>
      <c r="AI11" s="41">
        <f t="shared" si="12"/>
        <v>43.260000000000005</v>
      </c>
      <c r="AJ11" s="41">
        <f t="shared" si="13"/>
        <v>2.1</v>
      </c>
      <c r="AK11" s="41">
        <f t="shared" si="14"/>
        <v>3.78</v>
      </c>
      <c r="AL11" s="41">
        <f t="shared" si="15"/>
        <v>8.93</v>
      </c>
      <c r="AM11" s="41">
        <f t="shared" si="16"/>
        <v>43.260000000000005</v>
      </c>
      <c r="AN11" s="41">
        <f t="shared" si="17"/>
        <v>7.1</v>
      </c>
      <c r="AO11" s="41">
        <f t="shared" si="18"/>
        <v>10.220000000000001</v>
      </c>
      <c r="AP11" s="41">
        <f t="shared" si="19"/>
        <v>27.17</v>
      </c>
      <c r="AQ11" s="41">
        <f t="shared" si="20"/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 t="shared" si="21"/>
        <v>6.8</v>
      </c>
      <c r="BI11" s="40">
        <f t="shared" si="22"/>
        <v>12.6</v>
      </c>
      <c r="BJ11" s="11">
        <f t="shared" si="23"/>
        <v>31</v>
      </c>
      <c r="BK11" s="11">
        <f t="shared" si="24"/>
        <v>9.6</v>
      </c>
      <c r="BL11" s="11">
        <f t="shared" si="25"/>
        <v>17.98</v>
      </c>
      <c r="BM11" s="11">
        <f t="shared" si="26"/>
        <v>44.629999999999995</v>
      </c>
      <c r="BN11" s="11">
        <f t="shared" si="27"/>
        <v>44.629999999999995</v>
      </c>
      <c r="BO11" s="11">
        <f t="shared" si="28"/>
        <v>9.6</v>
      </c>
      <c r="BP11" s="11">
        <f t="shared" si="29"/>
        <v>16.920000000000002</v>
      </c>
      <c r="BQ11" s="11">
        <f t="shared" si="30"/>
        <v>43.27</v>
      </c>
      <c r="BR11" s="11">
        <f t="shared" si="31"/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>
        <v>6.7</v>
      </c>
      <c r="OQ11" s="18">
        <v>8.9499999999999993</v>
      </c>
      <c r="OR11" s="18">
        <v>10.5</v>
      </c>
      <c r="OS11" s="18">
        <v>16.52</v>
      </c>
      <c r="OT11" s="18">
        <v>0</v>
      </c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>
        <f t="shared" si="171"/>
        <v>10.5</v>
      </c>
      <c r="PK11" s="11">
        <f t="shared" si="172"/>
        <v>16.52</v>
      </c>
      <c r="PL11" s="11">
        <f t="shared" si="173"/>
        <v>42.67</v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>
        <f t="shared" si="177"/>
        <v>42.67</v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>
        <f t="shared" si="184"/>
        <v>42.67</v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2.5</v>
      </c>
      <c r="SO11" s="23">
        <f t="shared" si="214"/>
        <v>3.3</v>
      </c>
      <c r="SP11" s="23">
        <f t="shared" si="215"/>
        <v>3.4</v>
      </c>
      <c r="SQ11" s="23">
        <f t="shared" si="216"/>
        <v>6.3</v>
      </c>
      <c r="SR11" s="23">
        <f t="shared" si="217"/>
        <v>0</v>
      </c>
      <c r="SS11" s="23">
        <f t="shared" si="218"/>
        <v>3.7</v>
      </c>
      <c r="ST11" s="23">
        <f t="shared" si="219"/>
        <v>4.8250000000000002</v>
      </c>
      <c r="SU11" s="23">
        <f t="shared" si="220"/>
        <v>4.8</v>
      </c>
      <c r="SV11" s="23">
        <f t="shared" si="221"/>
        <v>8.99</v>
      </c>
      <c r="SW11" s="23">
        <f t="shared" si="222"/>
        <v>0</v>
      </c>
      <c r="SX11" s="23">
        <f t="shared" si="223"/>
        <v>3.7</v>
      </c>
      <c r="SY11" s="23">
        <f t="shared" si="224"/>
        <v>4.6749999999999998</v>
      </c>
      <c r="SZ11" s="23">
        <f t="shared" si="225"/>
        <v>4.8</v>
      </c>
      <c r="TA11" s="23">
        <f t="shared" si="226"/>
        <v>8.4600000000000009</v>
      </c>
      <c r="TB11" s="23">
        <f t="shared" si="227"/>
        <v>0</v>
      </c>
      <c r="TC11" s="28" t="s">
        <v>57</v>
      </c>
      <c r="TD11" s="41">
        <f t="shared" si="228"/>
        <v>3.4</v>
      </c>
      <c r="TE11" s="41">
        <f t="shared" si="229"/>
        <v>6.3</v>
      </c>
      <c r="TF11" s="41">
        <f t="shared" si="230"/>
        <v>15.5</v>
      </c>
      <c r="TG11" s="41">
        <f t="shared" si="231"/>
        <v>4.8</v>
      </c>
      <c r="TH11" s="41">
        <f t="shared" si="232"/>
        <v>8.99</v>
      </c>
      <c r="TI11" s="41">
        <f t="shared" si="233"/>
        <v>22.314999999999998</v>
      </c>
      <c r="TJ11" s="41">
        <f t="shared" si="234"/>
        <v>22.314999999999998</v>
      </c>
      <c r="TK11" s="41">
        <f t="shared" si="235"/>
        <v>4.8</v>
      </c>
      <c r="TL11" s="41">
        <f t="shared" si="236"/>
        <v>8.4600000000000009</v>
      </c>
      <c r="TM11" s="41">
        <f t="shared" si="237"/>
        <v>21.635000000000002</v>
      </c>
      <c r="TN11" s="41">
        <f t="shared" si="238"/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161</v>
      </c>
      <c r="C12" s="4" t="s">
        <v>5</v>
      </c>
      <c r="D12" s="4" t="s">
        <v>160</v>
      </c>
      <c r="E12" s="9">
        <f t="shared" si="0"/>
        <v>87.06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44.26</v>
      </c>
      <c r="K12" s="8" t="str">
        <f t="shared" si="5"/>
        <v>2023 Nationals</v>
      </c>
      <c r="L12" s="8">
        <f>IF(COUNT(AI12,AL12,AP12,BJ12,BM12,BQ12,CK12,CN12,CR12)&gt;1,LARGE((AI12,AL12,AP12,BJ12,BM12,BQ12,CK12,CN12,CR12),2),0)</f>
        <v>42.8</v>
      </c>
      <c r="M12" s="8" t="str">
        <f t="shared" si="6"/>
        <v>2023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 t="shared" si="21"/>
        <v>7.8</v>
      </c>
      <c r="BI12" s="40">
        <f t="shared" si="22"/>
        <v>11.36</v>
      </c>
      <c r="BJ12" s="11">
        <f t="shared" si="23"/>
        <v>31.759999999999998</v>
      </c>
      <c r="BK12" s="11">
        <f t="shared" si="24"/>
        <v>9.6</v>
      </c>
      <c r="BL12" s="11">
        <f t="shared" si="25"/>
        <v>17.86</v>
      </c>
      <c r="BM12" s="11">
        <f t="shared" si="26"/>
        <v>44.26</v>
      </c>
      <c r="BN12" s="11">
        <f t="shared" si="27"/>
        <v>44.26</v>
      </c>
      <c r="BO12" s="11">
        <f t="shared" si="28"/>
        <v>9.8000000000000007</v>
      </c>
      <c r="BP12" s="11">
        <f t="shared" si="29"/>
        <v>16</v>
      </c>
      <c r="BQ12" s="11">
        <f t="shared" si="30"/>
        <v>42.8</v>
      </c>
      <c r="BR12" s="11">
        <f t="shared" si="31"/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2.7749999999999999</v>
      </c>
      <c r="SO12" s="23">
        <f t="shared" si="214"/>
        <v>3.5249999999999999</v>
      </c>
      <c r="SP12" s="23">
        <f t="shared" si="215"/>
        <v>3.9</v>
      </c>
      <c r="SQ12" s="23">
        <f t="shared" si="216"/>
        <v>5.68</v>
      </c>
      <c r="SR12" s="23">
        <f t="shared" si="217"/>
        <v>0</v>
      </c>
      <c r="SS12" s="23">
        <f t="shared" si="218"/>
        <v>3.65</v>
      </c>
      <c r="ST12" s="23">
        <f t="shared" si="219"/>
        <v>4.75</v>
      </c>
      <c r="SU12" s="23">
        <f t="shared" si="220"/>
        <v>4.8</v>
      </c>
      <c r="SV12" s="23">
        <f t="shared" si="221"/>
        <v>8.93</v>
      </c>
      <c r="SW12" s="23">
        <f t="shared" si="222"/>
        <v>0</v>
      </c>
      <c r="SX12" s="23">
        <f t="shared" si="223"/>
        <v>3.9</v>
      </c>
      <c r="SY12" s="23">
        <f t="shared" si="224"/>
        <v>4.5999999999999996</v>
      </c>
      <c r="SZ12" s="23">
        <f t="shared" si="225"/>
        <v>4.9000000000000004</v>
      </c>
      <c r="TA12" s="23">
        <f t="shared" si="226"/>
        <v>8</v>
      </c>
      <c r="TB12" s="23">
        <f t="shared" si="227"/>
        <v>0</v>
      </c>
      <c r="TC12" s="28" t="s">
        <v>57</v>
      </c>
      <c r="TD12" s="41">
        <f t="shared" si="228"/>
        <v>3.9</v>
      </c>
      <c r="TE12" s="41">
        <f t="shared" si="229"/>
        <v>5.68</v>
      </c>
      <c r="TF12" s="41">
        <f t="shared" si="230"/>
        <v>15.879999999999999</v>
      </c>
      <c r="TG12" s="41">
        <f t="shared" si="231"/>
        <v>4.8</v>
      </c>
      <c r="TH12" s="41">
        <f t="shared" si="232"/>
        <v>8.93</v>
      </c>
      <c r="TI12" s="41">
        <f t="shared" si="233"/>
        <v>22.13</v>
      </c>
      <c r="TJ12" s="41">
        <f t="shared" si="234"/>
        <v>22.13</v>
      </c>
      <c r="TK12" s="41">
        <f t="shared" si="235"/>
        <v>4.9000000000000004</v>
      </c>
      <c r="TL12" s="41">
        <f t="shared" si="236"/>
        <v>8</v>
      </c>
      <c r="TM12" s="41">
        <f t="shared" si="237"/>
        <v>21.4</v>
      </c>
      <c r="TN12" s="41">
        <f t="shared" si="238"/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220</v>
      </c>
      <c r="C13" s="4" t="s">
        <v>8</v>
      </c>
      <c r="D13" s="4" t="s">
        <v>219</v>
      </c>
      <c r="E13" s="9">
        <f t="shared" si="0"/>
        <v>86.37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43.54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 t="shared" si="6"/>
        <v>2023 Nationals</v>
      </c>
      <c r="N13" s="8">
        <f t="shared" si="7"/>
        <v>2.5699999999999932</v>
      </c>
      <c r="O13" s="11" t="str">
        <f t="shared" si="8"/>
        <v>(Prelim)</v>
      </c>
      <c r="P13" s="8" t="str">
        <f t="shared" si="9"/>
        <v>2023 WAGC (Nov 16)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 t="shared" si="21"/>
        <v>9</v>
      </c>
      <c r="BI13" s="40">
        <f t="shared" si="22"/>
        <v>17.64</v>
      </c>
      <c r="BJ13" s="11">
        <f t="shared" si="23"/>
        <v>43.54</v>
      </c>
      <c r="BK13" s="11">
        <f t="shared" si="24"/>
        <v>9</v>
      </c>
      <c r="BL13" s="11">
        <f t="shared" si="25"/>
        <v>14.46</v>
      </c>
      <c r="BM13" s="11">
        <f t="shared" si="26"/>
        <v>40.260000000000005</v>
      </c>
      <c r="BN13" s="11">
        <f t="shared" si="27"/>
        <v>43.54</v>
      </c>
      <c r="BO13" s="11">
        <f t="shared" si="28"/>
        <v>5.8</v>
      </c>
      <c r="BP13" s="11">
        <f t="shared" si="29"/>
        <v>9.8800000000000008</v>
      </c>
      <c r="BQ13" s="11">
        <f t="shared" si="30"/>
        <v>26.18</v>
      </c>
      <c r="BR13" s="11">
        <f t="shared" si="31"/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>
        <f t="shared" si="43"/>
        <v>2.5699999999999932</v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>
        <v>7.2</v>
      </c>
      <c r="OQ13" s="18">
        <v>9.4499999999999993</v>
      </c>
      <c r="OR13" s="18">
        <v>9.6</v>
      </c>
      <c r="OS13" s="18">
        <v>16.579999999999998</v>
      </c>
      <c r="OT13" s="18">
        <v>0</v>
      </c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>
        <f t="shared" si="171"/>
        <v>9.6</v>
      </c>
      <c r="PK13" s="11">
        <f t="shared" si="172"/>
        <v>16.579999999999998</v>
      </c>
      <c r="PL13" s="11">
        <f t="shared" si="173"/>
        <v>42.83</v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>
        <f t="shared" si="177"/>
        <v>42.83</v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>
        <f t="shared" si="184"/>
        <v>42.83</v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3.85</v>
      </c>
      <c r="SO13" s="23">
        <f t="shared" si="214"/>
        <v>4.5999999999999996</v>
      </c>
      <c r="SP13" s="23">
        <f t="shared" si="215"/>
        <v>4.5</v>
      </c>
      <c r="SQ13" s="23">
        <f t="shared" si="216"/>
        <v>8.82</v>
      </c>
      <c r="SR13" s="23">
        <f t="shared" si="217"/>
        <v>0</v>
      </c>
      <c r="SS13" s="23">
        <f t="shared" si="218"/>
        <v>3.7250000000000001</v>
      </c>
      <c r="ST13" s="23">
        <f t="shared" si="219"/>
        <v>4.6749999999999998</v>
      </c>
      <c r="SU13" s="23">
        <f t="shared" si="220"/>
        <v>4.5</v>
      </c>
      <c r="SV13" s="23">
        <f t="shared" si="221"/>
        <v>7.23</v>
      </c>
      <c r="SW13" s="23">
        <f t="shared" si="222"/>
        <v>0</v>
      </c>
      <c r="SX13" s="23">
        <f t="shared" si="223"/>
        <v>2.4500000000000002</v>
      </c>
      <c r="SY13" s="23">
        <f t="shared" si="224"/>
        <v>2.8</v>
      </c>
      <c r="SZ13" s="23">
        <f t="shared" si="225"/>
        <v>2.9</v>
      </c>
      <c r="TA13" s="23">
        <f t="shared" si="226"/>
        <v>4.9400000000000004</v>
      </c>
      <c r="TB13" s="23">
        <f t="shared" si="227"/>
        <v>0</v>
      </c>
      <c r="TC13" s="28" t="s">
        <v>57</v>
      </c>
      <c r="TD13" s="41">
        <f t="shared" si="228"/>
        <v>4.5</v>
      </c>
      <c r="TE13" s="41">
        <f t="shared" si="229"/>
        <v>8.82</v>
      </c>
      <c r="TF13" s="41">
        <f t="shared" si="230"/>
        <v>21.77</v>
      </c>
      <c r="TG13" s="41">
        <f t="shared" si="231"/>
        <v>4.5</v>
      </c>
      <c r="TH13" s="41">
        <f t="shared" si="232"/>
        <v>7.23</v>
      </c>
      <c r="TI13" s="41">
        <f t="shared" si="233"/>
        <v>20.130000000000003</v>
      </c>
      <c r="TJ13" s="41">
        <f t="shared" si="234"/>
        <v>21.77</v>
      </c>
      <c r="TK13" s="41">
        <f t="shared" si="235"/>
        <v>2.9</v>
      </c>
      <c r="TL13" s="41">
        <f t="shared" si="236"/>
        <v>4.9400000000000004</v>
      </c>
      <c r="TM13" s="41">
        <f t="shared" si="237"/>
        <v>13.09</v>
      </c>
      <c r="TN13" s="41">
        <f t="shared" si="238"/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199</v>
      </c>
      <c r="C14" s="4" t="s">
        <v>3</v>
      </c>
      <c r="D14" s="4" t="s">
        <v>191</v>
      </c>
      <c r="E14" s="9">
        <f t="shared" si="0"/>
        <v>44.25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44.25</v>
      </c>
      <c r="O14" s="11" t="str">
        <f t="shared" si="8"/>
        <v>(Final)</v>
      </c>
      <c r="P14" s="8" t="str">
        <f t="shared" si="9"/>
        <v>2023 Pan Am [Club]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 t="str">
        <f t="shared" si="43"/>
        <v/>
      </c>
      <c r="CU14" s="52">
        <f t="shared" si="44"/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>
        <v>7.35</v>
      </c>
      <c r="ET14" s="18">
        <v>9</v>
      </c>
      <c r="EU14" s="18">
        <v>9.6</v>
      </c>
      <c r="EV14" s="18">
        <v>18.3</v>
      </c>
      <c r="EW14" s="18">
        <v>0</v>
      </c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>
        <f t="shared" si="69"/>
        <v>9.6</v>
      </c>
      <c r="FI14" s="11">
        <f t="shared" si="70"/>
        <v>18.3</v>
      </c>
      <c r="FJ14" s="11">
        <f t="shared" si="71"/>
        <v>44.25</v>
      </c>
      <c r="FK14" s="11">
        <f t="shared" si="72"/>
        <v>44.25</v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204</v>
      </c>
      <c r="C15" s="4" t="s">
        <v>203</v>
      </c>
      <c r="D15" s="4" t="s">
        <v>202</v>
      </c>
      <c r="E15" s="9">
        <f t="shared" si="0"/>
        <v>4.6800000000000006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4.6800000000000006</v>
      </c>
      <c r="O15" s="11" t="str">
        <f t="shared" si="8"/>
        <v>(Final)</v>
      </c>
      <c r="P15" s="8" t="str">
        <f t="shared" si="9"/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 t="str">
        <f t="shared" si="55"/>
        <v/>
      </c>
      <c r="EA15" s="41" t="str">
        <f t="shared" si="56"/>
        <v/>
      </c>
      <c r="EB15" s="41" t="str">
        <f t="shared" si="57"/>
        <v/>
      </c>
      <c r="EC15" s="41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>
        <v>0.75</v>
      </c>
      <c r="ET15" s="18">
        <v>0.85</v>
      </c>
      <c r="EU15" s="18">
        <v>1.3</v>
      </c>
      <c r="EV15" s="18">
        <v>1.78</v>
      </c>
      <c r="EW15" s="18">
        <v>0</v>
      </c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>
        <f t="shared" si="69"/>
        <v>1.3</v>
      </c>
      <c r="FI15" s="11">
        <f t="shared" si="70"/>
        <v>1.78</v>
      </c>
      <c r="FJ15" s="11">
        <f t="shared" si="71"/>
        <v>4.6800000000000006</v>
      </c>
      <c r="FK15" s="11">
        <f t="shared" si="72"/>
        <v>4.6800000000000006</v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5">
    <cfRule type="expression" dxfId="269" priority="46" stopIfTrue="1">
      <formula>IF($AF4&lt;&gt;"",1,0)</formula>
    </cfRule>
  </conditionalFormatting>
  <conditionalFormatting sqref="AR4:BR15">
    <cfRule type="expression" dxfId="268" priority="39" stopIfTrue="1">
      <formula>IF($BG4&lt;&gt;"",1,0)</formula>
    </cfRule>
  </conditionalFormatting>
  <conditionalFormatting sqref="BS4:CS15">
    <cfRule type="expression" dxfId="267" priority="38" stopIfTrue="1">
      <formula>IF($CH4&lt;&gt;"",1,0)</formula>
    </cfRule>
  </conditionalFormatting>
  <conditionalFormatting sqref="BO26:BO1048576 BH1:BH1048576 BK1:BK1048576 BO1:BO24">
    <cfRule type="cellIs" dxfId="266" priority="51" operator="between">
      <formula>$BR$21</formula>
      <formula>1000</formula>
    </cfRule>
    <cfRule type="cellIs" dxfId="265" priority="52" operator="between">
      <formula>$BR$20</formula>
      <formula>$BR$21</formula>
    </cfRule>
    <cfRule type="cellIs" dxfId="264" priority="53" operator="between">
      <formula>$BR$19</formula>
      <formula>$BR$20</formula>
    </cfRule>
    <cfRule type="cellIs" dxfId="263" priority="54" operator="between">
      <formula>$BR$18</formula>
      <formula>$BR$19</formula>
    </cfRule>
  </conditionalFormatting>
  <conditionalFormatting sqref="CP26:CP1048576 CI1:CI1048576 CL1:CL1048576 CP1:CP24">
    <cfRule type="cellIs" dxfId="262" priority="47" operator="between">
      <formula>$CS$21</formula>
      <formula>1000</formula>
    </cfRule>
    <cfRule type="cellIs" dxfId="261" priority="48" operator="between">
      <formula>$CS$20</formula>
      <formula>$CS$21</formula>
    </cfRule>
    <cfRule type="cellIs" dxfId="260" priority="49" operator="between">
      <formula>$CS$19</formula>
      <formula>$CS$20</formula>
    </cfRule>
    <cfRule type="cellIs" dxfId="259" priority="50" operator="between">
      <formula>$CS$18</formula>
      <formula>$CS$19</formula>
    </cfRule>
  </conditionalFormatting>
  <conditionalFormatting sqref="DZ26:DZ1048576 DP1:DP1048576 DS1:DS1048576 DW1:DW1048576 DZ1:DZ24">
    <cfRule type="cellIs" dxfId="258" priority="58" operator="between">
      <formula>$EC$21</formula>
      <formula>1000</formula>
    </cfRule>
    <cfRule type="cellIs" dxfId="257" priority="59" operator="between">
      <formula>$EC$20</formula>
      <formula>$EC$21</formula>
    </cfRule>
    <cfRule type="cellIs" dxfId="256" priority="60" operator="between">
      <formula>$EC$19</formula>
      <formula>$EC$20</formula>
    </cfRule>
    <cfRule type="cellIs" dxfId="255" priority="61" operator="between">
      <formula>$EC$18</formula>
      <formula>$EC$19</formula>
    </cfRule>
  </conditionalFormatting>
  <conditionalFormatting sqref="FH26:FH1048576 EX1:EX1048576 FA1:FA1048576 FE1:FE1048576 FH1:FH24">
    <cfRule type="cellIs" dxfId="254" priority="34" operator="between">
      <formula>$FK$21</formula>
      <formula>1000</formula>
    </cfRule>
    <cfRule type="cellIs" dxfId="253" priority="35" operator="between">
      <formula>$FK$20</formula>
      <formula>$FK$21</formula>
    </cfRule>
    <cfRule type="cellIs" dxfId="252" priority="36" operator="between">
      <formula>$FK$19</formula>
      <formula>$FK$20</formula>
    </cfRule>
    <cfRule type="cellIs" dxfId="251" priority="37" operator="between">
      <formula>$FK$18</formula>
      <formula>$FK$19</formula>
    </cfRule>
  </conditionalFormatting>
  <conditionalFormatting sqref="HX26:HX1048576 HN1:HN1048576 HQ1:HQ1048576 HU1:HU1048576 HX1:HX24">
    <cfRule type="cellIs" dxfId="250" priority="30" operator="between">
      <formula>$IA$21</formula>
      <formula>1000</formula>
    </cfRule>
    <cfRule type="cellIs" dxfId="249" priority="31" operator="between">
      <formula>$IA$20</formula>
      <formula>$IA$21</formula>
    </cfRule>
    <cfRule type="cellIs" dxfId="248" priority="32" operator="between">
      <formula>$IA$19</formula>
      <formula>$IA$20</formula>
    </cfRule>
    <cfRule type="cellIs" dxfId="247" priority="33" operator="between">
      <formula>$IA$18</formula>
      <formula>$IA$19</formula>
    </cfRule>
  </conditionalFormatting>
  <conditionalFormatting sqref="AO25 AG1:AG1048576 AJ1:AJ1048576 AN1:AN1048576">
    <cfRule type="cellIs" dxfId="246" priority="26" operator="between">
      <formula>$AQ$21</formula>
      <formula>1000</formula>
    </cfRule>
    <cfRule type="cellIs" dxfId="245" priority="27" operator="between">
      <formula>$AQ$20</formula>
      <formula>$AQ$21</formula>
    </cfRule>
    <cfRule type="cellIs" dxfId="244" priority="28" operator="between">
      <formula>$AQ$19</formula>
      <formula>$AQ$20</formula>
    </cfRule>
    <cfRule type="cellIs" dxfId="243" priority="29" operator="between">
      <formula>$AQ$18</formula>
      <formula>$AQ$19</formula>
    </cfRule>
  </conditionalFormatting>
  <conditionalFormatting sqref="BO25">
    <cfRule type="cellIs" dxfId="242" priority="22" operator="between">
      <formula>$AQ$21</formula>
      <formula>1000</formula>
    </cfRule>
    <cfRule type="cellIs" dxfId="241" priority="23" operator="between">
      <formula>$AQ$20</formula>
      <formula>$AQ$21</formula>
    </cfRule>
    <cfRule type="cellIs" dxfId="240" priority="24" operator="between">
      <formula>$AQ$19</formula>
      <formula>$AQ$20</formula>
    </cfRule>
    <cfRule type="cellIs" dxfId="239" priority="25" operator="between">
      <formula>$AQ$18</formula>
      <formula>$AQ$19</formula>
    </cfRule>
  </conditionalFormatting>
  <conditionalFormatting sqref="CP25">
    <cfRule type="cellIs" dxfId="238" priority="18" operator="between">
      <formula>$AQ$21</formula>
      <formula>1000</formula>
    </cfRule>
    <cfRule type="cellIs" dxfId="237" priority="19" operator="between">
      <formula>$AQ$20</formula>
      <formula>$AQ$21</formula>
    </cfRule>
    <cfRule type="cellIs" dxfId="236" priority="20" operator="between">
      <formula>$AQ$19</formula>
      <formula>$AQ$20</formula>
    </cfRule>
    <cfRule type="cellIs" dxfId="235" priority="21" operator="between">
      <formula>$AQ$18</formula>
      <formula>$AQ$19</formula>
    </cfRule>
  </conditionalFormatting>
  <conditionalFormatting sqref="DZ25">
    <cfRule type="cellIs" dxfId="234" priority="14" operator="between">
      <formula>$AQ$21</formula>
      <formula>1000</formula>
    </cfRule>
    <cfRule type="cellIs" dxfId="233" priority="15" operator="between">
      <formula>$AQ$20</formula>
      <formula>$AQ$21</formula>
    </cfRule>
    <cfRule type="cellIs" dxfId="232" priority="16" operator="between">
      <formula>$AQ$19</formula>
      <formula>$AQ$20</formula>
    </cfRule>
    <cfRule type="cellIs" dxfId="231" priority="17" operator="between">
      <formula>$AQ$18</formula>
      <formula>$AQ$19</formula>
    </cfRule>
  </conditionalFormatting>
  <conditionalFormatting sqref="FH25">
    <cfRule type="cellIs" dxfId="230" priority="10" operator="between">
      <formula>$AQ$21</formula>
      <formula>1000</formula>
    </cfRule>
    <cfRule type="cellIs" dxfId="229" priority="11" operator="between">
      <formula>$AQ$20</formula>
      <formula>$AQ$21</formula>
    </cfRule>
    <cfRule type="cellIs" dxfId="228" priority="12" operator="between">
      <formula>$AQ$19</formula>
      <formula>$AQ$20</formula>
    </cfRule>
    <cfRule type="cellIs" dxfId="227" priority="13" operator="between">
      <formula>$AQ$18</formula>
      <formula>$AQ$19</formula>
    </cfRule>
  </conditionalFormatting>
  <conditionalFormatting sqref="HX25">
    <cfRule type="cellIs" dxfId="226" priority="6" operator="between">
      <formula>$AQ$21</formula>
      <formula>1000</formula>
    </cfRule>
    <cfRule type="cellIs" dxfId="225" priority="7" operator="between">
      <formula>$AQ$20</formula>
      <formula>$AQ$21</formula>
    </cfRule>
    <cfRule type="cellIs" dxfId="224" priority="8" operator="between">
      <formula>$AQ$19</formula>
      <formula>$AQ$20</formula>
    </cfRule>
    <cfRule type="cellIs" dxfId="223" priority="9" operator="between">
      <formula>$AQ$18</formula>
      <formula>$AQ$19</formula>
    </cfRule>
  </conditionalFormatting>
  <conditionalFormatting sqref="GP26:GP1048576 GF1:GF1048576 GI1:GI1048576 GM1:GM1048576 GP1:GP24">
    <cfRule type="cellIs" dxfId="222" priority="89" operator="between">
      <formula>$GS$21</formula>
      <formula>1000</formula>
    </cfRule>
    <cfRule type="cellIs" dxfId="221" priority="90" operator="between">
      <formula>$GS$20</formula>
      <formula>$GS$21</formula>
    </cfRule>
    <cfRule type="cellIs" dxfId="220" priority="91" operator="between">
      <formula>$GS$19</formula>
      <formula>$GS$20</formula>
    </cfRule>
    <cfRule type="cellIs" dxfId="219" priority="92" operator="between">
      <formula>$GS$18</formula>
      <formula>$GS$19</formula>
    </cfRule>
  </conditionalFormatting>
  <conditionalFormatting sqref="GP25">
    <cfRule type="cellIs" dxfId="218" priority="2" operator="between">
      <formula>$AQ$21</formula>
      <formula>1000</formula>
    </cfRule>
    <cfRule type="cellIs" dxfId="217" priority="3" operator="between">
      <formula>$AQ$20</formula>
      <formula>$AQ$21</formula>
    </cfRule>
    <cfRule type="cellIs" dxfId="216" priority="4" operator="between">
      <formula>$AQ$19</formula>
      <formula>$AQ$20</formula>
    </cfRule>
    <cfRule type="cellIs" dxfId="215" priority="5" operator="between">
      <formula>$AQ$18</formula>
      <formula>$AQ$19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AQ$25</formula>
      <formula>1000</formula>
    </cfRule>
    <cfRule type="cellIs" dxfId="210" priority="84778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EC$25</formula>
      <formula>1000</formula>
    </cfRule>
    <cfRule type="cellIs" dxfId="208" priority="84790" operator="between">
      <formula>EC$24</formula>
      <formula>EC$25</formula>
    </cfRule>
  </conditionalFormatting>
  <conditionalFormatting sqref="AI1:AI1048576 AL1:AL1048576 AP1:AP1048576">
    <cfRule type="cellIs" dxfId="207" priority="84861" operator="between">
      <formula>$AQ$25</formula>
      <formula>1000</formula>
    </cfRule>
    <cfRule type="cellIs" dxfId="206" priority="84862" operator="between">
      <formula>$AQ$24</formula>
      <formula>$AQ$25</formula>
    </cfRule>
    <cfRule type="cellIs" dxfId="205" priority="84863" operator="between">
      <formula>$AQ$23</formula>
      <formula>$AQ$24</formula>
    </cfRule>
    <cfRule type="cellIs" dxfId="204" priority="84864" operator="between">
      <formula>$AQ$22</formula>
      <formula>$AQ$23</formula>
    </cfRule>
  </conditionalFormatting>
  <conditionalFormatting sqref="BJ1:BJ1048576 BM1:BM1048576 BQ1:BQ1048576">
    <cfRule type="cellIs" dxfId="203" priority="84897" operator="between">
      <formula>$BR$25</formula>
      <formula>1000</formula>
    </cfRule>
    <cfRule type="cellIs" dxfId="202" priority="84898" operator="between">
      <formula>$BR$24</formula>
      <formula>$BR$25</formula>
    </cfRule>
    <cfRule type="cellIs" dxfId="201" priority="84899" operator="between">
      <formula>$BR$23</formula>
      <formula>$BR$24</formula>
    </cfRule>
    <cfRule type="cellIs" dxfId="200" priority="84900" operator="between">
      <formula>$BR$22</formula>
      <formula>$BR$23</formula>
    </cfRule>
  </conditionalFormatting>
  <conditionalFormatting sqref="CK1:CK1048576 CN1:CN1048576 CR1:CR1048576">
    <cfRule type="cellIs" dxfId="199" priority="84933" operator="between">
      <formula>$CS$25</formula>
      <formula>1000</formula>
    </cfRule>
    <cfRule type="cellIs" dxfId="198" priority="84934" operator="between">
      <formula>$CS$24</formula>
      <formula>$CS$25</formula>
    </cfRule>
    <cfRule type="cellIs" dxfId="197" priority="84935" operator="between">
      <formula>$CS$23</formula>
      <formula>$CS$24</formula>
    </cfRule>
    <cfRule type="cellIs" dxfId="196" priority="84936" operator="between">
      <formula>$CS$22</formula>
      <formula>$CS$23</formula>
    </cfRule>
  </conditionalFormatting>
  <conditionalFormatting sqref="MT1:MT1048576 MW1:MW1048576 NA1:NA1048576 ND1:ND1048576">
    <cfRule type="cellIs" dxfId="195" priority="84969" operator="between">
      <formula>$NG$18</formula>
      <formula>$NG$19</formula>
    </cfRule>
    <cfRule type="cellIs" dxfId="194" priority="84970" operator="between">
      <formula>$NG$19</formula>
      <formula>$NG$20</formula>
    </cfRule>
    <cfRule type="cellIs" dxfId="193" priority="84971" stopIfTrue="1" operator="between">
      <formula>$NG$20</formula>
      <formula>$NG$21</formula>
    </cfRule>
    <cfRule type="cellIs" dxfId="192" priority="84972" stopIfTrue="1" operator="between">
      <formula>$NG$21</formula>
      <formula>1000</formula>
    </cfRule>
  </conditionalFormatting>
  <conditionalFormatting sqref="DR1:DR1048576 DU1:DU1048576 DY1:DY1048576 EB1:EB1048576">
    <cfRule type="cellIs" dxfId="191" priority="85017" operator="between">
      <formula>$EC$25</formula>
      <formula>1000</formula>
    </cfRule>
    <cfRule type="cellIs" dxfId="190" priority="85018" operator="between">
      <formula>$EC$24</formula>
      <formula>$EC$25</formula>
    </cfRule>
    <cfRule type="cellIs" dxfId="189" priority="85019" operator="between">
      <formula>$EC$23</formula>
      <formula>$EC$24</formula>
    </cfRule>
    <cfRule type="cellIs" dxfId="188" priority="85020" operator="between">
      <formula>$EC$22</formula>
      <formula>$EC$23</formula>
    </cfRule>
  </conditionalFormatting>
  <conditionalFormatting sqref="EZ1:EZ1048576 FC1:FC1048576 FG1:FG1048576 FJ1:FJ1048576">
    <cfRule type="cellIs" dxfId="187" priority="85065" operator="between">
      <formula>$FK$25</formula>
      <formula>1000</formula>
    </cfRule>
    <cfRule type="cellIs" dxfId="186" priority="85066" operator="between">
      <formula>$FK$24</formula>
      <formula>$FK$25</formula>
    </cfRule>
    <cfRule type="cellIs" dxfId="185" priority="85067" operator="between">
      <formula>$FK$23</formula>
      <formula>$FK$24</formula>
    </cfRule>
    <cfRule type="cellIs" dxfId="184" priority="85068" operator="between">
      <formula>$FK$22</formula>
      <formula>$FK$23</formula>
    </cfRule>
  </conditionalFormatting>
  <conditionalFormatting sqref="GH1:GH1048576 GK1:GK1048576 GO1:GO1048576 GR1:GR1048576">
    <cfRule type="cellIs" dxfId="183" priority="85157" operator="between">
      <formula>$GS$25</formula>
      <formula>1000</formula>
    </cfRule>
    <cfRule type="cellIs" dxfId="182" priority="85158" operator="between">
      <formula>$GS$24</formula>
      <formula>$GS$25</formula>
    </cfRule>
    <cfRule type="cellIs" dxfId="181" priority="85159" operator="between">
      <formula>$GS$23</formula>
      <formula>$GS$24</formula>
    </cfRule>
    <cfRule type="cellIs" dxfId="180" priority="85160" operator="between">
      <formula>$GS$22</formula>
      <formula>$GS$23</formula>
    </cfRule>
  </conditionalFormatting>
  <conditionalFormatting sqref="HP1:HP1048576 HS1:HS1048576 HW1:HW1048576 HZ1:HZ1048576">
    <cfRule type="cellIs" dxfId="179" priority="85205" operator="between">
      <formula>$IA$25</formula>
      <formula>1000</formula>
    </cfRule>
    <cfRule type="cellIs" dxfId="178" priority="85206" operator="between">
      <formula>$IA$24</formula>
      <formula>$IA$25</formula>
    </cfRule>
    <cfRule type="cellIs" dxfId="177" priority="85207" operator="between">
      <formula>$IA$23</formula>
      <formula>$IA$24</formula>
    </cfRule>
    <cfRule type="cellIs" dxfId="176" priority="85208" operator="between">
      <formula>$IA$22</formula>
      <formula>$IA$23</formula>
    </cfRule>
  </conditionalFormatting>
  <conditionalFormatting sqref="IV1:IV1048576 IY1:IY1048576 JC1:JC1048576 JF1:JF1048576">
    <cfRule type="cellIs" dxfId="175" priority="85253" operator="between">
      <formula>$JI$21</formula>
      <formula>1000</formula>
    </cfRule>
    <cfRule type="cellIs" dxfId="174" priority="85254" operator="between">
      <formula>$JI$20</formula>
      <formula>$JI$21</formula>
    </cfRule>
    <cfRule type="cellIs" dxfId="173" priority="85255" operator="between">
      <formula>$JI$19</formula>
      <formula>$JI$20</formula>
    </cfRule>
    <cfRule type="cellIs" dxfId="172" priority="85256" operator="between">
      <formula>$JI$18</formula>
      <formula>$JI$19</formula>
    </cfRule>
  </conditionalFormatting>
  <conditionalFormatting sqref="IX1:IX1048576 JA1:JA1048576 JE1:JE1048576 JH1:JH1048576">
    <cfRule type="cellIs" dxfId="171" priority="85301" operator="between">
      <formula>$JI$25</formula>
      <formula>1000</formula>
    </cfRule>
    <cfRule type="cellIs" dxfId="170" priority="85302" operator="between">
      <formula>$JI$24</formula>
      <formula>$JI$25</formula>
    </cfRule>
    <cfRule type="cellIs" dxfId="169" priority="85303" operator="between">
      <formula>$JI$23</formula>
      <formula>$JI$24</formula>
    </cfRule>
    <cfRule type="cellIs" dxfId="168" priority="85304" operator="between">
      <formula>$JI$22</formula>
      <formula>$JI$23</formula>
    </cfRule>
  </conditionalFormatting>
  <conditionalFormatting sqref="KD1:KD1048576 KG1:KG1048576 KK1:KK1048576 KN1:KN1048576">
    <cfRule type="cellIs" dxfId="167" priority="85349" operator="between">
      <formula>$KQ$21</formula>
      <formula>1000</formula>
    </cfRule>
    <cfRule type="cellIs" dxfId="166" priority="85350" operator="between">
      <formula>$KQ$20</formula>
      <formula>$KQ$21</formula>
    </cfRule>
    <cfRule type="cellIs" dxfId="165" priority="85351" operator="between">
      <formula>$KQ$19</formula>
      <formula>$KQ$20</formula>
    </cfRule>
    <cfRule type="cellIs" dxfId="164" priority="85352" operator="between">
      <formula>$KQ$18</formula>
      <formula>$KQ$19</formula>
    </cfRule>
  </conditionalFormatting>
  <conditionalFormatting sqref="KF1:KF1048576 KI1:KI1048576 KM1:KM1048576 KP1:KP1048576">
    <cfRule type="cellIs" dxfId="163" priority="85397" operator="between">
      <formula>$KQ$25</formula>
      <formula>1000</formula>
    </cfRule>
    <cfRule type="cellIs" dxfId="162" priority="85398" operator="between">
      <formula>$KQ$24</formula>
      <formula>$KQ$25</formula>
    </cfRule>
    <cfRule type="cellIs" dxfId="161" priority="85399" operator="between">
      <formula>$KQ$23</formula>
      <formula>$KQ$24</formula>
    </cfRule>
    <cfRule type="cellIs" dxfId="160" priority="85400" operator="between">
      <formula>$KQ$22</formula>
      <formula>$KQ$23</formula>
    </cfRule>
  </conditionalFormatting>
  <conditionalFormatting sqref="LL1:LL1048576 LO1:LO1048576 LS1:LS1048576 LV1:LV1048576">
    <cfRule type="cellIs" dxfId="159" priority="85445" operator="between">
      <formula>$LY$21</formula>
      <formula>1000</formula>
    </cfRule>
    <cfRule type="cellIs" dxfId="158" priority="85446" operator="between">
      <formula>$LY$20</formula>
      <formula>$LY$21</formula>
    </cfRule>
    <cfRule type="cellIs" dxfId="157" priority="85447" operator="between">
      <formula>$LY$19</formula>
      <formula>$LY$20</formula>
    </cfRule>
    <cfRule type="cellIs" dxfId="156" priority="85448" operator="between">
      <formula>$LY$18</formula>
      <formula>$LY$19</formula>
    </cfRule>
  </conditionalFormatting>
  <conditionalFormatting sqref="LN1:LN1048576 LQ1:LQ1048576 LU1:LU1048576 LX1:LX1048576">
    <cfRule type="cellIs" dxfId="155" priority="85493" operator="between">
      <formula>$LY$25</formula>
      <formula>1000</formula>
    </cfRule>
    <cfRule type="cellIs" dxfId="154" priority="85494" operator="between">
      <formula>$LY$24</formula>
      <formula>$LY$25</formula>
    </cfRule>
    <cfRule type="cellIs" dxfId="153" priority="85495" operator="between">
      <formula>$LY$23</formula>
      <formula>$LY$24</formula>
    </cfRule>
    <cfRule type="cellIs" dxfId="152" priority="85496" operator="between">
      <formula>$LY$22</formula>
      <formula>$LY$23</formula>
    </cfRule>
  </conditionalFormatting>
  <conditionalFormatting sqref="MV1:MV1048576 MY1:MY1048576 NC1:NC1048576 NF1:NF1048576">
    <cfRule type="cellIs" dxfId="151" priority="85541" operator="between">
      <formula>$NG$25</formula>
      <formula>1000</formula>
    </cfRule>
    <cfRule type="cellIs" dxfId="150" priority="85542" operator="between">
      <formula>$NG$24</formula>
      <formula>$NG$25</formula>
    </cfRule>
    <cfRule type="cellIs" dxfId="149" priority="85543" operator="between">
      <formula>$NG$23</formula>
      <formula>$NG$24</formula>
    </cfRule>
    <cfRule type="cellIs" dxfId="148" priority="85544" operator="between">
      <formula>$NG$22</formula>
      <formula>$NG$23</formula>
    </cfRule>
  </conditionalFormatting>
  <conditionalFormatting sqref="OB1:OB1048576 OE1:OE1048576 OI1:OI1048576 OL1:OL1048576">
    <cfRule type="cellIs" dxfId="147" priority="85589" operator="between">
      <formula>$OO$21</formula>
      <formula>1000</formula>
    </cfRule>
    <cfRule type="cellIs" dxfId="146" priority="85590" operator="between">
      <formula>$OO$20</formula>
      <formula>$OO$21</formula>
    </cfRule>
    <cfRule type="cellIs" dxfId="145" priority="85591" operator="between">
      <formula>$OO$19</formula>
      <formula>$OO$20</formula>
    </cfRule>
    <cfRule type="cellIs" dxfId="144" priority="85592" operator="between">
      <formula>$OO$18</formula>
      <formula>$OO$19</formula>
    </cfRule>
  </conditionalFormatting>
  <conditionalFormatting sqref="OD1:OD1048576 OG1:OG1048576 OK1:OK1048576 ON1:ON1048576">
    <cfRule type="cellIs" dxfId="143" priority="85637" operator="between">
      <formula>$OO$25</formula>
      <formula>1000</formula>
    </cfRule>
    <cfRule type="cellIs" dxfId="142" priority="85638" operator="between">
      <formula>$OO$24</formula>
      <formula>$OO$25</formula>
    </cfRule>
    <cfRule type="cellIs" dxfId="141" priority="85639" operator="between">
      <formula>$OO$23</formula>
      <formula>$OO$24</formula>
    </cfRule>
    <cfRule type="cellIs" dxfId="140" priority="85640" operator="between">
      <formula>$OO$22</formula>
      <formula>$OO$23</formula>
    </cfRule>
  </conditionalFormatting>
  <conditionalFormatting sqref="PJ1:PJ1048576 PM1:PM1048576 PQ1:PQ1048576 PT1:PT1048576">
    <cfRule type="cellIs" dxfId="139" priority="85685" operator="between">
      <formula>$PW$21</formula>
      <formula>1000</formula>
    </cfRule>
    <cfRule type="cellIs" dxfId="138" priority="85686" operator="between">
      <formula>$PW$20</formula>
      <formula>$PW$21</formula>
    </cfRule>
    <cfRule type="cellIs" dxfId="137" priority="85687" operator="between">
      <formula>$PW$19</formula>
      <formula>$PW$20</formula>
    </cfRule>
    <cfRule type="cellIs" dxfId="136" priority="85688" operator="between">
      <formula>$PW$18</formula>
      <formula>$PW$19</formula>
    </cfRule>
  </conditionalFormatting>
  <conditionalFormatting sqref="PL1:PL1048576 PO1:PO1048576 PS1:PS1048576 PV1:PV1048576">
    <cfRule type="cellIs" dxfId="135" priority="85733" operator="between">
      <formula>$PW$25</formula>
      <formula>1000</formula>
    </cfRule>
    <cfRule type="cellIs" dxfId="134" priority="85734" operator="between">
      <formula>$PW$24</formula>
      <formula>$PW$25</formula>
    </cfRule>
    <cfRule type="cellIs" dxfId="133" priority="85735" operator="between">
      <formula>$PW$23</formula>
      <formula>$PW$24</formula>
    </cfRule>
    <cfRule type="cellIs" dxfId="132" priority="85736" operator="between">
      <formula>$PW$22</formula>
      <formula>$PW$23</formula>
    </cfRule>
  </conditionalFormatting>
  <conditionalFormatting sqref="QR1:QR1048576 QU1:QU1048576 QY1:QY1048576 RB1:RB1048576">
    <cfRule type="cellIs" dxfId="131" priority="85781" operator="between">
      <formula>$RE$21</formula>
      <formula>1000</formula>
    </cfRule>
    <cfRule type="cellIs" dxfId="130" priority="85782" operator="between">
      <formula>$RE$20</formula>
      <formula>$RE$21</formula>
    </cfRule>
    <cfRule type="cellIs" dxfId="129" priority="85783" operator="between">
      <formula>$RE$19</formula>
      <formula>$RE$20</formula>
    </cfRule>
    <cfRule type="cellIs" dxfId="128" priority="85784" operator="between">
      <formula>$RE$18</formula>
      <formula>$RE$19</formula>
    </cfRule>
  </conditionalFormatting>
  <conditionalFormatting sqref="QT1:QT1048576 QW1:QW1048576 RA1:RA1048576 RD1:RD1048576">
    <cfRule type="cellIs" dxfId="127" priority="85829" operator="between">
      <formula>$RE$25</formula>
      <formula>1000</formula>
    </cfRule>
    <cfRule type="cellIs" dxfId="126" priority="85830" operator="between">
      <formula>$RE$24</formula>
      <formula>$RE$25</formula>
    </cfRule>
    <cfRule type="cellIs" dxfId="125" priority="85831" operator="between">
      <formula>$RE$23</formula>
      <formula>$RE$24</formula>
    </cfRule>
    <cfRule type="cellIs" dxfId="124" priority="85832" operator="between">
      <formula>$RE$22</formula>
      <formula>$RE$23</formula>
    </cfRule>
  </conditionalFormatting>
  <conditionalFormatting sqref="RZ1:RZ1048576 SC1:SC1048576 SG1:SG1048576 SJ1:SJ1048576">
    <cfRule type="cellIs" dxfId="123" priority="85877" operator="between">
      <formula>$SM$21</formula>
      <formula>1000</formula>
    </cfRule>
    <cfRule type="cellIs" dxfId="122" priority="85878" operator="between">
      <formula>$SM$20</formula>
      <formula>$SM$21</formula>
    </cfRule>
    <cfRule type="cellIs" dxfId="121" priority="85879" operator="between">
      <formula>$SM$19</formula>
      <formula>$SM$20</formula>
    </cfRule>
    <cfRule type="cellIs" dxfId="120" priority="85880" operator="between">
      <formula>$SM$18</formula>
      <formula>$SM$19</formula>
    </cfRule>
  </conditionalFormatting>
  <conditionalFormatting sqref="SB1:SB1048576 SE1:SE1048576 SI1:SI1048576 SL1:SL1048576">
    <cfRule type="cellIs" dxfId="119" priority="85925" operator="between">
      <formula>$SM$25</formula>
      <formula>1000</formula>
    </cfRule>
    <cfRule type="cellIs" dxfId="118" priority="85926" operator="between">
      <formula>$SM$24</formula>
      <formula>$SM$25</formula>
    </cfRule>
    <cfRule type="cellIs" dxfId="117" priority="85927" operator="between">
      <formula>$SM$23</formula>
      <formula>$SM$24</formula>
    </cfRule>
    <cfRule type="cellIs" dxfId="116" priority="85928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205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224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242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250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178</v>
      </c>
      <c r="C4" s="4" t="s">
        <v>3</v>
      </c>
      <c r="D4" s="4">
        <v>2006</v>
      </c>
      <c r="E4" s="9">
        <f t="shared" ref="E4:E11" si="0">SUM(J4:R4)+SUM(J4:N4)*0.0000001+SUM(J4)*0.0000000000001</f>
        <v>184.60001287000523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 t="shared" ref="I4:I9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 t="shared" ref="K4:K11" si="5">IF(J4=0,"",IF(J4=CW4,$CA$1,IF(J4=BT4,$AX$1,IF(J4=AQ4,$U$1,""))))</f>
        <v>2023 Domestic 3rd Trial</v>
      </c>
      <c r="L4" s="8">
        <f>IF(COUNT(AQ4,BT4,CW4)&gt;1,LARGE((AQ4,BT4,CW4),2),0)</f>
        <v>51</v>
      </c>
      <c r="M4" s="8" t="str">
        <f t="shared" ref="M4:M11" si="6">IF(L4=0,"",IF(L4=CW4,$CA$1,IF(L4=BT4,$AX$1,IF(L4=AQ4,$U$1,""))))</f>
        <v>2023 Nationals</v>
      </c>
      <c r="N4" s="8">
        <f>IF(COUNT(AR4,BU4,CX4)&gt;0,LARGE((AR4,BU4,CX4),1),0)</f>
        <v>25.8</v>
      </c>
      <c r="O4" s="8" t="str">
        <f t="shared" ref="O4:O11" si="7">IF(N4=0,"",IF(N4=CX4,$CA$1,IF(N4=BU4,$AX$1,IF(N4=AR4,$U$1,""))))</f>
        <v>2023 Domestic 3rd Trial</v>
      </c>
      <c r="P4" s="8">
        <f t="shared" ref="P4:P11" si="8">IF(MAX(AV4,BY4,DB4)&gt;0,MAX(AV4,BY4,DB4),0)</f>
        <v>52.2</v>
      </c>
      <c r="Q4" s="8" t="str">
        <f t="shared" ref="Q4:Q11" si="9">IF(P4=0,"",IF(P4=DB4,$CA$1,IF(P4=BY4,$AX$1,IF(P4=AV4,$U$1,""))))</f>
        <v>2023 Domestic 3rd Trial</v>
      </c>
      <c r="R4" s="8">
        <f t="shared" ref="R4:R11" si="10">IF(MAX(DD4:DF4)&gt;0,MAX(DD4:DF4),"")</f>
        <v>3.7000000000000028</v>
      </c>
      <c r="S4" s="11" t="str">
        <f t="shared" ref="S4:S11" si="11">IF(R4="","",IF(R4=DD4,"("&amp;DD$2&amp;")",IF(R4=DE4,"("&amp;DE$2&amp;")",IF(R4=DF4,"("&amp;DF$2&amp;")"))))</f>
        <v>(Q1)</v>
      </c>
      <c r="T4" s="8" t="str">
        <f t="shared" ref="T4:T11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16.899999999999999</v>
      </c>
      <c r="V4" s="19">
        <v>3.3</v>
      </c>
      <c r="W4" s="19">
        <v>0</v>
      </c>
      <c r="X4" s="19">
        <v>0</v>
      </c>
      <c r="Y4" s="19">
        <v>18.5</v>
      </c>
      <c r="Z4" s="19">
        <v>6.9</v>
      </c>
      <c r="AA4" s="19">
        <v>0</v>
      </c>
      <c r="AB4" s="19">
        <v>0</v>
      </c>
      <c r="AC4" s="19">
        <v>18.600000000000001</v>
      </c>
      <c r="AD4" s="19">
        <v>6.5</v>
      </c>
      <c r="AE4" s="19">
        <v>0</v>
      </c>
      <c r="AF4" s="19">
        <v>0</v>
      </c>
      <c r="AG4" s="19">
        <v>18.899999999999999</v>
      </c>
      <c r="AH4" s="19">
        <v>6.9</v>
      </c>
      <c r="AI4" s="19">
        <v>0</v>
      </c>
      <c r="AJ4" s="19">
        <v>0</v>
      </c>
      <c r="AK4" s="19">
        <v>18</v>
      </c>
      <c r="AL4" s="19">
        <v>6.9</v>
      </c>
      <c r="AM4" s="19">
        <v>0</v>
      </c>
      <c r="AN4" s="19">
        <v>0</v>
      </c>
      <c r="AO4" s="28"/>
      <c r="AP4" s="41">
        <f t="shared" ref="AP4:AP11" si="13">IF(SUM(V4,Z4)&gt;0,SUM(V4,Z4),"")</f>
        <v>10.199999999999999</v>
      </c>
      <c r="AQ4" s="41">
        <f t="shared" ref="AQ4:AQ11" si="14">IF(SUM(U4:V4,X4:Z4,AB4)-W4-AA4&gt;0,SUM(U4:V4,X4:Z4,AB4)-W4-AA4,"")</f>
        <v>45.6</v>
      </c>
      <c r="AR4" s="41">
        <f t="shared" ref="AR4:AR11" si="15">IF(SUM(AC4:AD4,AF4)-AE4&gt;0,SUM(AC4:AD4,AF4)-AE4,"")</f>
        <v>25.1</v>
      </c>
      <c r="AS4" s="41">
        <f t="shared" ref="AS4:AS11" si="16">IF(SUM(V4,Z4,AD4)&gt;0,SUM(V4,Z4,AD4),"")</f>
        <v>16.7</v>
      </c>
      <c r="AT4" s="41">
        <f t="shared" ref="AT4:AT11" si="17">IF(SUM(AQ4,AR4)&gt;0,SUM(AQ4,AR4),"")</f>
        <v>70.7</v>
      </c>
      <c r="AU4" s="41">
        <f t="shared" ref="AU4:AU11" si="18">IF(SUM(AH4,AL4)&gt;0,SUM(AH4,AL4),"")</f>
        <v>13.8</v>
      </c>
      <c r="AV4" s="41">
        <f t="shared" ref="AV4:AV11" si="19">IF(SUM(AG4:AH4,AJ4:AL4,AN4)-SUM(AI4,AM4)&gt;0,SUM(AG4:AH4,AJ4:AL4,AN4)-SUM(AI4,AM4),"")</f>
        <v>50.699999999999996</v>
      </c>
      <c r="AW4" s="41">
        <f t="shared" ref="AW4:AW11" si="20">IF(SUM(AQ4,AR4,AV4)&gt;0,SUM(AQ4,AR4,AV4),"")</f>
        <v>121.4</v>
      </c>
      <c r="AX4" s="18">
        <v>17.8</v>
      </c>
      <c r="AY4" s="18">
        <v>7.3</v>
      </c>
      <c r="AZ4" s="18">
        <v>0</v>
      </c>
      <c r="BA4" s="18">
        <v>0</v>
      </c>
      <c r="BB4" s="18">
        <v>17.399999999999999</v>
      </c>
      <c r="BC4" s="18">
        <v>8.5</v>
      </c>
      <c r="BD4" s="18">
        <v>0</v>
      </c>
      <c r="BE4" s="18">
        <v>0</v>
      </c>
      <c r="BF4" s="18">
        <v>17.399999999999999</v>
      </c>
      <c r="BG4" s="18">
        <v>8.1999999999999993</v>
      </c>
      <c r="BH4" s="18">
        <v>0</v>
      </c>
      <c r="BI4" s="18">
        <v>0</v>
      </c>
      <c r="BJ4" s="18">
        <v>18.2</v>
      </c>
      <c r="BK4" s="18">
        <v>8.1999999999999993</v>
      </c>
      <c r="BL4" s="18">
        <v>0</v>
      </c>
      <c r="BM4" s="18">
        <v>0</v>
      </c>
      <c r="BN4" s="18">
        <v>16.8</v>
      </c>
      <c r="BO4" s="18">
        <v>6.5</v>
      </c>
      <c r="BP4" s="18">
        <v>0</v>
      </c>
      <c r="BQ4" s="18">
        <v>0</v>
      </c>
      <c r="BR4" s="29"/>
      <c r="BS4" s="11">
        <f t="shared" ref="BS4:BS11" si="21">IF(SUM(AY4,BC4)&gt;0,SUM(AY4,BC4),"")</f>
        <v>15.8</v>
      </c>
      <c r="BT4" s="11">
        <f t="shared" ref="BT4:BT11" si="22">IF(SUM(AX4:AY4,BA4:BC4,BE4)-AZ4-BD4&gt;0,SUM(AX4:AY4,BA4:BC4,BE4)-AZ4-BD4,"")</f>
        <v>51</v>
      </c>
      <c r="BU4" s="11">
        <f t="shared" ref="BU4:BU11" si="23">IF(SUM(BF4:BG4,BI4)-BH4&gt;0,SUM(BF4:BG4,BI4)-BH4,"")</f>
        <v>25.599999999999998</v>
      </c>
      <c r="BV4" s="11">
        <f t="shared" ref="BV4:BV11" si="24">IF(SUM(AY4,BC4,BG4)&gt;0,SUM(AY4,BC4,BG4),"")</f>
        <v>24</v>
      </c>
      <c r="BW4" s="11">
        <f t="shared" ref="BW4:BW11" si="25">IF(SUM(BT4,BU4)&gt;0,SUM(BT4,BU4),"")</f>
        <v>76.599999999999994</v>
      </c>
      <c r="BX4" s="11">
        <f t="shared" ref="BX4:BX11" si="26">IF(SUM(BK4,BO4)&gt;0,SUM(BK4,BO4),"")</f>
        <v>14.7</v>
      </c>
      <c r="BY4" s="11">
        <f t="shared" ref="BY4:BY11" si="27">IF(SUM(BJ4:BK4,BM4:BO4,BQ4)-SUM(BL4,BP4)&gt;0,SUM(BJ4:BK4,BM4:BO4,BQ4)-SUM(BL4,BP4),"")</f>
        <v>49.7</v>
      </c>
      <c r="BZ4" s="11">
        <f t="shared" ref="BZ4:BZ11" si="28">IF(SUM(BT4,BU4,BY4)&gt;0,SUM(BT4,BU4,BY4),"")</f>
        <v>126.3</v>
      </c>
      <c r="CA4" s="19">
        <v>17.8</v>
      </c>
      <c r="CB4" s="19">
        <v>8.1999999999999993</v>
      </c>
      <c r="CC4" s="19">
        <v>0</v>
      </c>
      <c r="CD4" s="19">
        <v>0</v>
      </c>
      <c r="CE4" s="19">
        <v>18.2</v>
      </c>
      <c r="CF4" s="19">
        <v>7.7</v>
      </c>
      <c r="CG4" s="19">
        <v>0</v>
      </c>
      <c r="CH4" s="19">
        <v>0</v>
      </c>
      <c r="CI4" s="19">
        <v>17.600000000000001</v>
      </c>
      <c r="CJ4" s="19">
        <v>8.1999999999999993</v>
      </c>
      <c r="CK4" s="19">
        <v>0</v>
      </c>
      <c r="CL4" s="19">
        <v>0</v>
      </c>
      <c r="CM4" s="19">
        <v>18.100000000000001</v>
      </c>
      <c r="CN4" s="19">
        <v>8.1999999999999993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8"/>
      <c r="CV4" s="41">
        <f t="shared" ref="CV4:CV11" si="29">IF(SUM(CB4,CF4)&gt;0,SUM(CB4,CF4),"")</f>
        <v>15.899999999999999</v>
      </c>
      <c r="CW4" s="41">
        <f t="shared" ref="CW4:CW11" si="30">IF(SUM(CA4:CB4,CD4:CF4,CH4)-CC4-CG4&gt;0,SUM(CA4:CB4,CD4:CF4,CH4)-CC4-CG4,"")</f>
        <v>51.900000000000006</v>
      </c>
      <c r="CX4" s="41">
        <f t="shared" ref="CX4:CX11" si="31">IF(SUM(CI4:CJ4,CL4)-CK4&gt;0,SUM(CI4:CJ4,CL4)-CK4,"")</f>
        <v>25.8</v>
      </c>
      <c r="CY4" s="41">
        <f t="shared" ref="CY4:CY11" si="32">IF(SUM(CB4,CF4,CJ4)&gt;0,SUM(CB4,CF4,CJ4),"")</f>
        <v>24.099999999999998</v>
      </c>
      <c r="CZ4" s="41">
        <f t="shared" ref="CZ4:CZ11" si="33">IF(SUM(CW4,CX4)&gt;0,SUM(CW4,CX4),"")</f>
        <v>77.7</v>
      </c>
      <c r="DA4" s="41">
        <f t="shared" ref="DA4:DA11" si="34">IF(SUM(CN4,CR4)&gt;0,SUM(CN4,CR4),"")</f>
        <v>15.899999999999999</v>
      </c>
      <c r="DB4" s="41">
        <f t="shared" ref="DB4:DB11" si="35">IF(SUM(CM4:CN4,CP4:CR4,CT4)-SUM(CO4,CS4)&gt;0,SUM(CM4:CN4,CP4:CR4,CT4)-SUM(CO4,CS4),"")</f>
        <v>52.2</v>
      </c>
      <c r="DC4" s="41">
        <f t="shared" ref="DC4:DC11" si="36">IF(SUM(CW4,CX4,DB4)&gt;0,SUM(CW4,CX4,DB4),"")</f>
        <v>129.9</v>
      </c>
      <c r="DD4" s="52">
        <f t="shared" ref="DD4:DD11" si="37">IF(MAX(EB4,FD4,GF4,HH4,IJ4,JL4,KN4,LP4,MR4,NT4,OV4,PX4)-IF(L4="",0,L4)&gt;0.001,MAX(EB4,FD4,GF4,HH4,IJ4,JL4,KN4,LP4,MR4,NT4,OV4,PX4)-IF(L4="",0,L4),"")</f>
        <v>3.7000000000000028</v>
      </c>
      <c r="DE4" s="52" t="str">
        <f t="shared" ref="DE4:DE11" si="38">IF(MAX(EC4,FE4,GG4,HI4,IK4,JM4,KO4,LQ4,MS4,NU4,OW4,PY4)-IF(N4="",0,N4)&gt;0.001,MAX(EC4,FE4,GG4,HI4,IK4,JM4,KO4,LQ4,MS4,NU4,OW4,PY4)-IF(N4="",0,N4),"")</f>
        <v/>
      </c>
      <c r="DF4" s="52">
        <f t="shared" ref="DF4:DF11" si="39">IF(MAX(EG4,FI4,GK4,HM4,IO4,JQ4,KS4,LU4,MW4,NY4,PA4,QC4)-IF(P4="",0,P4)&gt;0.001,MAX(EG4,FI4,GK4,HM4,IO4,JQ4,KS4,LU4,MW4,NY4,PA4,QC4)-IF(P4="",0,P4),"")</f>
        <v>1.3000000000000043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11" si="40">IF(SUM(DH4,DL4)&gt;0,SUM(DH4,DL4),"")</f>
        <v/>
      </c>
      <c r="EB4" s="41" t="str">
        <f t="shared" ref="EB4:EB11" si="41">IF(SUM(DG4:DH4,DJ4:DL4,DN4)-DI4-DM4&gt;0,SUM(DG4:DH4,DJ4:DL4,DN4)-DI4-DM4,"")</f>
        <v/>
      </c>
      <c r="EC4" s="41" t="str">
        <f t="shared" ref="EC4:EC11" si="42">IF(SUM(DO4:DP4,DR4)-DQ4&gt;0,SUM(DO4:DP4,DR4)-DQ4,"")</f>
        <v/>
      </c>
      <c r="ED4" s="41" t="str">
        <f t="shared" ref="ED4:ED11" si="43">IF(SUM(DH4,DL4,DP4)&gt;0,SUM(DH4,DL4,DP4),"")</f>
        <v/>
      </c>
      <c r="EE4" s="41" t="str">
        <f t="shared" ref="EE4:EE11" si="44">IF(SUM(EB4,EC4)&gt;0,SUM(EB4,EC4),"")</f>
        <v/>
      </c>
      <c r="EF4" s="41" t="str">
        <f t="shared" ref="EF4:EF11" si="45">IF(SUM(DT4,DX4)&gt;0,SUM(DT4,DX4),"")</f>
        <v/>
      </c>
      <c r="EG4" s="41" t="str">
        <f t="shared" ref="EG4:EG11" si="46">IF(SUM(DS4:DT4,DV4:DX4,DZ4)-SUM(DU4,DY4)&gt;0,SUM(DS4:DT4,DV4:DX4,DZ4)-SUM(DU4,DY4),"")</f>
        <v/>
      </c>
      <c r="EH4" s="41" t="str">
        <f t="shared" ref="EH4:EH11" si="47"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 t="shared" ref="FC4:FC11" si="48">IF(SUM(EJ4,EN4)&gt;0,SUM(EJ4,EN4),"")</f>
        <v>16.7</v>
      </c>
      <c r="FD4" s="11">
        <f t="shared" ref="FD4:FD11" si="49">IF(SUM(EI4:EJ4,EL4:EN4,EP4)-EK4-EO4&gt;0,SUM(EI4:EJ4,EL4:EN4,EP4)-EK4-EO4,"")</f>
        <v>52.8</v>
      </c>
      <c r="FE4" s="11" t="str">
        <f t="shared" ref="FE4:FE11" si="50">IF(SUM(EQ4:ER4,ET4)-ES4&gt;0,SUM(EQ4:ER4,ET4)-ES4,"")</f>
        <v/>
      </c>
      <c r="FF4" s="11">
        <f t="shared" ref="FF4:FF11" si="51">IF(SUM(EJ4,EN4,ER4)&gt;0,SUM(EJ4,EN4,ER4),"")</f>
        <v>16.7</v>
      </c>
      <c r="FG4" s="11">
        <f t="shared" ref="FG4:FG11" si="52">IF(SUM(FD4,FE4)&gt;0,SUM(FD4,FE4),"")</f>
        <v>52.8</v>
      </c>
      <c r="FH4" s="11">
        <f t="shared" ref="FH4:FH11" si="53">IF(SUM(EV4,EZ4)&gt;0,SUM(EV4,EZ4),"")</f>
        <v>17.100000000000001</v>
      </c>
      <c r="FI4" s="11">
        <f t="shared" ref="FI4:FI11" si="54">IF(SUM(EU4:EV4,EX4:EZ4,FB4)-SUM(EW4,FA4)&gt;0,SUM(EU4:EV4,EX4:EZ4,FB4)-SUM(EW4,FA4),"")</f>
        <v>53.500000000000007</v>
      </c>
      <c r="FJ4" s="11">
        <f t="shared" ref="FJ4:FJ11" si="55"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 t="shared" ref="GE4:GE11" si="56">IF(SUM(FL4,FP4)&gt;0,SUM(FL4,FP4),"")</f>
        <v>17.5</v>
      </c>
      <c r="GF4" s="41">
        <f t="shared" ref="GF4:GF11" si="57">IF(SUM(FK4:FL4,FN4:FP4,FR4)-FM4-FQ4&gt;0,SUM(FK4:FL4,FN4:FP4,FR4)-FM4-FQ4,"")</f>
        <v>54.7</v>
      </c>
      <c r="GG4" s="41">
        <f t="shared" ref="GG4:GG11" si="58">IF(SUM(FS4:FT4,FV4)-FU4&gt;0,SUM(FS4:FT4,FV4)-FU4,"")</f>
        <v>25.099999999999998</v>
      </c>
      <c r="GH4" s="41">
        <f t="shared" ref="GH4:GH11" si="59">IF(SUM(FL4,FP4,FT4)&gt;0,SUM(FL4,FP4,FT4),"")</f>
        <v>25.2</v>
      </c>
      <c r="GI4" s="41">
        <f t="shared" ref="GI4:GI11" si="60">IF(SUM(GF4,GG4)&gt;0,SUM(GF4,GG4),"")</f>
        <v>79.8</v>
      </c>
      <c r="GJ4" s="41" t="str">
        <f t="shared" ref="GJ4:GJ11" si="61">IF(SUM(FX4,GB4)&gt;0,SUM(FX4,GB4),"")</f>
        <v/>
      </c>
      <c r="GK4" s="41" t="str">
        <f t="shared" ref="GK4:GK11" si="62">IF(SUM(FW4:FX4,FZ4:GB4,GD4)-SUM(FY4,GC4)&gt;0,SUM(FW4:FX4,FZ4:GB4,GD4)-SUM(FY4,GC4),"")</f>
        <v/>
      </c>
      <c r="GL4" s="41">
        <f t="shared" ref="GL4:GL11" si="63"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1" si="64">IF(SUM(GN4,GR4)&gt;0,SUM(GN4,GR4),"")</f>
        <v/>
      </c>
      <c r="HH4" s="11" t="str">
        <f t="shared" ref="HH4:HH11" si="65">IF(SUM(GM4:GN4,GP4:GR4,GT4)-GO4-GS4&gt;0,SUM(GM4:GN4,GP4:GR4,GT4)-GO4-GS4,"")</f>
        <v/>
      </c>
      <c r="HI4" s="11" t="str">
        <f t="shared" ref="HI4:HI11" si="66">IF(SUM(GU4:GV4,GX4)-GW4&gt;0,SUM(GU4:GV4,GX4)-GW4,"")</f>
        <v/>
      </c>
      <c r="HJ4" s="11" t="str">
        <f t="shared" ref="HJ4:HJ11" si="67">IF(SUM(GN4,GR4,GV4)&gt;0,SUM(GN4,GR4,GV4),"")</f>
        <v/>
      </c>
      <c r="HK4" s="11" t="str">
        <f t="shared" ref="HK4:HK11" si="68">IF(SUM(HH4,HI4)&gt;0,SUM(HH4,HI4),"")</f>
        <v/>
      </c>
      <c r="HL4" s="11" t="str">
        <f t="shared" ref="HL4:HL11" si="69">IF(SUM(GZ4,HD4)&gt;0,SUM(GZ4,HD4),"")</f>
        <v/>
      </c>
      <c r="HM4" s="11" t="str">
        <f t="shared" ref="HM4:HM11" si="70">IF(SUM(GY4:GZ4,HB4:HD4,HF4)-SUM(HA4,HE4)&gt;0,SUM(GY4:GZ4,HB4:HD4,HF4)-SUM(HA4,HE4),"")</f>
        <v/>
      </c>
      <c r="HN4" s="11" t="str">
        <f t="shared" ref="HN4:HN11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1" si="72">IF(SUM(HP4,HT4)&gt;0,SUM(HP4,HT4),"")</f>
        <v/>
      </c>
      <c r="IJ4" s="41" t="str">
        <f t="shared" ref="IJ4:IJ11" si="73">IF(SUM(HO4:HP4,HR4:HT4,HV4)-HQ4-HU4&gt;0,SUM(HO4:HP4,HR4:HT4,HV4)-HQ4-HU4,"")</f>
        <v/>
      </c>
      <c r="IK4" s="41" t="str">
        <f t="shared" ref="IK4:IK11" si="74">IF(SUM(HW4:HX4,HZ4)-HY4&gt;0,SUM(HW4:HX4,HZ4)-HY4,"")</f>
        <v/>
      </c>
      <c r="IL4" s="41" t="str">
        <f t="shared" ref="IL4:IL11" si="75">IF(SUM(HP4,HT4,HX4)&gt;0,SUM(HP4,HT4,HX4),"")</f>
        <v/>
      </c>
      <c r="IM4" s="41" t="str">
        <f t="shared" ref="IM4:IM11" si="76">IF(SUM(IJ4,IK4)&gt;0,SUM(IJ4,IK4),"")</f>
        <v/>
      </c>
      <c r="IN4" s="41" t="str">
        <f t="shared" ref="IN4:IN11" si="77">IF(SUM(IB4,IF4)&gt;0,SUM(IB4,IF4),"")</f>
        <v/>
      </c>
      <c r="IO4" s="41" t="str">
        <f t="shared" ref="IO4:IO11" si="78">IF(SUM(IA4:IB4,ID4:IF4,IH4)-SUM(IC4,IG4)&gt;0,SUM(IA4:IB4,ID4:IF4,IH4)-SUM(IC4,IG4),"")</f>
        <v/>
      </c>
      <c r="IP4" s="41" t="str">
        <f t="shared" ref="IP4:IP11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80">IF(SUM(IR4,IV4)&gt;0,SUM(IR4,IV4),"")</f>
        <v/>
      </c>
      <c r="JL4" s="11" t="str">
        <f t="shared" ref="JL4:JL11" si="81">IF(SUM(IQ4:IR4,IT4:IV4,IX4)-IS4-IW4&gt;0,SUM(IQ4:IR4,IT4:IV4,IX4)-IS4-IW4,"")</f>
        <v/>
      </c>
      <c r="JM4" s="11" t="str">
        <f t="shared" ref="JM4:JM11" si="82">IF(SUM(IY4:IZ4,JB4)-JA4&gt;0,SUM(IY4:IZ4,JB4)-JA4,"")</f>
        <v/>
      </c>
      <c r="JN4" s="11" t="str">
        <f t="shared" ref="JN4:JN11" si="83">IF(SUM(IR4,IV4,IZ4)&gt;0,SUM(IR4,IV4,IZ4),"")</f>
        <v/>
      </c>
      <c r="JO4" s="11" t="str">
        <f t="shared" ref="JO4:JO11" si="84">IF(SUM(JL4,JM4)&gt;0,SUM(JL4,JM4),"")</f>
        <v/>
      </c>
      <c r="JP4" s="11" t="str">
        <f t="shared" ref="JP4:JP11" si="85">IF(SUM(JD4,JH4)&gt;0,SUM(JD4,JH4),"")</f>
        <v/>
      </c>
      <c r="JQ4" s="11" t="str">
        <f t="shared" ref="JQ4:JQ11" si="86">IF(SUM(JC4:JD4,JF4:JH4,JJ4)-SUM(JE4,JI4)&gt;0,SUM(JC4:JD4,JF4:JH4,JJ4)-SUM(JE4,JI4),"")</f>
        <v/>
      </c>
      <c r="JR4" s="11" t="str">
        <f t="shared" ref="JR4:JR11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1" si="88">IF(SUM(JT4,JX4)&gt;0,SUM(JT4,JX4),"")</f>
        <v/>
      </c>
      <c r="KN4" s="41" t="str">
        <f t="shared" ref="KN4:KN11" si="89">IF(SUM(JS4:JT4,JV4:JX4,JZ4)-JU4-JY4&gt;0,SUM(JS4:JT4,JV4:JX4,JZ4)-JU4-JY4,"")</f>
        <v/>
      </c>
      <c r="KO4" s="41" t="str">
        <f t="shared" ref="KO4:KO11" si="90">IF(SUM(KA4:KB4,KD4)-KC4&gt;0,SUM(KA4:KB4,KD4)-KC4,"")</f>
        <v/>
      </c>
      <c r="KP4" s="41" t="str">
        <f t="shared" ref="KP4:KP11" si="91">IF(SUM(JT4,JX4,KB4)&gt;0,SUM(JT4,JX4,KB4),"")</f>
        <v/>
      </c>
      <c r="KQ4" s="41" t="str">
        <f t="shared" ref="KQ4:KQ11" si="92">IF(SUM(KN4,KO4)&gt;0,SUM(KN4,KO4),"")</f>
        <v/>
      </c>
      <c r="KR4" s="41" t="str">
        <f t="shared" ref="KR4:KR11" si="93">IF(SUM(KF4,KJ4)&gt;0,SUM(KF4,KJ4),"")</f>
        <v/>
      </c>
      <c r="KS4" s="41" t="str">
        <f t="shared" ref="KS4:KS11" si="94">IF(SUM(KE4:KF4,KH4:KJ4,KL4)-SUM(KG4,KK4)&gt;0,SUM(KE4:KF4,KH4:KJ4,KL4)-SUM(KG4,KK4),"")</f>
        <v/>
      </c>
      <c r="KT4" s="41" t="str">
        <f t="shared" ref="KT4:KT11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6">IF(SUM(KV4,KZ4)&gt;0,SUM(KV4,KZ4),"")</f>
        <v/>
      </c>
      <c r="LP4" s="11" t="str">
        <f t="shared" ref="LP4:LP11" si="97">IF(SUM(KU4:KV4,KX4:KZ4,LB4)-KW4-LA4&gt;0,SUM(KU4:KV4,KX4:KZ4,LB4)-KW4-LA4,"")</f>
        <v/>
      </c>
      <c r="LQ4" s="11" t="str">
        <f t="shared" ref="LQ4:LQ11" si="98">IF(SUM(LC4:LD4,LF4)-LE4&gt;0,SUM(LC4:LD4,LF4)-LE4,"")</f>
        <v/>
      </c>
      <c r="LR4" s="11" t="str">
        <f t="shared" ref="LR4:LR11" si="99">IF(SUM(KV4,KZ4,LD4)&gt;0,SUM(KV4,KZ4,LD4),"")</f>
        <v/>
      </c>
      <c r="LS4" s="11" t="str">
        <f t="shared" ref="LS4:LS11" si="100">IF(SUM(LP4,LQ4)&gt;0,SUM(LP4,LQ4),"")</f>
        <v/>
      </c>
      <c r="LT4" s="11" t="str">
        <f t="shared" ref="LT4:LT11" si="101">IF(SUM(LH4,LL4)&gt;0,SUM(LH4,LL4),"")</f>
        <v/>
      </c>
      <c r="LU4" s="11" t="str">
        <f t="shared" ref="LU4:LU11" si="102">IF(SUM(LG4:LH4,LJ4:LL4,LN4)-SUM(LI4,LM4)&gt;0,SUM(LG4:LH4,LJ4:LL4,LN4)-SUM(LI4,LM4),"")</f>
        <v/>
      </c>
      <c r="LV4" s="11" t="str">
        <f t="shared" ref="LV4:LV11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1" si="104">IF(SUM(LX4,MB4)&gt;0,SUM(LX4,MB4),"")</f>
        <v/>
      </c>
      <c r="MR4" s="41" t="str">
        <f t="shared" ref="MR4:MR11" si="105">IF(SUM(LW4:LX4,LZ4:MB4,MD4)-LY4-MC4&gt;0,SUM(LW4:LX4,LZ4:MB4,MD4)-LY4-MC4,"")</f>
        <v/>
      </c>
      <c r="MS4" s="41" t="str">
        <f t="shared" ref="MS4:MS11" si="106">IF(SUM(ME4:MF4,MH4)-MG4&gt;0,SUM(ME4:MF4,MH4)-MG4,"")</f>
        <v/>
      </c>
      <c r="MT4" s="41" t="str">
        <f t="shared" ref="MT4:MT11" si="107">IF(SUM(LX4,MB4,MF4)&gt;0,SUM(LX4,MB4,MF4),"")</f>
        <v/>
      </c>
      <c r="MU4" s="41" t="str">
        <f t="shared" ref="MU4:MU11" si="108">IF(SUM(MR4,MS4)&gt;0,SUM(MR4,MS4),"")</f>
        <v/>
      </c>
      <c r="MV4" s="41" t="str">
        <f t="shared" ref="MV4:MV11" si="109">IF(SUM(MJ4,MN4)&gt;0,SUM(MJ4,MN4),"")</f>
        <v/>
      </c>
      <c r="MW4" s="41" t="str">
        <f t="shared" ref="MW4:MW11" si="110">IF(SUM(MI4:MJ4,ML4:MN4,MP4)-SUM(MK4,MO4)&gt;0,SUM(MI4:MJ4,ML4:MN4,MP4)-SUM(MK4,MO4),"")</f>
        <v/>
      </c>
      <c r="MX4" s="41" t="str">
        <f t="shared" ref="MX4:MX11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2">IF(SUM(MZ4,ND4)&gt;0,SUM(MZ4,ND4),"")</f>
        <v/>
      </c>
      <c r="NT4" s="11" t="str">
        <f t="shared" ref="NT4:NT11" si="113">IF(SUM(MY4:MZ4,NB4:ND4,NF4)-NA4-NE4&gt;0,SUM(MY4:MZ4,NB4:ND4,NF4)-NA4-NE4,"")</f>
        <v/>
      </c>
      <c r="NU4" s="11" t="str">
        <f t="shared" ref="NU4:NU11" si="114">IF(SUM(NG4:NH4,NJ4)-NI4&gt;0,SUM(NG4:NH4,NJ4)-NI4,"")</f>
        <v/>
      </c>
      <c r="NV4" s="11" t="str">
        <f t="shared" ref="NV4:NV11" si="115">IF(SUM(MZ4,ND4,NH4)&gt;0,SUM(MZ4,ND4,NH4),"")</f>
        <v/>
      </c>
      <c r="NW4" s="11" t="str">
        <f t="shared" ref="NW4:NW11" si="116">IF(SUM(NT4,NU4)&gt;0,SUM(NT4,NU4),"")</f>
        <v/>
      </c>
      <c r="NX4" s="11" t="str">
        <f t="shared" ref="NX4:NX11" si="117">IF(SUM(NL4,NP4)&gt;0,SUM(NL4,NP4),"")</f>
        <v/>
      </c>
      <c r="NY4" s="11" t="str">
        <f t="shared" ref="NY4:NY11" si="118">IF(SUM(NK4:NL4,NN4:NP4,NR4)-SUM(NM4,NQ4)&gt;0,SUM(NK4:NL4,NN4:NP4,NR4)-SUM(NM4,NQ4),"")</f>
        <v/>
      </c>
      <c r="NZ4" s="11" t="str">
        <f t="shared" ref="NZ4:NZ11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1" si="120">IF(SUM(OB4,OF4)&gt;0,SUM(OB4,OF4),"")</f>
        <v/>
      </c>
      <c r="OV4" s="41" t="str">
        <f t="shared" ref="OV4:OV11" si="121">IF(SUM(OA4:OB4,OD4:OF4,OH4)-OC4-OG4&gt;0,SUM(OA4:OB4,OD4:OF4,OH4)-OC4-OG4,"")</f>
        <v/>
      </c>
      <c r="OW4" s="41" t="str">
        <f t="shared" ref="OW4:OW11" si="122">IF(SUM(OI4:OJ4,OL4)-OK4&gt;0,SUM(OI4:OJ4,OL4)-OK4,"")</f>
        <v/>
      </c>
      <c r="OX4" s="41" t="str">
        <f t="shared" ref="OX4:OX11" si="123">IF(SUM(OB4,OF4,OJ4)&gt;0,SUM(OB4,OF4,OJ4),"")</f>
        <v/>
      </c>
      <c r="OY4" s="41" t="str">
        <f t="shared" ref="OY4:OY11" si="124">IF(SUM(OV4,OW4)&gt;0,SUM(OV4,OW4),"")</f>
        <v/>
      </c>
      <c r="OZ4" s="41" t="str">
        <f t="shared" ref="OZ4:OZ11" si="125">IF(SUM(ON4,OR4)&gt;0,SUM(ON4,OR4),"")</f>
        <v/>
      </c>
      <c r="PA4" s="41" t="str">
        <f t="shared" ref="PA4:PA11" si="126">IF(SUM(OM4:ON4,OP4:OR4,OT4)-SUM(OO4,OS4)&gt;0,SUM(OM4:ON4,OP4:OR4,OT4)-SUM(OO4,OS4),"")</f>
        <v/>
      </c>
      <c r="PB4" s="41" t="str">
        <f t="shared" ref="PB4:PB11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8">IF(SUM(PD4,PH4)&gt;0,SUM(PD4,PH4),"")</f>
        <v/>
      </c>
      <c r="PX4" s="11" t="str">
        <f t="shared" ref="PX4:PX11" si="129">IF(SUM(PC4:PD4,PF4:PH4,PJ4)-PE4-PI4&gt;0,SUM(PC4:PD4,PF4:PH4,PJ4)-PE4-PI4,"")</f>
        <v/>
      </c>
      <c r="PY4" s="11" t="str">
        <f t="shared" ref="PY4:PY11" si="130">IF(SUM(PK4:PL4,PN4)-PM4&gt;0,SUM(PK4:PL4,PN4)-PM4,"")</f>
        <v/>
      </c>
      <c r="PZ4" s="11" t="str">
        <f t="shared" ref="PZ4:PZ11" si="131">IF(SUM(PD4,PH4,PL4)&gt;0,SUM(PD4,PH4,PL4),"")</f>
        <v/>
      </c>
      <c r="QA4" s="11" t="str">
        <f t="shared" ref="QA4:QA11" si="132">IF(SUM(PX4,PY4)&gt;0,SUM(PX4,PY4),"")</f>
        <v/>
      </c>
      <c r="QB4" s="11" t="str">
        <f t="shared" ref="QB4:QB11" si="133">IF(SUM(PP4,PT4)&gt;0,SUM(PP4,PT4),"")</f>
        <v/>
      </c>
      <c r="QC4" s="11" t="str">
        <f t="shared" ref="QC4:QC11" si="134">IF(SUM(PO4:PP4,PR4:PT4,PV4)-SUM(PQ4,PU4)&gt;0,SUM(PO4:PP4,PR4:PT4,PV4)-SUM(PQ4,PU4),"")</f>
        <v/>
      </c>
      <c r="QD4" s="11" t="str">
        <f t="shared" ref="QD4:QD11" si="135">IF(SUM(PX4,PY4,QC4)&gt;0,SUM(PX4,PY4,QC4),"")</f>
        <v/>
      </c>
      <c r="QE4" s="23">
        <f t="shared" ref="QE4:QN11" si="136">IF($CU4="P",CA4,(CA4+AX4)/2)</f>
        <v>17.8</v>
      </c>
      <c r="QF4" s="23">
        <f t="shared" si="136"/>
        <v>7.75</v>
      </c>
      <c r="QG4" s="23">
        <f t="shared" si="136"/>
        <v>0</v>
      </c>
      <c r="QH4" s="23">
        <f t="shared" si="136"/>
        <v>0</v>
      </c>
      <c r="QI4" s="23">
        <f t="shared" si="136"/>
        <v>17.799999999999997</v>
      </c>
      <c r="QJ4" s="23">
        <f t="shared" si="136"/>
        <v>8.1</v>
      </c>
      <c r="QK4" s="23">
        <f t="shared" si="136"/>
        <v>0</v>
      </c>
      <c r="QL4" s="23">
        <f t="shared" si="136"/>
        <v>0</v>
      </c>
      <c r="QM4" s="23">
        <f t="shared" si="136"/>
        <v>17.5</v>
      </c>
      <c r="QN4" s="23">
        <f t="shared" si="136"/>
        <v>8.1999999999999993</v>
      </c>
      <c r="QO4" s="23">
        <f t="shared" ref="QO4:QX11" si="137">IF($CU4="P",CK4,(CK4+BH4)/2)</f>
        <v>0</v>
      </c>
      <c r="QP4" s="23">
        <f t="shared" si="137"/>
        <v>0</v>
      </c>
      <c r="QQ4" s="23">
        <f t="shared" si="137"/>
        <v>18.149999999999999</v>
      </c>
      <c r="QR4" s="23">
        <f t="shared" si="137"/>
        <v>8.1999999999999993</v>
      </c>
      <c r="QS4" s="23">
        <f t="shared" si="137"/>
        <v>0</v>
      </c>
      <c r="QT4" s="23">
        <f t="shared" si="137"/>
        <v>0</v>
      </c>
      <c r="QU4" s="23">
        <f t="shared" si="137"/>
        <v>17.5</v>
      </c>
      <c r="QV4" s="23">
        <f t="shared" si="137"/>
        <v>7.1</v>
      </c>
      <c r="QW4" s="23">
        <f t="shared" si="137"/>
        <v>0</v>
      </c>
      <c r="QX4" s="23">
        <f t="shared" si="137"/>
        <v>0</v>
      </c>
      <c r="QY4" s="28" t="s">
        <v>57</v>
      </c>
      <c r="QZ4" s="41">
        <f t="shared" ref="QZ4:QZ11" si="138">IF(SUM(QF4,QJ4)&gt;0,SUM(QF4,QJ4),"")</f>
        <v>15.85</v>
      </c>
      <c r="RA4" s="41">
        <f t="shared" ref="RA4:RA11" si="139">IF(SUM(QE4:QF4,QH4:QJ4,QL4)-QG4-QK4&gt;0,SUM(QE4:QF4,QH4:QJ4,QL4)-QG4-QK4,"")</f>
        <v>51.449999999999996</v>
      </c>
      <c r="RB4" s="41">
        <f t="shared" ref="RB4:RB11" si="140">IF(SUM(QM4:QN4,QP4)-QO4&gt;0,SUM(QM4:QN4,QP4)-QO4,"")</f>
        <v>25.7</v>
      </c>
      <c r="RC4" s="41">
        <f t="shared" ref="RC4:RC11" si="141">IF(SUM(QF4,QJ4,QN4)&gt;0,SUM(QF4,QJ4,QN4),"")</f>
        <v>24.049999999999997</v>
      </c>
      <c r="RD4" s="41">
        <f t="shared" ref="RD4:RD11" si="142">IF(SUM(RA4,RB4)&gt;0,SUM(RA4,RB4),"")</f>
        <v>77.149999999999991</v>
      </c>
      <c r="RE4" s="41">
        <f t="shared" ref="RE4:RE11" si="143">IF(SUM(QR4,QV4)&gt;0,SUM(QR4,QV4),"")</f>
        <v>15.299999999999999</v>
      </c>
      <c r="RF4" s="41">
        <f t="shared" ref="RF4:RF11" si="144">IF(SUM(QQ4:QR4,QT4:QV4,QX4)-SUM(QS4,QW4)&gt;0,SUM(QQ4:QR4,QT4:QV4,QX4)-SUM(QS4,QW4),"")</f>
        <v>50.949999999999996</v>
      </c>
      <c r="RG4" s="41">
        <f t="shared" ref="RG4:RG11" si="145">IF(SUM(RA4,RB4,RF4)&gt;0,SUM(RA4,RB4,RF4),"")</f>
        <v>128.1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128</v>
      </c>
      <c r="C5" s="4" t="s">
        <v>3</v>
      </c>
      <c r="D5" s="4">
        <v>2003</v>
      </c>
      <c r="E5" s="9">
        <f t="shared" si="0"/>
        <v>184.40001301000518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51.599999999999994</v>
      </c>
      <c r="K5" s="8" t="str">
        <f t="shared" si="5"/>
        <v>2023 Elite Canada</v>
      </c>
      <c r="L5" s="8">
        <f>IF(COUNT(AQ5,BT5,CW5)&gt;1,LARGE((AQ5,BT5,CW5),2),0)</f>
        <v>51.5</v>
      </c>
      <c r="M5" s="8" t="str">
        <f t="shared" si="6"/>
        <v>2023 Domestic 3rd Trial</v>
      </c>
      <c r="N5" s="8">
        <f>IF(COUNT(AR5,BU5,CX5)&gt;0,LARGE((AR5,BU5,CX5),1),0)</f>
        <v>27</v>
      </c>
      <c r="O5" s="8" t="str">
        <f t="shared" si="7"/>
        <v>2023 Elite Canada</v>
      </c>
      <c r="P5" s="8">
        <f t="shared" si="8"/>
        <v>53.400000000000006</v>
      </c>
      <c r="Q5" s="8" t="str">
        <f t="shared" si="9"/>
        <v>2023 Elite Canada</v>
      </c>
      <c r="R5" s="8">
        <f t="shared" si="10"/>
        <v>0.89999999999999858</v>
      </c>
      <c r="S5" s="11" t="str">
        <f t="shared" si="11"/>
        <v>(Q1)</v>
      </c>
      <c r="T5" s="8" t="str">
        <f t="shared" si="12"/>
        <v>2023 World Championships (Nov 11)</v>
      </c>
      <c r="U5" s="19">
        <v>18.8</v>
      </c>
      <c r="V5" s="19">
        <v>8.1</v>
      </c>
      <c r="W5" s="19">
        <v>0</v>
      </c>
      <c r="X5" s="19">
        <v>0</v>
      </c>
      <c r="Y5" s="19">
        <v>18.2</v>
      </c>
      <c r="Z5" s="19">
        <v>6.5</v>
      </c>
      <c r="AA5" s="19">
        <v>0</v>
      </c>
      <c r="AB5" s="19">
        <v>0</v>
      </c>
      <c r="AC5" s="19">
        <v>18.899999999999999</v>
      </c>
      <c r="AD5" s="19">
        <v>8.1</v>
      </c>
      <c r="AE5" s="19">
        <v>0</v>
      </c>
      <c r="AF5" s="19">
        <v>0</v>
      </c>
      <c r="AG5" s="19">
        <v>19.100000000000001</v>
      </c>
      <c r="AH5" s="19">
        <v>8.1</v>
      </c>
      <c r="AI5" s="19">
        <v>0</v>
      </c>
      <c r="AJ5" s="19">
        <v>0</v>
      </c>
      <c r="AK5" s="19">
        <v>18.5</v>
      </c>
      <c r="AL5" s="19">
        <v>7.7</v>
      </c>
      <c r="AM5" s="19">
        <v>0</v>
      </c>
      <c r="AN5" s="19">
        <v>0</v>
      </c>
      <c r="AO5" s="28"/>
      <c r="AP5" s="41">
        <f t="shared" si="13"/>
        <v>14.6</v>
      </c>
      <c r="AQ5" s="41">
        <f t="shared" si="14"/>
        <v>51.599999999999994</v>
      </c>
      <c r="AR5" s="41">
        <f t="shared" si="15"/>
        <v>27</v>
      </c>
      <c r="AS5" s="41">
        <f t="shared" si="16"/>
        <v>22.7</v>
      </c>
      <c r="AT5" s="41">
        <f t="shared" si="17"/>
        <v>78.599999999999994</v>
      </c>
      <c r="AU5" s="41">
        <f t="shared" si="18"/>
        <v>15.8</v>
      </c>
      <c r="AV5" s="41">
        <f t="shared" si="19"/>
        <v>53.400000000000006</v>
      </c>
      <c r="AW5" s="41">
        <f t="shared" si="20"/>
        <v>132</v>
      </c>
      <c r="AX5" s="18">
        <v>17.399999999999999</v>
      </c>
      <c r="AY5" s="18">
        <v>9.3000000000000007</v>
      </c>
      <c r="AZ5" s="18">
        <v>0</v>
      </c>
      <c r="BA5" s="18">
        <v>0</v>
      </c>
      <c r="BB5" s="18">
        <v>17.8</v>
      </c>
      <c r="BC5" s="18">
        <v>6.9</v>
      </c>
      <c r="BD5" s="18">
        <v>0</v>
      </c>
      <c r="BE5" s="18">
        <v>0</v>
      </c>
      <c r="BF5" s="18">
        <v>17.899999999999999</v>
      </c>
      <c r="BG5" s="18">
        <v>8.5</v>
      </c>
      <c r="BH5" s="18">
        <v>0</v>
      </c>
      <c r="BI5" s="18">
        <v>0</v>
      </c>
      <c r="BJ5" s="18">
        <v>18.399999999999999</v>
      </c>
      <c r="BK5" s="18">
        <v>8.9</v>
      </c>
      <c r="BL5" s="18">
        <v>0</v>
      </c>
      <c r="BM5" s="18">
        <v>0</v>
      </c>
      <c r="BN5" s="18">
        <v>19.100000000000001</v>
      </c>
      <c r="BO5" s="18">
        <v>6.9</v>
      </c>
      <c r="BP5" s="18">
        <v>0</v>
      </c>
      <c r="BQ5" s="18">
        <v>0</v>
      </c>
      <c r="BR5" s="29"/>
      <c r="BS5" s="11">
        <f t="shared" si="21"/>
        <v>16.200000000000003</v>
      </c>
      <c r="BT5" s="11">
        <f t="shared" si="22"/>
        <v>51.4</v>
      </c>
      <c r="BU5" s="11">
        <f t="shared" si="23"/>
        <v>26.4</v>
      </c>
      <c r="BV5" s="11">
        <f t="shared" si="24"/>
        <v>24.700000000000003</v>
      </c>
      <c r="BW5" s="11">
        <f t="shared" si="25"/>
        <v>77.8</v>
      </c>
      <c r="BX5" s="11">
        <f t="shared" si="26"/>
        <v>15.8</v>
      </c>
      <c r="BY5" s="11">
        <f t="shared" si="27"/>
        <v>53.3</v>
      </c>
      <c r="BZ5" s="11">
        <f t="shared" si="28"/>
        <v>131.1</v>
      </c>
      <c r="CA5" s="19">
        <v>18.100000000000001</v>
      </c>
      <c r="CB5" s="19">
        <v>8.6999999999999993</v>
      </c>
      <c r="CC5" s="19">
        <v>0</v>
      </c>
      <c r="CD5" s="19">
        <v>0</v>
      </c>
      <c r="CE5" s="19">
        <v>18</v>
      </c>
      <c r="CF5" s="19">
        <v>6.7</v>
      </c>
      <c r="CG5" s="19">
        <v>0</v>
      </c>
      <c r="CH5" s="19">
        <v>0</v>
      </c>
      <c r="CI5" s="19">
        <v>18.399999999999999</v>
      </c>
      <c r="CJ5" s="19">
        <v>8.3000000000000007</v>
      </c>
      <c r="CK5" s="19">
        <v>0</v>
      </c>
      <c r="CL5" s="19">
        <v>0</v>
      </c>
      <c r="CM5" s="19">
        <v>18.75</v>
      </c>
      <c r="CN5" s="19">
        <v>8.5</v>
      </c>
      <c r="CO5" s="19">
        <v>0</v>
      </c>
      <c r="CP5" s="19">
        <v>0</v>
      </c>
      <c r="CQ5" s="19">
        <v>18.8</v>
      </c>
      <c r="CR5" s="19">
        <v>7.3000000000000007</v>
      </c>
      <c r="CS5" s="19">
        <v>0</v>
      </c>
      <c r="CT5" s="19">
        <v>0</v>
      </c>
      <c r="CU5" s="28" t="s">
        <v>57</v>
      </c>
      <c r="CV5" s="41">
        <f t="shared" si="29"/>
        <v>15.399999999999999</v>
      </c>
      <c r="CW5" s="41">
        <f t="shared" si="30"/>
        <v>51.5</v>
      </c>
      <c r="CX5" s="41">
        <f t="shared" si="31"/>
        <v>26.7</v>
      </c>
      <c r="CY5" s="41">
        <f t="shared" si="32"/>
        <v>23.7</v>
      </c>
      <c r="CZ5" s="41">
        <f t="shared" si="33"/>
        <v>78.2</v>
      </c>
      <c r="DA5" s="41">
        <f t="shared" si="34"/>
        <v>15.8</v>
      </c>
      <c r="DB5" s="41">
        <f t="shared" si="35"/>
        <v>53.349999999999994</v>
      </c>
      <c r="DC5" s="41">
        <f t="shared" si="36"/>
        <v>131.55000000000001</v>
      </c>
      <c r="DD5" s="52">
        <f t="shared" si="37"/>
        <v>0.89999999999999858</v>
      </c>
      <c r="DE5" s="52" t="str">
        <f t="shared" si="38"/>
        <v/>
      </c>
      <c r="DF5" s="52" t="str">
        <f t="shared" si="39"/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 t="shared" si="40"/>
        <v>15.8</v>
      </c>
      <c r="EB5" s="41">
        <f t="shared" si="41"/>
        <v>51.6</v>
      </c>
      <c r="EC5" s="41" t="str">
        <f t="shared" si="42"/>
        <v/>
      </c>
      <c r="ED5" s="41">
        <f t="shared" si="43"/>
        <v>15.8</v>
      </c>
      <c r="EE5" s="41">
        <f t="shared" si="44"/>
        <v>51.6</v>
      </c>
      <c r="EF5" s="41">
        <f t="shared" si="45"/>
        <v>17.399999999999999</v>
      </c>
      <c r="EG5" s="41">
        <f t="shared" si="46"/>
        <v>53.300000000000004</v>
      </c>
      <c r="EH5" s="41">
        <f t="shared" si="47"/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 t="shared" si="48"/>
        <v>15.8</v>
      </c>
      <c r="FD5" s="11">
        <f t="shared" si="49"/>
        <v>52.1</v>
      </c>
      <c r="FE5" s="11" t="str">
        <f t="shared" si="50"/>
        <v/>
      </c>
      <c r="FF5" s="11">
        <f t="shared" si="51"/>
        <v>15.8</v>
      </c>
      <c r="FG5" s="11">
        <f t="shared" si="52"/>
        <v>52.1</v>
      </c>
      <c r="FH5" s="11">
        <f t="shared" si="53"/>
        <v>8.9</v>
      </c>
      <c r="FI5" s="11">
        <f t="shared" si="54"/>
        <v>26.6</v>
      </c>
      <c r="FJ5" s="11">
        <f t="shared" si="55"/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 t="shared" si="56"/>
        <v>16</v>
      </c>
      <c r="GF5" s="41">
        <f t="shared" si="57"/>
        <v>52.4</v>
      </c>
      <c r="GG5" s="41">
        <f t="shared" si="58"/>
        <v>21.099999999999998</v>
      </c>
      <c r="GH5" s="41">
        <f t="shared" si="59"/>
        <v>19.7</v>
      </c>
      <c r="GI5" s="41">
        <f t="shared" si="60"/>
        <v>73.5</v>
      </c>
      <c r="GJ5" s="41" t="str">
        <f t="shared" si="61"/>
        <v/>
      </c>
      <c r="GK5" s="41" t="str">
        <f t="shared" si="62"/>
        <v/>
      </c>
      <c r="GL5" s="41">
        <f t="shared" si="63"/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18.100000000000001</v>
      </c>
      <c r="QF5" s="23">
        <f t="shared" si="136"/>
        <v>8.6999999999999993</v>
      </c>
      <c r="QG5" s="23">
        <f t="shared" si="136"/>
        <v>0</v>
      </c>
      <c r="QH5" s="23">
        <f t="shared" si="136"/>
        <v>0</v>
      </c>
      <c r="QI5" s="23">
        <f t="shared" si="136"/>
        <v>18</v>
      </c>
      <c r="QJ5" s="23">
        <f t="shared" si="136"/>
        <v>6.7</v>
      </c>
      <c r="QK5" s="23">
        <f t="shared" si="136"/>
        <v>0</v>
      </c>
      <c r="QL5" s="23">
        <f t="shared" si="136"/>
        <v>0</v>
      </c>
      <c r="QM5" s="23">
        <f t="shared" si="136"/>
        <v>18.399999999999999</v>
      </c>
      <c r="QN5" s="23">
        <f t="shared" si="136"/>
        <v>8.3000000000000007</v>
      </c>
      <c r="QO5" s="23">
        <f t="shared" si="137"/>
        <v>0</v>
      </c>
      <c r="QP5" s="23">
        <f t="shared" si="137"/>
        <v>0</v>
      </c>
      <c r="QQ5" s="23">
        <f t="shared" si="137"/>
        <v>18.75</v>
      </c>
      <c r="QR5" s="23">
        <f t="shared" si="137"/>
        <v>8.5</v>
      </c>
      <c r="QS5" s="23">
        <f t="shared" si="137"/>
        <v>0</v>
      </c>
      <c r="QT5" s="23">
        <f t="shared" si="137"/>
        <v>0</v>
      </c>
      <c r="QU5" s="23">
        <f t="shared" si="137"/>
        <v>18.8</v>
      </c>
      <c r="QV5" s="23">
        <f t="shared" si="137"/>
        <v>7.3000000000000007</v>
      </c>
      <c r="QW5" s="23">
        <f t="shared" si="137"/>
        <v>0</v>
      </c>
      <c r="QX5" s="23">
        <f t="shared" si="137"/>
        <v>0</v>
      </c>
      <c r="QY5" s="28" t="s">
        <v>57</v>
      </c>
      <c r="QZ5" s="41">
        <f t="shared" si="138"/>
        <v>15.399999999999999</v>
      </c>
      <c r="RA5" s="41">
        <f t="shared" si="139"/>
        <v>51.5</v>
      </c>
      <c r="RB5" s="41">
        <f t="shared" si="140"/>
        <v>26.7</v>
      </c>
      <c r="RC5" s="41">
        <f t="shared" si="141"/>
        <v>23.7</v>
      </c>
      <c r="RD5" s="41">
        <f t="shared" si="142"/>
        <v>78.2</v>
      </c>
      <c r="RE5" s="41">
        <f t="shared" si="143"/>
        <v>15.8</v>
      </c>
      <c r="RF5" s="41">
        <f t="shared" si="144"/>
        <v>53.349999999999994</v>
      </c>
      <c r="RG5" s="41">
        <f t="shared" si="145"/>
        <v>131.55000000000001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164</v>
      </c>
      <c r="C6" s="4" t="s">
        <v>5</v>
      </c>
      <c r="D6" s="4">
        <v>2003</v>
      </c>
      <c r="E6" s="9">
        <f t="shared" si="0"/>
        <v>166.30001172000468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46.8</v>
      </c>
      <c r="K6" s="8" t="str">
        <f t="shared" si="5"/>
        <v>2023 Domestic 3rd Trial</v>
      </c>
      <c r="L6" s="8">
        <f>IF(COUNT(AQ6,BT6,CW6)&gt;1,LARGE((AQ6,BT6,CW6),2),0)</f>
        <v>45.9</v>
      </c>
      <c r="M6" s="8" t="str">
        <f t="shared" si="6"/>
        <v>2023 Nationals</v>
      </c>
      <c r="N6" s="8">
        <f>IF(COUNT(AR6,BU6,CX6)&gt;0,LARGE((AR6,BU6,CX6),1),0)</f>
        <v>24.5</v>
      </c>
      <c r="O6" s="8" t="str">
        <f t="shared" si="7"/>
        <v>2023 Domestic 3rd Trial</v>
      </c>
      <c r="P6" s="8">
        <f t="shared" si="8"/>
        <v>47</v>
      </c>
      <c r="Q6" s="8" t="str">
        <f t="shared" si="9"/>
        <v>2023 Domestic 3rd Trial</v>
      </c>
      <c r="R6" s="8">
        <f t="shared" si="10"/>
        <v>2.1000000000000014</v>
      </c>
      <c r="S6" s="11" t="str">
        <f t="shared" si="11"/>
        <v>(Q1)</v>
      </c>
      <c r="T6" s="8" t="str">
        <f t="shared" si="12"/>
        <v>2023 World Championships (Nov 11)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 t="shared" si="13"/>
        <v/>
      </c>
      <c r="AQ6" s="41" t="str">
        <f t="shared" si="14"/>
        <v/>
      </c>
      <c r="AR6" s="41" t="str">
        <f t="shared" si="15"/>
        <v/>
      </c>
      <c r="AS6" s="41" t="str">
        <f t="shared" si="16"/>
        <v/>
      </c>
      <c r="AT6" s="41" t="str">
        <f t="shared" si="17"/>
        <v/>
      </c>
      <c r="AU6" s="41" t="str">
        <f t="shared" si="18"/>
        <v/>
      </c>
      <c r="AV6" s="41" t="str">
        <f t="shared" si="19"/>
        <v/>
      </c>
      <c r="AW6" s="41" t="str">
        <f t="shared" si="20"/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 t="shared" si="21"/>
        <v>11</v>
      </c>
      <c r="BT6" s="11">
        <f t="shared" si="22"/>
        <v>45.9</v>
      </c>
      <c r="BU6" s="11">
        <f t="shared" si="23"/>
        <v>19.3</v>
      </c>
      <c r="BV6" s="11">
        <f t="shared" si="24"/>
        <v>14.3</v>
      </c>
      <c r="BW6" s="11">
        <f t="shared" si="25"/>
        <v>65.2</v>
      </c>
      <c r="BX6" s="11">
        <f t="shared" si="26"/>
        <v>11.6</v>
      </c>
      <c r="BY6" s="11">
        <f t="shared" si="27"/>
        <v>46.6</v>
      </c>
      <c r="BZ6" s="11">
        <f t="shared" si="28"/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8"/>
      <c r="CV6" s="41">
        <f t="shared" si="29"/>
        <v>11.6</v>
      </c>
      <c r="CW6" s="41">
        <f t="shared" si="30"/>
        <v>46.8</v>
      </c>
      <c r="CX6" s="41">
        <f t="shared" si="31"/>
        <v>24.5</v>
      </c>
      <c r="CY6" s="41">
        <f t="shared" si="32"/>
        <v>18.5</v>
      </c>
      <c r="CZ6" s="41">
        <f t="shared" si="33"/>
        <v>71.3</v>
      </c>
      <c r="DA6" s="41">
        <f t="shared" si="34"/>
        <v>11.6</v>
      </c>
      <c r="DB6" s="41">
        <f t="shared" si="35"/>
        <v>47</v>
      </c>
      <c r="DC6" s="41">
        <f t="shared" si="36"/>
        <v>118.3</v>
      </c>
      <c r="DD6" s="52">
        <f t="shared" si="37"/>
        <v>2.1000000000000014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18.600000000000001</v>
      </c>
      <c r="FL6" s="17">
        <v>6.1</v>
      </c>
      <c r="FM6" s="17">
        <v>0</v>
      </c>
      <c r="FN6" s="17">
        <v>0</v>
      </c>
      <c r="FO6" s="17">
        <v>17.8</v>
      </c>
      <c r="FP6" s="17">
        <v>5.5</v>
      </c>
      <c r="FQ6" s="17">
        <v>0</v>
      </c>
      <c r="FR6" s="17">
        <v>0</v>
      </c>
      <c r="FS6" s="17">
        <v>17.8</v>
      </c>
      <c r="FT6" s="17">
        <v>4.2</v>
      </c>
      <c r="FU6" s="17">
        <v>0</v>
      </c>
      <c r="FV6" s="17">
        <v>0</v>
      </c>
      <c r="FW6" s="17"/>
      <c r="FX6" s="17"/>
      <c r="FY6" s="17"/>
      <c r="FZ6" s="17"/>
      <c r="GA6" s="17"/>
      <c r="GB6" s="17"/>
      <c r="GC6" s="17"/>
      <c r="GD6" s="17"/>
      <c r="GE6" s="41">
        <f t="shared" si="56"/>
        <v>11.6</v>
      </c>
      <c r="GF6" s="41">
        <f t="shared" si="57"/>
        <v>48</v>
      </c>
      <c r="GG6" s="41">
        <f t="shared" si="58"/>
        <v>22</v>
      </c>
      <c r="GH6" s="41">
        <f t="shared" si="59"/>
        <v>15.8</v>
      </c>
      <c r="GI6" s="41">
        <f t="shared" si="60"/>
        <v>70</v>
      </c>
      <c r="GJ6" s="41" t="str">
        <f t="shared" si="61"/>
        <v/>
      </c>
      <c r="GK6" s="41" t="str">
        <f t="shared" si="62"/>
        <v/>
      </c>
      <c r="GL6" s="41">
        <f t="shared" si="63"/>
        <v>70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17.25</v>
      </c>
      <c r="QF6" s="23">
        <f t="shared" si="136"/>
        <v>5.8</v>
      </c>
      <c r="QG6" s="23">
        <f t="shared" si="136"/>
        <v>0</v>
      </c>
      <c r="QH6" s="23">
        <f t="shared" si="136"/>
        <v>0</v>
      </c>
      <c r="QI6" s="23">
        <f t="shared" si="136"/>
        <v>17.799999999999997</v>
      </c>
      <c r="QJ6" s="23">
        <f t="shared" si="136"/>
        <v>5.5</v>
      </c>
      <c r="QK6" s="23">
        <f t="shared" si="136"/>
        <v>0</v>
      </c>
      <c r="QL6" s="23">
        <f t="shared" si="136"/>
        <v>0</v>
      </c>
      <c r="QM6" s="23">
        <f t="shared" si="136"/>
        <v>16.8</v>
      </c>
      <c r="QN6" s="23">
        <f t="shared" si="136"/>
        <v>5.0999999999999996</v>
      </c>
      <c r="QO6" s="23">
        <f t="shared" si="137"/>
        <v>0</v>
      </c>
      <c r="QP6" s="23">
        <f t="shared" si="137"/>
        <v>0</v>
      </c>
      <c r="QQ6" s="23">
        <f t="shared" si="137"/>
        <v>17.05</v>
      </c>
      <c r="QR6" s="23">
        <f t="shared" si="137"/>
        <v>6.1</v>
      </c>
      <c r="QS6" s="23">
        <f t="shared" si="137"/>
        <v>0</v>
      </c>
      <c r="QT6" s="23">
        <f t="shared" si="137"/>
        <v>0</v>
      </c>
      <c r="QU6" s="23">
        <f t="shared" si="137"/>
        <v>18.149999999999999</v>
      </c>
      <c r="QV6" s="23">
        <f t="shared" si="137"/>
        <v>5.5</v>
      </c>
      <c r="QW6" s="23">
        <f t="shared" si="137"/>
        <v>0</v>
      </c>
      <c r="QX6" s="23">
        <f t="shared" si="137"/>
        <v>0</v>
      </c>
      <c r="QY6" s="28" t="s">
        <v>57</v>
      </c>
      <c r="QZ6" s="41">
        <f t="shared" si="138"/>
        <v>11.3</v>
      </c>
      <c r="RA6" s="41">
        <f t="shared" si="139"/>
        <v>46.349999999999994</v>
      </c>
      <c r="RB6" s="41">
        <f t="shared" si="140"/>
        <v>21.9</v>
      </c>
      <c r="RC6" s="41">
        <f t="shared" si="141"/>
        <v>16.399999999999999</v>
      </c>
      <c r="RD6" s="41">
        <f t="shared" si="142"/>
        <v>68.25</v>
      </c>
      <c r="RE6" s="41">
        <f t="shared" si="143"/>
        <v>11.6</v>
      </c>
      <c r="RF6" s="41">
        <f t="shared" si="144"/>
        <v>46.8</v>
      </c>
      <c r="RG6" s="41">
        <f t="shared" si="145"/>
        <v>115.05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232</v>
      </c>
      <c r="C7" s="4" t="s">
        <v>8</v>
      </c>
      <c r="D7" s="4">
        <v>2006</v>
      </c>
      <c r="E7" s="9">
        <f t="shared" si="0"/>
        <v>165.70001141000452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IF(COUNT(AQ7,BT7,CW7)&gt;0,LARGE((AQ7,BT7,CW7),1),0)</f>
        <v>45.3</v>
      </c>
      <c r="K7" s="8" t="str">
        <f t="shared" si="5"/>
        <v>2023 Nationals</v>
      </c>
      <c r="L7" s="8">
        <f>IF(COUNT(AQ7,BT7,CW7)&gt;1,LARGE((AQ7,BT7,CW7),2),0)</f>
        <v>44.9</v>
      </c>
      <c r="M7" s="8" t="str">
        <f t="shared" si="6"/>
        <v>2023 Domestic 3rd Trial</v>
      </c>
      <c r="N7" s="8">
        <f>IF(COUNT(AR7,BU7,CX7)&gt;0,LARGE((AR7,BU7,CX7),1),0)</f>
        <v>23.9</v>
      </c>
      <c r="O7" s="8" t="str">
        <f t="shared" si="7"/>
        <v>2023 Domestic 3rd Trial</v>
      </c>
      <c r="P7" s="8">
        <f t="shared" si="8"/>
        <v>47</v>
      </c>
      <c r="Q7" s="8" t="str">
        <f t="shared" si="9"/>
        <v>2023 Nationals</v>
      </c>
      <c r="R7" s="8">
        <f t="shared" si="10"/>
        <v>4.6000000000000085</v>
      </c>
      <c r="S7" s="11" t="str">
        <f t="shared" si="11"/>
        <v>(Q1)</v>
      </c>
      <c r="T7" s="8" t="str">
        <f t="shared" si="12"/>
        <v>2023 WAGC (Nov 17)</v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 t="shared" si="13"/>
        <v/>
      </c>
      <c r="AQ7" s="41" t="str">
        <f t="shared" si="14"/>
        <v/>
      </c>
      <c r="AR7" s="41" t="str">
        <f t="shared" si="15"/>
        <v/>
      </c>
      <c r="AS7" s="41" t="str">
        <f t="shared" si="16"/>
        <v/>
      </c>
      <c r="AT7" s="41" t="str">
        <f t="shared" si="17"/>
        <v/>
      </c>
      <c r="AU7" s="41" t="str">
        <f t="shared" si="18"/>
        <v/>
      </c>
      <c r="AV7" s="41" t="str">
        <f t="shared" si="19"/>
        <v/>
      </c>
      <c r="AW7" s="41" t="str">
        <f t="shared" si="20"/>
        <v/>
      </c>
      <c r="AX7" s="18">
        <v>17.5</v>
      </c>
      <c r="AY7" s="18">
        <v>5.5</v>
      </c>
      <c r="AZ7" s="18">
        <v>0.2</v>
      </c>
      <c r="BA7" s="18">
        <v>0.3</v>
      </c>
      <c r="BB7" s="18">
        <v>16.8</v>
      </c>
      <c r="BC7" s="18">
        <v>5.0999999999999996</v>
      </c>
      <c r="BD7" s="18">
        <v>0</v>
      </c>
      <c r="BE7" s="18">
        <v>0.3</v>
      </c>
      <c r="BF7" s="18">
        <v>17</v>
      </c>
      <c r="BG7" s="18">
        <v>5.5</v>
      </c>
      <c r="BH7" s="18">
        <v>0.2</v>
      </c>
      <c r="BI7" s="18">
        <v>0.3</v>
      </c>
      <c r="BJ7" s="18">
        <v>18</v>
      </c>
      <c r="BK7" s="18">
        <v>5.5</v>
      </c>
      <c r="BL7" s="18">
        <v>0</v>
      </c>
      <c r="BM7" s="18">
        <v>0.3</v>
      </c>
      <c r="BN7" s="18">
        <v>17.8</v>
      </c>
      <c r="BO7" s="18">
        <v>5.0999999999999996</v>
      </c>
      <c r="BP7" s="18">
        <v>0</v>
      </c>
      <c r="BQ7" s="18">
        <v>0.3</v>
      </c>
      <c r="BR7" s="29"/>
      <c r="BS7" s="11">
        <f t="shared" si="21"/>
        <v>10.6</v>
      </c>
      <c r="BT7" s="11">
        <f t="shared" si="22"/>
        <v>45.3</v>
      </c>
      <c r="BU7" s="11">
        <f t="shared" si="23"/>
        <v>22.6</v>
      </c>
      <c r="BV7" s="11">
        <f t="shared" si="24"/>
        <v>16.100000000000001</v>
      </c>
      <c r="BW7" s="11">
        <f t="shared" si="25"/>
        <v>67.900000000000006</v>
      </c>
      <c r="BX7" s="11">
        <f t="shared" si="26"/>
        <v>10.6</v>
      </c>
      <c r="BY7" s="11">
        <f t="shared" si="27"/>
        <v>47</v>
      </c>
      <c r="BZ7" s="11">
        <f t="shared" si="28"/>
        <v>114.9</v>
      </c>
      <c r="CA7" s="19">
        <v>16.899999999999999</v>
      </c>
      <c r="CB7" s="19">
        <v>5.0999999999999996</v>
      </c>
      <c r="CC7" s="19">
        <v>0.4</v>
      </c>
      <c r="CD7" s="19">
        <v>0</v>
      </c>
      <c r="CE7" s="19">
        <v>17.8</v>
      </c>
      <c r="CF7" s="19">
        <v>5.5</v>
      </c>
      <c r="CG7" s="19">
        <v>0</v>
      </c>
      <c r="CH7" s="19">
        <v>0</v>
      </c>
      <c r="CI7" s="19">
        <v>18.399999999999999</v>
      </c>
      <c r="CJ7" s="19">
        <v>5.5</v>
      </c>
      <c r="CK7" s="19">
        <v>0</v>
      </c>
      <c r="CL7" s="19">
        <v>0</v>
      </c>
      <c r="CM7" s="19">
        <v>17</v>
      </c>
      <c r="CN7" s="19">
        <v>6.5</v>
      </c>
      <c r="CO7" s="19">
        <v>0</v>
      </c>
      <c r="CP7" s="19">
        <v>0</v>
      </c>
      <c r="CQ7" s="19">
        <v>17.600000000000001</v>
      </c>
      <c r="CR7" s="19">
        <v>5.5</v>
      </c>
      <c r="CS7" s="19">
        <v>0</v>
      </c>
      <c r="CT7" s="19">
        <v>0</v>
      </c>
      <c r="CU7" s="28"/>
      <c r="CV7" s="41">
        <f t="shared" si="29"/>
        <v>10.6</v>
      </c>
      <c r="CW7" s="41">
        <f t="shared" si="30"/>
        <v>44.9</v>
      </c>
      <c r="CX7" s="41">
        <f t="shared" si="31"/>
        <v>23.9</v>
      </c>
      <c r="CY7" s="41">
        <f t="shared" si="32"/>
        <v>16.100000000000001</v>
      </c>
      <c r="CZ7" s="41">
        <f t="shared" si="33"/>
        <v>68.8</v>
      </c>
      <c r="DA7" s="41">
        <f t="shared" si="34"/>
        <v>12</v>
      </c>
      <c r="DB7" s="41">
        <f t="shared" si="35"/>
        <v>46.6</v>
      </c>
      <c r="DC7" s="41">
        <f t="shared" si="36"/>
        <v>115.4</v>
      </c>
      <c r="DD7" s="52">
        <f t="shared" si="37"/>
        <v>4.6000000000000085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>
        <v>17.8</v>
      </c>
      <c r="GN7" s="18">
        <v>6.5</v>
      </c>
      <c r="GO7" s="18">
        <v>0</v>
      </c>
      <c r="GP7" s="18">
        <v>0</v>
      </c>
      <c r="GQ7" s="18">
        <v>18.100000000000001</v>
      </c>
      <c r="GR7" s="18">
        <v>7.1</v>
      </c>
      <c r="GS7" s="18">
        <v>0</v>
      </c>
      <c r="GT7" s="18">
        <v>0</v>
      </c>
      <c r="GU7" s="18"/>
      <c r="GV7" s="18"/>
      <c r="GW7" s="18"/>
      <c r="GX7" s="18"/>
      <c r="GY7" s="18">
        <v>18.100000000000001</v>
      </c>
      <c r="GZ7" s="18">
        <v>7.3</v>
      </c>
      <c r="HA7" s="18">
        <v>0</v>
      </c>
      <c r="HB7" s="18">
        <v>0</v>
      </c>
      <c r="HC7" s="18">
        <v>16</v>
      </c>
      <c r="HD7" s="18">
        <v>3.3</v>
      </c>
      <c r="HE7" s="18">
        <v>0</v>
      </c>
      <c r="HF7" s="18">
        <v>0</v>
      </c>
      <c r="HG7" s="11">
        <f t="shared" si="64"/>
        <v>13.6</v>
      </c>
      <c r="HH7" s="11">
        <f t="shared" si="65"/>
        <v>49.500000000000007</v>
      </c>
      <c r="HI7" s="11" t="str">
        <f t="shared" si="66"/>
        <v/>
      </c>
      <c r="HJ7" s="11">
        <f t="shared" si="67"/>
        <v>13.6</v>
      </c>
      <c r="HK7" s="11">
        <f t="shared" si="68"/>
        <v>49.500000000000007</v>
      </c>
      <c r="HL7" s="11">
        <f t="shared" si="69"/>
        <v>10.6</v>
      </c>
      <c r="HM7" s="11">
        <f t="shared" si="70"/>
        <v>44.7</v>
      </c>
      <c r="HN7" s="11">
        <f t="shared" si="71"/>
        <v>94.200000000000017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17.2</v>
      </c>
      <c r="QF7" s="23">
        <f t="shared" si="136"/>
        <v>5.3</v>
      </c>
      <c r="QG7" s="23">
        <f t="shared" si="136"/>
        <v>0.30000000000000004</v>
      </c>
      <c r="QH7" s="23">
        <f t="shared" si="136"/>
        <v>0.15</v>
      </c>
      <c r="QI7" s="23">
        <f t="shared" si="136"/>
        <v>17.3</v>
      </c>
      <c r="QJ7" s="23">
        <f t="shared" si="136"/>
        <v>5.3</v>
      </c>
      <c r="QK7" s="23">
        <f t="shared" si="136"/>
        <v>0</v>
      </c>
      <c r="QL7" s="23">
        <f t="shared" si="136"/>
        <v>0.15</v>
      </c>
      <c r="QM7" s="23">
        <f t="shared" si="136"/>
        <v>17.7</v>
      </c>
      <c r="QN7" s="23">
        <f t="shared" si="136"/>
        <v>5.5</v>
      </c>
      <c r="QO7" s="23">
        <f t="shared" si="137"/>
        <v>0.1</v>
      </c>
      <c r="QP7" s="23">
        <f t="shared" si="137"/>
        <v>0.15</v>
      </c>
      <c r="QQ7" s="23">
        <f t="shared" si="137"/>
        <v>17.5</v>
      </c>
      <c r="QR7" s="23">
        <f t="shared" si="137"/>
        <v>6</v>
      </c>
      <c r="QS7" s="23">
        <f t="shared" si="137"/>
        <v>0</v>
      </c>
      <c r="QT7" s="23">
        <f t="shared" si="137"/>
        <v>0.15</v>
      </c>
      <c r="QU7" s="23">
        <f t="shared" si="137"/>
        <v>17.700000000000003</v>
      </c>
      <c r="QV7" s="23">
        <f t="shared" si="137"/>
        <v>5.3</v>
      </c>
      <c r="QW7" s="23">
        <f t="shared" si="137"/>
        <v>0</v>
      </c>
      <c r="QX7" s="23">
        <f t="shared" si="137"/>
        <v>0.15</v>
      </c>
      <c r="QY7" s="28" t="s">
        <v>57</v>
      </c>
      <c r="QZ7" s="41">
        <f t="shared" si="138"/>
        <v>10.6</v>
      </c>
      <c r="RA7" s="41">
        <f t="shared" si="139"/>
        <v>45.1</v>
      </c>
      <c r="RB7" s="41">
        <f t="shared" si="140"/>
        <v>23.249999999999996</v>
      </c>
      <c r="RC7" s="41">
        <f t="shared" si="141"/>
        <v>16.100000000000001</v>
      </c>
      <c r="RD7" s="41">
        <f t="shared" si="142"/>
        <v>68.349999999999994</v>
      </c>
      <c r="RE7" s="41">
        <f t="shared" si="143"/>
        <v>11.3</v>
      </c>
      <c r="RF7" s="41">
        <f t="shared" si="144"/>
        <v>46.8</v>
      </c>
      <c r="RG7" s="41">
        <f t="shared" si="145"/>
        <v>115.14999999999999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84</v>
      </c>
      <c r="C8" s="4" t="s">
        <v>5</v>
      </c>
      <c r="D8" s="4">
        <v>2002</v>
      </c>
      <c r="E8" s="9">
        <f t="shared" si="0"/>
        <v>164.90001176000467</v>
      </c>
      <c r="F8" s="3" t="str">
        <f t="shared" si="1"/>
        <v>P</v>
      </c>
      <c r="G8" s="3" t="str">
        <f t="shared" si="2"/>
        <v>P</v>
      </c>
      <c r="H8" s="37" t="str">
        <f t="shared" si="3"/>
        <v>Worlds Team</v>
      </c>
      <c r="I8" s="3" t="str">
        <f t="shared" si="4"/>
        <v>P</v>
      </c>
      <c r="J8" s="8">
        <f>IF(COUNT(AQ8,BT8,CW8)&gt;0,LARGE((AQ8,BT8,CW8),1),0)</f>
        <v>46.9</v>
      </c>
      <c r="K8" s="8" t="str">
        <f t="shared" si="5"/>
        <v>2023 Domestic 3rd Trial</v>
      </c>
      <c r="L8" s="8">
        <f>IF(COUNT(AQ8,BT8,CW8)&gt;1,LARGE((AQ8,BT8,CW8),2),0)</f>
        <v>45.9</v>
      </c>
      <c r="M8" s="8" t="str">
        <f t="shared" si="6"/>
        <v>2023 Nationals</v>
      </c>
      <c r="N8" s="8">
        <f>IF(COUNT(AR8,BU8,CX8)&gt;0,LARGE((AR8,BU8,CX8),1),0)</f>
        <v>24.799999999999997</v>
      </c>
      <c r="O8" s="8" t="str">
        <f t="shared" si="7"/>
        <v>2023 Nationals</v>
      </c>
      <c r="P8" s="8">
        <f t="shared" si="8"/>
        <v>46.099999999999994</v>
      </c>
      <c r="Q8" s="8" t="str">
        <f t="shared" si="9"/>
        <v>2023 Nationals</v>
      </c>
      <c r="R8" s="8">
        <f t="shared" si="10"/>
        <v>1.2000000000000028</v>
      </c>
      <c r="S8" s="11" t="str">
        <f t="shared" si="11"/>
        <v>(Q1)</v>
      </c>
      <c r="T8" s="8" t="str">
        <f t="shared" si="12"/>
        <v>2023 World Championships (Nov 11)</v>
      </c>
      <c r="U8" s="19">
        <v>17.399999999999999</v>
      </c>
      <c r="V8" s="19">
        <v>5.7</v>
      </c>
      <c r="W8" s="19">
        <v>0</v>
      </c>
      <c r="X8" s="19">
        <v>0</v>
      </c>
      <c r="Y8" s="19">
        <v>16.899999999999999</v>
      </c>
      <c r="Z8" s="19">
        <v>5.9</v>
      </c>
      <c r="AA8" s="19">
        <v>0</v>
      </c>
      <c r="AB8" s="19">
        <v>0</v>
      </c>
      <c r="AC8" s="19">
        <v>17.3</v>
      </c>
      <c r="AD8" s="19">
        <v>6.1</v>
      </c>
      <c r="AE8" s="19">
        <v>0</v>
      </c>
      <c r="AF8" s="19">
        <v>0</v>
      </c>
      <c r="AG8" s="19">
        <v>18.2</v>
      </c>
      <c r="AH8" s="19">
        <v>5.3</v>
      </c>
      <c r="AI8" s="19">
        <v>0</v>
      </c>
      <c r="AJ8" s="19">
        <v>0</v>
      </c>
      <c r="AK8" s="19">
        <v>17.3</v>
      </c>
      <c r="AL8" s="19">
        <v>4.3</v>
      </c>
      <c r="AM8" s="19">
        <v>0.5</v>
      </c>
      <c r="AN8" s="19">
        <v>0</v>
      </c>
      <c r="AO8" s="28"/>
      <c r="AP8" s="41">
        <f t="shared" si="13"/>
        <v>11.600000000000001</v>
      </c>
      <c r="AQ8" s="41">
        <f t="shared" si="14"/>
        <v>45.9</v>
      </c>
      <c r="AR8" s="41">
        <f t="shared" si="15"/>
        <v>23.4</v>
      </c>
      <c r="AS8" s="41">
        <f t="shared" si="16"/>
        <v>17.700000000000003</v>
      </c>
      <c r="AT8" s="41">
        <f t="shared" si="17"/>
        <v>69.3</v>
      </c>
      <c r="AU8" s="41">
        <f t="shared" si="18"/>
        <v>9.6</v>
      </c>
      <c r="AV8" s="41">
        <f t="shared" si="19"/>
        <v>44.599999999999994</v>
      </c>
      <c r="AW8" s="41">
        <f t="shared" si="20"/>
        <v>113.89999999999999</v>
      </c>
      <c r="AX8" s="18">
        <v>17.100000000000001</v>
      </c>
      <c r="AY8" s="18">
        <v>5.7</v>
      </c>
      <c r="AZ8" s="18">
        <v>0</v>
      </c>
      <c r="BA8" s="18">
        <v>0</v>
      </c>
      <c r="BB8" s="18">
        <v>17.2</v>
      </c>
      <c r="BC8" s="18">
        <v>5.9</v>
      </c>
      <c r="BD8" s="18">
        <v>0</v>
      </c>
      <c r="BE8" s="18">
        <v>0</v>
      </c>
      <c r="BF8" s="18">
        <v>16.7</v>
      </c>
      <c r="BG8" s="18">
        <v>8.1</v>
      </c>
      <c r="BH8" s="18">
        <v>0</v>
      </c>
      <c r="BI8" s="18">
        <v>0</v>
      </c>
      <c r="BJ8" s="18">
        <v>18.100000000000001</v>
      </c>
      <c r="BK8" s="18">
        <v>5.7</v>
      </c>
      <c r="BL8" s="18">
        <v>0</v>
      </c>
      <c r="BM8" s="18">
        <v>0</v>
      </c>
      <c r="BN8" s="18">
        <v>16</v>
      </c>
      <c r="BO8" s="18">
        <v>6.5</v>
      </c>
      <c r="BP8" s="18">
        <v>0.2</v>
      </c>
      <c r="BQ8" s="18">
        <v>0</v>
      </c>
      <c r="BR8" s="29"/>
      <c r="BS8" s="11">
        <f t="shared" si="21"/>
        <v>11.600000000000001</v>
      </c>
      <c r="BT8" s="11">
        <f t="shared" si="22"/>
        <v>45.9</v>
      </c>
      <c r="BU8" s="11">
        <f t="shared" si="23"/>
        <v>24.799999999999997</v>
      </c>
      <c r="BV8" s="11">
        <f t="shared" si="24"/>
        <v>19.700000000000003</v>
      </c>
      <c r="BW8" s="11">
        <f t="shared" si="25"/>
        <v>70.699999999999989</v>
      </c>
      <c r="BX8" s="11">
        <f t="shared" si="26"/>
        <v>12.2</v>
      </c>
      <c r="BY8" s="11">
        <f t="shared" si="27"/>
        <v>46.099999999999994</v>
      </c>
      <c r="BZ8" s="11">
        <f t="shared" si="28"/>
        <v>116.79999999999998</v>
      </c>
      <c r="CA8" s="19">
        <v>17.7</v>
      </c>
      <c r="CB8" s="19">
        <v>5.6</v>
      </c>
      <c r="CC8" s="19">
        <v>0</v>
      </c>
      <c r="CD8" s="19">
        <v>0</v>
      </c>
      <c r="CE8" s="19">
        <v>17.5</v>
      </c>
      <c r="CF8" s="19">
        <v>6.1</v>
      </c>
      <c r="CG8" s="19">
        <v>0</v>
      </c>
      <c r="CH8" s="19">
        <v>0</v>
      </c>
      <c r="CI8" s="19">
        <v>17.899999999999999</v>
      </c>
      <c r="CJ8" s="19">
        <v>5.9</v>
      </c>
      <c r="CK8" s="19">
        <v>0</v>
      </c>
      <c r="CL8" s="19">
        <v>0</v>
      </c>
      <c r="CM8" s="19">
        <v>17.399999999999999</v>
      </c>
      <c r="CN8" s="19">
        <v>6.1</v>
      </c>
      <c r="CO8" s="19">
        <v>0</v>
      </c>
      <c r="CP8" s="19">
        <v>0</v>
      </c>
      <c r="CQ8" s="19">
        <v>15.6</v>
      </c>
      <c r="CR8" s="19">
        <v>3.7</v>
      </c>
      <c r="CS8" s="19">
        <v>0</v>
      </c>
      <c r="CT8" s="19">
        <v>0</v>
      </c>
      <c r="CU8" s="28"/>
      <c r="CV8" s="41">
        <f t="shared" si="29"/>
        <v>11.7</v>
      </c>
      <c r="CW8" s="41">
        <f t="shared" si="30"/>
        <v>46.9</v>
      </c>
      <c r="CX8" s="41">
        <f t="shared" si="31"/>
        <v>23.799999999999997</v>
      </c>
      <c r="CY8" s="41">
        <f t="shared" si="32"/>
        <v>17.600000000000001</v>
      </c>
      <c r="CZ8" s="41">
        <f t="shared" si="33"/>
        <v>70.699999999999989</v>
      </c>
      <c r="DA8" s="41">
        <f t="shared" si="34"/>
        <v>9.8000000000000007</v>
      </c>
      <c r="DB8" s="41">
        <f t="shared" si="35"/>
        <v>42.800000000000004</v>
      </c>
      <c r="DC8" s="41">
        <f t="shared" si="36"/>
        <v>113.5</v>
      </c>
      <c r="DD8" s="52">
        <f t="shared" si="37"/>
        <v>1.2000000000000028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>
        <v>17.5</v>
      </c>
      <c r="FL8" s="17">
        <v>5.9</v>
      </c>
      <c r="FM8" s="17">
        <v>0</v>
      </c>
      <c r="FN8" s="17">
        <v>0</v>
      </c>
      <c r="FO8" s="17">
        <v>17.600000000000001</v>
      </c>
      <c r="FP8" s="17">
        <v>6.1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 t="shared" si="56"/>
        <v>12</v>
      </c>
      <c r="GF8" s="41">
        <f t="shared" si="57"/>
        <v>47.1</v>
      </c>
      <c r="GG8" s="41" t="str">
        <f t="shared" si="58"/>
        <v/>
      </c>
      <c r="GH8" s="41">
        <f t="shared" si="59"/>
        <v>12</v>
      </c>
      <c r="GI8" s="41">
        <f t="shared" si="60"/>
        <v>47.1</v>
      </c>
      <c r="GJ8" s="41" t="str">
        <f t="shared" si="61"/>
        <v/>
      </c>
      <c r="GK8" s="41" t="str">
        <f t="shared" si="62"/>
        <v/>
      </c>
      <c r="GL8" s="41">
        <f t="shared" si="63"/>
        <v>47.1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17.399999999999999</v>
      </c>
      <c r="QF8" s="23">
        <f t="shared" si="136"/>
        <v>5.65</v>
      </c>
      <c r="QG8" s="23">
        <f t="shared" si="136"/>
        <v>0</v>
      </c>
      <c r="QH8" s="23">
        <f t="shared" si="136"/>
        <v>0</v>
      </c>
      <c r="QI8" s="23">
        <f t="shared" si="136"/>
        <v>17.350000000000001</v>
      </c>
      <c r="QJ8" s="23">
        <f t="shared" si="136"/>
        <v>6</v>
      </c>
      <c r="QK8" s="23">
        <f t="shared" si="136"/>
        <v>0</v>
      </c>
      <c r="QL8" s="23">
        <f t="shared" si="136"/>
        <v>0</v>
      </c>
      <c r="QM8" s="23">
        <f t="shared" si="136"/>
        <v>17.299999999999997</v>
      </c>
      <c r="QN8" s="23">
        <f t="shared" si="136"/>
        <v>7</v>
      </c>
      <c r="QO8" s="23">
        <f t="shared" si="137"/>
        <v>0</v>
      </c>
      <c r="QP8" s="23">
        <f t="shared" si="137"/>
        <v>0</v>
      </c>
      <c r="QQ8" s="23">
        <f t="shared" si="137"/>
        <v>17.75</v>
      </c>
      <c r="QR8" s="23">
        <f t="shared" si="137"/>
        <v>5.9</v>
      </c>
      <c r="QS8" s="23">
        <f t="shared" si="137"/>
        <v>0</v>
      </c>
      <c r="QT8" s="23">
        <f t="shared" si="137"/>
        <v>0</v>
      </c>
      <c r="QU8" s="23">
        <f t="shared" si="137"/>
        <v>15.8</v>
      </c>
      <c r="QV8" s="23">
        <f t="shared" si="137"/>
        <v>5.0999999999999996</v>
      </c>
      <c r="QW8" s="23">
        <f t="shared" si="137"/>
        <v>0.1</v>
      </c>
      <c r="QX8" s="23">
        <f t="shared" si="137"/>
        <v>0</v>
      </c>
      <c r="QY8" s="28" t="s">
        <v>57</v>
      </c>
      <c r="QZ8" s="41">
        <f t="shared" si="138"/>
        <v>11.65</v>
      </c>
      <c r="RA8" s="41">
        <f t="shared" si="139"/>
        <v>46.4</v>
      </c>
      <c r="RB8" s="41">
        <f t="shared" si="140"/>
        <v>24.299999999999997</v>
      </c>
      <c r="RC8" s="41">
        <f t="shared" si="141"/>
        <v>18.649999999999999</v>
      </c>
      <c r="RD8" s="41">
        <f t="shared" si="142"/>
        <v>70.699999999999989</v>
      </c>
      <c r="RE8" s="41">
        <f t="shared" si="143"/>
        <v>11</v>
      </c>
      <c r="RF8" s="41">
        <f t="shared" si="144"/>
        <v>44.45</v>
      </c>
      <c r="RG8" s="41">
        <f t="shared" si="145"/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131</v>
      </c>
      <c r="C9" s="4" t="s">
        <v>5</v>
      </c>
      <c r="D9" s="4">
        <v>2004</v>
      </c>
      <c r="E9" s="9">
        <f t="shared" si="0"/>
        <v>162.60001101000449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IF(COUNT(AQ9,BT9,CW9)&gt;0,LARGE((AQ9,BT9,CW9),1),0)</f>
        <v>45.2</v>
      </c>
      <c r="K9" s="8" t="str">
        <f t="shared" si="5"/>
        <v>2023 Elite Canada</v>
      </c>
      <c r="L9" s="8">
        <f>IF(COUNT(AQ9,BT9,CW9)&gt;1,LARGE((AQ9,BT9,CW9),2),0)</f>
        <v>41.6</v>
      </c>
      <c r="M9" s="8" t="str">
        <f t="shared" si="6"/>
        <v>2023 Domestic 3rd Trial</v>
      </c>
      <c r="N9" s="8">
        <f>IF(COUNT(AR9,BU9,CX9)&gt;0,LARGE((AR9,BU9,CX9),1),0)</f>
        <v>23.3</v>
      </c>
      <c r="O9" s="8" t="str">
        <f t="shared" si="7"/>
        <v>2023 Domestic 3rd Trial</v>
      </c>
      <c r="P9" s="8">
        <f t="shared" si="8"/>
        <v>46.099999999999994</v>
      </c>
      <c r="Q9" s="8" t="str">
        <f t="shared" si="9"/>
        <v>2023 Nationals</v>
      </c>
      <c r="R9" s="8">
        <f t="shared" si="10"/>
        <v>6.3999999999999915</v>
      </c>
      <c r="S9" s="11" t="str">
        <f t="shared" si="11"/>
        <v>(Q1)</v>
      </c>
      <c r="T9" s="8" t="str">
        <f t="shared" si="12"/>
        <v>2023 WAGC (Nov 17)</v>
      </c>
      <c r="U9" s="19">
        <v>16.5</v>
      </c>
      <c r="V9" s="19">
        <v>6.1</v>
      </c>
      <c r="W9" s="19">
        <v>0.2</v>
      </c>
      <c r="X9" s="19">
        <v>0</v>
      </c>
      <c r="Y9" s="19">
        <v>16.600000000000001</v>
      </c>
      <c r="Z9" s="19">
        <v>6.2</v>
      </c>
      <c r="AA9" s="19">
        <v>0</v>
      </c>
      <c r="AB9" s="19">
        <v>0</v>
      </c>
      <c r="AC9" s="19">
        <v>16.3</v>
      </c>
      <c r="AD9" s="19">
        <v>6.2</v>
      </c>
      <c r="AE9" s="19">
        <v>0</v>
      </c>
      <c r="AF9" s="19">
        <v>0</v>
      </c>
      <c r="AG9" s="19">
        <v>15.8</v>
      </c>
      <c r="AH9" s="19">
        <v>3.3</v>
      </c>
      <c r="AI9" s="19">
        <v>0</v>
      </c>
      <c r="AJ9" s="19">
        <v>0</v>
      </c>
      <c r="AK9" s="19">
        <v>13.5</v>
      </c>
      <c r="AL9" s="19">
        <v>5.7</v>
      </c>
      <c r="AM9" s="19">
        <v>0</v>
      </c>
      <c r="AN9" s="19">
        <v>0</v>
      </c>
      <c r="AO9" s="28"/>
      <c r="AP9" s="41">
        <f t="shared" si="13"/>
        <v>12.3</v>
      </c>
      <c r="AQ9" s="41">
        <f t="shared" si="14"/>
        <v>45.2</v>
      </c>
      <c r="AR9" s="41">
        <f t="shared" si="15"/>
        <v>22.5</v>
      </c>
      <c r="AS9" s="41">
        <f t="shared" si="16"/>
        <v>18.5</v>
      </c>
      <c r="AT9" s="41">
        <f t="shared" si="17"/>
        <v>67.7</v>
      </c>
      <c r="AU9" s="41">
        <f t="shared" si="18"/>
        <v>9</v>
      </c>
      <c r="AV9" s="41">
        <f t="shared" si="19"/>
        <v>38.300000000000004</v>
      </c>
      <c r="AW9" s="41">
        <f t="shared" si="20"/>
        <v>106</v>
      </c>
      <c r="AX9" s="18">
        <v>15.3</v>
      </c>
      <c r="AY9" s="18">
        <v>3</v>
      </c>
      <c r="AZ9" s="18">
        <v>0</v>
      </c>
      <c r="BA9" s="18">
        <v>0</v>
      </c>
      <c r="BB9" s="18">
        <v>16.8</v>
      </c>
      <c r="BC9" s="18">
        <v>6.2</v>
      </c>
      <c r="BD9" s="18">
        <v>0</v>
      </c>
      <c r="BE9" s="18">
        <v>0</v>
      </c>
      <c r="BF9" s="18">
        <v>16.600000000000001</v>
      </c>
      <c r="BG9" s="18">
        <v>6.2</v>
      </c>
      <c r="BH9" s="18">
        <v>0</v>
      </c>
      <c r="BI9" s="18">
        <v>0</v>
      </c>
      <c r="BJ9" s="18">
        <v>17.2</v>
      </c>
      <c r="BK9" s="18">
        <v>5.7</v>
      </c>
      <c r="BL9" s="18">
        <v>0.2</v>
      </c>
      <c r="BM9" s="18">
        <v>0</v>
      </c>
      <c r="BN9" s="18">
        <v>17.2</v>
      </c>
      <c r="BO9" s="18">
        <v>6.2</v>
      </c>
      <c r="BP9" s="18">
        <v>0</v>
      </c>
      <c r="BQ9" s="18">
        <v>0</v>
      </c>
      <c r="BR9" s="29"/>
      <c r="BS9" s="11">
        <f t="shared" si="21"/>
        <v>9.1999999999999993</v>
      </c>
      <c r="BT9" s="11">
        <f t="shared" si="22"/>
        <v>41.300000000000004</v>
      </c>
      <c r="BU9" s="11">
        <f t="shared" si="23"/>
        <v>22.8</v>
      </c>
      <c r="BV9" s="11">
        <f t="shared" si="24"/>
        <v>15.399999999999999</v>
      </c>
      <c r="BW9" s="11">
        <f t="shared" si="25"/>
        <v>64.100000000000009</v>
      </c>
      <c r="BX9" s="11">
        <f t="shared" si="26"/>
        <v>11.9</v>
      </c>
      <c r="BY9" s="11">
        <f t="shared" si="27"/>
        <v>46.099999999999994</v>
      </c>
      <c r="BZ9" s="11">
        <f t="shared" si="28"/>
        <v>110.2</v>
      </c>
      <c r="CA9" s="19">
        <v>16.7</v>
      </c>
      <c r="CB9" s="19">
        <v>7</v>
      </c>
      <c r="CC9" s="19">
        <v>0</v>
      </c>
      <c r="CD9" s="19">
        <v>0</v>
      </c>
      <c r="CE9" s="19">
        <v>15.3</v>
      </c>
      <c r="CF9" s="19">
        <v>2.6</v>
      </c>
      <c r="CG9" s="19">
        <v>0</v>
      </c>
      <c r="CH9" s="19">
        <v>0</v>
      </c>
      <c r="CI9" s="19">
        <v>17.100000000000001</v>
      </c>
      <c r="CJ9" s="19">
        <v>6.2</v>
      </c>
      <c r="CK9" s="19">
        <v>0</v>
      </c>
      <c r="CL9" s="19">
        <v>0</v>
      </c>
      <c r="CM9" s="19">
        <v>12.9</v>
      </c>
      <c r="CN9" s="19">
        <v>3.6</v>
      </c>
      <c r="CO9" s="19">
        <v>0</v>
      </c>
      <c r="CP9" s="19">
        <v>0</v>
      </c>
      <c r="CQ9" s="19">
        <v>17.2</v>
      </c>
      <c r="CR9" s="19">
        <v>5.8</v>
      </c>
      <c r="CS9" s="19">
        <v>0</v>
      </c>
      <c r="CT9" s="19">
        <v>0</v>
      </c>
      <c r="CU9" s="28"/>
      <c r="CV9" s="41">
        <f t="shared" si="29"/>
        <v>9.6</v>
      </c>
      <c r="CW9" s="41">
        <f t="shared" si="30"/>
        <v>41.6</v>
      </c>
      <c r="CX9" s="41">
        <f t="shared" si="31"/>
        <v>23.3</v>
      </c>
      <c r="CY9" s="41">
        <f t="shared" si="32"/>
        <v>15.8</v>
      </c>
      <c r="CZ9" s="41">
        <f t="shared" si="33"/>
        <v>64.900000000000006</v>
      </c>
      <c r="DA9" s="41">
        <f t="shared" si="34"/>
        <v>9.4</v>
      </c>
      <c r="DB9" s="41">
        <f t="shared" si="35"/>
        <v>39.5</v>
      </c>
      <c r="DC9" s="41">
        <f t="shared" si="36"/>
        <v>104.4</v>
      </c>
      <c r="DD9" s="52">
        <f t="shared" si="37"/>
        <v>6.3999999999999915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>
        <v>17.100000000000001</v>
      </c>
      <c r="EJ9" s="18">
        <v>6.6</v>
      </c>
      <c r="EK9" s="18">
        <v>0</v>
      </c>
      <c r="EL9" s="18">
        <v>0</v>
      </c>
      <c r="EM9" s="18">
        <v>17.7</v>
      </c>
      <c r="EN9" s="18">
        <v>6.2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 t="shared" si="48"/>
        <v>12.8</v>
      </c>
      <c r="FD9" s="11">
        <f t="shared" si="49"/>
        <v>47.600000000000009</v>
      </c>
      <c r="FE9" s="11" t="str">
        <f t="shared" si="50"/>
        <v/>
      </c>
      <c r="FF9" s="11">
        <f t="shared" si="51"/>
        <v>12.8</v>
      </c>
      <c r="FG9" s="11">
        <f t="shared" si="52"/>
        <v>47.600000000000009</v>
      </c>
      <c r="FH9" s="11" t="str">
        <f t="shared" si="53"/>
        <v/>
      </c>
      <c r="FI9" s="11" t="str">
        <f t="shared" si="54"/>
        <v/>
      </c>
      <c r="FJ9" s="11">
        <f t="shared" si="55"/>
        <v>47.600000000000009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>
        <v>17.399999999999999</v>
      </c>
      <c r="GN9" s="18">
        <v>6.9</v>
      </c>
      <c r="GO9" s="18">
        <v>0</v>
      </c>
      <c r="GP9" s="18">
        <v>0</v>
      </c>
      <c r="GQ9" s="18">
        <v>17</v>
      </c>
      <c r="GR9" s="18">
        <v>6.9</v>
      </c>
      <c r="GS9" s="18">
        <v>0.2</v>
      </c>
      <c r="GT9" s="18">
        <v>0</v>
      </c>
      <c r="GU9" s="18"/>
      <c r="GV9" s="18"/>
      <c r="GW9" s="18"/>
      <c r="GX9" s="18"/>
      <c r="GY9" s="18">
        <v>17.5</v>
      </c>
      <c r="GZ9" s="18">
        <v>7.3</v>
      </c>
      <c r="HA9" s="18">
        <v>0.2</v>
      </c>
      <c r="HB9" s="18">
        <v>0</v>
      </c>
      <c r="HC9" s="18"/>
      <c r="HD9" s="18"/>
      <c r="HE9" s="18"/>
      <c r="HF9" s="18"/>
      <c r="HG9" s="11">
        <f t="shared" si="64"/>
        <v>13.8</v>
      </c>
      <c r="HH9" s="11">
        <f t="shared" si="65"/>
        <v>47.999999999999993</v>
      </c>
      <c r="HI9" s="11" t="str">
        <f t="shared" si="66"/>
        <v/>
      </c>
      <c r="HJ9" s="11">
        <f t="shared" si="67"/>
        <v>13.8</v>
      </c>
      <c r="HK9" s="11">
        <f t="shared" si="68"/>
        <v>47.999999999999993</v>
      </c>
      <c r="HL9" s="11">
        <f t="shared" si="69"/>
        <v>7.3</v>
      </c>
      <c r="HM9" s="11">
        <f t="shared" si="70"/>
        <v>24.6</v>
      </c>
      <c r="HN9" s="11">
        <f t="shared" si="71"/>
        <v>72.599999999999994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</v>
      </c>
      <c r="QF9" s="23">
        <f t="shared" si="136"/>
        <v>5</v>
      </c>
      <c r="QG9" s="23">
        <f t="shared" si="136"/>
        <v>0</v>
      </c>
      <c r="QH9" s="23">
        <f t="shared" si="136"/>
        <v>0</v>
      </c>
      <c r="QI9" s="23">
        <f t="shared" si="136"/>
        <v>16.05</v>
      </c>
      <c r="QJ9" s="23">
        <f t="shared" si="136"/>
        <v>4.4000000000000004</v>
      </c>
      <c r="QK9" s="23">
        <f t="shared" si="136"/>
        <v>0</v>
      </c>
      <c r="QL9" s="23">
        <f t="shared" si="136"/>
        <v>0</v>
      </c>
      <c r="QM9" s="23">
        <f t="shared" si="136"/>
        <v>16.850000000000001</v>
      </c>
      <c r="QN9" s="23">
        <f t="shared" si="136"/>
        <v>6.2</v>
      </c>
      <c r="QO9" s="23">
        <f t="shared" si="137"/>
        <v>0</v>
      </c>
      <c r="QP9" s="23">
        <f t="shared" si="137"/>
        <v>0</v>
      </c>
      <c r="QQ9" s="23">
        <f t="shared" si="137"/>
        <v>15.05</v>
      </c>
      <c r="QR9" s="23">
        <f t="shared" si="137"/>
        <v>4.6500000000000004</v>
      </c>
      <c r="QS9" s="23">
        <f t="shared" si="137"/>
        <v>0.1</v>
      </c>
      <c r="QT9" s="23">
        <f t="shared" si="137"/>
        <v>0</v>
      </c>
      <c r="QU9" s="23">
        <f t="shared" si="137"/>
        <v>17.2</v>
      </c>
      <c r="QV9" s="23">
        <f t="shared" si="137"/>
        <v>6</v>
      </c>
      <c r="QW9" s="23">
        <f t="shared" si="137"/>
        <v>0</v>
      </c>
      <c r="QX9" s="23">
        <f t="shared" si="137"/>
        <v>0</v>
      </c>
      <c r="QY9" s="28" t="s">
        <v>57</v>
      </c>
      <c r="QZ9" s="41">
        <f t="shared" si="138"/>
        <v>9.4</v>
      </c>
      <c r="RA9" s="41">
        <f t="shared" si="139"/>
        <v>41.449999999999996</v>
      </c>
      <c r="RB9" s="41">
        <f t="shared" si="140"/>
        <v>23.05</v>
      </c>
      <c r="RC9" s="41">
        <f t="shared" si="141"/>
        <v>15.600000000000001</v>
      </c>
      <c r="RD9" s="41">
        <f t="shared" si="142"/>
        <v>64.5</v>
      </c>
      <c r="RE9" s="41">
        <f t="shared" si="143"/>
        <v>10.65</v>
      </c>
      <c r="RF9" s="41">
        <f t="shared" si="144"/>
        <v>42.800000000000004</v>
      </c>
      <c r="RG9" s="41">
        <f t="shared" si="145"/>
        <v>107.30000000000001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165</v>
      </c>
      <c r="C10" s="4" t="s">
        <v>3</v>
      </c>
      <c r="D10" s="4">
        <v>2003</v>
      </c>
      <c r="E10" s="9">
        <f t="shared" si="0"/>
        <v>160.10001119000461</v>
      </c>
      <c r="F10" s="3" t="str">
        <f t="shared" si="1"/>
        <v>P</v>
      </c>
      <c r="G10" s="3" t="str">
        <f t="shared" si="2"/>
        <v>P</v>
      </c>
      <c r="H10" s="37" t="str">
        <f t="shared" ca="1" si="3"/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 t="shared" si="5"/>
        <v>2023 Elite Canada</v>
      </c>
      <c r="L10" s="8">
        <f>IF(COUNT(AQ10,BT10,CW10)&gt;1,LARGE((AQ10,BT10,CW10),2),0)</f>
        <v>43</v>
      </c>
      <c r="M10" s="8" t="str">
        <f t="shared" si="6"/>
        <v>2023 Nationals</v>
      </c>
      <c r="N10" s="8">
        <f>IF(COUNT(AR10,BU10,CX10)&gt;0,LARGE((AR10,BU10,CX10),1),0)</f>
        <v>23.2</v>
      </c>
      <c r="O10" s="8" t="str">
        <f t="shared" si="7"/>
        <v>2023 Nationals</v>
      </c>
      <c r="P10" s="8">
        <f t="shared" si="8"/>
        <v>48.2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 t="shared" si="13"/>
        <v>11.1</v>
      </c>
      <c r="AQ10" s="41">
        <f t="shared" si="14"/>
        <v>45.7</v>
      </c>
      <c r="AR10" s="41">
        <f t="shared" si="15"/>
        <v>18.7</v>
      </c>
      <c r="AS10" s="41">
        <f t="shared" si="16"/>
        <v>14.1</v>
      </c>
      <c r="AT10" s="41">
        <f t="shared" si="17"/>
        <v>64.400000000000006</v>
      </c>
      <c r="AU10" s="41">
        <f t="shared" si="18"/>
        <v>9.1999999999999993</v>
      </c>
      <c r="AV10" s="41">
        <f t="shared" si="19"/>
        <v>42.6</v>
      </c>
      <c r="AW10" s="41">
        <f t="shared" si="20"/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 t="shared" si="21"/>
        <v>10.9</v>
      </c>
      <c r="BT10" s="11">
        <f t="shared" si="22"/>
        <v>43</v>
      </c>
      <c r="BU10" s="11">
        <f t="shared" si="23"/>
        <v>23.2</v>
      </c>
      <c r="BV10" s="11">
        <f t="shared" si="24"/>
        <v>17.399999999999999</v>
      </c>
      <c r="BW10" s="11">
        <f t="shared" si="25"/>
        <v>66.2</v>
      </c>
      <c r="BX10" s="11">
        <f t="shared" si="26"/>
        <v>12</v>
      </c>
      <c r="BY10" s="11">
        <f t="shared" si="27"/>
        <v>48.2</v>
      </c>
      <c r="BZ10" s="11">
        <f t="shared" si="28"/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16</v>
      </c>
      <c r="EJ10" s="18">
        <v>3.3</v>
      </c>
      <c r="EK10" s="18">
        <v>0</v>
      </c>
      <c r="EL10" s="18">
        <v>0</v>
      </c>
      <c r="EM10" s="18">
        <v>15.5</v>
      </c>
      <c r="EN10" s="18">
        <v>3.3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6.6</v>
      </c>
      <c r="FD10" s="11">
        <f t="shared" si="49"/>
        <v>38.099999999999994</v>
      </c>
      <c r="FE10" s="11" t="str">
        <f t="shared" si="50"/>
        <v/>
      </c>
      <c r="FF10" s="11">
        <f t="shared" si="51"/>
        <v>6.6</v>
      </c>
      <c r="FG10" s="11">
        <f t="shared" si="52"/>
        <v>38.099999999999994</v>
      </c>
      <c r="FH10" s="11" t="str">
        <f t="shared" si="53"/>
        <v/>
      </c>
      <c r="FI10" s="11" t="str">
        <f t="shared" si="54"/>
        <v/>
      </c>
      <c r="FJ10" s="11">
        <f t="shared" si="55"/>
        <v>38.099999999999994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8.15</v>
      </c>
      <c r="QF10" s="23">
        <f t="shared" si="136"/>
        <v>2.75</v>
      </c>
      <c r="QG10" s="23">
        <f t="shared" si="136"/>
        <v>0.2</v>
      </c>
      <c r="QH10" s="23">
        <f t="shared" si="136"/>
        <v>0</v>
      </c>
      <c r="QI10" s="23">
        <f t="shared" si="136"/>
        <v>8.1999999999999993</v>
      </c>
      <c r="QJ10" s="23">
        <f t="shared" si="136"/>
        <v>2.7</v>
      </c>
      <c r="QK10" s="23">
        <f t="shared" si="136"/>
        <v>0.1</v>
      </c>
      <c r="QL10" s="23">
        <f t="shared" si="136"/>
        <v>0</v>
      </c>
      <c r="QM10" s="23">
        <f t="shared" si="136"/>
        <v>8.4499999999999993</v>
      </c>
      <c r="QN10" s="23">
        <f t="shared" si="136"/>
        <v>3.25</v>
      </c>
      <c r="QO10" s="23">
        <f t="shared" si="137"/>
        <v>0.1</v>
      </c>
      <c r="QP10" s="23">
        <f t="shared" si="137"/>
        <v>0</v>
      </c>
      <c r="QQ10" s="23">
        <f t="shared" si="137"/>
        <v>8.9</v>
      </c>
      <c r="QR10" s="23">
        <f t="shared" si="137"/>
        <v>3.25</v>
      </c>
      <c r="QS10" s="23">
        <f t="shared" si="137"/>
        <v>0</v>
      </c>
      <c r="QT10" s="23">
        <f t="shared" si="137"/>
        <v>0</v>
      </c>
      <c r="QU10" s="23">
        <f t="shared" si="137"/>
        <v>9.1999999999999993</v>
      </c>
      <c r="QV10" s="23">
        <f t="shared" si="137"/>
        <v>2.75</v>
      </c>
      <c r="QW10" s="23">
        <f t="shared" si="137"/>
        <v>0</v>
      </c>
      <c r="QX10" s="23">
        <f t="shared" si="137"/>
        <v>0</v>
      </c>
      <c r="QY10" s="28" t="s">
        <v>57</v>
      </c>
      <c r="QZ10" s="41">
        <f t="shared" si="138"/>
        <v>5.45</v>
      </c>
      <c r="RA10" s="41">
        <f t="shared" si="139"/>
        <v>21.5</v>
      </c>
      <c r="RB10" s="41">
        <f t="shared" si="140"/>
        <v>11.6</v>
      </c>
      <c r="RC10" s="41">
        <f t="shared" si="141"/>
        <v>8.6999999999999993</v>
      </c>
      <c r="RD10" s="41">
        <f t="shared" si="142"/>
        <v>33.1</v>
      </c>
      <c r="RE10" s="41">
        <f t="shared" si="143"/>
        <v>6</v>
      </c>
      <c r="RF10" s="41">
        <f t="shared" si="144"/>
        <v>24.1</v>
      </c>
      <c r="RG10" s="41">
        <f t="shared" si="145"/>
        <v>57.2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 t="shared" si="0"/>
        <v>147.50000636000414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 t="shared" si="5"/>
        <v>2023 Domestic 3rd Trial</v>
      </c>
      <c r="L11" s="8">
        <f>IF(COUNT(AQ11,BT11,CW11)&gt;1,LARGE((AQ11,BT11,CW11),2),0)</f>
        <v>0</v>
      </c>
      <c r="M11" s="8" t="str">
        <f t="shared" si="6"/>
        <v/>
      </c>
      <c r="N11" s="8">
        <f>IF(COUNT(AR11,BU11,CX11)&gt;0,LARGE((AR11,BU11,CX11),1),0)</f>
        <v>22.2</v>
      </c>
      <c r="O11" s="8" t="str">
        <f t="shared" si="7"/>
        <v>2023 Domestic 3rd Trial</v>
      </c>
      <c r="P11" s="8">
        <f t="shared" si="8"/>
        <v>39.800000000000004</v>
      </c>
      <c r="Q11" s="8" t="str">
        <f t="shared" si="9"/>
        <v>2023 Domestic 3rd Trial</v>
      </c>
      <c r="R11" s="8">
        <f t="shared" si="10"/>
        <v>44.1</v>
      </c>
      <c r="S11" s="11" t="str">
        <f t="shared" si="11"/>
        <v>(Q1)</v>
      </c>
      <c r="T11" s="8" t="str">
        <f t="shared" si="12"/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 t="shared" si="13"/>
        <v/>
      </c>
      <c r="AQ11" s="41" t="str">
        <f t="shared" si="14"/>
        <v/>
      </c>
      <c r="AR11" s="41" t="str">
        <f t="shared" si="15"/>
        <v/>
      </c>
      <c r="AS11" s="41" t="str">
        <f t="shared" si="16"/>
        <v/>
      </c>
      <c r="AT11" s="41" t="str">
        <f t="shared" si="17"/>
        <v/>
      </c>
      <c r="AU11" s="41" t="str">
        <f t="shared" si="18"/>
        <v/>
      </c>
      <c r="AV11" s="41" t="str">
        <f t="shared" si="19"/>
        <v/>
      </c>
      <c r="AW11" s="41" t="str">
        <f t="shared" si="20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 t="shared" si="29"/>
        <v>10.9</v>
      </c>
      <c r="CW11" s="41">
        <f t="shared" si="30"/>
        <v>41.4</v>
      </c>
      <c r="CX11" s="41">
        <f t="shared" si="31"/>
        <v>22.2</v>
      </c>
      <c r="CY11" s="41">
        <f t="shared" si="32"/>
        <v>16.600000000000001</v>
      </c>
      <c r="CZ11" s="41">
        <f t="shared" si="33"/>
        <v>63.599999999999994</v>
      </c>
      <c r="DA11" s="41">
        <f t="shared" si="34"/>
        <v>9.6999999999999993</v>
      </c>
      <c r="DB11" s="41">
        <f t="shared" si="35"/>
        <v>39.800000000000004</v>
      </c>
      <c r="DC11" s="41">
        <f t="shared" si="36"/>
        <v>103.4</v>
      </c>
      <c r="DD11" s="52">
        <f t="shared" si="37"/>
        <v>44.1</v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17.399999999999999</v>
      </c>
      <c r="GN11" s="18">
        <v>4.2</v>
      </c>
      <c r="GO11" s="18">
        <v>0</v>
      </c>
      <c r="GP11" s="18">
        <v>0</v>
      </c>
      <c r="GQ11" s="18">
        <v>16.8</v>
      </c>
      <c r="GR11" s="18">
        <v>5.7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9.9</v>
      </c>
      <c r="HH11" s="11">
        <f t="shared" si="65"/>
        <v>44.1</v>
      </c>
      <c r="HI11" s="11" t="str">
        <f t="shared" si="66"/>
        <v/>
      </c>
      <c r="HJ11" s="11">
        <f t="shared" si="67"/>
        <v>9.9</v>
      </c>
      <c r="HK11" s="11">
        <f t="shared" si="68"/>
        <v>44.1</v>
      </c>
      <c r="HL11" s="11" t="str">
        <f t="shared" si="69"/>
        <v/>
      </c>
      <c r="HM11" s="11" t="str">
        <f t="shared" si="70"/>
        <v/>
      </c>
      <c r="HN11" s="11">
        <f t="shared" si="71"/>
        <v>44.1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8.1</v>
      </c>
      <c r="QF11" s="23">
        <f t="shared" si="136"/>
        <v>3</v>
      </c>
      <c r="QG11" s="23">
        <f t="shared" si="136"/>
        <v>1</v>
      </c>
      <c r="QH11" s="23">
        <f t="shared" si="136"/>
        <v>0</v>
      </c>
      <c r="QI11" s="23">
        <f t="shared" si="136"/>
        <v>8.15</v>
      </c>
      <c r="QJ11" s="23">
        <f t="shared" si="136"/>
        <v>2.4500000000000002</v>
      </c>
      <c r="QK11" s="23">
        <f t="shared" si="136"/>
        <v>0</v>
      </c>
      <c r="QL11" s="23">
        <f t="shared" si="136"/>
        <v>0</v>
      </c>
      <c r="QM11" s="23">
        <f t="shared" si="136"/>
        <v>8.25</v>
      </c>
      <c r="QN11" s="23">
        <f t="shared" si="136"/>
        <v>2.85</v>
      </c>
      <c r="QO11" s="23">
        <f t="shared" si="137"/>
        <v>0</v>
      </c>
      <c r="QP11" s="23">
        <f t="shared" si="137"/>
        <v>0</v>
      </c>
      <c r="QQ11" s="23">
        <f t="shared" si="137"/>
        <v>7.65</v>
      </c>
      <c r="QR11" s="23">
        <f t="shared" si="137"/>
        <v>3</v>
      </c>
      <c r="QS11" s="23">
        <f t="shared" si="137"/>
        <v>0</v>
      </c>
      <c r="QT11" s="23">
        <f t="shared" si="137"/>
        <v>0</v>
      </c>
      <c r="QU11" s="23">
        <f t="shared" si="137"/>
        <v>7.4</v>
      </c>
      <c r="QV11" s="23">
        <f t="shared" si="137"/>
        <v>1.85</v>
      </c>
      <c r="QW11" s="23">
        <f t="shared" si="137"/>
        <v>0</v>
      </c>
      <c r="QX11" s="23">
        <f t="shared" si="137"/>
        <v>0</v>
      </c>
      <c r="QY11" s="28" t="s">
        <v>57</v>
      </c>
      <c r="QZ11" s="41">
        <f t="shared" si="138"/>
        <v>5.45</v>
      </c>
      <c r="RA11" s="41">
        <f t="shared" si="139"/>
        <v>20.7</v>
      </c>
      <c r="RB11" s="41">
        <f t="shared" si="140"/>
        <v>11.1</v>
      </c>
      <c r="RC11" s="41">
        <f t="shared" si="141"/>
        <v>8.3000000000000007</v>
      </c>
      <c r="RD11" s="41">
        <f t="shared" si="142"/>
        <v>31.799999999999997</v>
      </c>
      <c r="RE11" s="41">
        <f t="shared" si="143"/>
        <v>4.8499999999999996</v>
      </c>
      <c r="RF11" s="41">
        <f t="shared" si="144"/>
        <v>19.900000000000002</v>
      </c>
      <c r="RG11" s="41">
        <f t="shared" si="145"/>
        <v>51.7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1">
      <sortCondition descending="1" ref="F1:F1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24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5" operator="between">
      <formula>AW$21</formula>
      <formula>1000</formula>
    </cfRule>
    <cfRule type="cellIs" dxfId="101" priority="16" operator="between">
      <formula>AW$20</formula>
      <formula>AW$21</formula>
    </cfRule>
    <cfRule type="cellIs" dxfId="100" priority="17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205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224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242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250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DD"),SUMPRODUCT((H$4:H$13&lt;&gt;"")*(H$4:H$13&lt;&gt;"No DD")*(E$4:E$13&gt;E4))+1,IF(H4="No DD",SUMPRODUCT((H$4:H$13="No DD")*(E$4:E$13&gt;E4))+1+SUMPRODUCT((H$4:H$13&lt;&gt;"")*(H$4:H$13&lt;&gt;"No DD")),""))</f>
        <v>1</v>
      </c>
      <c r="B4" s="5" t="s">
        <v>78</v>
      </c>
      <c r="C4" s="4" t="s">
        <v>3</v>
      </c>
      <c r="D4" s="4">
        <v>2003</v>
      </c>
      <c r="E4" s="9">
        <f t="shared" ref="E4:E12" si="0">SUM(J4:R4)+SUM(J4:N4)*0.0000001+SUM(J4)*0.0000000000001</f>
        <v>157.10001103000445</v>
      </c>
      <c r="F4" s="3" t="str">
        <f t="shared" ref="F4:F12" si="1">IF(OR(AND(AP4&gt;=AW$15,AQ4&gt;=AW$19,AP4&lt;&gt;"",AO4=""),AND(AU4&gt;=AW$15,AV4&gt;=AW$19,AU4&lt;&gt;"",AO4=""),AND(BS4&gt;=BZ$15,BT4&gt;=BZ$19,BS4&lt;&gt;"",BR4=""),AND(BX4&gt;=BZ$15,BY4&gt;=BZ$19,BX4&lt;&gt;"",BR4=""),AND(CV4&gt;=DC$15,CW4&gt;=DC$19,CV4&lt;&gt;"",CU4=""),AND(DA4&gt;=DC$15,DB4&gt;=DC$19,DA4&lt;&gt;""),AND(EA4&gt;=EH$15,EB4&gt;=EH$19,EA4&lt;&gt;""),AND(EF4&gt;=EH$15,EG4&gt;=EH$19,EF4&lt;&gt;""),AND(FC4&gt;=FJ$15,FD4&gt;=FJ$19,FC4&lt;&gt;""),AND(FH4&gt;=FJ$15,FI4&gt;=FJ$19,FH4&lt;&gt;""),AND(GE4&gt;=GL$15,GF4&gt;=GL$19,GE4&lt;&gt;""),AND(GJ4&gt;=GL$15,GK4&gt;=GL$19,GJ4&lt;&gt;""),AND(HG4&gt;=HN$15,HH4&gt;=HN$19,HG4&lt;&gt;""),AND(HL4&gt;=HN$15,HM4&gt;=HN$19,HL4&lt;&gt;""),AND(II4&gt;=IP$15,IJ4&gt;=IP$19,II4&lt;&gt;""),AND(IN4&gt;=IP$15,IO4&gt;=IP$19,IN4&lt;&gt;""),AND(JK4&gt;=JR$15,JL4&gt;=JR$19,JK4&lt;&gt;""),AND(JP4&gt;=JR$15,JQ4&gt;=JR$19,JP4&lt;&gt;""),AND(KM4&gt;=KT$15,KN4&gt;=KT$19,KM4&lt;&gt;""),AND(KR4&gt;=KT$15,KS4&gt;=KT$19,KR4&lt;&gt;""),AND(LO4&gt;=LV$15,LP4&gt;=LV$19,LO4&lt;&gt;""),AND(LT4&gt;=LV$15,LU4&gt;=LV$19,LT4&lt;&gt;""),AND(MQ4&gt;=MX$15,MR4&gt;=MX$19,MQ4&lt;&gt;""),AND(MV4&gt;=MX$15,MW4&gt;=MX$19,MV4&lt;&gt;""),AND(NS4&gt;=NZ$15,NT4&gt;=NZ$19,NS4&lt;&gt;""),AND(NX4&gt;=NZ$15,NY4&gt;=NZ$19,NX4&lt;&gt;""),AND(OU4&gt;=PB$15,OV4&gt;=PB$19,OU4&lt;&gt;""),AND(OZ4&gt;=PB$15,PA4&gt;=PB$19,OZ4&lt;&gt;""),AND(PW4&gt;=QD$15,PX4&gt;=QD$19,PW4&lt;&gt;""),AND(QB4&gt;=QD$15,QC4&gt;=QD$19,QB4&lt;&gt;"")),"P","")</f>
        <v>P</v>
      </c>
      <c r="G4" s="3" t="str">
        <f t="shared" ref="G4:G12" si="2">IF(OR(AND(AQ4&gt;=AW$19,AQ4&lt;&gt;"",AO4=""),AND(AV4&gt;=AW$19,AV4&lt;&gt;"",AO4=""),AND(BT4&gt;=BZ$19,BT4&lt;&gt;"",BR4=""),AND(BY4&gt;=BZ$19,BY4&lt;&gt;"",BR4=""),AND(CW4&gt;=DC$19,CW4&lt;&gt;"",CU4=""),AND(DB4&gt;=DC$19,DB4&lt;&gt;"",CU4=""),AND(EB4&gt;=EH$19,EB4&lt;&gt;""),AND(EG4&gt;=EH$19,EG4&lt;&gt;""),AND(FD4&gt;=FJ$19,FD4&lt;&gt;""),AND(FI4&gt;=FJ$19,FI4&lt;&gt;""),AND(GF4&gt;=GL$19,GF4&lt;&gt;""),AND(GK4&gt;=GL$19,GK4&lt;&gt;""),AND(HH4&gt;=HN$19,HH4&lt;&gt;""),AND(HM4&gt;=HN$19,HM4&lt;&gt;""),AND(IJ4&gt;=IP$19,IJ4&lt;&gt;""),AND(IO4&gt;=IP$19,IO4&lt;&gt;""),AND(JL4&gt;=JR$19,JL4&lt;&gt;""),AND(JQ4&gt;=JR$19,JQ4&lt;&gt;""),AND(KN4&gt;=KT$19,KN4&lt;&gt;""),AND(KS4&gt;=KT$19,KS4&lt;&gt;""),AND(LP4&gt;=LV$19,LP4&lt;&gt;""),AND(LU4&gt;=LV$19,LU4&lt;&gt;""),AND(MR4&gt;=MX$19,MR4&lt;&gt;""),AND(MW4&gt;=MX$19,MW4&lt;&gt;""),AND(NT4&gt;=NZ$19,NT4&lt;&gt;""),AND(NY4&gt;=NZ$19,NY4&lt;&gt;""),AND(OV4&gt;=PB$19,OV4&lt;&gt;""),AND(PA4&gt;=PB$19,PA4&lt;&gt;""),AND(PX4&gt;=QD$19,PX4&lt;&gt;""),AND(QC4&gt;=QD$19,QC4&lt;&gt;"")),"P","")</f>
        <v>P</v>
      </c>
      <c r="H4" s="37" t="str">
        <f t="shared" ref="H4:H12" si="3">IF(AND(G4="P",F4=""),"No DD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Merit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Excellence",IF(I4="P","Worlds Team",IF(F4="P","National Team","")))))</f>
        <v>National Team</v>
      </c>
      <c r="I4" s="3" t="str">
        <f t="shared" ref="I4:I12" si="4">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P","")</f>
        <v/>
      </c>
      <c r="J4" s="8">
        <f>IF(COUNT(AQ4,BT4,CW4)&gt;0,LARGE((AQ4,BT4,CW4),1),0)</f>
        <v>44.70000000000001</v>
      </c>
      <c r="K4" s="8" t="str">
        <f t="shared" ref="K4:K12" si="5"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 t="shared" ref="M4:M12" si="6"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 t="shared" ref="O4:O12" si="7">IF(N4=0,"",IF(N4=CX4,$CA$1,IF(N4=BU4,$AX$1,IF(N4=AR4,$U$1,""))))</f>
        <v>2023 Elite Canada</v>
      </c>
      <c r="P4" s="8">
        <f t="shared" ref="P4:P12" si="8">IF(MAX(AV4,BY4,DB4)&gt;0,MAX(AV4,BY4,DB4),0)</f>
        <v>45.4</v>
      </c>
      <c r="Q4" s="8" t="str">
        <f t="shared" ref="Q4:Q12" si="9">IF(P4=0,"",IF(P4=DB4,$CA$1,IF(P4=BY4,$AX$1,IF(P4=AV4,$U$1,""))))</f>
        <v>2023 Nationals</v>
      </c>
      <c r="R4" s="8">
        <f t="shared" ref="R4:R12" si="10">IF(MAX(DD4:DF4)&gt;0,MAX(DD4:DF4),"")</f>
        <v>1.4000000000000128</v>
      </c>
      <c r="S4" s="11" t="str">
        <f t="shared" ref="S4:S12" si="11">IF(R4="","",IF(R4=DD4,"("&amp;DD$2&amp;")",IF(R4=DE4,"("&amp;DE$2&amp;")",IF(R4=DF4,"("&amp;DF$2&amp;")"))))</f>
        <v>(Q1)</v>
      </c>
      <c r="T4" s="8" t="str">
        <f t="shared" ref="T4:T12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 t="shared" ref="AP4:AP12" si="13">IF(SUM(V4,Z4)&gt;0,SUM(V4,Z4),"")</f>
        <v>8.1999999999999993</v>
      </c>
      <c r="AQ4" s="41">
        <f t="shared" ref="AQ4:AQ12" si="14">IF(SUM(U4:V4,X4:Z4,AB4)-W4-AA4&gt;0,SUM(U4:V4,X4:Z4,AB4)-W4-AA4,"")</f>
        <v>43.399999999999991</v>
      </c>
      <c r="AR4" s="41">
        <f t="shared" ref="AR4:AR12" si="15">IF(SUM(AC4:AD4,AF4)-AE4&gt;0,SUM(AC4:AD4,AF4)-AE4,"")</f>
        <v>22.200000000000003</v>
      </c>
      <c r="AS4" s="41">
        <f t="shared" ref="AS4:AS12" si="16">IF(SUM(V4,Z4,AD4)&gt;0,SUM(V4,Z4,AD4),"")</f>
        <v>13</v>
      </c>
      <c r="AT4" s="41">
        <f t="shared" ref="AT4:AT12" si="17">IF(SUM(AQ4,AR4)&gt;0,SUM(AQ4,AR4),"")</f>
        <v>65.599999999999994</v>
      </c>
      <c r="AU4" s="41">
        <f t="shared" ref="AU4:AU12" si="18">IF(SUM(AH4,AL4)&gt;0,SUM(AH4,AL4),"")</f>
        <v>9.1</v>
      </c>
      <c r="AV4" s="41">
        <f t="shared" ref="AV4:AV12" si="19">IF(SUM(AG4:AH4,AJ4:AL4,AN4)-SUM(AI4,AM4)&gt;0,SUM(AG4:AH4,AJ4:AL4,AN4)-SUM(AI4,AM4),"")</f>
        <v>42</v>
      </c>
      <c r="AW4" s="41">
        <f t="shared" ref="AW4:AW12" si="20"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 t="shared" ref="BS4:BS12" si="21">IF(SUM(AY4,BC4)&gt;0,SUM(AY4,BC4),"")</f>
        <v>10.199999999999999</v>
      </c>
      <c r="BT4" s="11">
        <f t="shared" ref="BT4:BT12" si="22">IF(SUM(AX4:AY4,BA4:BC4,BE4)-AZ4-BD4&gt;0,SUM(AX4:AY4,BA4:BC4,BE4)-AZ4-BD4,"")</f>
        <v>44.70000000000001</v>
      </c>
      <c r="BU4" s="11">
        <f t="shared" ref="BU4:BU12" si="23">IF(SUM(BF4:BG4,BI4)-BH4&gt;0,SUM(BF4:BG4,BI4)-BH4,"")</f>
        <v>20.5</v>
      </c>
      <c r="BV4" s="11">
        <f t="shared" ref="BV4:BV12" si="24">IF(SUM(AY4,BC4,BG4)&gt;0,SUM(AY4,BC4,BG4),"")</f>
        <v>15.2</v>
      </c>
      <c r="BW4" s="11">
        <f t="shared" ref="BW4:BW12" si="25">IF(SUM(BT4,BU4)&gt;0,SUM(BT4,BU4),"")</f>
        <v>65.200000000000017</v>
      </c>
      <c r="BX4" s="11">
        <f t="shared" ref="BX4:BX12" si="26">IF(SUM(BK4,BO4)&gt;0,SUM(BK4,BO4),"")</f>
        <v>10.199999999999999</v>
      </c>
      <c r="BY4" s="11">
        <f t="shared" ref="BY4:BY12" si="27">IF(SUM(BJ4:BK4,BM4:BO4,BQ4)-SUM(BL4,BP4)&gt;0,SUM(BJ4:BK4,BM4:BO4,BQ4)-SUM(BL4,BP4),"")</f>
        <v>45.4</v>
      </c>
      <c r="BZ4" s="11">
        <f t="shared" ref="BZ4:BZ12" si="28"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8"/>
      <c r="CV4" s="41">
        <f t="shared" ref="CV4:CV12" si="29">IF(SUM(CB4,CF4)&gt;0,SUM(CB4,CF4),"")</f>
        <v>9.6</v>
      </c>
      <c r="CW4" s="41">
        <f t="shared" ref="CW4:CW12" si="30">IF(SUM(CA4:CB4,CD4:CF4,CH4)-CC4-CG4&gt;0,SUM(CA4:CB4,CD4:CF4,CH4)-CC4-CG4,"")</f>
        <v>43.2</v>
      </c>
      <c r="CX4" s="41">
        <f t="shared" ref="CX4:CX12" si="31">IF(SUM(CI4:CJ4,CL4)-CK4&gt;0,SUM(CI4:CJ4,CL4)-CK4,"")</f>
        <v>19.100000000000001</v>
      </c>
      <c r="CY4" s="41">
        <f t="shared" ref="CY4:CY12" si="32">IF(SUM(CB4,CF4,CJ4)&gt;0,SUM(CB4,CF4,CJ4),"")</f>
        <v>12.2</v>
      </c>
      <c r="CZ4" s="41">
        <f t="shared" ref="CZ4:CZ12" si="33">IF(SUM(CW4,CX4)&gt;0,SUM(CW4,CX4),"")</f>
        <v>62.300000000000004</v>
      </c>
      <c r="DA4" s="41">
        <f t="shared" ref="DA4:DA12" si="34">IF(SUM(CN4,CR4)&gt;0,SUM(CN4,CR4),"")</f>
        <v>9.3999999999999986</v>
      </c>
      <c r="DB4" s="41">
        <f t="shared" ref="DB4:DB12" si="35">IF(SUM(CM4:CN4,CP4:CR4,CT4)-SUM(CO4,CS4)&gt;0,SUM(CM4:CN4,CP4:CR4,CT4)-SUM(CO4,CS4),"")</f>
        <v>43.4</v>
      </c>
      <c r="DC4" s="41">
        <f t="shared" ref="DC4:DC12" si="36">IF(SUM(CW4,CX4,DB4)&gt;0,SUM(CW4,CX4,DB4),"")</f>
        <v>105.7</v>
      </c>
      <c r="DD4" s="52">
        <f t="shared" ref="DD4:DD12" si="37">IF(MAX(EB4,FD4,GF4,HH4,IJ4,JL4,KN4,LP4,MR4,NT4,OV4,PX4)-IF(L4="",0,L4)&gt;0.001,MAX(EB4,FD4,GF4,HH4,IJ4,JL4,KN4,LP4,MR4,NT4,OV4,PX4)-IF(L4="",0,L4),"")</f>
        <v>1.4000000000000128</v>
      </c>
      <c r="DE4" s="52" t="str">
        <f t="shared" ref="DE4:DE12" si="38">IF(MAX(EC4,FE4,GG4,HI4,IK4,JM4,KO4,LQ4,MS4,NU4,OW4,PY4)-IF(N4="",0,N4)&gt;0.001,MAX(EC4,FE4,GG4,HI4,IK4,JM4,KO4,LQ4,MS4,NU4,OW4,PY4)-IF(N4="",0,N4),"")</f>
        <v/>
      </c>
      <c r="DF4" s="52" t="str">
        <f t="shared" ref="DF4:DF12" si="39">IF(MAX(EG4,FI4,GK4,HM4,IO4,JQ4,KS4,LU4,MW4,NY4,PA4,QC4)-IF(P4="",0,P4)&gt;0.001,MAX(EG4,FI4,GK4,HM4,IO4,JQ4,KS4,LU4,MW4,NY4,PA4,QC4)-IF(P4="",0,P4),"")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15.1</v>
      </c>
      <c r="DL4" s="17">
        <v>5.2</v>
      </c>
      <c r="DM4" s="17">
        <v>0.2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 t="shared" ref="EA4:EA12" si="40">IF(SUM(DH4,DL4)&gt;0,SUM(DH4,DL4),"")</f>
        <v>9.5</v>
      </c>
      <c r="EB4" s="41">
        <f t="shared" ref="EB4:EB12" si="41">IF(SUM(DG4:DH4,DJ4:DL4,DN4)-DI4-DM4&gt;0,SUM(DG4:DH4,DJ4:DL4,DN4)-DI4-DM4,"")</f>
        <v>41.1</v>
      </c>
      <c r="EC4" s="41" t="str">
        <f t="shared" ref="EC4:EC12" si="42">IF(SUM(DO4:DP4,DR4)-DQ4&gt;0,SUM(DO4:DP4,DR4)-DQ4,"")</f>
        <v/>
      </c>
      <c r="ED4" s="41">
        <f t="shared" ref="ED4:ED12" si="43">IF(SUM(DH4,DL4,DP4)&gt;0,SUM(DH4,DL4,DP4),"")</f>
        <v>9.5</v>
      </c>
      <c r="EE4" s="41">
        <f t="shared" ref="EE4:EE12" si="44">IF(SUM(EB4,EC4)&gt;0,SUM(EB4,EC4),"")</f>
        <v>41.1</v>
      </c>
      <c r="EF4" s="41" t="str">
        <f t="shared" ref="EF4:EF12" si="45">IF(SUM(DT4,DX4)&gt;0,SUM(DT4,DX4),"")</f>
        <v/>
      </c>
      <c r="EG4" s="41" t="str">
        <f t="shared" ref="EG4:EG12" si="46">IF(SUM(DS4:DT4,DV4:DX4,DZ4)-SUM(DU4,DY4)&gt;0,SUM(DS4:DT4,DV4:DX4,DZ4)-SUM(DU4,DY4),"")</f>
        <v/>
      </c>
      <c r="EH4" s="41">
        <f t="shared" ref="EH4:EH12" si="47">IF(SUM(EB4,EC4,EG4)&gt;0,SUM(EB4,EC4,EG4),"")</f>
        <v>41.1</v>
      </c>
      <c r="EI4" s="18">
        <v>17.100000000000001</v>
      </c>
      <c r="EJ4" s="18">
        <v>5</v>
      </c>
      <c r="EK4" s="18">
        <v>0</v>
      </c>
      <c r="EL4" s="18">
        <v>0</v>
      </c>
      <c r="EM4" s="18">
        <v>17.5</v>
      </c>
      <c r="EN4" s="18">
        <v>5.2</v>
      </c>
      <c r="EO4" s="18">
        <v>0</v>
      </c>
      <c r="EP4" s="18">
        <v>0</v>
      </c>
      <c r="EQ4" s="18"/>
      <c r="ER4" s="18"/>
      <c r="ES4" s="18"/>
      <c r="ET4" s="18"/>
      <c r="EU4" s="18">
        <v>16.899999999999999</v>
      </c>
      <c r="EV4" s="18">
        <v>5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12" si="48">IF(SUM(EJ4,EN4)&gt;0,SUM(EJ4,EN4),"")</f>
        <v>10.199999999999999</v>
      </c>
      <c r="FD4" s="11">
        <f t="shared" ref="FD4:FD12" si="49">IF(SUM(EI4:EJ4,EL4:EN4,EP4)-EK4-EO4&gt;0,SUM(EI4:EJ4,EL4:EN4,EP4)-EK4-EO4,"")</f>
        <v>44.800000000000004</v>
      </c>
      <c r="FE4" s="11" t="str">
        <f t="shared" ref="FE4:FE12" si="50">IF(SUM(EQ4:ER4,ET4)-ES4&gt;0,SUM(EQ4:ER4,ET4)-ES4,"")</f>
        <v/>
      </c>
      <c r="FF4" s="11">
        <f t="shared" ref="FF4:FF12" si="51">IF(SUM(EJ4,EN4,ER4)&gt;0,SUM(EJ4,EN4,ER4),"")</f>
        <v>10.199999999999999</v>
      </c>
      <c r="FG4" s="11">
        <f t="shared" ref="FG4:FG12" si="52">IF(SUM(FD4,FE4)&gt;0,SUM(FD4,FE4),"")</f>
        <v>44.800000000000004</v>
      </c>
      <c r="FH4" s="11">
        <f t="shared" ref="FH4:FH12" si="53">IF(SUM(EV4,EZ4)&gt;0,SUM(EV4,EZ4),"")</f>
        <v>5</v>
      </c>
      <c r="FI4" s="11">
        <f t="shared" ref="FI4:FI12" si="54">IF(SUM(EU4:EV4,EX4:EZ4,FB4)-SUM(EW4,FA4)&gt;0,SUM(EU4:EV4,EX4:EZ4,FB4)-SUM(EW4,FA4),"")</f>
        <v>21.9</v>
      </c>
      <c r="FJ4" s="11">
        <f t="shared" ref="FJ4:FJ12" si="55">IF(SUM(FD4,FE4,FI4)&gt;0,SUM(FD4,FE4,FI4),"")</f>
        <v>66.7</v>
      </c>
      <c r="FK4" s="17">
        <v>16.5</v>
      </c>
      <c r="FL4" s="17">
        <v>5</v>
      </c>
      <c r="FM4" s="17">
        <v>0.2</v>
      </c>
      <c r="FN4" s="17">
        <v>0</v>
      </c>
      <c r="FO4" s="17">
        <v>17.2</v>
      </c>
      <c r="FP4" s="17">
        <v>5</v>
      </c>
      <c r="FQ4" s="17">
        <v>0.2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 t="shared" ref="GE4:GE12" si="56">IF(SUM(FL4,FP4)&gt;0,SUM(FL4,FP4),"")</f>
        <v>10</v>
      </c>
      <c r="GF4" s="41">
        <f t="shared" ref="GF4:GF12" si="57">IF(SUM(FK4:FL4,FN4:FP4,FR4)-FM4-FQ4&gt;0,SUM(FK4:FL4,FN4:FP4,FR4)-FM4-FQ4,"")</f>
        <v>43.3</v>
      </c>
      <c r="GG4" s="41" t="str">
        <f t="shared" ref="GG4:GG12" si="58">IF(SUM(FS4:FT4,FV4)-FU4&gt;0,SUM(FS4:FT4,FV4)-FU4,"")</f>
        <v/>
      </c>
      <c r="GH4" s="41">
        <f t="shared" ref="GH4:GH12" si="59">IF(SUM(FL4,FP4,FT4)&gt;0,SUM(FL4,FP4,FT4),"")</f>
        <v>10</v>
      </c>
      <c r="GI4" s="41">
        <f t="shared" ref="GI4:GI12" si="60">IF(SUM(GF4,GG4)&gt;0,SUM(GF4,GG4),"")</f>
        <v>43.3</v>
      </c>
      <c r="GJ4" s="41" t="str">
        <f t="shared" ref="GJ4:GJ12" si="61">IF(SUM(FX4,GB4)&gt;0,SUM(FX4,GB4),"")</f>
        <v/>
      </c>
      <c r="GK4" s="41" t="str">
        <f t="shared" ref="GK4:GK12" si="62">IF(SUM(FW4:FX4,FZ4:GB4,GD4)-SUM(FY4,GC4)&gt;0,SUM(FW4:FX4,FZ4:GB4,GD4)-SUM(FY4,GC4),"")</f>
        <v/>
      </c>
      <c r="GL4" s="41">
        <f t="shared" ref="GL4:GL12" si="63">IF(SUM(GF4,GG4,GK4)&gt;0,SUM(GF4,GG4,GK4),"")</f>
        <v>43.3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2" si="64">IF(SUM(GN4,GR4)&gt;0,SUM(GN4,GR4),"")</f>
        <v/>
      </c>
      <c r="HH4" s="11" t="str">
        <f t="shared" ref="HH4:HH12" si="65">IF(SUM(GM4:GN4,GP4:GR4,GT4)-GO4-GS4&gt;0,SUM(GM4:GN4,GP4:GR4,GT4)-GO4-GS4,"")</f>
        <v/>
      </c>
      <c r="HI4" s="11" t="str">
        <f t="shared" ref="HI4:HI12" si="66">IF(SUM(GU4:GV4,GX4)-GW4&gt;0,SUM(GU4:GV4,GX4)-GW4,"")</f>
        <v/>
      </c>
      <c r="HJ4" s="11" t="str">
        <f t="shared" ref="HJ4:HJ12" si="67">IF(SUM(GN4,GR4,GV4)&gt;0,SUM(GN4,GR4,GV4),"")</f>
        <v/>
      </c>
      <c r="HK4" s="11" t="str">
        <f t="shared" ref="HK4:HK12" si="68">IF(SUM(HH4,HI4)&gt;0,SUM(HH4,HI4),"")</f>
        <v/>
      </c>
      <c r="HL4" s="11" t="str">
        <f t="shared" ref="HL4:HL12" si="69">IF(SUM(GZ4,HD4)&gt;0,SUM(GZ4,HD4),"")</f>
        <v/>
      </c>
      <c r="HM4" s="11" t="str">
        <f t="shared" ref="HM4:HM12" si="70">IF(SUM(GY4:GZ4,HB4:HD4,HF4)-SUM(HA4,HE4)&gt;0,SUM(GY4:GZ4,HB4:HD4,HF4)-SUM(HA4,HE4),"")</f>
        <v/>
      </c>
      <c r="HN4" s="11" t="str">
        <f t="shared" ref="HN4:HN12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2" si="72">IF(SUM(HP4,HT4)&gt;0,SUM(HP4,HT4),"")</f>
        <v/>
      </c>
      <c r="IJ4" s="41" t="str">
        <f t="shared" ref="IJ4:IJ12" si="73">IF(SUM(HO4:HP4,HR4:HT4,HV4)-HQ4-HU4&gt;0,SUM(HO4:HP4,HR4:HT4,HV4)-HQ4-HU4,"")</f>
        <v/>
      </c>
      <c r="IK4" s="41" t="str">
        <f t="shared" ref="IK4:IK12" si="74">IF(SUM(HW4:HX4,HZ4)-HY4&gt;0,SUM(HW4:HX4,HZ4)-HY4,"")</f>
        <v/>
      </c>
      <c r="IL4" s="41" t="str">
        <f t="shared" ref="IL4:IL12" si="75">IF(SUM(HP4,HT4,HX4)&gt;0,SUM(HP4,HT4,HX4),"")</f>
        <v/>
      </c>
      <c r="IM4" s="41" t="str">
        <f t="shared" ref="IM4:IM12" si="76">IF(SUM(IJ4,IK4)&gt;0,SUM(IJ4,IK4),"")</f>
        <v/>
      </c>
      <c r="IN4" s="41" t="str">
        <f t="shared" ref="IN4:IN12" si="77">IF(SUM(IB4,IF4)&gt;0,SUM(IB4,IF4),"")</f>
        <v/>
      </c>
      <c r="IO4" s="41" t="str">
        <f t="shared" ref="IO4:IO12" si="78">IF(SUM(IA4:IB4,ID4:IF4,IH4)-SUM(IC4,IG4)&gt;0,SUM(IA4:IB4,ID4:IF4,IH4)-SUM(IC4,IG4),"")</f>
        <v/>
      </c>
      <c r="IP4" s="41" t="str">
        <f t="shared" ref="IP4:IP12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2" si="80">IF(SUM(IR4,IV4)&gt;0,SUM(IR4,IV4),"")</f>
        <v/>
      </c>
      <c r="JL4" s="11" t="str">
        <f t="shared" ref="JL4:JL12" si="81">IF(SUM(IQ4:IR4,IT4:IV4,IX4)-IS4-IW4&gt;0,SUM(IQ4:IR4,IT4:IV4,IX4)-IS4-IW4,"")</f>
        <v/>
      </c>
      <c r="JM4" s="11" t="str">
        <f t="shared" ref="JM4:JM12" si="82">IF(SUM(IY4:IZ4,JB4)-JA4&gt;0,SUM(IY4:IZ4,JB4)-JA4,"")</f>
        <v/>
      </c>
      <c r="JN4" s="11" t="str">
        <f t="shared" ref="JN4:JN12" si="83">IF(SUM(IR4,IV4,IZ4)&gt;0,SUM(IR4,IV4,IZ4),"")</f>
        <v/>
      </c>
      <c r="JO4" s="11" t="str">
        <f t="shared" ref="JO4:JO12" si="84">IF(SUM(JL4,JM4)&gt;0,SUM(JL4,JM4),"")</f>
        <v/>
      </c>
      <c r="JP4" s="11" t="str">
        <f t="shared" ref="JP4:JP12" si="85">IF(SUM(JD4,JH4)&gt;0,SUM(JD4,JH4),"")</f>
        <v/>
      </c>
      <c r="JQ4" s="11" t="str">
        <f t="shared" ref="JQ4:JQ12" si="86">IF(SUM(JC4:JD4,JF4:JH4,JJ4)-SUM(JE4,JI4)&gt;0,SUM(JC4:JD4,JF4:JH4,JJ4)-SUM(JE4,JI4),"")</f>
        <v/>
      </c>
      <c r="JR4" s="11" t="str">
        <f t="shared" ref="JR4:JR12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2" si="88">IF(SUM(JT4,JX4)&gt;0,SUM(JT4,JX4),"")</f>
        <v/>
      </c>
      <c r="KN4" s="41" t="str">
        <f t="shared" ref="KN4:KN12" si="89">IF(SUM(JS4:JT4,JV4:JX4,JZ4)-JU4-JY4&gt;0,SUM(JS4:JT4,JV4:JX4,JZ4)-JU4-JY4,"")</f>
        <v/>
      </c>
      <c r="KO4" s="41" t="str">
        <f t="shared" ref="KO4:KO12" si="90">IF(SUM(KA4:KB4,KD4)-KC4&gt;0,SUM(KA4:KB4,KD4)-KC4,"")</f>
        <v/>
      </c>
      <c r="KP4" s="41" t="str">
        <f t="shared" ref="KP4:KP12" si="91">IF(SUM(JT4,JX4,KB4)&gt;0,SUM(JT4,JX4,KB4),"")</f>
        <v/>
      </c>
      <c r="KQ4" s="41" t="str">
        <f t="shared" ref="KQ4:KQ12" si="92">IF(SUM(KN4,KO4)&gt;0,SUM(KN4,KO4),"")</f>
        <v/>
      </c>
      <c r="KR4" s="41" t="str">
        <f t="shared" ref="KR4:KR12" si="93">IF(SUM(KF4,KJ4)&gt;0,SUM(KF4,KJ4),"")</f>
        <v/>
      </c>
      <c r="KS4" s="41" t="str">
        <f t="shared" ref="KS4:KS12" si="94">IF(SUM(KE4:KF4,KH4:KJ4,KL4)-SUM(KG4,KK4)&gt;0,SUM(KE4:KF4,KH4:KJ4,KL4)-SUM(KG4,KK4),"")</f>
        <v/>
      </c>
      <c r="KT4" s="41" t="str">
        <f t="shared" ref="KT4:KT12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2" si="96">IF(SUM(KV4,KZ4)&gt;0,SUM(KV4,KZ4),"")</f>
        <v/>
      </c>
      <c r="LP4" s="11" t="str">
        <f t="shared" ref="LP4:LP12" si="97">IF(SUM(KU4:KV4,KX4:KZ4,LB4)-KW4-LA4&gt;0,SUM(KU4:KV4,KX4:KZ4,LB4)-KW4-LA4,"")</f>
        <v/>
      </c>
      <c r="LQ4" s="11" t="str">
        <f t="shared" ref="LQ4:LQ12" si="98">IF(SUM(LC4:LD4,LF4)-LE4&gt;0,SUM(LC4:LD4,LF4)-LE4,"")</f>
        <v/>
      </c>
      <c r="LR4" s="11" t="str">
        <f t="shared" ref="LR4:LR12" si="99">IF(SUM(KV4,KZ4,LD4)&gt;0,SUM(KV4,KZ4,LD4),"")</f>
        <v/>
      </c>
      <c r="LS4" s="11" t="str">
        <f t="shared" ref="LS4:LS12" si="100">IF(SUM(LP4,LQ4)&gt;0,SUM(LP4,LQ4),"")</f>
        <v/>
      </c>
      <c r="LT4" s="11" t="str">
        <f t="shared" ref="LT4:LT12" si="101">IF(SUM(LH4,LL4)&gt;0,SUM(LH4,LL4),"")</f>
        <v/>
      </c>
      <c r="LU4" s="11" t="str">
        <f t="shared" ref="LU4:LU12" si="102">IF(SUM(LG4:LH4,LJ4:LL4,LN4)-SUM(LI4,LM4)&gt;0,SUM(LG4:LH4,LJ4:LL4,LN4)-SUM(LI4,LM4),"")</f>
        <v/>
      </c>
      <c r="LV4" s="11" t="str">
        <f t="shared" ref="LV4:LV12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2" si="104">IF(SUM(LX4,MB4)&gt;0,SUM(LX4,MB4),"")</f>
        <v/>
      </c>
      <c r="MR4" s="41" t="str">
        <f t="shared" ref="MR4:MR12" si="105">IF(SUM(LW4:LX4,LZ4:MB4,MD4)-LY4-MC4&gt;0,SUM(LW4:LX4,LZ4:MB4,MD4)-LY4-MC4,"")</f>
        <v/>
      </c>
      <c r="MS4" s="41" t="str">
        <f t="shared" ref="MS4:MS12" si="106">IF(SUM(ME4:MF4,MH4)-MG4&gt;0,SUM(ME4:MF4,MH4)-MG4,"")</f>
        <v/>
      </c>
      <c r="MT4" s="41" t="str">
        <f t="shared" ref="MT4:MT12" si="107">IF(SUM(LX4,MB4,MF4)&gt;0,SUM(LX4,MB4,MF4),"")</f>
        <v/>
      </c>
      <c r="MU4" s="41" t="str">
        <f t="shared" ref="MU4:MU12" si="108">IF(SUM(MR4,MS4)&gt;0,SUM(MR4,MS4),"")</f>
        <v/>
      </c>
      <c r="MV4" s="41" t="str">
        <f t="shared" ref="MV4:MV12" si="109">IF(SUM(MJ4,MN4)&gt;0,SUM(MJ4,MN4),"")</f>
        <v/>
      </c>
      <c r="MW4" s="41" t="str">
        <f t="shared" ref="MW4:MW12" si="110">IF(SUM(MI4:MJ4,ML4:MN4,MP4)-SUM(MK4,MO4)&gt;0,SUM(MI4:MJ4,ML4:MN4,MP4)-SUM(MK4,MO4),"")</f>
        <v/>
      </c>
      <c r="MX4" s="41" t="str">
        <f t="shared" ref="MX4:MX12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2" si="112">IF(SUM(MZ4,ND4)&gt;0,SUM(MZ4,ND4),"")</f>
        <v/>
      </c>
      <c r="NT4" s="11" t="str">
        <f t="shared" ref="NT4:NT12" si="113">IF(SUM(MY4:MZ4,NB4:ND4,NF4)-NA4-NE4&gt;0,SUM(MY4:MZ4,NB4:ND4,NF4)-NA4-NE4,"")</f>
        <v/>
      </c>
      <c r="NU4" s="11" t="str">
        <f t="shared" ref="NU4:NU12" si="114">IF(SUM(NG4:NH4,NJ4)-NI4&gt;0,SUM(NG4:NH4,NJ4)-NI4,"")</f>
        <v/>
      </c>
      <c r="NV4" s="11" t="str">
        <f t="shared" ref="NV4:NV12" si="115">IF(SUM(MZ4,ND4,NH4)&gt;0,SUM(MZ4,ND4,NH4),"")</f>
        <v/>
      </c>
      <c r="NW4" s="11" t="str">
        <f t="shared" ref="NW4:NW12" si="116">IF(SUM(NT4,NU4)&gt;0,SUM(NT4,NU4),"")</f>
        <v/>
      </c>
      <c r="NX4" s="11" t="str">
        <f t="shared" ref="NX4:NX12" si="117">IF(SUM(NL4,NP4)&gt;0,SUM(NL4,NP4),"")</f>
        <v/>
      </c>
      <c r="NY4" s="11" t="str">
        <f t="shared" ref="NY4:NY12" si="118">IF(SUM(NK4:NL4,NN4:NP4,NR4)-SUM(NM4,NQ4)&gt;0,SUM(NK4:NL4,NN4:NP4,NR4)-SUM(NM4,NQ4),"")</f>
        <v/>
      </c>
      <c r="NZ4" s="11" t="str">
        <f t="shared" ref="NZ4:NZ12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2" si="120">IF(SUM(OB4,OF4)&gt;0,SUM(OB4,OF4),"")</f>
        <v/>
      </c>
      <c r="OV4" s="41" t="str">
        <f t="shared" ref="OV4:OV12" si="121">IF(SUM(OA4:OB4,OD4:OF4,OH4)-OC4-OG4&gt;0,SUM(OA4:OB4,OD4:OF4,OH4)-OC4-OG4,"")</f>
        <v/>
      </c>
      <c r="OW4" s="41" t="str">
        <f t="shared" ref="OW4:OW12" si="122">IF(SUM(OI4:OJ4,OL4)-OK4&gt;0,SUM(OI4:OJ4,OL4)-OK4,"")</f>
        <v/>
      </c>
      <c r="OX4" s="41" t="str">
        <f t="shared" ref="OX4:OX12" si="123">IF(SUM(OB4,OF4,OJ4)&gt;0,SUM(OB4,OF4,OJ4),"")</f>
        <v/>
      </c>
      <c r="OY4" s="41" t="str">
        <f t="shared" ref="OY4:OY12" si="124">IF(SUM(OV4,OW4)&gt;0,SUM(OV4,OW4),"")</f>
        <v/>
      </c>
      <c r="OZ4" s="41" t="str">
        <f t="shared" ref="OZ4:OZ12" si="125">IF(SUM(ON4,OR4)&gt;0,SUM(ON4,OR4),"")</f>
        <v/>
      </c>
      <c r="PA4" s="41" t="str">
        <f t="shared" ref="PA4:PA12" si="126">IF(SUM(OM4:ON4,OP4:OR4,OT4)-SUM(OO4,OS4)&gt;0,SUM(OM4:ON4,OP4:OR4,OT4)-SUM(OO4,OS4),"")</f>
        <v/>
      </c>
      <c r="PB4" s="41" t="str">
        <f t="shared" ref="PB4:PB12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2" si="128">IF(SUM(PD4,PH4)&gt;0,SUM(PD4,PH4),"")</f>
        <v/>
      </c>
      <c r="PX4" s="11" t="str">
        <f t="shared" ref="PX4:PX12" si="129">IF(SUM(PC4:PD4,PF4:PH4,PJ4)-PE4-PI4&gt;0,SUM(PC4:PD4,PF4:PH4,PJ4)-PE4-PI4,"")</f>
        <v/>
      </c>
      <c r="PY4" s="11" t="str">
        <f t="shared" ref="PY4:PY12" si="130">IF(SUM(PK4:PL4,PN4)-PM4&gt;0,SUM(PK4:PL4,PN4)-PM4,"")</f>
        <v/>
      </c>
      <c r="PZ4" s="11" t="str">
        <f t="shared" ref="PZ4:PZ12" si="131">IF(SUM(PD4,PH4,PL4)&gt;0,SUM(PD4,PH4,PL4),"")</f>
        <v/>
      </c>
      <c r="QA4" s="11" t="str">
        <f t="shared" ref="QA4:QA12" si="132">IF(SUM(PX4,PY4)&gt;0,SUM(PX4,PY4),"")</f>
        <v/>
      </c>
      <c r="QB4" s="11" t="str">
        <f t="shared" ref="QB4:QB12" si="133">IF(SUM(PP4,PT4)&gt;0,SUM(PP4,PT4),"")</f>
        <v/>
      </c>
      <c r="QC4" s="11" t="str">
        <f t="shared" ref="QC4:QC12" si="134">IF(SUM(PO4:PP4,PR4:PT4,PV4)-SUM(PQ4,PU4)&gt;0,SUM(PO4:PP4,PR4:PT4,PV4)-SUM(PQ4,PU4),"")</f>
        <v/>
      </c>
      <c r="QD4" s="11" t="str">
        <f t="shared" ref="QD4:QD12" si="135">IF(SUM(PX4,PY4,QC4)&gt;0,SUM(PX4,PY4,QC4),"")</f>
        <v/>
      </c>
      <c r="QE4" s="23">
        <f t="shared" ref="QE4:QE12" si="136">IF($CU4="P",CA4,(CA4+AX4)/2)</f>
        <v>16.05</v>
      </c>
      <c r="QF4" s="23">
        <f t="shared" ref="QF4:QF12" si="137">IF($CU4="P",CB4,(CB4+AY4)/2)</f>
        <v>5</v>
      </c>
      <c r="QG4" s="23">
        <f t="shared" ref="QG4:QG12" si="138">IF($CU4="P",CC4,(CC4+AZ4)/2)</f>
        <v>0</v>
      </c>
      <c r="QH4" s="23">
        <f t="shared" ref="QH4:QH12" si="139">IF($CU4="P",CD4,(CD4+BA4)/2)</f>
        <v>0.6</v>
      </c>
      <c r="QI4" s="23">
        <f t="shared" ref="QI4:QI12" si="140">IF($CU4="P",CE4,(CE4+BB4)/2)</f>
        <v>16.8</v>
      </c>
      <c r="QJ4" s="23">
        <f t="shared" ref="QJ4:QJ12" si="141">IF($CU4="P",CF4,(CF4+BC4)/2)</f>
        <v>4.9000000000000004</v>
      </c>
      <c r="QK4" s="23">
        <f t="shared" ref="QK4:QK12" si="142">IF($CU4="P",CG4,(CG4+BD4)/2)</f>
        <v>0</v>
      </c>
      <c r="QL4" s="23">
        <f t="shared" ref="QL4:QL12" si="143">IF($CU4="P",CH4,(CH4+BE4)/2)</f>
        <v>0.6</v>
      </c>
      <c r="QM4" s="23">
        <f t="shared" ref="QM4:QM12" si="144">IF($CU4="P",CI4,(CI4+BF4)/2)</f>
        <v>15.4</v>
      </c>
      <c r="QN4" s="23">
        <f t="shared" ref="QN4:QN12" si="145">IF($CU4="P",CJ4,(CJ4+BG4)/2)</f>
        <v>3.8</v>
      </c>
      <c r="QO4" s="23">
        <f t="shared" ref="QO4:QO12" si="146">IF($CU4="P",CK4,(CK4+BH4)/2)</f>
        <v>0</v>
      </c>
      <c r="QP4" s="23">
        <f t="shared" ref="QP4:QP12" si="147">IF($CU4="P",CL4,(CL4+BI4)/2)</f>
        <v>0.6</v>
      </c>
      <c r="QQ4" s="23">
        <f t="shared" ref="QQ4:QQ12" si="148">IF($CU4="P",CM4,(CM4+BJ4)/2)</f>
        <v>16.75</v>
      </c>
      <c r="QR4" s="23">
        <f t="shared" ref="QR4:QR12" si="149">IF($CU4="P",CN4,(CN4+BK4)/2)</f>
        <v>4.8</v>
      </c>
      <c r="QS4" s="23">
        <f t="shared" ref="QS4:QS12" si="150">IF($CU4="P",CO4,(CO4+BL4)/2)</f>
        <v>0</v>
      </c>
      <c r="QT4" s="23">
        <f t="shared" ref="QT4:QT12" si="151">IF($CU4="P",CP4,(CP4+BM4)/2)</f>
        <v>0.6</v>
      </c>
      <c r="QU4" s="23">
        <f t="shared" ref="QU4:QU12" si="152">IF($CU4="P",CQ4,(CQ4+BN4)/2)</f>
        <v>16.75</v>
      </c>
      <c r="QV4" s="23">
        <f t="shared" ref="QV4:QV12" si="153">IF($CU4="P",CR4,(CR4+BO4)/2)</f>
        <v>5</v>
      </c>
      <c r="QW4" s="23">
        <f t="shared" ref="QW4:QW12" si="154">IF($CU4="P",CS4,(CS4+BP4)/2)</f>
        <v>0.1</v>
      </c>
      <c r="QX4" s="23">
        <f t="shared" ref="QX4:QX12" si="155">IF($CU4="P",CT4,(CT4+BQ4)/2)</f>
        <v>0.6</v>
      </c>
      <c r="QY4" s="28" t="s">
        <v>57</v>
      </c>
      <c r="QZ4" s="41">
        <f t="shared" ref="QZ4:QZ12" si="156">IF(SUM(QF4,QJ4)&gt;0,SUM(QF4,QJ4),"")</f>
        <v>9.9</v>
      </c>
      <c r="RA4" s="41">
        <f t="shared" ref="RA4:RA12" si="157">IF(SUM(QE4:QF4,QH4:QJ4,QL4)-QG4-QK4&gt;0,SUM(QE4:QF4,QH4:QJ4,QL4)-QG4-QK4,"")</f>
        <v>43.95</v>
      </c>
      <c r="RB4" s="41">
        <f t="shared" ref="RB4:RB12" si="158">IF(SUM(QM4:QN4,QP4)-QO4&gt;0,SUM(QM4:QN4,QP4)-QO4,"")</f>
        <v>19.8</v>
      </c>
      <c r="RC4" s="41">
        <f t="shared" ref="RC4:RC12" si="159">IF(SUM(QF4,QJ4,QN4)&gt;0,SUM(QF4,QJ4,QN4),"")</f>
        <v>13.7</v>
      </c>
      <c r="RD4" s="41">
        <f t="shared" ref="RD4:RD12" si="160">IF(SUM(RA4,RB4)&gt;0,SUM(RA4,RB4),"")</f>
        <v>63.75</v>
      </c>
      <c r="RE4" s="41">
        <f t="shared" ref="RE4:RE12" si="161">IF(SUM(QR4,QV4)&gt;0,SUM(QR4,QV4),"")</f>
        <v>9.8000000000000007</v>
      </c>
      <c r="RF4" s="41">
        <f t="shared" ref="RF4:RF12" si="162">IF(SUM(QQ4:QR4,QT4:QV4,QX4)-SUM(QS4,QW4)&gt;0,SUM(QQ4:QR4,QT4:QV4,QX4)-SUM(QS4,QW4),"")</f>
        <v>44.400000000000006</v>
      </c>
      <c r="RG4" s="41">
        <f t="shared" ref="RG4:RG12" si="163">IF(SUM(RA4,RB4,RF4)&gt;0,SUM(RA4,RB4,RF4),"")</f>
        <v>108.15</v>
      </c>
    </row>
    <row r="5" spans="1:475" x14ac:dyDescent="0.2">
      <c r="A5" s="4" cm="1">
        <f t="array" ref="A5">IF(AND(H5&lt;&gt;"",H5&lt;&gt;"No DD"),SUMPRODUCT((H$4:H$13&lt;&gt;"")*(H$4:H$13&lt;&gt;"No DD")*(E$4:E$13&gt;E5))+1,IF(H5="No DD",SUMPRODUCT((H$4:H$13="No DD")*(E$4:E$13&gt;E5))+1+SUMPRODUCT((H$4:H$13&lt;&gt;"")*(H$4:H$13&lt;&gt;"No DD")),""))</f>
        <v>2</v>
      </c>
      <c r="B5" s="5" t="s">
        <v>221</v>
      </c>
      <c r="C5" s="4" t="s">
        <v>5</v>
      </c>
      <c r="D5" s="4">
        <v>2006</v>
      </c>
      <c r="E5" s="9">
        <f t="shared" si="0"/>
        <v>155.00001093000438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43.5</v>
      </c>
      <c r="K5" s="8" t="str">
        <f t="shared" si="5"/>
        <v>2023 Elite Canada</v>
      </c>
      <c r="L5" s="8">
        <f>IF(COUNT(AQ5,BT5,CW5)&gt;1,LARGE((AQ5,BT5,CW5),2),0)</f>
        <v>43.4</v>
      </c>
      <c r="M5" s="8" t="str">
        <f t="shared" si="6"/>
        <v>2023 Nationals</v>
      </c>
      <c r="N5" s="8">
        <f>IF(COUNT(AR5,BU5,CX5)&gt;0,LARGE((AR5,BU5,CX5),1),0)</f>
        <v>22.400000000000002</v>
      </c>
      <c r="O5" s="8" t="str">
        <f t="shared" si="7"/>
        <v>2023 Domestic 3rd Trial</v>
      </c>
      <c r="P5" s="8">
        <f t="shared" si="8"/>
        <v>43.600000000000009</v>
      </c>
      <c r="Q5" s="8" t="str">
        <f t="shared" si="9"/>
        <v>2023 Domestic 3rd Trial</v>
      </c>
      <c r="R5" s="8">
        <f t="shared" si="10"/>
        <v>2.1000000000000014</v>
      </c>
      <c r="S5" s="11" t="str">
        <f t="shared" si="11"/>
        <v>(Q1)</v>
      </c>
      <c r="T5" s="8" t="str">
        <f t="shared" si="12"/>
        <v>2023 World Championships (Nov 11)</v>
      </c>
      <c r="U5" s="19">
        <v>16.7</v>
      </c>
      <c r="V5" s="19">
        <v>4.8</v>
      </c>
      <c r="W5" s="19">
        <v>0</v>
      </c>
      <c r="X5" s="19">
        <v>0.6</v>
      </c>
      <c r="Y5" s="19">
        <v>16.2</v>
      </c>
      <c r="Z5" s="19">
        <v>4.5999999999999996</v>
      </c>
      <c r="AA5" s="19">
        <v>0</v>
      </c>
      <c r="AB5" s="19">
        <v>0.6</v>
      </c>
      <c r="AC5" s="19">
        <v>16.8</v>
      </c>
      <c r="AD5" s="19">
        <v>4.8</v>
      </c>
      <c r="AE5" s="19">
        <v>0</v>
      </c>
      <c r="AF5" s="19">
        <v>0.6</v>
      </c>
      <c r="AG5" s="19">
        <v>17.3</v>
      </c>
      <c r="AH5" s="19">
        <v>4.0999999999999996</v>
      </c>
      <c r="AI5" s="19">
        <v>0</v>
      </c>
      <c r="AJ5" s="19">
        <v>0.3</v>
      </c>
      <c r="AK5" s="19">
        <v>16.3</v>
      </c>
      <c r="AL5" s="19">
        <v>4.5999999999999996</v>
      </c>
      <c r="AM5" s="19">
        <v>0</v>
      </c>
      <c r="AN5" s="19">
        <v>0.6</v>
      </c>
      <c r="AO5" s="28"/>
      <c r="AP5" s="41">
        <f t="shared" si="13"/>
        <v>9.3999999999999986</v>
      </c>
      <c r="AQ5" s="41">
        <f t="shared" si="14"/>
        <v>43.5</v>
      </c>
      <c r="AR5" s="41">
        <f t="shared" si="15"/>
        <v>22.200000000000003</v>
      </c>
      <c r="AS5" s="41">
        <f t="shared" si="16"/>
        <v>14.2</v>
      </c>
      <c r="AT5" s="41">
        <f t="shared" si="17"/>
        <v>65.7</v>
      </c>
      <c r="AU5" s="41">
        <f t="shared" si="18"/>
        <v>8.6999999999999993</v>
      </c>
      <c r="AV5" s="41">
        <f t="shared" si="19"/>
        <v>43.2</v>
      </c>
      <c r="AW5" s="41">
        <f t="shared" si="20"/>
        <v>108.9</v>
      </c>
      <c r="AX5" s="18">
        <v>16.899999999999999</v>
      </c>
      <c r="AY5" s="18">
        <v>4.3</v>
      </c>
      <c r="AZ5" s="18">
        <v>0</v>
      </c>
      <c r="BA5" s="18">
        <v>0.3</v>
      </c>
      <c r="BB5" s="18">
        <v>16.5</v>
      </c>
      <c r="BC5" s="18">
        <v>4.8</v>
      </c>
      <c r="BD5" s="18">
        <v>0</v>
      </c>
      <c r="BE5" s="18">
        <v>0.6</v>
      </c>
      <c r="BF5" s="18">
        <v>15.7</v>
      </c>
      <c r="BG5" s="18">
        <v>3.8</v>
      </c>
      <c r="BH5" s="18">
        <v>0</v>
      </c>
      <c r="BI5" s="18">
        <v>0.3</v>
      </c>
      <c r="BJ5" s="18">
        <v>17.3</v>
      </c>
      <c r="BK5" s="18">
        <v>5</v>
      </c>
      <c r="BL5" s="18">
        <v>0</v>
      </c>
      <c r="BM5" s="18">
        <v>0.6</v>
      </c>
      <c r="BN5" s="18">
        <v>16.100000000000001</v>
      </c>
      <c r="BO5" s="18">
        <v>2.6</v>
      </c>
      <c r="BP5" s="18">
        <v>0</v>
      </c>
      <c r="BQ5" s="18">
        <v>0.6</v>
      </c>
      <c r="BR5" s="29"/>
      <c r="BS5" s="11">
        <f t="shared" si="21"/>
        <v>9.1</v>
      </c>
      <c r="BT5" s="11">
        <f t="shared" si="22"/>
        <v>43.4</v>
      </c>
      <c r="BU5" s="11">
        <f t="shared" si="23"/>
        <v>19.8</v>
      </c>
      <c r="BV5" s="11">
        <f t="shared" si="24"/>
        <v>12.899999999999999</v>
      </c>
      <c r="BW5" s="11">
        <f t="shared" si="25"/>
        <v>63.2</v>
      </c>
      <c r="BX5" s="11">
        <f t="shared" si="26"/>
        <v>7.6</v>
      </c>
      <c r="BY5" s="11">
        <f t="shared" si="27"/>
        <v>42.2</v>
      </c>
      <c r="BZ5" s="11">
        <f t="shared" si="28"/>
        <v>105.4</v>
      </c>
      <c r="CA5" s="19">
        <v>16.8</v>
      </c>
      <c r="CB5" s="19">
        <v>5</v>
      </c>
      <c r="CC5" s="19">
        <v>0</v>
      </c>
      <c r="CD5" s="19">
        <v>0.6</v>
      </c>
      <c r="CE5" s="19">
        <v>15.5</v>
      </c>
      <c r="CF5" s="19">
        <v>4.5999999999999996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16.5</v>
      </c>
      <c r="CN5" s="19">
        <v>4.8</v>
      </c>
      <c r="CO5" s="19">
        <v>0</v>
      </c>
      <c r="CP5" s="19">
        <v>0.6</v>
      </c>
      <c r="CQ5" s="19">
        <v>16.5</v>
      </c>
      <c r="CR5" s="19">
        <v>4.5999999999999996</v>
      </c>
      <c r="CS5" s="19">
        <v>0</v>
      </c>
      <c r="CT5" s="19">
        <v>0.6</v>
      </c>
      <c r="CU5" s="28"/>
      <c r="CV5" s="41">
        <f t="shared" si="29"/>
        <v>9.6</v>
      </c>
      <c r="CW5" s="41">
        <f t="shared" si="30"/>
        <v>43.100000000000009</v>
      </c>
      <c r="CX5" s="41">
        <f t="shared" si="31"/>
        <v>22.400000000000002</v>
      </c>
      <c r="CY5" s="41">
        <f t="shared" si="32"/>
        <v>14.6</v>
      </c>
      <c r="CZ5" s="41">
        <f t="shared" si="33"/>
        <v>65.500000000000014</v>
      </c>
      <c r="DA5" s="41">
        <f t="shared" si="34"/>
        <v>9.3999999999999986</v>
      </c>
      <c r="DB5" s="41">
        <f t="shared" si="35"/>
        <v>43.600000000000009</v>
      </c>
      <c r="DC5" s="41">
        <f t="shared" si="36"/>
        <v>109.10000000000002</v>
      </c>
      <c r="DD5" s="52">
        <f t="shared" si="37"/>
        <v>2.1000000000000014</v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17.2</v>
      </c>
      <c r="FL5" s="17">
        <v>6.1</v>
      </c>
      <c r="FM5" s="17">
        <v>0</v>
      </c>
      <c r="FN5" s="17">
        <v>0</v>
      </c>
      <c r="FO5" s="17">
        <v>17.2</v>
      </c>
      <c r="FP5" s="17">
        <v>5</v>
      </c>
      <c r="FQ5" s="17">
        <v>0</v>
      </c>
      <c r="FR5" s="17">
        <v>0</v>
      </c>
      <c r="FS5" s="17">
        <v>16.600000000000001</v>
      </c>
      <c r="FT5" s="17">
        <v>6.1</v>
      </c>
      <c r="FU5" s="17">
        <v>0.4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 t="shared" si="56"/>
        <v>11.1</v>
      </c>
      <c r="GF5" s="41">
        <f t="shared" si="57"/>
        <v>45.5</v>
      </c>
      <c r="GG5" s="41">
        <f t="shared" si="58"/>
        <v>22.300000000000004</v>
      </c>
      <c r="GH5" s="41">
        <f t="shared" si="59"/>
        <v>17.2</v>
      </c>
      <c r="GI5" s="41">
        <f t="shared" si="60"/>
        <v>67.800000000000011</v>
      </c>
      <c r="GJ5" s="41" t="str">
        <f t="shared" si="61"/>
        <v/>
      </c>
      <c r="GK5" s="41" t="str">
        <f t="shared" si="62"/>
        <v/>
      </c>
      <c r="GL5" s="41">
        <f t="shared" si="63"/>
        <v>67.800000000000011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16.850000000000001</v>
      </c>
      <c r="QF5" s="23">
        <f t="shared" si="137"/>
        <v>4.6500000000000004</v>
      </c>
      <c r="QG5" s="23">
        <f t="shared" si="138"/>
        <v>0</v>
      </c>
      <c r="QH5" s="23">
        <f t="shared" si="139"/>
        <v>0.44999999999999996</v>
      </c>
      <c r="QI5" s="23">
        <f t="shared" si="140"/>
        <v>16</v>
      </c>
      <c r="QJ5" s="23">
        <f t="shared" si="141"/>
        <v>4.6999999999999993</v>
      </c>
      <c r="QK5" s="23">
        <f t="shared" si="142"/>
        <v>0</v>
      </c>
      <c r="QL5" s="23">
        <f t="shared" si="143"/>
        <v>0.6</v>
      </c>
      <c r="QM5" s="23">
        <f t="shared" si="144"/>
        <v>16.25</v>
      </c>
      <c r="QN5" s="23">
        <f t="shared" si="145"/>
        <v>4.4000000000000004</v>
      </c>
      <c r="QO5" s="23">
        <f t="shared" si="146"/>
        <v>0</v>
      </c>
      <c r="QP5" s="23">
        <f t="shared" si="147"/>
        <v>0.44999999999999996</v>
      </c>
      <c r="QQ5" s="23">
        <f t="shared" si="148"/>
        <v>16.899999999999999</v>
      </c>
      <c r="QR5" s="23">
        <f t="shared" si="149"/>
        <v>4.9000000000000004</v>
      </c>
      <c r="QS5" s="23">
        <f t="shared" si="150"/>
        <v>0</v>
      </c>
      <c r="QT5" s="23">
        <f t="shared" si="151"/>
        <v>0.6</v>
      </c>
      <c r="QU5" s="23">
        <f t="shared" si="152"/>
        <v>16.3</v>
      </c>
      <c r="QV5" s="23">
        <f t="shared" si="153"/>
        <v>3.5999999999999996</v>
      </c>
      <c r="QW5" s="23">
        <f t="shared" si="154"/>
        <v>0</v>
      </c>
      <c r="QX5" s="23">
        <f t="shared" si="155"/>
        <v>0.6</v>
      </c>
      <c r="QY5" s="28" t="s">
        <v>57</v>
      </c>
      <c r="QZ5" s="41">
        <f t="shared" si="156"/>
        <v>9.35</v>
      </c>
      <c r="RA5" s="41">
        <f t="shared" si="157"/>
        <v>43.250000000000007</v>
      </c>
      <c r="RB5" s="41">
        <f t="shared" si="158"/>
        <v>21.099999999999998</v>
      </c>
      <c r="RC5" s="41">
        <f t="shared" si="159"/>
        <v>13.75</v>
      </c>
      <c r="RD5" s="41">
        <f t="shared" si="160"/>
        <v>64.350000000000009</v>
      </c>
      <c r="RE5" s="41">
        <f t="shared" si="161"/>
        <v>8.5</v>
      </c>
      <c r="RF5" s="41">
        <f t="shared" si="162"/>
        <v>42.900000000000006</v>
      </c>
      <c r="RG5" s="41">
        <f t="shared" si="163"/>
        <v>107.25000000000001</v>
      </c>
    </row>
    <row r="6" spans="1:475" x14ac:dyDescent="0.2">
      <c r="A6" s="4" cm="1">
        <f t="array" ref="A6">IF(AND(H6&lt;&gt;"",H6&lt;&gt;"No DD"),SUMPRODUCT((H$4:H$13&lt;&gt;"")*(H$4:H$13&lt;&gt;"No DD")*(E$4:E$13&gt;E6))+1,IF(H6="No DD",SUMPRODUCT((H$4:H$13="No DD")*(E$4:E$13&gt;E6))+1+SUMPRODUCT((H$4:H$13&lt;&gt;"")*(H$4:H$13&lt;&gt;"No DD")),""))</f>
        <v>3</v>
      </c>
      <c r="B6" s="5" t="s">
        <v>146</v>
      </c>
      <c r="C6" s="4" t="s">
        <v>5</v>
      </c>
      <c r="D6" s="4">
        <v>2003</v>
      </c>
      <c r="E6" s="9">
        <f t="shared" si="0"/>
        <v>154.70001093000445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44.699999999999996</v>
      </c>
      <c r="K6" s="8" t="str">
        <f t="shared" si="5"/>
        <v>2023 Nationals</v>
      </c>
      <c r="L6" s="8">
        <f>IF(COUNT(AQ6,BT6,CW6)&gt;1,LARGE((AQ6,BT6,CW6),2),0)</f>
        <v>43.500000000000007</v>
      </c>
      <c r="M6" s="8" t="str">
        <f t="shared" si="6"/>
        <v>2023 Domestic 3rd Trial</v>
      </c>
      <c r="N6" s="8">
        <f>IF(COUNT(AR6,BU6,CX6)&gt;0,LARGE((AR6,BU6,CX6),1),0)</f>
        <v>21.099999999999998</v>
      </c>
      <c r="O6" s="8" t="str">
        <f t="shared" si="7"/>
        <v>2023 Nationals</v>
      </c>
      <c r="P6" s="8">
        <f t="shared" si="8"/>
        <v>45.300000000000004</v>
      </c>
      <c r="Q6" s="8" t="str">
        <f t="shared" si="9"/>
        <v>2023 Nationals</v>
      </c>
      <c r="R6" s="8">
        <f t="shared" si="10"/>
        <v>9.999999999998721E-2</v>
      </c>
      <c r="S6" s="11" t="str">
        <f t="shared" si="11"/>
        <v>(Q1)</v>
      </c>
      <c r="T6" s="8" t="str">
        <f t="shared" si="12"/>
        <v>2023 World Championships (Nov 11)</v>
      </c>
      <c r="U6" s="19">
        <v>17.3</v>
      </c>
      <c r="V6" s="19">
        <v>3.9</v>
      </c>
      <c r="W6" s="19">
        <v>0</v>
      </c>
      <c r="X6" s="19">
        <v>0.3</v>
      </c>
      <c r="Y6" s="19">
        <v>16.100000000000001</v>
      </c>
      <c r="Z6" s="19">
        <v>2.6</v>
      </c>
      <c r="AA6" s="19">
        <v>0</v>
      </c>
      <c r="AB6" s="19">
        <v>0.6</v>
      </c>
      <c r="AC6" s="19">
        <v>15.8</v>
      </c>
      <c r="AD6" s="19">
        <v>1.9</v>
      </c>
      <c r="AE6" s="19">
        <v>0</v>
      </c>
      <c r="AF6" s="19">
        <v>0.3</v>
      </c>
      <c r="AG6" s="19">
        <v>17</v>
      </c>
      <c r="AH6" s="19">
        <v>3.9</v>
      </c>
      <c r="AI6" s="19">
        <v>0.2</v>
      </c>
      <c r="AJ6" s="19">
        <v>0.3</v>
      </c>
      <c r="AK6" s="19">
        <v>16.399999999999999</v>
      </c>
      <c r="AL6" s="19">
        <v>1.9</v>
      </c>
      <c r="AM6" s="19">
        <v>0</v>
      </c>
      <c r="AN6" s="19">
        <v>0.3</v>
      </c>
      <c r="AO6" s="28"/>
      <c r="AP6" s="41">
        <f t="shared" si="13"/>
        <v>6.5</v>
      </c>
      <c r="AQ6" s="41">
        <f t="shared" si="14"/>
        <v>40.800000000000004</v>
      </c>
      <c r="AR6" s="41">
        <f t="shared" si="15"/>
        <v>18</v>
      </c>
      <c r="AS6" s="41">
        <f t="shared" si="16"/>
        <v>8.4</v>
      </c>
      <c r="AT6" s="41">
        <f t="shared" si="17"/>
        <v>58.800000000000004</v>
      </c>
      <c r="AU6" s="41">
        <f t="shared" si="18"/>
        <v>5.8</v>
      </c>
      <c r="AV6" s="41">
        <f t="shared" si="19"/>
        <v>39.599999999999987</v>
      </c>
      <c r="AW6" s="41">
        <f t="shared" si="20"/>
        <v>98.399999999999991</v>
      </c>
      <c r="AX6" s="18">
        <v>17.399999999999999</v>
      </c>
      <c r="AY6" s="18">
        <v>4.3</v>
      </c>
      <c r="AZ6" s="18">
        <v>0</v>
      </c>
      <c r="BA6" s="18">
        <v>0.3</v>
      </c>
      <c r="BB6" s="18">
        <v>17.5</v>
      </c>
      <c r="BC6" s="18">
        <v>4.8</v>
      </c>
      <c r="BD6" s="18">
        <v>0.2</v>
      </c>
      <c r="BE6" s="18">
        <v>0.6</v>
      </c>
      <c r="BF6" s="18">
        <v>16.7</v>
      </c>
      <c r="BG6" s="18">
        <v>4.0999999999999996</v>
      </c>
      <c r="BH6" s="18">
        <v>0</v>
      </c>
      <c r="BI6" s="18">
        <v>0.3</v>
      </c>
      <c r="BJ6" s="18">
        <v>17.399999999999999</v>
      </c>
      <c r="BK6" s="18">
        <v>4.8</v>
      </c>
      <c r="BL6" s="18">
        <v>0</v>
      </c>
      <c r="BM6" s="18">
        <v>0.6</v>
      </c>
      <c r="BN6" s="18">
        <v>17.3</v>
      </c>
      <c r="BO6" s="18">
        <v>4.5999999999999996</v>
      </c>
      <c r="BP6" s="18">
        <v>0</v>
      </c>
      <c r="BQ6" s="18">
        <v>0.6</v>
      </c>
      <c r="BR6" s="29"/>
      <c r="BS6" s="11">
        <f t="shared" si="21"/>
        <v>9.1</v>
      </c>
      <c r="BT6" s="11">
        <f t="shared" si="22"/>
        <v>44.699999999999996</v>
      </c>
      <c r="BU6" s="11">
        <f t="shared" si="23"/>
        <v>21.099999999999998</v>
      </c>
      <c r="BV6" s="11">
        <f t="shared" si="24"/>
        <v>13.2</v>
      </c>
      <c r="BW6" s="11">
        <f t="shared" si="25"/>
        <v>65.8</v>
      </c>
      <c r="BX6" s="11">
        <f t="shared" si="26"/>
        <v>9.3999999999999986</v>
      </c>
      <c r="BY6" s="11">
        <f t="shared" si="27"/>
        <v>45.300000000000004</v>
      </c>
      <c r="BZ6" s="11">
        <f t="shared" si="28"/>
        <v>111.1</v>
      </c>
      <c r="CA6" s="19">
        <v>17.5</v>
      </c>
      <c r="CB6" s="19">
        <v>4.3</v>
      </c>
      <c r="CC6" s="19">
        <v>0</v>
      </c>
      <c r="CD6" s="19">
        <v>0.3</v>
      </c>
      <c r="CE6" s="19">
        <v>16.600000000000001</v>
      </c>
      <c r="CF6" s="19">
        <v>4.5999999999999996</v>
      </c>
      <c r="CG6" s="19">
        <v>0.4</v>
      </c>
      <c r="CH6" s="19">
        <v>0.6</v>
      </c>
      <c r="CI6" s="19">
        <v>16</v>
      </c>
      <c r="CJ6" s="19">
        <v>1.9</v>
      </c>
      <c r="CK6" s="19">
        <v>0</v>
      </c>
      <c r="CL6" s="19">
        <v>0.3</v>
      </c>
      <c r="CM6" s="62">
        <v>17.2</v>
      </c>
      <c r="CN6" s="62">
        <v>4.3499999999999996</v>
      </c>
      <c r="CO6" s="62">
        <v>0.1</v>
      </c>
      <c r="CP6" s="62">
        <v>0.44999999999999996</v>
      </c>
      <c r="CQ6" s="62">
        <v>16.850000000000001</v>
      </c>
      <c r="CR6" s="62">
        <v>3.25</v>
      </c>
      <c r="CS6" s="62">
        <v>0</v>
      </c>
      <c r="CT6" s="62">
        <v>0.44999999999999996</v>
      </c>
      <c r="CU6" s="28"/>
      <c r="CV6" s="41">
        <f t="shared" si="29"/>
        <v>8.8999999999999986</v>
      </c>
      <c r="CW6" s="41">
        <f t="shared" si="30"/>
        <v>43.500000000000007</v>
      </c>
      <c r="CX6" s="41">
        <f t="shared" si="31"/>
        <v>18.2</v>
      </c>
      <c r="CY6" s="41">
        <f t="shared" si="32"/>
        <v>10.799999999999999</v>
      </c>
      <c r="CZ6" s="41">
        <f t="shared" si="33"/>
        <v>61.7</v>
      </c>
      <c r="DA6" s="64">
        <f t="shared" si="34"/>
        <v>7.6</v>
      </c>
      <c r="DB6" s="64">
        <f t="shared" si="35"/>
        <v>42.449999999999996</v>
      </c>
      <c r="DC6" s="41">
        <f t="shared" si="36"/>
        <v>104.15</v>
      </c>
      <c r="DD6" s="52">
        <f t="shared" si="37"/>
        <v>9.999999999998721E-2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>
        <v>16.8</v>
      </c>
      <c r="EJ6" s="18">
        <v>1.9</v>
      </c>
      <c r="EK6" s="18">
        <v>0</v>
      </c>
      <c r="EL6" s="18">
        <v>0</v>
      </c>
      <c r="EM6" s="18">
        <v>16.600000000000001</v>
      </c>
      <c r="EN6" s="18">
        <v>3.5</v>
      </c>
      <c r="EO6" s="18">
        <v>0.4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5.4</v>
      </c>
      <c r="FD6" s="11">
        <f t="shared" si="49"/>
        <v>38.4</v>
      </c>
      <c r="FE6" s="11" t="str">
        <f t="shared" si="50"/>
        <v/>
      </c>
      <c r="FF6" s="11">
        <f t="shared" si="51"/>
        <v>5.4</v>
      </c>
      <c r="FG6" s="11">
        <f t="shared" si="52"/>
        <v>38.4</v>
      </c>
      <c r="FH6" s="11" t="str">
        <f t="shared" si="53"/>
        <v/>
      </c>
      <c r="FI6" s="11" t="str">
        <f t="shared" si="54"/>
        <v/>
      </c>
      <c r="FJ6" s="11">
        <f t="shared" si="55"/>
        <v>38.4</v>
      </c>
      <c r="FK6" s="17">
        <v>17.600000000000001</v>
      </c>
      <c r="FL6" s="17">
        <v>3.9</v>
      </c>
      <c r="FM6" s="17">
        <v>0.2</v>
      </c>
      <c r="FN6" s="17">
        <v>0</v>
      </c>
      <c r="FO6" s="17">
        <v>18</v>
      </c>
      <c r="FP6" s="17">
        <v>4.3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8.1999999999999993</v>
      </c>
      <c r="GF6" s="41">
        <f t="shared" si="57"/>
        <v>43.599999999999994</v>
      </c>
      <c r="GG6" s="41" t="str">
        <f t="shared" si="58"/>
        <v/>
      </c>
      <c r="GH6" s="41">
        <f t="shared" si="59"/>
        <v>8.1999999999999993</v>
      </c>
      <c r="GI6" s="41">
        <f t="shared" si="60"/>
        <v>43.599999999999994</v>
      </c>
      <c r="GJ6" s="41" t="str">
        <f t="shared" si="61"/>
        <v/>
      </c>
      <c r="GK6" s="41" t="str">
        <f t="shared" si="62"/>
        <v/>
      </c>
      <c r="GL6" s="41">
        <f t="shared" si="63"/>
        <v>43.599999999999994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17.45</v>
      </c>
      <c r="QF6" s="23">
        <f t="shared" si="137"/>
        <v>4.3</v>
      </c>
      <c r="QG6" s="23">
        <f t="shared" si="138"/>
        <v>0</v>
      </c>
      <c r="QH6" s="23">
        <f t="shared" si="139"/>
        <v>0.3</v>
      </c>
      <c r="QI6" s="23">
        <f t="shared" si="140"/>
        <v>17.05</v>
      </c>
      <c r="QJ6" s="23">
        <f t="shared" si="141"/>
        <v>4.6999999999999993</v>
      </c>
      <c r="QK6" s="23">
        <f t="shared" si="142"/>
        <v>0.30000000000000004</v>
      </c>
      <c r="QL6" s="23">
        <f t="shared" si="143"/>
        <v>0.6</v>
      </c>
      <c r="QM6" s="23">
        <f t="shared" si="144"/>
        <v>16.350000000000001</v>
      </c>
      <c r="QN6" s="23">
        <f t="shared" si="145"/>
        <v>3</v>
      </c>
      <c r="QO6" s="23">
        <f t="shared" si="146"/>
        <v>0</v>
      </c>
      <c r="QP6" s="23">
        <f t="shared" si="147"/>
        <v>0.3</v>
      </c>
      <c r="QQ6" s="23">
        <f t="shared" si="148"/>
        <v>17.299999999999997</v>
      </c>
      <c r="QR6" s="23">
        <f t="shared" si="149"/>
        <v>4.5749999999999993</v>
      </c>
      <c r="QS6" s="23">
        <f t="shared" si="150"/>
        <v>0.05</v>
      </c>
      <c r="QT6" s="23">
        <f t="shared" si="151"/>
        <v>0.52499999999999991</v>
      </c>
      <c r="QU6" s="23">
        <f t="shared" si="152"/>
        <v>17.075000000000003</v>
      </c>
      <c r="QV6" s="23">
        <f t="shared" si="153"/>
        <v>3.9249999999999998</v>
      </c>
      <c r="QW6" s="23">
        <f t="shared" si="154"/>
        <v>0</v>
      </c>
      <c r="QX6" s="23">
        <f t="shared" si="155"/>
        <v>0.52499999999999991</v>
      </c>
      <c r="QY6" s="28" t="s">
        <v>57</v>
      </c>
      <c r="QZ6" s="41">
        <f t="shared" si="156"/>
        <v>9</v>
      </c>
      <c r="RA6" s="41">
        <f t="shared" si="157"/>
        <v>44.1</v>
      </c>
      <c r="RB6" s="41">
        <f t="shared" si="158"/>
        <v>19.650000000000002</v>
      </c>
      <c r="RC6" s="41">
        <f t="shared" si="159"/>
        <v>12</v>
      </c>
      <c r="RD6" s="41">
        <f t="shared" si="160"/>
        <v>63.75</v>
      </c>
      <c r="RE6" s="41">
        <f t="shared" si="161"/>
        <v>8.5</v>
      </c>
      <c r="RF6" s="41">
        <f t="shared" si="162"/>
        <v>43.874999999999993</v>
      </c>
      <c r="RG6" s="41">
        <f t="shared" si="163"/>
        <v>107.625</v>
      </c>
    </row>
    <row r="7" spans="1:475" x14ac:dyDescent="0.2">
      <c r="A7" s="4" cm="1">
        <f t="array" ref="A7">IF(AND(H7&lt;&gt;"",H7&lt;&gt;"No DD"),SUMPRODUCT((H$4:H$13&lt;&gt;"")*(H$4:H$13&lt;&gt;"No DD")*(E$4:E$13&gt;E7))+1,IF(H7="No DD",SUMPRODUCT((H$4:H$13="No DD")*(E$4:E$13&gt;E7))+1+SUMPRODUCT((H$4:H$13&lt;&gt;"")*(H$4:H$13&lt;&gt;"No DD")),""))</f>
        <v>4</v>
      </c>
      <c r="B7" s="5" t="s">
        <v>172</v>
      </c>
      <c r="C7" s="4" t="s">
        <v>5</v>
      </c>
      <c r="D7" s="4">
        <v>2003</v>
      </c>
      <c r="E7" s="9">
        <f t="shared" si="0"/>
        <v>153.80001087000446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IF(COUNT(AQ7,BT7,CW7)&gt;0,LARGE((AQ7,BT7,CW7),1),0)</f>
        <v>44.300000000000004</v>
      </c>
      <c r="K7" s="8" t="str">
        <f t="shared" si="5"/>
        <v>2023 Domestic 3rd Trial</v>
      </c>
      <c r="L7" s="8">
        <f>IF(COUNT(AQ7,BT7,CW7)&gt;1,LARGE((AQ7,BT7,CW7),2),0)</f>
        <v>42.900000000000006</v>
      </c>
      <c r="M7" s="8" t="str">
        <f t="shared" si="6"/>
        <v>2023 Nationals</v>
      </c>
      <c r="N7" s="8">
        <f>IF(COUNT(AR7,BU7,CX7)&gt;0,LARGE((AR7,BU7,CX7),1),0)</f>
        <v>21.5</v>
      </c>
      <c r="O7" s="8" t="str">
        <f t="shared" si="7"/>
        <v>2023 Nationals</v>
      </c>
      <c r="P7" s="8">
        <f t="shared" si="8"/>
        <v>44.599999999999994</v>
      </c>
      <c r="Q7" s="8" t="str">
        <f t="shared" si="9"/>
        <v>2023 Nationals</v>
      </c>
      <c r="R7" s="8">
        <f t="shared" si="10"/>
        <v>0.49999999999999289</v>
      </c>
      <c r="S7" s="11" t="str">
        <f t="shared" si="11"/>
        <v>(Q1)</v>
      </c>
      <c r="T7" s="8" t="str">
        <f t="shared" si="12"/>
        <v>2023 World Cup USA (Aug 5)</v>
      </c>
      <c r="U7" s="19">
        <v>17.100000000000001</v>
      </c>
      <c r="V7" s="19">
        <v>3.9</v>
      </c>
      <c r="W7" s="19">
        <v>0</v>
      </c>
      <c r="X7" s="19">
        <v>0.3</v>
      </c>
      <c r="Y7" s="19">
        <v>16.399999999999999</v>
      </c>
      <c r="Z7" s="19">
        <v>1.9</v>
      </c>
      <c r="AA7" s="19">
        <v>0</v>
      </c>
      <c r="AB7" s="19">
        <v>0.3</v>
      </c>
      <c r="AC7" s="19">
        <v>16.899999999999999</v>
      </c>
      <c r="AD7" s="19">
        <v>4.0999999999999996</v>
      </c>
      <c r="AE7" s="19">
        <v>0</v>
      </c>
      <c r="AF7" s="19">
        <v>0.3</v>
      </c>
      <c r="AG7" s="19">
        <v>17.600000000000001</v>
      </c>
      <c r="AH7" s="19">
        <v>4.0999999999999996</v>
      </c>
      <c r="AI7" s="19">
        <v>0</v>
      </c>
      <c r="AJ7" s="19">
        <v>0.3</v>
      </c>
      <c r="AK7" s="19">
        <v>17.399999999999999</v>
      </c>
      <c r="AL7" s="19">
        <v>3.2</v>
      </c>
      <c r="AM7" s="19">
        <v>0.4</v>
      </c>
      <c r="AN7" s="19">
        <v>0.6</v>
      </c>
      <c r="AO7" s="28"/>
      <c r="AP7" s="41">
        <f t="shared" si="13"/>
        <v>5.8</v>
      </c>
      <c r="AQ7" s="41">
        <f t="shared" si="14"/>
        <v>39.9</v>
      </c>
      <c r="AR7" s="41">
        <f t="shared" si="15"/>
        <v>21.3</v>
      </c>
      <c r="AS7" s="41">
        <f t="shared" si="16"/>
        <v>9.8999999999999986</v>
      </c>
      <c r="AT7" s="41">
        <f t="shared" si="17"/>
        <v>61.2</v>
      </c>
      <c r="AU7" s="41">
        <f t="shared" si="18"/>
        <v>7.3</v>
      </c>
      <c r="AV7" s="41">
        <f t="shared" si="19"/>
        <v>42.800000000000011</v>
      </c>
      <c r="AW7" s="41">
        <f t="shared" si="20"/>
        <v>104.00000000000001</v>
      </c>
      <c r="AX7" s="18">
        <v>17.2</v>
      </c>
      <c r="AY7" s="18">
        <v>4.3</v>
      </c>
      <c r="AZ7" s="18">
        <v>0</v>
      </c>
      <c r="BA7" s="18">
        <v>0.3</v>
      </c>
      <c r="BB7" s="18">
        <v>15.9</v>
      </c>
      <c r="BC7" s="18">
        <v>4.5999999999999996</v>
      </c>
      <c r="BD7" s="18">
        <v>0</v>
      </c>
      <c r="BE7" s="18">
        <v>0.6</v>
      </c>
      <c r="BF7" s="18">
        <v>16.3</v>
      </c>
      <c r="BG7" s="18">
        <v>4.5999999999999996</v>
      </c>
      <c r="BH7" s="18">
        <v>0</v>
      </c>
      <c r="BI7" s="18">
        <v>0.6</v>
      </c>
      <c r="BJ7" s="18">
        <v>16.7</v>
      </c>
      <c r="BK7" s="18">
        <v>4.5999999999999996</v>
      </c>
      <c r="BL7" s="18">
        <v>0.2</v>
      </c>
      <c r="BM7" s="18">
        <v>0.6</v>
      </c>
      <c r="BN7" s="18">
        <v>18.3</v>
      </c>
      <c r="BO7" s="18">
        <v>4.3</v>
      </c>
      <c r="BP7" s="18">
        <v>0</v>
      </c>
      <c r="BQ7" s="18">
        <v>0.3</v>
      </c>
      <c r="BR7" s="29"/>
      <c r="BS7" s="11">
        <f t="shared" si="21"/>
        <v>8.8999999999999986</v>
      </c>
      <c r="BT7" s="11">
        <f t="shared" si="22"/>
        <v>42.900000000000006</v>
      </c>
      <c r="BU7" s="11">
        <f t="shared" si="23"/>
        <v>21.5</v>
      </c>
      <c r="BV7" s="11">
        <f t="shared" si="24"/>
        <v>13.499999999999998</v>
      </c>
      <c r="BW7" s="11">
        <f t="shared" si="25"/>
        <v>64.400000000000006</v>
      </c>
      <c r="BX7" s="11">
        <f t="shared" si="26"/>
        <v>8.8999999999999986</v>
      </c>
      <c r="BY7" s="11">
        <f t="shared" si="27"/>
        <v>44.599999999999994</v>
      </c>
      <c r="BZ7" s="11">
        <f t="shared" si="28"/>
        <v>109</v>
      </c>
      <c r="CA7" s="19">
        <v>17.5</v>
      </c>
      <c r="CB7" s="19">
        <v>4.3</v>
      </c>
      <c r="CC7" s="19">
        <v>0</v>
      </c>
      <c r="CD7" s="19">
        <v>0.3</v>
      </c>
      <c r="CE7" s="19">
        <v>17</v>
      </c>
      <c r="CF7" s="19">
        <v>4.5999999999999996</v>
      </c>
      <c r="CG7" s="19">
        <v>0</v>
      </c>
      <c r="CH7" s="19">
        <v>0.6</v>
      </c>
      <c r="CI7" s="19">
        <v>15</v>
      </c>
      <c r="CJ7" s="19">
        <v>4.5999999999999996</v>
      </c>
      <c r="CK7" s="19">
        <v>0</v>
      </c>
      <c r="CL7" s="19">
        <v>0.6</v>
      </c>
      <c r="CM7" s="19">
        <v>15.1</v>
      </c>
      <c r="CN7" s="19">
        <v>3.9</v>
      </c>
      <c r="CO7" s="19">
        <v>0.2</v>
      </c>
      <c r="CP7" s="19">
        <v>0.3</v>
      </c>
      <c r="CQ7" s="19">
        <v>16.899999999999999</v>
      </c>
      <c r="CR7" s="19">
        <v>4.8</v>
      </c>
      <c r="CS7" s="19">
        <v>0</v>
      </c>
      <c r="CT7" s="63">
        <v>0.6</v>
      </c>
      <c r="CU7" s="28"/>
      <c r="CV7" s="41">
        <f t="shared" si="29"/>
        <v>8.8999999999999986</v>
      </c>
      <c r="CW7" s="41">
        <f t="shared" si="30"/>
        <v>44.300000000000004</v>
      </c>
      <c r="CX7" s="41">
        <f t="shared" si="31"/>
        <v>20.200000000000003</v>
      </c>
      <c r="CY7" s="41">
        <f t="shared" si="32"/>
        <v>13.499999999999998</v>
      </c>
      <c r="CZ7" s="41">
        <f t="shared" si="33"/>
        <v>64.5</v>
      </c>
      <c r="DA7" s="41">
        <f t="shared" si="34"/>
        <v>8.6999999999999993</v>
      </c>
      <c r="DB7" s="41">
        <f t="shared" si="35"/>
        <v>41.4</v>
      </c>
      <c r="DC7" s="41">
        <f t="shared" si="36"/>
        <v>105.9</v>
      </c>
      <c r="DD7" s="52">
        <f t="shared" si="37"/>
        <v>0.49999999999999289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 t="shared" si="48"/>
        <v>8</v>
      </c>
      <c r="FD7" s="11">
        <f t="shared" si="49"/>
        <v>43.4</v>
      </c>
      <c r="FE7" s="11" t="str">
        <f t="shared" si="50"/>
        <v/>
      </c>
      <c r="FF7" s="11">
        <f t="shared" si="51"/>
        <v>8</v>
      </c>
      <c r="FG7" s="11">
        <f t="shared" si="52"/>
        <v>43.4</v>
      </c>
      <c r="FH7" s="11">
        <f t="shared" si="53"/>
        <v>5</v>
      </c>
      <c r="FI7" s="11">
        <f t="shared" si="54"/>
        <v>22.7</v>
      </c>
      <c r="FJ7" s="11">
        <f t="shared" si="55"/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 t="shared" si="56"/>
        <v>7.8</v>
      </c>
      <c r="GF7" s="41">
        <f t="shared" si="57"/>
        <v>40.9</v>
      </c>
      <c r="GG7" s="41" t="str">
        <f t="shared" si="58"/>
        <v/>
      </c>
      <c r="GH7" s="41">
        <f t="shared" si="59"/>
        <v>7.8</v>
      </c>
      <c r="GI7" s="41">
        <f t="shared" si="60"/>
        <v>40.9</v>
      </c>
      <c r="GJ7" s="41" t="str">
        <f t="shared" si="61"/>
        <v/>
      </c>
      <c r="GK7" s="41" t="str">
        <f t="shared" si="62"/>
        <v/>
      </c>
      <c r="GL7" s="41">
        <f t="shared" si="63"/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17.350000000000001</v>
      </c>
      <c r="QF7" s="23">
        <f t="shared" si="137"/>
        <v>4.3</v>
      </c>
      <c r="QG7" s="23">
        <f t="shared" si="138"/>
        <v>0</v>
      </c>
      <c r="QH7" s="23">
        <f t="shared" si="139"/>
        <v>0.3</v>
      </c>
      <c r="QI7" s="23">
        <f t="shared" si="140"/>
        <v>16.45</v>
      </c>
      <c r="QJ7" s="23">
        <f t="shared" si="141"/>
        <v>4.5999999999999996</v>
      </c>
      <c r="QK7" s="23">
        <f t="shared" si="142"/>
        <v>0</v>
      </c>
      <c r="QL7" s="23">
        <f t="shared" si="143"/>
        <v>0.6</v>
      </c>
      <c r="QM7" s="23">
        <f t="shared" si="144"/>
        <v>15.65</v>
      </c>
      <c r="QN7" s="23">
        <f t="shared" si="145"/>
        <v>4.5999999999999996</v>
      </c>
      <c r="QO7" s="23">
        <f t="shared" si="146"/>
        <v>0</v>
      </c>
      <c r="QP7" s="23">
        <f t="shared" si="147"/>
        <v>0.6</v>
      </c>
      <c r="QQ7" s="23">
        <f t="shared" si="148"/>
        <v>15.899999999999999</v>
      </c>
      <c r="QR7" s="23">
        <f t="shared" si="149"/>
        <v>4.25</v>
      </c>
      <c r="QS7" s="23">
        <f t="shared" si="150"/>
        <v>0.2</v>
      </c>
      <c r="QT7" s="23">
        <f t="shared" si="151"/>
        <v>0.44999999999999996</v>
      </c>
      <c r="QU7" s="23">
        <f t="shared" si="152"/>
        <v>17.600000000000001</v>
      </c>
      <c r="QV7" s="23">
        <f t="shared" si="153"/>
        <v>4.55</v>
      </c>
      <c r="QW7" s="23">
        <f t="shared" si="154"/>
        <v>0</v>
      </c>
      <c r="QX7" s="23">
        <f t="shared" si="155"/>
        <v>0.44999999999999996</v>
      </c>
      <c r="QY7" s="28" t="s">
        <v>57</v>
      </c>
      <c r="QZ7" s="41">
        <f t="shared" si="156"/>
        <v>8.8999999999999986</v>
      </c>
      <c r="RA7" s="41">
        <f t="shared" si="157"/>
        <v>43.600000000000009</v>
      </c>
      <c r="RB7" s="41">
        <f t="shared" si="158"/>
        <v>20.85</v>
      </c>
      <c r="RC7" s="41">
        <f t="shared" si="159"/>
        <v>13.499999999999998</v>
      </c>
      <c r="RD7" s="41">
        <f t="shared" si="160"/>
        <v>64.450000000000017</v>
      </c>
      <c r="RE7" s="41">
        <f t="shared" si="161"/>
        <v>8.8000000000000007</v>
      </c>
      <c r="RF7" s="41">
        <f t="shared" si="162"/>
        <v>43</v>
      </c>
      <c r="RG7" s="41">
        <f t="shared" si="163"/>
        <v>107.45000000000002</v>
      </c>
    </row>
    <row r="8" spans="1:475" x14ac:dyDescent="0.2">
      <c r="A8" s="4" cm="1">
        <f t="array" ref="A8">IF(AND(H8&lt;&gt;"",H8&lt;&gt;"No DD"),SUMPRODUCT((H$4:H$13&lt;&gt;"")*(H$4:H$13&lt;&gt;"No DD")*(E$4:E$13&gt;E8))+1,IF(H8="No DD",SUMPRODUCT((H$4:H$13="No DD")*(E$4:E$13&gt;E8))+1+SUMPRODUCT((H$4:H$13&lt;&gt;"")*(H$4:H$13&lt;&gt;"No DD")),""))</f>
        <v>5</v>
      </c>
      <c r="B8" s="5" t="s">
        <v>96</v>
      </c>
      <c r="C8" s="4" t="s">
        <v>6</v>
      </c>
      <c r="D8" s="4">
        <v>2004</v>
      </c>
      <c r="E8" s="9">
        <f t="shared" si="0"/>
        <v>146.50000977000389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38.700000000000003</v>
      </c>
      <c r="K8" s="8" t="str">
        <f t="shared" si="5"/>
        <v>2023 Nationals</v>
      </c>
      <c r="L8" s="8">
        <f>IF(COUNT(AQ8,BT8,CW8)&gt;1,LARGE((AQ8,BT8,CW8),2),0)</f>
        <v>37.500000000000007</v>
      </c>
      <c r="M8" s="8" t="str">
        <f t="shared" si="6"/>
        <v>2023 Elite Canada</v>
      </c>
      <c r="N8" s="8">
        <f>IF(COUNT(AR8,BU8,CX8)&gt;0,LARGE((AR8,BU8,CX8),1),0)</f>
        <v>21.5</v>
      </c>
      <c r="O8" s="8" t="str">
        <f t="shared" si="7"/>
        <v>2023 Domestic 3rd Trial</v>
      </c>
      <c r="P8" s="8">
        <f t="shared" si="8"/>
        <v>42.800000000000004</v>
      </c>
      <c r="Q8" s="8" t="str">
        <f t="shared" si="9"/>
        <v>2023 Nationals</v>
      </c>
      <c r="R8" s="8">
        <f t="shared" si="10"/>
        <v>5.9999999999999929</v>
      </c>
      <c r="S8" s="11" t="str">
        <f t="shared" si="11"/>
        <v>(Q1)</v>
      </c>
      <c r="T8" s="8" t="str">
        <f t="shared" si="12"/>
        <v>2023 WAGC (Nov 17)</v>
      </c>
      <c r="U8" s="19">
        <v>16.8</v>
      </c>
      <c r="V8" s="19">
        <v>3.4</v>
      </c>
      <c r="W8" s="19">
        <v>0.4</v>
      </c>
      <c r="X8" s="19">
        <v>0</v>
      </c>
      <c r="Y8" s="19">
        <v>14.5</v>
      </c>
      <c r="Z8" s="19">
        <v>4.5999999999999996</v>
      </c>
      <c r="AA8" s="19">
        <v>2</v>
      </c>
      <c r="AB8" s="19">
        <v>0.6</v>
      </c>
      <c r="AC8" s="19">
        <v>15.3</v>
      </c>
      <c r="AD8" s="19">
        <v>2.6</v>
      </c>
      <c r="AE8" s="19">
        <v>0</v>
      </c>
      <c r="AF8" s="19">
        <v>0.6</v>
      </c>
      <c r="AG8" s="19">
        <v>16.600000000000001</v>
      </c>
      <c r="AH8" s="19">
        <v>3.8</v>
      </c>
      <c r="AI8" s="19">
        <v>0</v>
      </c>
      <c r="AJ8" s="19">
        <v>0</v>
      </c>
      <c r="AK8" s="19">
        <v>16.600000000000001</v>
      </c>
      <c r="AL8" s="19">
        <v>4.5999999999999996</v>
      </c>
      <c r="AM8" s="19">
        <v>0</v>
      </c>
      <c r="AN8" s="19">
        <v>0.6</v>
      </c>
      <c r="AO8" s="28"/>
      <c r="AP8" s="41">
        <f t="shared" si="13"/>
        <v>8</v>
      </c>
      <c r="AQ8" s="41">
        <f t="shared" si="14"/>
        <v>37.500000000000007</v>
      </c>
      <c r="AR8" s="41">
        <f t="shared" si="15"/>
        <v>18.500000000000004</v>
      </c>
      <c r="AS8" s="41">
        <f t="shared" si="16"/>
        <v>10.6</v>
      </c>
      <c r="AT8" s="41">
        <f t="shared" si="17"/>
        <v>56.000000000000014</v>
      </c>
      <c r="AU8" s="41">
        <f t="shared" si="18"/>
        <v>8.3999999999999986</v>
      </c>
      <c r="AV8" s="41">
        <f t="shared" si="19"/>
        <v>42.2</v>
      </c>
      <c r="AW8" s="41">
        <f t="shared" si="20"/>
        <v>98.200000000000017</v>
      </c>
      <c r="AX8" s="18">
        <v>15.2</v>
      </c>
      <c r="AY8" s="18">
        <v>3.4</v>
      </c>
      <c r="AZ8" s="18">
        <v>0.4</v>
      </c>
      <c r="BA8" s="18">
        <v>0</v>
      </c>
      <c r="BB8" s="18">
        <v>16.600000000000001</v>
      </c>
      <c r="BC8" s="18">
        <v>5.3</v>
      </c>
      <c r="BD8" s="18">
        <v>2</v>
      </c>
      <c r="BE8" s="18">
        <v>0.6</v>
      </c>
      <c r="BF8" s="18">
        <v>15.9</v>
      </c>
      <c r="BG8" s="18">
        <v>4.2</v>
      </c>
      <c r="BH8" s="18">
        <v>0</v>
      </c>
      <c r="BI8" s="18">
        <v>0.6</v>
      </c>
      <c r="BJ8" s="18">
        <v>14.9</v>
      </c>
      <c r="BK8" s="18">
        <v>4.5999999999999996</v>
      </c>
      <c r="BL8" s="18">
        <v>0</v>
      </c>
      <c r="BM8" s="18">
        <v>0.6</v>
      </c>
      <c r="BN8" s="18">
        <v>16.600000000000001</v>
      </c>
      <c r="BO8" s="18">
        <v>5.5</v>
      </c>
      <c r="BP8" s="18">
        <v>0</v>
      </c>
      <c r="BQ8" s="18">
        <v>0.6</v>
      </c>
      <c r="BR8" s="29"/>
      <c r="BS8" s="11">
        <f t="shared" si="21"/>
        <v>8.6999999999999993</v>
      </c>
      <c r="BT8" s="11">
        <f t="shared" si="22"/>
        <v>38.700000000000003</v>
      </c>
      <c r="BU8" s="11">
        <f t="shared" si="23"/>
        <v>20.700000000000003</v>
      </c>
      <c r="BV8" s="11">
        <f t="shared" si="24"/>
        <v>12.899999999999999</v>
      </c>
      <c r="BW8" s="11">
        <f t="shared" si="25"/>
        <v>59.400000000000006</v>
      </c>
      <c r="BX8" s="11">
        <f t="shared" si="26"/>
        <v>10.1</v>
      </c>
      <c r="BY8" s="11">
        <f t="shared" si="27"/>
        <v>42.800000000000004</v>
      </c>
      <c r="BZ8" s="11">
        <f t="shared" si="28"/>
        <v>102.20000000000002</v>
      </c>
      <c r="CA8" s="19">
        <v>15.8</v>
      </c>
      <c r="CB8" s="19">
        <v>1.2</v>
      </c>
      <c r="CC8" s="19">
        <v>0</v>
      </c>
      <c r="CD8" s="19">
        <v>0</v>
      </c>
      <c r="CE8" s="19">
        <v>16</v>
      </c>
      <c r="CF8" s="19">
        <v>3.5</v>
      </c>
      <c r="CG8" s="19">
        <v>0.4</v>
      </c>
      <c r="CH8" s="19">
        <v>0.6</v>
      </c>
      <c r="CI8" s="19">
        <v>16.3</v>
      </c>
      <c r="CJ8" s="19">
        <v>4.5999999999999996</v>
      </c>
      <c r="CK8" s="19">
        <v>0</v>
      </c>
      <c r="CL8" s="19">
        <v>0.6</v>
      </c>
      <c r="CM8" s="19">
        <v>16</v>
      </c>
      <c r="CN8" s="19">
        <v>4.8</v>
      </c>
      <c r="CO8" s="19">
        <v>0</v>
      </c>
      <c r="CP8" s="19">
        <v>0.6</v>
      </c>
      <c r="CQ8" s="19">
        <v>16</v>
      </c>
      <c r="CR8" s="19">
        <v>3.9</v>
      </c>
      <c r="CS8" s="19">
        <v>0.2</v>
      </c>
      <c r="CT8" s="19">
        <v>0.3</v>
      </c>
      <c r="CU8" s="28"/>
      <c r="CV8" s="41">
        <f t="shared" si="29"/>
        <v>4.7</v>
      </c>
      <c r="CW8" s="41">
        <f t="shared" si="30"/>
        <v>36.700000000000003</v>
      </c>
      <c r="CX8" s="41">
        <f t="shared" si="31"/>
        <v>21.5</v>
      </c>
      <c r="CY8" s="41">
        <f t="shared" si="32"/>
        <v>9.3000000000000007</v>
      </c>
      <c r="CZ8" s="41">
        <f t="shared" si="33"/>
        <v>58.2</v>
      </c>
      <c r="DA8" s="41">
        <f t="shared" si="34"/>
        <v>8.6999999999999993</v>
      </c>
      <c r="DB8" s="41">
        <f t="shared" si="35"/>
        <v>41.4</v>
      </c>
      <c r="DC8" s="41">
        <f t="shared" si="36"/>
        <v>99.6</v>
      </c>
      <c r="DD8" s="52">
        <f t="shared" si="37"/>
        <v>5.9999999999999929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10.8</v>
      </c>
      <c r="HH8" s="11">
        <f t="shared" si="65"/>
        <v>43.5</v>
      </c>
      <c r="HI8" s="11" t="str">
        <f t="shared" si="66"/>
        <v/>
      </c>
      <c r="HJ8" s="11">
        <f t="shared" si="67"/>
        <v>10.8</v>
      </c>
      <c r="HK8" s="11">
        <f t="shared" si="68"/>
        <v>43.5</v>
      </c>
      <c r="HL8" s="11" t="str">
        <f t="shared" si="69"/>
        <v/>
      </c>
      <c r="HM8" s="11" t="str">
        <f t="shared" si="70"/>
        <v/>
      </c>
      <c r="HN8" s="11">
        <f t="shared" si="71"/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15.5</v>
      </c>
      <c r="QF8" s="23">
        <f t="shared" si="137"/>
        <v>2.2999999999999998</v>
      </c>
      <c r="QG8" s="23">
        <f t="shared" si="138"/>
        <v>0.2</v>
      </c>
      <c r="QH8" s="23">
        <f t="shared" si="139"/>
        <v>0</v>
      </c>
      <c r="QI8" s="23">
        <f t="shared" si="140"/>
        <v>16.3</v>
      </c>
      <c r="QJ8" s="23">
        <f t="shared" si="141"/>
        <v>4.4000000000000004</v>
      </c>
      <c r="QK8" s="23">
        <f t="shared" si="142"/>
        <v>1.2</v>
      </c>
      <c r="QL8" s="23">
        <f t="shared" si="143"/>
        <v>0.6</v>
      </c>
      <c r="QM8" s="23">
        <f t="shared" si="144"/>
        <v>16.100000000000001</v>
      </c>
      <c r="QN8" s="23">
        <f t="shared" si="145"/>
        <v>4.4000000000000004</v>
      </c>
      <c r="QO8" s="23">
        <f t="shared" si="146"/>
        <v>0</v>
      </c>
      <c r="QP8" s="23">
        <f t="shared" si="147"/>
        <v>0.6</v>
      </c>
      <c r="QQ8" s="23">
        <f t="shared" si="148"/>
        <v>15.45</v>
      </c>
      <c r="QR8" s="23">
        <f t="shared" si="149"/>
        <v>4.6999999999999993</v>
      </c>
      <c r="QS8" s="23">
        <f t="shared" si="150"/>
        <v>0</v>
      </c>
      <c r="QT8" s="23">
        <f t="shared" si="151"/>
        <v>0.6</v>
      </c>
      <c r="QU8" s="23">
        <f t="shared" si="152"/>
        <v>16.3</v>
      </c>
      <c r="QV8" s="23">
        <f t="shared" si="153"/>
        <v>4.7</v>
      </c>
      <c r="QW8" s="23">
        <f t="shared" si="154"/>
        <v>0.1</v>
      </c>
      <c r="QX8" s="23">
        <f t="shared" si="155"/>
        <v>0.44999999999999996</v>
      </c>
      <c r="QY8" s="28" t="s">
        <v>57</v>
      </c>
      <c r="QZ8" s="41">
        <f t="shared" si="156"/>
        <v>6.7</v>
      </c>
      <c r="RA8" s="41">
        <f t="shared" si="157"/>
        <v>37.699999999999996</v>
      </c>
      <c r="RB8" s="41">
        <f t="shared" si="158"/>
        <v>21.1</v>
      </c>
      <c r="RC8" s="41">
        <f t="shared" si="159"/>
        <v>11.100000000000001</v>
      </c>
      <c r="RD8" s="41">
        <f t="shared" si="160"/>
        <v>58.8</v>
      </c>
      <c r="RE8" s="41">
        <f t="shared" si="161"/>
        <v>9.3999999999999986</v>
      </c>
      <c r="RF8" s="41">
        <f t="shared" si="162"/>
        <v>42.1</v>
      </c>
      <c r="RG8" s="41">
        <f t="shared" si="163"/>
        <v>100.9</v>
      </c>
    </row>
    <row r="9" spans="1:475" x14ac:dyDescent="0.2">
      <c r="A9" s="4" cm="1">
        <f t="array" ref="A9">IF(AND(H9&lt;&gt;"",H9&lt;&gt;"No DD"),SUMPRODUCT((H$4:H$13&lt;&gt;"")*(H$4:H$13&lt;&gt;"No DD")*(E$4:E$13&gt;E9))+1,IF(H9="No DD",SUMPRODUCT((H$4:H$13="No DD")*(E$4:E$13&gt;E9))+1+SUMPRODUCT((H$4:H$13&lt;&gt;"")*(H$4:H$13&lt;&gt;"No DD")),""))</f>
        <v>6</v>
      </c>
      <c r="B9" s="5" t="s">
        <v>166</v>
      </c>
      <c r="C9" s="4" t="s">
        <v>3</v>
      </c>
      <c r="D9" s="4">
        <v>2004</v>
      </c>
      <c r="E9" s="9">
        <f t="shared" si="0"/>
        <v>148.90001050500425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IF(COUNT(AQ9,BT9,CW9)&gt;0,LARGE((AQ9,BT9,CW9),1),0)</f>
        <v>42.1</v>
      </c>
      <c r="K9" s="8" t="str">
        <f t="shared" si="5"/>
        <v>2023 Nationals</v>
      </c>
      <c r="L9" s="8">
        <f>IF(COUNT(AQ9,BT9,CW9)&gt;1,LARGE((AQ9,BT9,CW9),2),0)</f>
        <v>41.65</v>
      </c>
      <c r="M9" s="8" t="str">
        <f t="shared" si="6"/>
        <v>2023 Domestic 3rd Trial</v>
      </c>
      <c r="N9" s="8">
        <f>IF(COUNT(AR9,BU9,CX9)&gt;0,LARGE((AR9,BU9,CX9),1),0)</f>
        <v>21.3</v>
      </c>
      <c r="O9" s="8" t="str">
        <f t="shared" si="7"/>
        <v>2023 Nationals</v>
      </c>
      <c r="P9" s="8">
        <f t="shared" si="8"/>
        <v>43.5</v>
      </c>
      <c r="Q9" s="8" t="str">
        <f t="shared" si="9"/>
        <v>2023 Nationals</v>
      </c>
      <c r="R9" s="8">
        <f t="shared" si="10"/>
        <v>0.35000000000000853</v>
      </c>
      <c r="S9" s="11" t="str">
        <f t="shared" si="11"/>
        <v>(Q1)</v>
      </c>
      <c r="T9" s="8" t="str">
        <f t="shared" si="12"/>
        <v>2023 WAGC (Nov 17)</v>
      </c>
      <c r="U9" s="19">
        <v>16.600000000000001</v>
      </c>
      <c r="V9" s="19">
        <v>3.6</v>
      </c>
      <c r="W9" s="19">
        <v>0.2</v>
      </c>
      <c r="X9" s="19">
        <v>0</v>
      </c>
      <c r="Y9" s="19">
        <v>17</v>
      </c>
      <c r="Z9" s="19">
        <v>4.0999999999999996</v>
      </c>
      <c r="AA9" s="19">
        <v>0.2</v>
      </c>
      <c r="AB9" s="19">
        <v>0.3</v>
      </c>
      <c r="AC9" s="19">
        <v>16.440000000000001</v>
      </c>
      <c r="AD9" s="19">
        <v>4.0999999999999996</v>
      </c>
      <c r="AE9" s="19">
        <v>0</v>
      </c>
      <c r="AF9" s="19">
        <v>0.3</v>
      </c>
      <c r="AG9" s="19">
        <v>17.5</v>
      </c>
      <c r="AH9" s="19">
        <v>4.0999999999999996</v>
      </c>
      <c r="AI9" s="19">
        <v>0</v>
      </c>
      <c r="AJ9" s="19">
        <v>0.3</v>
      </c>
      <c r="AK9" s="19">
        <v>17.2</v>
      </c>
      <c r="AL9" s="19">
        <v>3.9</v>
      </c>
      <c r="AM9" s="19">
        <v>0</v>
      </c>
      <c r="AN9" s="19">
        <v>0.3</v>
      </c>
      <c r="AO9" s="28"/>
      <c r="AP9" s="41">
        <f t="shared" si="13"/>
        <v>7.6999999999999993</v>
      </c>
      <c r="AQ9" s="41">
        <f t="shared" si="14"/>
        <v>41.199999999999996</v>
      </c>
      <c r="AR9" s="41">
        <f t="shared" si="15"/>
        <v>20.84</v>
      </c>
      <c r="AS9" s="41">
        <f t="shared" si="16"/>
        <v>11.799999999999999</v>
      </c>
      <c r="AT9" s="41">
        <f t="shared" si="17"/>
        <v>62.039999999999992</v>
      </c>
      <c r="AU9" s="41">
        <f t="shared" si="18"/>
        <v>8</v>
      </c>
      <c r="AV9" s="41">
        <f t="shared" si="19"/>
        <v>43.3</v>
      </c>
      <c r="AW9" s="41">
        <f t="shared" si="20"/>
        <v>105.33999999999999</v>
      </c>
      <c r="AX9" s="18">
        <v>16.600000000000001</v>
      </c>
      <c r="AY9" s="18">
        <v>4.3</v>
      </c>
      <c r="AZ9" s="18">
        <v>0</v>
      </c>
      <c r="BA9" s="18">
        <v>0.3</v>
      </c>
      <c r="BB9" s="18">
        <v>16.5</v>
      </c>
      <c r="BC9" s="18">
        <v>4.0999999999999996</v>
      </c>
      <c r="BD9" s="18">
        <v>0</v>
      </c>
      <c r="BE9" s="18">
        <v>0.3</v>
      </c>
      <c r="BF9" s="18">
        <v>16.899999999999999</v>
      </c>
      <c r="BG9" s="18">
        <v>4.0999999999999996</v>
      </c>
      <c r="BH9" s="18">
        <v>0</v>
      </c>
      <c r="BI9" s="18">
        <v>0.3</v>
      </c>
      <c r="BJ9" s="18">
        <v>17.100000000000001</v>
      </c>
      <c r="BK9" s="18">
        <v>4.3</v>
      </c>
      <c r="BL9" s="18">
        <v>0.2</v>
      </c>
      <c r="BM9" s="18">
        <v>0.3</v>
      </c>
      <c r="BN9" s="18">
        <v>17.600000000000001</v>
      </c>
      <c r="BO9" s="18">
        <v>4.0999999999999996</v>
      </c>
      <c r="BP9" s="18">
        <v>0</v>
      </c>
      <c r="BQ9" s="18">
        <v>0.3</v>
      </c>
      <c r="BR9" s="29"/>
      <c r="BS9" s="11">
        <f t="shared" si="21"/>
        <v>8.3999999999999986</v>
      </c>
      <c r="BT9" s="11">
        <f t="shared" si="22"/>
        <v>42.1</v>
      </c>
      <c r="BU9" s="11">
        <f t="shared" si="23"/>
        <v>21.3</v>
      </c>
      <c r="BV9" s="11">
        <f t="shared" si="24"/>
        <v>12.499999999999998</v>
      </c>
      <c r="BW9" s="11">
        <f t="shared" si="25"/>
        <v>63.400000000000006</v>
      </c>
      <c r="BX9" s="11">
        <f t="shared" si="26"/>
        <v>8.3999999999999986</v>
      </c>
      <c r="BY9" s="11">
        <f t="shared" si="27"/>
        <v>43.5</v>
      </c>
      <c r="BZ9" s="11">
        <f t="shared" si="28"/>
        <v>106.9</v>
      </c>
      <c r="CA9" s="19">
        <v>16.600000000000001</v>
      </c>
      <c r="CB9" s="19">
        <v>3.95</v>
      </c>
      <c r="CC9" s="19">
        <v>0.1</v>
      </c>
      <c r="CD9" s="19">
        <v>0.15</v>
      </c>
      <c r="CE9" s="19">
        <v>16.75</v>
      </c>
      <c r="CF9" s="19">
        <v>4.0999999999999996</v>
      </c>
      <c r="CG9" s="19">
        <v>0.1</v>
      </c>
      <c r="CH9" s="19">
        <v>0.3</v>
      </c>
      <c r="CI9" s="19">
        <v>16.670000000000002</v>
      </c>
      <c r="CJ9" s="19">
        <v>4.0999999999999996</v>
      </c>
      <c r="CK9" s="19">
        <v>0</v>
      </c>
      <c r="CL9" s="19">
        <v>0.3</v>
      </c>
      <c r="CM9" s="19">
        <v>17.3</v>
      </c>
      <c r="CN9" s="19">
        <v>4.1999999999999993</v>
      </c>
      <c r="CO9" s="19">
        <v>0.1</v>
      </c>
      <c r="CP9" s="19">
        <v>0.3</v>
      </c>
      <c r="CQ9" s="19">
        <v>17.399999999999999</v>
      </c>
      <c r="CR9" s="19">
        <v>4</v>
      </c>
      <c r="CS9" s="19">
        <v>0</v>
      </c>
      <c r="CT9" s="19">
        <v>0.3</v>
      </c>
      <c r="CU9" s="28" t="s">
        <v>57</v>
      </c>
      <c r="CV9" s="41">
        <f t="shared" si="29"/>
        <v>8.0500000000000007</v>
      </c>
      <c r="CW9" s="41">
        <f t="shared" si="30"/>
        <v>41.65</v>
      </c>
      <c r="CX9" s="41">
        <f t="shared" si="31"/>
        <v>21.070000000000004</v>
      </c>
      <c r="CY9" s="41">
        <f t="shared" si="32"/>
        <v>12.15</v>
      </c>
      <c r="CZ9" s="41">
        <f t="shared" si="33"/>
        <v>62.72</v>
      </c>
      <c r="DA9" s="41">
        <f t="shared" si="34"/>
        <v>8.1999999999999993</v>
      </c>
      <c r="DB9" s="41">
        <f t="shared" si="35"/>
        <v>43.4</v>
      </c>
      <c r="DC9" s="41">
        <f t="shared" si="36"/>
        <v>106.12</v>
      </c>
      <c r="DD9" s="52">
        <f t="shared" si="37"/>
        <v>0.35000000000000853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>
        <v>15.3</v>
      </c>
      <c r="EJ9" s="18">
        <v>4.3</v>
      </c>
      <c r="EK9" s="18">
        <v>0</v>
      </c>
      <c r="EL9" s="18">
        <v>0</v>
      </c>
      <c r="EM9" s="18">
        <v>17.600000000000001</v>
      </c>
      <c r="EN9" s="18">
        <v>4.0999999999999996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 t="shared" si="48"/>
        <v>8.3999999999999986</v>
      </c>
      <c r="FD9" s="11">
        <f t="shared" si="49"/>
        <v>41.300000000000004</v>
      </c>
      <c r="FE9" s="11" t="str">
        <f t="shared" si="50"/>
        <v/>
      </c>
      <c r="FF9" s="11">
        <f t="shared" si="51"/>
        <v>8.3999999999999986</v>
      </c>
      <c r="FG9" s="11">
        <f t="shared" si="52"/>
        <v>41.300000000000004</v>
      </c>
      <c r="FH9" s="11" t="str">
        <f t="shared" si="53"/>
        <v/>
      </c>
      <c r="FI9" s="11" t="str">
        <f t="shared" si="54"/>
        <v/>
      </c>
      <c r="FJ9" s="11">
        <f t="shared" si="55"/>
        <v>41.300000000000004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>
        <v>16.5</v>
      </c>
      <c r="GN9" s="18">
        <v>4.3</v>
      </c>
      <c r="GO9" s="18">
        <v>0</v>
      </c>
      <c r="GP9" s="18">
        <v>0</v>
      </c>
      <c r="GQ9" s="18">
        <v>16.600000000000001</v>
      </c>
      <c r="GR9" s="18">
        <v>4.5999999999999996</v>
      </c>
      <c r="GS9" s="18">
        <v>0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 t="shared" si="64"/>
        <v>8.8999999999999986</v>
      </c>
      <c r="HH9" s="11">
        <f t="shared" si="65"/>
        <v>42.000000000000007</v>
      </c>
      <c r="HI9" s="11" t="str">
        <f t="shared" si="66"/>
        <v/>
      </c>
      <c r="HJ9" s="11">
        <f t="shared" si="67"/>
        <v>8.8999999999999986</v>
      </c>
      <c r="HK9" s="11">
        <f t="shared" si="68"/>
        <v>42.000000000000007</v>
      </c>
      <c r="HL9" s="11" t="str">
        <f t="shared" si="69"/>
        <v/>
      </c>
      <c r="HM9" s="11" t="str">
        <f t="shared" si="70"/>
        <v/>
      </c>
      <c r="HN9" s="11">
        <f t="shared" si="71"/>
        <v>42.000000000000007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16.600000000000001</v>
      </c>
      <c r="QF9" s="23">
        <f t="shared" si="137"/>
        <v>3.95</v>
      </c>
      <c r="QG9" s="23">
        <f t="shared" si="138"/>
        <v>0.1</v>
      </c>
      <c r="QH9" s="23">
        <f t="shared" si="139"/>
        <v>0.15</v>
      </c>
      <c r="QI9" s="23">
        <f t="shared" si="140"/>
        <v>16.75</v>
      </c>
      <c r="QJ9" s="23">
        <f t="shared" si="141"/>
        <v>4.0999999999999996</v>
      </c>
      <c r="QK9" s="23">
        <f t="shared" si="142"/>
        <v>0.1</v>
      </c>
      <c r="QL9" s="23">
        <f t="shared" si="143"/>
        <v>0.3</v>
      </c>
      <c r="QM9" s="23">
        <f t="shared" si="144"/>
        <v>16.670000000000002</v>
      </c>
      <c r="QN9" s="23">
        <f t="shared" si="145"/>
        <v>4.0999999999999996</v>
      </c>
      <c r="QO9" s="23">
        <f t="shared" si="146"/>
        <v>0</v>
      </c>
      <c r="QP9" s="23">
        <f t="shared" si="147"/>
        <v>0.3</v>
      </c>
      <c r="QQ9" s="23">
        <f t="shared" si="148"/>
        <v>17.3</v>
      </c>
      <c r="QR9" s="23">
        <f t="shared" si="149"/>
        <v>4.1999999999999993</v>
      </c>
      <c r="QS9" s="23">
        <f t="shared" si="150"/>
        <v>0.1</v>
      </c>
      <c r="QT9" s="23">
        <f t="shared" si="151"/>
        <v>0.3</v>
      </c>
      <c r="QU9" s="23">
        <f t="shared" si="152"/>
        <v>17.399999999999999</v>
      </c>
      <c r="QV9" s="23">
        <f t="shared" si="153"/>
        <v>4</v>
      </c>
      <c r="QW9" s="23">
        <f t="shared" si="154"/>
        <v>0</v>
      </c>
      <c r="QX9" s="23">
        <f t="shared" si="155"/>
        <v>0.3</v>
      </c>
      <c r="QY9" s="28" t="s">
        <v>57</v>
      </c>
      <c r="QZ9" s="41">
        <f t="shared" si="156"/>
        <v>8.0500000000000007</v>
      </c>
      <c r="RA9" s="41">
        <f t="shared" si="157"/>
        <v>41.65</v>
      </c>
      <c r="RB9" s="41">
        <f t="shared" si="158"/>
        <v>21.070000000000004</v>
      </c>
      <c r="RC9" s="41">
        <f t="shared" si="159"/>
        <v>12.15</v>
      </c>
      <c r="RD9" s="41">
        <f t="shared" si="160"/>
        <v>62.72</v>
      </c>
      <c r="RE9" s="41">
        <f t="shared" si="161"/>
        <v>8.1999999999999993</v>
      </c>
      <c r="RF9" s="41">
        <f t="shared" si="162"/>
        <v>43.4</v>
      </c>
      <c r="RG9" s="41">
        <f t="shared" si="163"/>
        <v>106.12</v>
      </c>
    </row>
    <row r="10" spans="1:475" x14ac:dyDescent="0.2">
      <c r="A10" s="4" t="str" cm="1">
        <f t="array" ref="A10">IF(AND(H10&lt;&gt;"",H10&lt;&gt;"No DD"),SUMPRODUCT((H$4:H$13&lt;&gt;"")*(H$4:H$13&lt;&gt;"No DD")*(E$4:E$13&gt;E10))+1,IF(H10="No DD",SUMPRODUCT((H$4:H$13="No DD")*(E$4:E$13&gt;E10))+1+SUMPRODUCT((H$4:H$13&lt;&gt;"")*(H$4:H$13&lt;&gt;"No DD")),""))</f>
        <v/>
      </c>
      <c r="B10" s="5" t="s">
        <v>148</v>
      </c>
      <c r="C10" s="4" t="s">
        <v>5</v>
      </c>
      <c r="D10" s="4">
        <v>2001</v>
      </c>
      <c r="E10" s="9">
        <f t="shared" si="0"/>
        <v>145.00001026000422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IF(COUNT(AQ10,BT10,CW10)&gt;0,LARGE((AQ10,BT10,CW10),1),0)</f>
        <v>42.2</v>
      </c>
      <c r="K10" s="8" t="str">
        <f t="shared" si="5"/>
        <v>2023 Domestic 3rd Trial</v>
      </c>
      <c r="L10" s="8">
        <f>IF(COUNT(AQ10,BT10,CW10)&gt;1,LARGE((AQ10,BT10,CW10),2),0)</f>
        <v>39.400000000000006</v>
      </c>
      <c r="M10" s="8" t="str">
        <f t="shared" si="6"/>
        <v>2023 Nationals</v>
      </c>
      <c r="N10" s="8">
        <f>IF(COUNT(AR10,BU10,CX10)&gt;0,LARGE((AR10,BU10,CX10),1),0)</f>
        <v>21</v>
      </c>
      <c r="O10" s="8" t="str">
        <f t="shared" si="7"/>
        <v>2023 Nationals</v>
      </c>
      <c r="P10" s="8">
        <f t="shared" si="8"/>
        <v>42.400000000000006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15.5</v>
      </c>
      <c r="V10" s="19">
        <v>1.9</v>
      </c>
      <c r="W10" s="19">
        <v>0</v>
      </c>
      <c r="X10" s="19">
        <v>0.3</v>
      </c>
      <c r="Y10" s="19">
        <v>15.8</v>
      </c>
      <c r="Z10" s="19">
        <v>3.5</v>
      </c>
      <c r="AA10" s="19">
        <v>0</v>
      </c>
      <c r="AB10" s="19">
        <v>0.6</v>
      </c>
      <c r="AC10" s="19">
        <v>16.2</v>
      </c>
      <c r="AD10" s="19">
        <v>3.5</v>
      </c>
      <c r="AE10" s="19">
        <v>0</v>
      </c>
      <c r="AF10" s="19">
        <v>0.6</v>
      </c>
      <c r="AG10" s="19">
        <v>16.5</v>
      </c>
      <c r="AH10" s="19">
        <v>3.5</v>
      </c>
      <c r="AI10" s="19">
        <v>0</v>
      </c>
      <c r="AJ10" s="19">
        <v>0.6</v>
      </c>
      <c r="AK10" s="19">
        <v>16.399999999999999</v>
      </c>
      <c r="AL10" s="19">
        <v>3.9</v>
      </c>
      <c r="AM10" s="19">
        <v>0</v>
      </c>
      <c r="AN10" s="19">
        <v>0.3</v>
      </c>
      <c r="AO10" s="28"/>
      <c r="AP10" s="41">
        <f t="shared" si="13"/>
        <v>5.4</v>
      </c>
      <c r="AQ10" s="41">
        <f t="shared" si="14"/>
        <v>37.6</v>
      </c>
      <c r="AR10" s="41">
        <f t="shared" si="15"/>
        <v>20.3</v>
      </c>
      <c r="AS10" s="41">
        <f t="shared" si="16"/>
        <v>8.9</v>
      </c>
      <c r="AT10" s="41">
        <f t="shared" si="17"/>
        <v>57.900000000000006</v>
      </c>
      <c r="AU10" s="41">
        <f t="shared" si="18"/>
        <v>7.4</v>
      </c>
      <c r="AV10" s="41">
        <f t="shared" si="19"/>
        <v>41.199999999999996</v>
      </c>
      <c r="AW10" s="41">
        <f t="shared" si="20"/>
        <v>99.1</v>
      </c>
      <c r="AX10" s="18">
        <v>15.9</v>
      </c>
      <c r="AY10" s="18">
        <v>4.5999999999999996</v>
      </c>
      <c r="AZ10" s="18">
        <v>0</v>
      </c>
      <c r="BA10" s="18">
        <v>0.6</v>
      </c>
      <c r="BB10" s="18">
        <v>15.1</v>
      </c>
      <c r="BC10" s="18">
        <v>2.6</v>
      </c>
      <c r="BD10" s="18">
        <v>0</v>
      </c>
      <c r="BE10" s="18">
        <v>0.6</v>
      </c>
      <c r="BF10" s="18">
        <v>15.8</v>
      </c>
      <c r="BG10" s="18">
        <v>4.5999999999999996</v>
      </c>
      <c r="BH10" s="18">
        <v>0</v>
      </c>
      <c r="BI10" s="18">
        <v>0.6</v>
      </c>
      <c r="BJ10" s="18">
        <v>16.600000000000001</v>
      </c>
      <c r="BK10" s="18">
        <v>4.0999999999999996</v>
      </c>
      <c r="BL10" s="18">
        <v>0</v>
      </c>
      <c r="BM10" s="18">
        <v>0.3</v>
      </c>
      <c r="BN10" s="18">
        <v>16.2</v>
      </c>
      <c r="BO10" s="18">
        <v>4.5999999999999996</v>
      </c>
      <c r="BP10" s="18">
        <v>0</v>
      </c>
      <c r="BQ10" s="18">
        <v>0.6</v>
      </c>
      <c r="BR10" s="29"/>
      <c r="BS10" s="11">
        <f t="shared" si="21"/>
        <v>7.1999999999999993</v>
      </c>
      <c r="BT10" s="11">
        <f t="shared" si="22"/>
        <v>39.400000000000006</v>
      </c>
      <c r="BU10" s="11">
        <f t="shared" si="23"/>
        <v>21</v>
      </c>
      <c r="BV10" s="11">
        <f t="shared" si="24"/>
        <v>11.799999999999999</v>
      </c>
      <c r="BW10" s="11">
        <f t="shared" si="25"/>
        <v>60.400000000000006</v>
      </c>
      <c r="BX10" s="11">
        <f t="shared" si="26"/>
        <v>8.6999999999999993</v>
      </c>
      <c r="BY10" s="11">
        <f t="shared" si="27"/>
        <v>42.400000000000006</v>
      </c>
      <c r="BZ10" s="11">
        <f t="shared" si="28"/>
        <v>102.80000000000001</v>
      </c>
      <c r="CA10" s="19">
        <v>15.9</v>
      </c>
      <c r="CB10" s="19">
        <v>4.5999999999999996</v>
      </c>
      <c r="CC10" s="19">
        <v>0</v>
      </c>
      <c r="CD10" s="19">
        <v>0.6</v>
      </c>
      <c r="CE10" s="19">
        <v>17.5</v>
      </c>
      <c r="CF10" s="19">
        <v>3.6</v>
      </c>
      <c r="CG10" s="19">
        <v>0</v>
      </c>
      <c r="CH10" s="19">
        <v>0</v>
      </c>
      <c r="CI10" s="19">
        <v>15.6</v>
      </c>
      <c r="CJ10" s="19">
        <v>2.6</v>
      </c>
      <c r="CK10" s="19">
        <v>0</v>
      </c>
      <c r="CL10" s="19">
        <v>0.6</v>
      </c>
      <c r="CM10" s="19">
        <v>15.6</v>
      </c>
      <c r="CN10" s="19">
        <v>1.9</v>
      </c>
      <c r="CO10" s="19">
        <v>0</v>
      </c>
      <c r="CP10" s="19">
        <v>0.3</v>
      </c>
      <c r="CQ10" s="19">
        <v>16.7</v>
      </c>
      <c r="CR10" s="19">
        <v>4.5999999999999996</v>
      </c>
      <c r="CS10" s="19">
        <v>0</v>
      </c>
      <c r="CT10" s="19">
        <v>0.6</v>
      </c>
      <c r="CU10" s="28"/>
      <c r="CV10" s="41">
        <f t="shared" si="29"/>
        <v>8.1999999999999993</v>
      </c>
      <c r="CW10" s="41">
        <f t="shared" si="30"/>
        <v>42.2</v>
      </c>
      <c r="CX10" s="41">
        <f t="shared" si="31"/>
        <v>18.8</v>
      </c>
      <c r="CY10" s="41">
        <f t="shared" si="32"/>
        <v>10.799999999999999</v>
      </c>
      <c r="CZ10" s="41">
        <f t="shared" si="33"/>
        <v>61</v>
      </c>
      <c r="DA10" s="41">
        <f t="shared" si="34"/>
        <v>6.5</v>
      </c>
      <c r="DB10" s="41">
        <f t="shared" si="35"/>
        <v>39.700000000000003</v>
      </c>
      <c r="DC10" s="41">
        <f t="shared" si="36"/>
        <v>100.7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15.9</v>
      </c>
      <c r="QF10" s="23">
        <f t="shared" si="137"/>
        <v>4.5999999999999996</v>
      </c>
      <c r="QG10" s="23">
        <f t="shared" si="138"/>
        <v>0</v>
      </c>
      <c r="QH10" s="23">
        <f t="shared" si="139"/>
        <v>0.6</v>
      </c>
      <c r="QI10" s="23">
        <f t="shared" si="140"/>
        <v>16.3</v>
      </c>
      <c r="QJ10" s="23">
        <f t="shared" si="141"/>
        <v>3.1</v>
      </c>
      <c r="QK10" s="23">
        <f t="shared" si="142"/>
        <v>0</v>
      </c>
      <c r="QL10" s="23">
        <f t="shared" si="143"/>
        <v>0.3</v>
      </c>
      <c r="QM10" s="23">
        <f t="shared" si="144"/>
        <v>15.7</v>
      </c>
      <c r="QN10" s="23">
        <f t="shared" si="145"/>
        <v>3.5999999999999996</v>
      </c>
      <c r="QO10" s="23">
        <f t="shared" si="146"/>
        <v>0</v>
      </c>
      <c r="QP10" s="23">
        <f t="shared" si="147"/>
        <v>0.6</v>
      </c>
      <c r="QQ10" s="23">
        <f t="shared" si="148"/>
        <v>16.100000000000001</v>
      </c>
      <c r="QR10" s="23">
        <f t="shared" si="149"/>
        <v>3</v>
      </c>
      <c r="QS10" s="23">
        <f t="shared" si="150"/>
        <v>0</v>
      </c>
      <c r="QT10" s="23">
        <f t="shared" si="151"/>
        <v>0.3</v>
      </c>
      <c r="QU10" s="23">
        <f t="shared" si="152"/>
        <v>16.45</v>
      </c>
      <c r="QV10" s="23">
        <f t="shared" si="153"/>
        <v>4.5999999999999996</v>
      </c>
      <c r="QW10" s="23">
        <f t="shared" si="154"/>
        <v>0</v>
      </c>
      <c r="QX10" s="23">
        <f t="shared" si="155"/>
        <v>0.6</v>
      </c>
      <c r="QY10" s="28" t="s">
        <v>57</v>
      </c>
      <c r="QZ10" s="41">
        <f t="shared" si="156"/>
        <v>7.6999999999999993</v>
      </c>
      <c r="RA10" s="41">
        <f t="shared" si="157"/>
        <v>40.800000000000004</v>
      </c>
      <c r="RB10" s="41">
        <f t="shared" si="158"/>
        <v>19.899999999999999</v>
      </c>
      <c r="RC10" s="41">
        <f t="shared" si="159"/>
        <v>11.299999999999999</v>
      </c>
      <c r="RD10" s="41">
        <f t="shared" si="160"/>
        <v>60.7</v>
      </c>
      <c r="RE10" s="41">
        <f t="shared" si="161"/>
        <v>7.6</v>
      </c>
      <c r="RF10" s="41">
        <f t="shared" si="162"/>
        <v>41.050000000000004</v>
      </c>
      <c r="RG10" s="41">
        <f t="shared" si="163"/>
        <v>101.75</v>
      </c>
    </row>
    <row r="11" spans="1:475" x14ac:dyDescent="0.2">
      <c r="A11" s="4" t="str" cm="1">
        <f t="array" ref="A11">IF(AND(H11&lt;&gt;"",H11&lt;&gt;"No DD"),SUMPRODUCT((H$4:H$13&lt;&gt;"")*(H$4:H$13&lt;&gt;"No DD")*(E$4:E$13&gt;E11))+1,IF(H11="No DD",SUMPRODUCT((H$4:H$13="No DD")*(E$4:E$13&gt;E11))+1+SUMPRODUCT((H$4:H$13&lt;&gt;"")*(H$4:H$13&lt;&gt;"No DD")),""))</f>
        <v/>
      </c>
      <c r="B11" s="5" t="s">
        <v>75</v>
      </c>
      <c r="C11" s="4" t="s">
        <v>6</v>
      </c>
      <c r="D11" s="4">
        <v>2001</v>
      </c>
      <c r="E11" s="9">
        <f t="shared" si="0"/>
        <v>139.8000099600041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IF(COUNT(AQ11,BT11,CW11)&gt;0,LARGE((AQ11,BT11,CW11),1),0)</f>
        <v>41.1</v>
      </c>
      <c r="K11" s="8" t="str">
        <f t="shared" si="5"/>
        <v>2023 Domestic 3rd Trial</v>
      </c>
      <c r="L11" s="8">
        <f>IF(COUNT(AQ11,BT11,CW11)&gt;1,LARGE((AQ11,BT11,CW11),2),0)</f>
        <v>39.199999999999996</v>
      </c>
      <c r="M11" s="8" t="str">
        <f t="shared" si="6"/>
        <v>2023 Elite Canada</v>
      </c>
      <c r="N11" s="8">
        <f>IF(COUNT(AR11,BU11,CX11)&gt;0,LARGE((AR11,BU11,CX11),1),0)</f>
        <v>19.3</v>
      </c>
      <c r="O11" s="8" t="str">
        <f t="shared" si="7"/>
        <v>2023 Elite Canada</v>
      </c>
      <c r="P11" s="8">
        <f t="shared" si="8"/>
        <v>40.199999999999989</v>
      </c>
      <c r="Q11" s="8" t="str">
        <f t="shared" si="9"/>
        <v>2023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 t="shared" si="13"/>
        <v>4</v>
      </c>
      <c r="AQ11" s="41">
        <f t="shared" si="14"/>
        <v>39.199999999999996</v>
      </c>
      <c r="AR11" s="41">
        <f t="shared" si="15"/>
        <v>19.3</v>
      </c>
      <c r="AS11" s="41">
        <f t="shared" si="16"/>
        <v>7.2</v>
      </c>
      <c r="AT11" s="41">
        <f t="shared" si="17"/>
        <v>58.5</v>
      </c>
      <c r="AU11" s="41">
        <f t="shared" si="18"/>
        <v>6</v>
      </c>
      <c r="AV11" s="41">
        <f t="shared" si="19"/>
        <v>40.199999999999989</v>
      </c>
      <c r="AW11" s="41">
        <f t="shared" si="20"/>
        <v>98.699999999999989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14.7</v>
      </c>
      <c r="CJ11" s="19">
        <v>4.0999999999999996</v>
      </c>
      <c r="CK11" s="19">
        <v>1</v>
      </c>
      <c r="CL11" s="19">
        <v>0.3</v>
      </c>
      <c r="CM11" s="19">
        <v>16.600000000000001</v>
      </c>
      <c r="CN11" s="19">
        <v>3.9</v>
      </c>
      <c r="CO11" s="19">
        <v>0</v>
      </c>
      <c r="CP11" s="19">
        <v>0.3</v>
      </c>
      <c r="CQ11" s="19">
        <v>15.9</v>
      </c>
      <c r="CR11" s="19">
        <v>2.4</v>
      </c>
      <c r="CS11" s="19">
        <v>1</v>
      </c>
      <c r="CT11" s="19">
        <v>0.3</v>
      </c>
      <c r="CU11" s="28"/>
      <c r="CV11" s="41">
        <f t="shared" si="29"/>
        <v>8</v>
      </c>
      <c r="CW11" s="41">
        <f t="shared" si="30"/>
        <v>41.1</v>
      </c>
      <c r="CX11" s="41">
        <f t="shared" si="31"/>
        <v>18.099999999999998</v>
      </c>
      <c r="CY11" s="41">
        <f t="shared" si="32"/>
        <v>12.1</v>
      </c>
      <c r="CZ11" s="41">
        <f t="shared" si="33"/>
        <v>59.2</v>
      </c>
      <c r="DA11" s="41">
        <f t="shared" si="34"/>
        <v>6.3</v>
      </c>
      <c r="DB11" s="41">
        <f t="shared" si="35"/>
        <v>38.4</v>
      </c>
      <c r="DC11" s="41">
        <f t="shared" si="36"/>
        <v>97.6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8.1999999999999993</v>
      </c>
      <c r="QF11" s="23">
        <f t="shared" si="137"/>
        <v>2.0499999999999998</v>
      </c>
      <c r="QG11" s="23">
        <f t="shared" si="138"/>
        <v>0</v>
      </c>
      <c r="QH11" s="23">
        <f t="shared" si="139"/>
        <v>0.15</v>
      </c>
      <c r="QI11" s="23">
        <f t="shared" si="140"/>
        <v>8.0500000000000007</v>
      </c>
      <c r="QJ11" s="23">
        <f t="shared" si="141"/>
        <v>1.95</v>
      </c>
      <c r="QK11" s="23">
        <f t="shared" si="142"/>
        <v>0</v>
      </c>
      <c r="QL11" s="23">
        <f t="shared" si="143"/>
        <v>0.15</v>
      </c>
      <c r="QM11" s="23">
        <f t="shared" si="144"/>
        <v>7.35</v>
      </c>
      <c r="QN11" s="23">
        <f t="shared" si="145"/>
        <v>2.0499999999999998</v>
      </c>
      <c r="QO11" s="23">
        <f t="shared" si="146"/>
        <v>0.5</v>
      </c>
      <c r="QP11" s="23">
        <f t="shared" si="147"/>
        <v>0.15</v>
      </c>
      <c r="QQ11" s="23">
        <f t="shared" si="148"/>
        <v>8.3000000000000007</v>
      </c>
      <c r="QR11" s="23">
        <f t="shared" si="149"/>
        <v>1.95</v>
      </c>
      <c r="QS11" s="23">
        <f t="shared" si="150"/>
        <v>0</v>
      </c>
      <c r="QT11" s="23">
        <f t="shared" si="151"/>
        <v>0.15</v>
      </c>
      <c r="QU11" s="23">
        <f t="shared" si="152"/>
        <v>7.95</v>
      </c>
      <c r="QV11" s="23">
        <f t="shared" si="153"/>
        <v>1.2</v>
      </c>
      <c r="QW11" s="23">
        <f t="shared" si="154"/>
        <v>0.5</v>
      </c>
      <c r="QX11" s="23">
        <f t="shared" si="155"/>
        <v>0.15</v>
      </c>
      <c r="QY11" s="28" t="s">
        <v>57</v>
      </c>
      <c r="QZ11" s="41">
        <f t="shared" si="156"/>
        <v>4</v>
      </c>
      <c r="RA11" s="41">
        <f t="shared" si="157"/>
        <v>20.55</v>
      </c>
      <c r="RB11" s="41">
        <f t="shared" si="158"/>
        <v>9.0499999999999989</v>
      </c>
      <c r="RC11" s="41">
        <f t="shared" si="159"/>
        <v>6.05</v>
      </c>
      <c r="RD11" s="41">
        <f t="shared" si="160"/>
        <v>29.6</v>
      </c>
      <c r="RE11" s="41">
        <f t="shared" si="161"/>
        <v>3.15</v>
      </c>
      <c r="RF11" s="41">
        <f t="shared" si="162"/>
        <v>19.2</v>
      </c>
      <c r="RG11" s="41">
        <f t="shared" si="163"/>
        <v>48.8</v>
      </c>
    </row>
    <row r="12" spans="1:475" x14ac:dyDescent="0.2">
      <c r="A12" s="4" t="str" cm="1">
        <f t="array" ref="A12">IF(AND(H12&lt;&gt;"",H12&lt;&gt;"No DD"),SUMPRODUCT((H$4:H$13&lt;&gt;"")*(H$4:H$13&lt;&gt;"No DD")*(E$4:E$13&gt;E12))+1,IF(H12="No DD",SUMPRODUCT((H$4:H$13="No DD")*(E$4:E$13&gt;E12))+1+SUMPRODUCT((H$4:H$13&lt;&gt;"")*(H$4:H$13&lt;&gt;"No DD")),""))</f>
        <v/>
      </c>
      <c r="B12" s="5" t="s">
        <v>179</v>
      </c>
      <c r="C12" s="4" t="s">
        <v>5</v>
      </c>
      <c r="D12" s="4">
        <v>1999</v>
      </c>
      <c r="E12" s="9">
        <f t="shared" si="0"/>
        <v>83.300005240003514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IF(COUNT(AQ12,BT12,CW12)&gt;0,LARGE((AQ12,BT12,CW12),1),0)</f>
        <v>35.199999999999996</v>
      </c>
      <c r="K12" s="8" t="str">
        <f t="shared" si="5"/>
        <v>2023 Elite Canada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17.200000000000003</v>
      </c>
      <c r="O12" s="8" t="str">
        <f t="shared" si="7"/>
        <v>2023 Elite Canada</v>
      </c>
      <c r="P12" s="8">
        <f t="shared" si="8"/>
        <v>30.9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 t="shared" si="13"/>
        <v>4.4000000000000004</v>
      </c>
      <c r="AQ12" s="41">
        <f t="shared" si="14"/>
        <v>35.199999999999996</v>
      </c>
      <c r="AR12" s="41">
        <f t="shared" si="15"/>
        <v>17.200000000000003</v>
      </c>
      <c r="AS12" s="41">
        <f t="shared" si="16"/>
        <v>7.7</v>
      </c>
      <c r="AT12" s="41">
        <f t="shared" si="17"/>
        <v>52.4</v>
      </c>
      <c r="AU12" s="41">
        <f t="shared" si="18"/>
        <v>4</v>
      </c>
      <c r="AV12" s="41">
        <f t="shared" si="19"/>
        <v>30.9</v>
      </c>
      <c r="AW12" s="41">
        <f t="shared" si="20"/>
        <v>83.3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9"/>
        <v/>
      </c>
      <c r="CW12" s="41" t="str">
        <f t="shared" si="30"/>
        <v/>
      </c>
      <c r="CX12" s="41" t="str">
        <f t="shared" si="31"/>
        <v/>
      </c>
      <c r="CY12" s="41" t="str">
        <f t="shared" si="32"/>
        <v/>
      </c>
      <c r="CZ12" s="41" t="str">
        <f t="shared" si="33"/>
        <v/>
      </c>
      <c r="DA12" s="41" t="str">
        <f t="shared" si="34"/>
        <v/>
      </c>
      <c r="DB12" s="41" t="str">
        <f t="shared" si="35"/>
        <v/>
      </c>
      <c r="DC12" s="41" t="str">
        <f t="shared" si="36"/>
        <v/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0</v>
      </c>
      <c r="QF12" s="23">
        <f t="shared" si="137"/>
        <v>0</v>
      </c>
      <c r="QG12" s="23">
        <f t="shared" si="138"/>
        <v>0</v>
      </c>
      <c r="QH12" s="23">
        <f t="shared" si="139"/>
        <v>0</v>
      </c>
      <c r="QI12" s="23">
        <f t="shared" si="140"/>
        <v>0</v>
      </c>
      <c r="QJ12" s="23">
        <f t="shared" si="141"/>
        <v>0</v>
      </c>
      <c r="QK12" s="23">
        <f t="shared" si="142"/>
        <v>0</v>
      </c>
      <c r="QL12" s="23">
        <f t="shared" si="143"/>
        <v>0</v>
      </c>
      <c r="QM12" s="23">
        <f t="shared" si="144"/>
        <v>0</v>
      </c>
      <c r="QN12" s="23">
        <f t="shared" si="145"/>
        <v>0</v>
      </c>
      <c r="QO12" s="23">
        <f t="shared" si="146"/>
        <v>0</v>
      </c>
      <c r="QP12" s="23">
        <f t="shared" si="147"/>
        <v>0</v>
      </c>
      <c r="QQ12" s="23">
        <f t="shared" si="148"/>
        <v>0</v>
      </c>
      <c r="QR12" s="23">
        <f t="shared" si="149"/>
        <v>0</v>
      </c>
      <c r="QS12" s="23">
        <f t="shared" si="150"/>
        <v>0</v>
      </c>
      <c r="QT12" s="23">
        <f t="shared" si="151"/>
        <v>0</v>
      </c>
      <c r="QU12" s="23">
        <f t="shared" si="152"/>
        <v>0</v>
      </c>
      <c r="QV12" s="23">
        <f t="shared" si="153"/>
        <v>0</v>
      </c>
      <c r="QW12" s="23">
        <f t="shared" si="154"/>
        <v>0</v>
      </c>
      <c r="QX12" s="23">
        <f t="shared" si="155"/>
        <v>0</v>
      </c>
      <c r="QY12" s="28" t="s">
        <v>57</v>
      </c>
      <c r="QZ12" s="41" t="str">
        <f t="shared" si="156"/>
        <v/>
      </c>
      <c r="RA12" s="41" t="str">
        <f t="shared" si="157"/>
        <v/>
      </c>
      <c r="RB12" s="41" t="str">
        <f t="shared" si="158"/>
        <v/>
      </c>
      <c r="RC12" s="41" t="str">
        <f t="shared" si="159"/>
        <v/>
      </c>
      <c r="RD12" s="41" t="str">
        <f t="shared" si="160"/>
        <v/>
      </c>
      <c r="RE12" s="41" t="str">
        <f t="shared" si="161"/>
        <v/>
      </c>
      <c r="RF12" s="41" t="str">
        <f t="shared" si="162"/>
        <v/>
      </c>
      <c r="RG12" s="41" t="str">
        <f t="shared" si="163"/>
        <v/>
      </c>
    </row>
    <row r="13" spans="1:475" ht="17" x14ac:dyDescent="0.2">
      <c r="R13" s="10"/>
      <c r="S13" s="10"/>
      <c r="T13" s="10"/>
    </row>
    <row r="14" spans="1:475" ht="17" x14ac:dyDescent="0.2">
      <c r="R14" s="10"/>
      <c r="S14" s="10"/>
      <c r="T14" s="10"/>
    </row>
    <row r="15" spans="1:475" ht="17" x14ac:dyDescent="0.2">
      <c r="B15" s="24" t="s">
        <v>54</v>
      </c>
      <c r="R15" s="10"/>
      <c r="S15" s="10"/>
      <c r="T15" s="10"/>
      <c r="AP15" s="4"/>
      <c r="AW15" s="43">
        <v>8.6</v>
      </c>
      <c r="BS15" s="4"/>
      <c r="BZ15" s="43">
        <v>8.6</v>
      </c>
      <c r="CV15" s="4"/>
      <c r="DC15" s="43">
        <v>8.6</v>
      </c>
      <c r="EA15" s="4"/>
      <c r="EH15" s="43">
        <v>8.6</v>
      </c>
      <c r="FC15" s="4"/>
      <c r="FJ15" s="43">
        <v>8.6</v>
      </c>
      <c r="GE15" s="4"/>
      <c r="GL15" s="43">
        <v>8.6</v>
      </c>
      <c r="HG15" s="4"/>
      <c r="HN15" s="43">
        <v>8.6</v>
      </c>
      <c r="II15" s="4"/>
      <c r="IP15" s="43">
        <v>8.6</v>
      </c>
      <c r="JK15" s="4"/>
      <c r="JR15" s="43">
        <v>8.6</v>
      </c>
      <c r="KM15" s="4"/>
      <c r="KT15" s="43">
        <v>8.6</v>
      </c>
      <c r="LO15" s="4"/>
      <c r="LV15" s="43">
        <v>8.6</v>
      </c>
      <c r="MQ15" s="4"/>
      <c r="MX15" s="43">
        <v>8.6</v>
      </c>
      <c r="NS15" s="4"/>
      <c r="NZ15" s="43">
        <v>8.6</v>
      </c>
      <c r="OU15" s="4"/>
      <c r="PB15" s="43">
        <v>8.6</v>
      </c>
      <c r="PW15" s="4"/>
      <c r="QD15" s="43">
        <v>8.6</v>
      </c>
    </row>
    <row r="16" spans="1:475" ht="17" x14ac:dyDescent="0.2">
      <c r="B16" s="31" t="s">
        <v>53</v>
      </c>
      <c r="R16" s="10"/>
      <c r="S16" s="10"/>
      <c r="T16" s="10"/>
      <c r="AP16" s="4"/>
      <c r="AW16" s="53">
        <v>12.9</v>
      </c>
      <c r="BS16" s="4"/>
      <c r="BZ16" s="53">
        <v>12.9</v>
      </c>
      <c r="CV16" s="4"/>
      <c r="DC16" s="53">
        <v>12.9</v>
      </c>
      <c r="EA16" s="4"/>
      <c r="EH16" s="53">
        <v>12.9</v>
      </c>
      <c r="FC16" s="4"/>
      <c r="FJ16" s="53">
        <v>12.9</v>
      </c>
      <c r="GE16" s="4"/>
      <c r="GL16" s="53">
        <v>12.9</v>
      </c>
      <c r="HG16" s="4"/>
      <c r="HN16" s="53">
        <v>12.9</v>
      </c>
      <c r="II16" s="4"/>
      <c r="IP16" s="53">
        <v>12.9</v>
      </c>
      <c r="JK16" s="4"/>
      <c r="JR16" s="53">
        <v>12.9</v>
      </c>
      <c r="KM16" s="4"/>
      <c r="KT16" s="53">
        <v>12.9</v>
      </c>
      <c r="LO16" s="4"/>
      <c r="LV16" s="53">
        <v>12.9</v>
      </c>
      <c r="MQ16" s="4"/>
      <c r="MX16" s="53">
        <v>12.9</v>
      </c>
      <c r="NS16" s="4"/>
      <c r="NZ16" s="53">
        <v>12.9</v>
      </c>
      <c r="OU16" s="4"/>
      <c r="PB16" s="53">
        <v>12.9</v>
      </c>
      <c r="PW16" s="4"/>
      <c r="QD16" s="53">
        <v>12.9</v>
      </c>
    </row>
    <row r="17" spans="1:456" ht="17" x14ac:dyDescent="0.2">
      <c r="A17" s="5"/>
      <c r="B17" s="32" t="s">
        <v>67</v>
      </c>
      <c r="C17" s="20"/>
      <c r="R17" s="10"/>
      <c r="S17" s="10"/>
      <c r="T17" s="10"/>
      <c r="AP17" s="4"/>
      <c r="AW17" s="45">
        <v>15.1</v>
      </c>
      <c r="BS17" s="4"/>
      <c r="BZ17" s="45">
        <v>15.1</v>
      </c>
      <c r="CV17" s="4"/>
      <c r="DC17" s="45">
        <v>15.1</v>
      </c>
      <c r="EA17" s="4"/>
      <c r="EH17" s="45">
        <v>15.1</v>
      </c>
      <c r="FC17" s="4"/>
      <c r="FJ17" s="45">
        <v>15.1</v>
      </c>
      <c r="GE17" s="4"/>
      <c r="GL17" s="45">
        <v>15.1</v>
      </c>
      <c r="HG17" s="4"/>
      <c r="HN17" s="45">
        <v>15.1</v>
      </c>
      <c r="II17" s="4"/>
      <c r="IP17" s="45">
        <v>15.1</v>
      </c>
      <c r="JK17" s="4"/>
      <c r="JR17" s="45">
        <v>15.1</v>
      </c>
      <c r="KM17" s="4"/>
      <c r="KT17" s="45">
        <v>15.1</v>
      </c>
      <c r="LO17" s="4"/>
      <c r="LV17" s="45">
        <v>15.1</v>
      </c>
      <c r="MQ17" s="4"/>
      <c r="MX17" s="45">
        <v>15.1</v>
      </c>
      <c r="NS17" s="4"/>
      <c r="NZ17" s="45">
        <v>15.1</v>
      </c>
      <c r="OU17" s="4"/>
      <c r="PB17" s="45">
        <v>15.1</v>
      </c>
      <c r="PW17" s="4"/>
      <c r="QD17" s="45">
        <v>15.1</v>
      </c>
    </row>
    <row r="18" spans="1:456" ht="17" x14ac:dyDescent="0.2">
      <c r="A18" s="5"/>
      <c r="B18" s="36" t="s">
        <v>80</v>
      </c>
      <c r="C18" s="20"/>
      <c r="R18" s="10"/>
      <c r="S18" s="10"/>
      <c r="T18" s="10"/>
      <c r="AP18" s="4"/>
      <c r="AW18" s="46">
        <v>15.1</v>
      </c>
      <c r="BS18" s="4"/>
      <c r="BZ18" s="46">
        <v>15.1</v>
      </c>
      <c r="CV18" s="4"/>
      <c r="DC18" s="46">
        <v>15.1</v>
      </c>
      <c r="EA18" s="4"/>
      <c r="EH18" s="46">
        <v>15.1</v>
      </c>
      <c r="FC18" s="4"/>
      <c r="FJ18" s="46">
        <v>15.1</v>
      </c>
      <c r="GE18" s="4"/>
      <c r="GL18" s="46">
        <v>15.1</v>
      </c>
      <c r="HG18" s="4"/>
      <c r="HN18" s="46">
        <v>15.1</v>
      </c>
      <c r="II18" s="4"/>
      <c r="IP18" s="46">
        <v>15.1</v>
      </c>
      <c r="JK18" s="4"/>
      <c r="JR18" s="46">
        <v>15.1</v>
      </c>
      <c r="KM18" s="4"/>
      <c r="KT18" s="46">
        <v>15.1</v>
      </c>
      <c r="LO18" s="4"/>
      <c r="LV18" s="46">
        <v>15.1</v>
      </c>
      <c r="MQ18" s="4"/>
      <c r="MX18" s="46">
        <v>15.1</v>
      </c>
      <c r="NS18" s="4"/>
      <c r="NZ18" s="46">
        <v>15.1</v>
      </c>
      <c r="OU18" s="4"/>
      <c r="PB18" s="46">
        <v>15.1</v>
      </c>
      <c r="PW18" s="4"/>
      <c r="QD18" s="46">
        <v>15.1</v>
      </c>
    </row>
    <row r="19" spans="1:456" ht="17" x14ac:dyDescent="0.2">
      <c r="A19" s="5"/>
      <c r="B19" s="35" t="s">
        <v>51</v>
      </c>
      <c r="C19" s="20"/>
      <c r="R19" s="10"/>
      <c r="S19" s="10"/>
      <c r="T19" s="10"/>
      <c r="AP19" s="4"/>
      <c r="AW19" s="47">
        <v>43</v>
      </c>
      <c r="BS19" s="4"/>
      <c r="BZ19" s="47">
        <v>43</v>
      </c>
      <c r="CV19" s="4"/>
      <c r="DC19" s="47">
        <v>43</v>
      </c>
      <c r="EA19" s="4"/>
      <c r="EH19" s="47">
        <v>43</v>
      </c>
      <c r="FC19" s="4"/>
      <c r="FJ19" s="47">
        <v>43</v>
      </c>
      <c r="GE19" s="4"/>
      <c r="GL19" s="47">
        <v>43</v>
      </c>
      <c r="HG19" s="4"/>
      <c r="HN19" s="47">
        <v>43</v>
      </c>
      <c r="II19" s="4"/>
      <c r="IP19" s="47">
        <v>43</v>
      </c>
      <c r="JK19" s="4"/>
      <c r="JR19" s="47">
        <v>43</v>
      </c>
      <c r="KM19" s="4"/>
      <c r="KT19" s="47">
        <v>43</v>
      </c>
      <c r="LO19" s="4"/>
      <c r="LV19" s="47">
        <v>43</v>
      </c>
      <c r="MQ19" s="4"/>
      <c r="MX19" s="47">
        <v>43</v>
      </c>
      <c r="NS19" s="4"/>
      <c r="NZ19" s="47">
        <v>43</v>
      </c>
      <c r="OU19" s="4"/>
      <c r="PB19" s="47">
        <v>43</v>
      </c>
      <c r="PW19" s="4"/>
      <c r="QD19" s="47">
        <v>43</v>
      </c>
    </row>
    <row r="20" spans="1:456" ht="17" x14ac:dyDescent="0.2">
      <c r="A20" s="5"/>
      <c r="B20" s="25" t="s">
        <v>52</v>
      </c>
      <c r="C20" s="20"/>
      <c r="R20" s="10"/>
      <c r="S20" s="10"/>
      <c r="T20" s="10"/>
      <c r="AP20" s="4"/>
      <c r="AW20" s="48">
        <v>65.7</v>
      </c>
      <c r="BS20" s="4"/>
      <c r="BZ20" s="48">
        <v>65.7</v>
      </c>
      <c r="CV20" s="4"/>
      <c r="DC20" s="48">
        <v>65.7</v>
      </c>
      <c r="EA20" s="4"/>
      <c r="EH20" s="48">
        <v>65.7</v>
      </c>
      <c r="FC20" s="4"/>
      <c r="FJ20" s="48">
        <v>65.7</v>
      </c>
      <c r="GE20" s="4"/>
      <c r="GL20" s="48">
        <v>65.7</v>
      </c>
      <c r="HG20" s="4"/>
      <c r="HN20" s="48">
        <v>65.7</v>
      </c>
      <c r="II20" s="4"/>
      <c r="IP20" s="48">
        <v>65.7</v>
      </c>
      <c r="JK20" s="4"/>
      <c r="JR20" s="48">
        <v>65.7</v>
      </c>
      <c r="KM20" s="4"/>
      <c r="KT20" s="48">
        <v>65.7</v>
      </c>
      <c r="LO20" s="4"/>
      <c r="LV20" s="48">
        <v>65.7</v>
      </c>
      <c r="MQ20" s="4"/>
      <c r="MX20" s="48">
        <v>65.7</v>
      </c>
      <c r="NS20" s="4"/>
      <c r="NZ20" s="48">
        <v>65.7</v>
      </c>
      <c r="OU20" s="4"/>
      <c r="PB20" s="48">
        <v>65.7</v>
      </c>
      <c r="PW20" s="4"/>
      <c r="QD20" s="48">
        <v>65.7</v>
      </c>
    </row>
    <row r="21" spans="1:456" ht="17" x14ac:dyDescent="0.2">
      <c r="A21" s="5"/>
      <c r="B21" s="34" t="s">
        <v>66</v>
      </c>
      <c r="C21" s="20"/>
      <c r="R21" s="10"/>
      <c r="S21" s="10"/>
      <c r="T21" s="10"/>
      <c r="AP21" s="4"/>
      <c r="AW21" s="49">
        <v>68.099999999999994</v>
      </c>
      <c r="BS21" s="4"/>
      <c r="BZ21" s="49">
        <v>68.099999999999994</v>
      </c>
      <c r="CV21" s="4"/>
      <c r="DC21" s="49">
        <v>68.099999999999994</v>
      </c>
      <c r="EA21" s="4"/>
      <c r="EH21" s="49">
        <v>68.099999999999994</v>
      </c>
      <c r="FC21" s="4"/>
      <c r="FJ21" s="49">
        <v>68.099999999999994</v>
      </c>
      <c r="GE21" s="4"/>
      <c r="GL21" s="49">
        <v>68.099999999999994</v>
      </c>
      <c r="HG21" s="4"/>
      <c r="HN21" s="49">
        <v>68.099999999999994</v>
      </c>
      <c r="II21" s="4"/>
      <c r="IP21" s="49">
        <v>68.099999999999994</v>
      </c>
      <c r="JK21" s="4"/>
      <c r="JR21" s="49">
        <v>68.099999999999994</v>
      </c>
      <c r="KM21" s="4"/>
      <c r="KT21" s="49">
        <v>68.099999999999994</v>
      </c>
      <c r="LO21" s="4"/>
      <c r="LV21" s="49">
        <v>68.099999999999994</v>
      </c>
      <c r="MQ21" s="4"/>
      <c r="MX21" s="49">
        <v>68.099999999999994</v>
      </c>
      <c r="NS21" s="4"/>
      <c r="NZ21" s="49">
        <v>68.099999999999994</v>
      </c>
      <c r="OU21" s="4"/>
      <c r="PB21" s="49">
        <v>68.099999999999994</v>
      </c>
      <c r="PW21" s="4"/>
      <c r="QD21" s="49">
        <v>68.099999999999994</v>
      </c>
    </row>
    <row r="22" spans="1:456" ht="17" x14ac:dyDescent="0.2">
      <c r="A22" s="5"/>
      <c r="B22" s="26" t="s">
        <v>35</v>
      </c>
      <c r="C22" s="20"/>
      <c r="R22" s="10"/>
      <c r="S22" s="10"/>
      <c r="T22" s="10"/>
      <c r="AP22" s="4"/>
      <c r="AW22" s="50">
        <v>69.900000000000006</v>
      </c>
      <c r="BS22" s="4"/>
      <c r="BZ22" s="50">
        <v>69.900000000000006</v>
      </c>
      <c r="CV22" s="4"/>
      <c r="DC22" s="50">
        <v>69.900000000000006</v>
      </c>
      <c r="EA22" s="4"/>
      <c r="EH22" s="50">
        <v>69.900000000000006</v>
      </c>
      <c r="FC22" s="4"/>
      <c r="FJ22" s="50">
        <v>69.900000000000006</v>
      </c>
      <c r="GE22" s="4"/>
      <c r="GL22" s="50">
        <v>69.900000000000006</v>
      </c>
      <c r="HG22" s="4"/>
      <c r="HN22" s="50">
        <v>69.900000000000006</v>
      </c>
      <c r="II22" s="4"/>
      <c r="IP22" s="50">
        <v>69.900000000000006</v>
      </c>
      <c r="JK22" s="4"/>
      <c r="JR22" s="50">
        <v>69.900000000000006</v>
      </c>
      <c r="KM22" s="4"/>
      <c r="KT22" s="50">
        <v>69.900000000000006</v>
      </c>
      <c r="LO22" s="4"/>
      <c r="LV22" s="50">
        <v>69.900000000000006</v>
      </c>
      <c r="MQ22" s="4"/>
      <c r="MX22" s="50">
        <v>69.900000000000006</v>
      </c>
      <c r="NS22" s="4"/>
      <c r="NZ22" s="50">
        <v>69.900000000000006</v>
      </c>
      <c r="OU22" s="4"/>
      <c r="PB22" s="50">
        <v>69.900000000000006</v>
      </c>
      <c r="PW22" s="4"/>
      <c r="QD22" s="50">
        <v>69.900000000000006</v>
      </c>
    </row>
    <row r="23" spans="1:456" x14ac:dyDescent="0.2">
      <c r="B23" s="30" t="s">
        <v>58</v>
      </c>
      <c r="C23" s="2"/>
    </row>
    <row r="24" spans="1:456" x14ac:dyDescent="0.2">
      <c r="A24" s="5"/>
      <c r="B24" s="5"/>
      <c r="C24" s="20"/>
      <c r="QF24" s="2"/>
      <c r="QG24" s="2"/>
      <c r="QH24" s="2"/>
      <c r="QI24" s="2"/>
      <c r="QJ24" s="2"/>
      <c r="QK24" s="2"/>
      <c r="QL24" s="2"/>
      <c r="QM24" s="2"/>
      <c r="QN24" s="2"/>
    </row>
    <row r="25" spans="1:456" x14ac:dyDescent="0.2">
      <c r="A25" s="5"/>
      <c r="B25" s="5"/>
      <c r="C25" s="20"/>
    </row>
    <row r="26" spans="1:456" x14ac:dyDescent="0.2">
      <c r="A26" s="5"/>
      <c r="B26" s="5"/>
      <c r="C26" s="20"/>
    </row>
    <row r="27" spans="1:456" x14ac:dyDescent="0.2">
      <c r="A27" s="5"/>
      <c r="B27" s="5"/>
      <c r="C27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2">
      <sortCondition descending="1" ref="F1:F13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2">
    <cfRule type="expression" dxfId="86" priority="29" stopIfTrue="1">
      <formula>IF($AO4&lt;&gt;"",1,0)</formula>
    </cfRule>
  </conditionalFormatting>
  <conditionalFormatting sqref="AX4:BZ12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2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3:AT1048576 BW23:BW1048576 EE23:EE1048576 BW1:BW21 CZ1:CZ1048576 EE1:EE21 FG1:FG1048576 GI1:GI1048576 HK1:HK1048576 IM1:IM1048576 JO1:JO1048576 KQ1:KQ1048576 LS1:LS1048576 MU1:MU1048576 NW1:NW1048576 OY1:OY1048576 QA1:QA1048576 AT1:AT21">
    <cfRule type="cellIs" dxfId="73" priority="15" operator="between">
      <formula>AW$22</formula>
      <formula>1000</formula>
    </cfRule>
    <cfRule type="cellIs" dxfId="72" priority="16" operator="between">
      <formula>AW$21</formula>
      <formula>AW$22</formula>
    </cfRule>
    <cfRule type="cellIs" dxfId="71" priority="17" operator="between">
      <formula>AW$20</formula>
      <formula>AW$21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AW$19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AW$15</formula>
      <formula>AW$16</formula>
    </cfRule>
    <cfRule type="cellIs" dxfId="67" priority="89523" operator="between">
      <formula>AW$16</formula>
      <formula>AW$17</formula>
    </cfRule>
    <cfRule type="cellIs" dxfId="66" priority="89524" operator="between">
      <formula>AW$17</formula>
      <formula>AW$18</formula>
    </cfRule>
    <cfRule type="cellIs" dxfId="65" priority="89525" operator="between">
      <formula>AW$18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AW$19</formula>
      <formula>AW$20</formula>
    </cfRule>
    <cfRule type="cellIs" dxfId="63" priority="89703" operator="between">
      <formula>AW$20</formula>
      <formula>AW$21</formula>
    </cfRule>
    <cfRule type="cellIs" dxfId="62" priority="89704" operator="between">
      <formula>AW$21</formula>
      <formula>AW$22</formula>
    </cfRule>
    <cfRule type="cellIs" dxfId="61" priority="89705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AW$18</formula>
      <formula>1000</formula>
    </cfRule>
    <cfRule type="cellIs" dxfId="59" priority="89883" operator="between">
      <formula>AW$17</formula>
      <formula>AW$18</formula>
    </cfRule>
    <cfRule type="cellIs" dxfId="58" priority="89884" operator="between">
      <formula>AW$16</formula>
      <formula>AW$17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197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196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205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211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224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242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250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DD"),SUMPRODUCT((H$4:H$31&lt;&gt;"")*(H$4:H$31&lt;&gt;"No DD")*(E$4:E$31&gt;E4))+1,IF(H4="No DD",SUMPRODUCT((H$4:H$31="No DD")*(E$4:E$31&gt;E4))+1+SUMPRODUCT((H$4:H$31&lt;&gt;"")*(H$4:H$31&lt;&gt;"No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 t="shared" ref="F4:F30" si="0">IF(OR(AND(AP4&gt;=AW$33,AQ4&gt;=AW$37,AP4&lt;&gt;"",AO4=""),AND(AU4&gt;=AW$33,AV4&gt;=AW$37,AU4&lt;&gt;"",AO4=""),AND(BS4&gt;=BZ$33,BT4&gt;=BZ$37,BS4&lt;&gt;"",BR4=""),AND(BX4&gt;=BZ$33,BY4&gt;=BZ$37,BX4&lt;&gt;"",BR4=""),AND(CV4&gt;=DC$33,CW4&gt;=DC$37,CV4&lt;&gt;"",CU4=""),AND(DA4&gt;=DC$33,DB4&gt;=DC$37,DA4&lt;&gt;""),AND(EA4&gt;=EH$33,EB4&gt;=EH$37,EA4&lt;&gt;""),AND(EF4&gt;=EH$33,EG4&gt;=EH$37,EF4&lt;&gt;""),AND(FC4&gt;=FJ$33,FD4&gt;=FJ$37,FC4&lt;&gt;""),AND(FH4&gt;=FJ$33,FI4&gt;=FJ$37,FH4&lt;&gt;""),AND(GE4&gt;=GL$33,GF4&gt;=GL$37,GE4&lt;&gt;""),AND(GJ4&gt;=GL$33,GK4&gt;=GL$37,GJ4&lt;&gt;""),AND(HG4&gt;=HN$33,HH4&gt;=HN$37,HG4&lt;&gt;""),AND(HL4&gt;=HN$33,HM4&gt;=HN$37,HL4&lt;&gt;""),AND(II4&gt;=IP$33,IJ4&gt;=IP$37,II4&lt;&gt;""),AND(IN4&gt;=IP$33,IO4&gt;=IP$37,IN4&lt;&gt;""),AND(JK4&gt;=JR$33,JL4&gt;=JR$37,JK4&lt;&gt;""),AND(JP4&gt;=JR$33,JQ4&gt;=JR$37,JP4&lt;&gt;""),AND(KM4&gt;=KT$33,KN4&gt;=KT$37,KM4&lt;&gt;""),AND(KR4&gt;=KT$33,KS4&gt;=KT$37,KR4&lt;&gt;""),AND(LO4&gt;=LV$33,LP4&gt;=LV$37,LO4&lt;&gt;""),AND(LT4&gt;=LV$33,LU4&gt;=LV$37,LT4&lt;&gt;""),AND(MQ4&gt;=MX$33,MR4&gt;=MX$37,MQ4&lt;&gt;""),AND(MV4&gt;=MX$33,MW4&gt;=MX$37,MV4&lt;&gt;""),AND(NS4&gt;=NZ$33,NT4&gt;=NZ$37,NS4&lt;&gt;""),AND(NX4&gt;=NZ$33,NY4&gt;=NZ$37,NX4&lt;&gt;""),AND(OU4&gt;=PB$33,OV4&gt;=PB$37,OU4&lt;&gt;""),AND(OZ4&gt;=PB$33,PA4&gt;=PB$37,OZ4&lt;&gt;""),AND(PW4&gt;=QD$33,PX4&gt;=QD$37,PW4&lt;&gt;""),AND(QB4&gt;=QD$33,QC4&gt;=QD$37,QB4&lt;&gt;"")),"P","")</f>
        <v>P</v>
      </c>
      <c r="G4" s="3" t="str">
        <f t="shared" ref="G4:G30" si="1">IF(OR(AND(AQ4&gt;=AW$37,AQ4&lt;&gt;"",AO4=""),AND(AV4&gt;=AW$37,AV4&lt;&gt;"",AO4=""),AND(BT4&gt;=BZ$37,BT4&lt;&gt;"",BR4=""),AND(BY4&gt;=BZ$37,BY4&lt;&gt;"",BR4=""),AND(CW4&gt;=DC$37,CW4&lt;&gt;"",CU4=""),AND(DB4&gt;=DC$37,DB4&lt;&gt;"",CU4=""),AND(EB4&gt;=EH$37,EB4&lt;&gt;""),AND(EG4&gt;=EH$37,EG4&lt;&gt;""),AND(FD4&gt;=FJ$37,FD4&lt;&gt;""),AND(FI4&gt;=FJ$37,FI4&lt;&gt;""),AND(GF4&gt;=GL$37,GF4&lt;&gt;""),AND(GK4&gt;=GL$37,GK4&lt;&gt;""),AND(HH4&gt;=HN$37,HH4&lt;&gt;""),AND(HM4&gt;=HN$37,HM4&lt;&gt;""),AND(IJ4&gt;=IP$37,IJ4&lt;&gt;""),AND(IO4&gt;=IP$37,IO4&lt;&gt;""),AND(JL4&gt;=JR$37,JL4&lt;&gt;""),AND(JQ4&gt;=JR$37,JQ4&lt;&gt;""),AND(KN4&gt;=KT$37,KN4&lt;&gt;""),AND(KS4&gt;=KT$37,KS4&lt;&gt;""),AND(LP4&gt;=LV$37,LP4&lt;&gt;""),AND(LU4&gt;=LV$37,LU4&lt;&gt;""),AND(MR4&gt;=MX$37,MR4&lt;&gt;""),AND(MW4&gt;=MX$37,MW4&lt;&gt;""),AND(NT4&gt;=NZ$37,NT4&lt;&gt;""),AND(NY4&gt;=NZ$37,NY4&lt;&gt;""),AND(OV4&gt;=PB$37,OV4&lt;&gt;""),AND(PA4&gt;=PB$37,PA4&lt;&gt;""),AND(PX4&gt;=QD$37,PX4&lt;&gt;""),AND(QC4&gt;=QD$37,QC4&lt;&gt;"")),"P","")</f>
        <v>P</v>
      </c>
      <c r="H4" s="37" t="str">
        <f t="shared" ref="H4:H30" si="2">IF(AND(G4="P",F4=""),"No DD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Merit",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Excellence",IF(I4="P","Worlds Team",IF(F4="P","National Team","")))))</f>
        <v>Merit</v>
      </c>
      <c r="I4" s="3" t="str">
        <f t="shared" ref="I4:I30" si="3">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),"P","")</f>
        <v>P</v>
      </c>
      <c r="J4" s="8">
        <f>IF(COUNT(AQ4,BT4,CW4)&gt;0,LARGE((AQ4,BT4,CW4),1),0)</f>
        <v>60.5</v>
      </c>
      <c r="K4" s="8" t="str">
        <f t="shared" ref="K4:K30" si="4"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 t="shared" ref="M4:M30" si="5">IF(L4=0,"",IF(L4=CW4,$CA$1,IF(L4=BT4,$AX$1,IF(L4=AQ4,$U$1,""))))</f>
        <v>2023 Elite Canada</v>
      </c>
      <c r="N4" s="8">
        <f>IF(COUNT(AR4,BU4,CX4)&gt;0,LARGE((AR4,BU4,CX4),1),0)</f>
        <v>29.4</v>
      </c>
      <c r="O4" s="8" t="str">
        <f t="shared" ref="O4:O30" si="6">IF(N4=0,"",IF(N4=CX4,$CA$1,IF(N4=BU4,$AX$1,IF(N4=AR4,$U$1,""))))</f>
        <v>2023 Domestic 3rd Trial</v>
      </c>
      <c r="P4" s="8">
        <f t="shared" ref="P4:P30" si="7">IF(MAX(AV4,BY4,DB4)&gt;0,MAX(AV4,BY4,DB4),0)</f>
        <v>59.400000000000006</v>
      </c>
      <c r="Q4" s="8" t="str">
        <f t="shared" ref="Q4:Q30" si="8">IF(P4=0,"",IF(P4=DB4,$CA$1,IF(P4=BY4,$AX$1,IF(P4=AV4,$U$1,""))))</f>
        <v>2023 Nationals</v>
      </c>
      <c r="R4" s="8" t="str">
        <f t="shared" ref="R4:R30" si="9">IF(MAX(DD4:DF4)&gt;0,MAX(DD4:DF4),"")</f>
        <v/>
      </c>
      <c r="S4" s="11" t="str">
        <f t="shared" ref="S4:S30" si="10">IF(R4="","",IF(R4=DD4,"("&amp;DD$2&amp;")",IF(R4=DE4,"("&amp;DE$2&amp;")",IF(R4=DF4,"("&amp;DF$2&amp;")"))))</f>
        <v/>
      </c>
      <c r="T4" s="8" t="str">
        <f t="shared" ref="T4:T30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 t="shared" ref="AP4:AP30" si="12">IF(SUM(V4,Z4)&gt;0,SUM(V4,Z4),"")</f>
        <v>20.8</v>
      </c>
      <c r="AQ4" s="41">
        <f t="shared" ref="AQ4:AQ30" si="13">IF(SUM(U4:V4,X4:Z4,AB4)-W4-AA4&gt;0,SUM(U4:V4,X4:Z4,AB4)-W4-AA4,"")</f>
        <v>58.699999999999996</v>
      </c>
      <c r="AR4" s="41">
        <f t="shared" ref="AR4:AR30" si="14">IF(SUM(AC4:AD4,AF4)-AE4&gt;0,SUM(AC4:AD4,AF4)-AE4,"")</f>
        <v>27.6</v>
      </c>
      <c r="AS4" s="41">
        <f t="shared" ref="AS4:AS30" si="15">IF(SUM(V4,Z4,AD4)&gt;0,SUM(V4,Z4,AD4),"")</f>
        <v>29.200000000000003</v>
      </c>
      <c r="AT4" s="41">
        <f t="shared" ref="AT4:AT30" si="16">IF(SUM(AQ4,AR4)&gt;0,SUM(AQ4,AR4),"")</f>
        <v>86.3</v>
      </c>
      <c r="AU4" s="41">
        <f t="shared" ref="AU4:AU30" si="17">IF(SUM(AH4,AL4)&gt;0,SUM(AH4,AL4),"")</f>
        <v>20.8</v>
      </c>
      <c r="AV4" s="41">
        <f t="shared" ref="AV4:AV30" si="18">IF(SUM(AG4:AH4,AJ4:AL4,AN4)-SUM(AI4,AM4)&gt;0,SUM(AG4:AH4,AJ4:AL4,AN4)-SUM(AI4,AM4),"")</f>
        <v>58.800000000000004</v>
      </c>
      <c r="AW4" s="41">
        <f t="shared" ref="AW4:AW30" si="19"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 t="shared" ref="BS4:BS30" si="20">IF(SUM(AY4,BC4)&gt;0,SUM(AY4,BC4),"")</f>
        <v>21.1</v>
      </c>
      <c r="BT4" s="11">
        <f t="shared" ref="BT4:BT30" si="21">IF(SUM(AX4:AY4,BA4:BC4,BE4)-AZ4-BD4&gt;0,SUM(AX4:AY4,BA4:BC4,BE4)-AZ4-BD4,"")</f>
        <v>60.5</v>
      </c>
      <c r="BU4" s="11">
        <f t="shared" ref="BU4:BU30" si="22">IF(SUM(BF4:BG4,BI4)-BH4&gt;0,SUM(BF4:BG4,BI4)-BH4,"")</f>
        <v>27.7</v>
      </c>
      <c r="BV4" s="11">
        <f t="shared" ref="BV4:BV30" si="23">IF(SUM(AY4,BC4,BG4)&gt;0,SUM(AY4,BC4,BG4),"")</f>
        <v>30.400000000000002</v>
      </c>
      <c r="BW4" s="11">
        <f t="shared" ref="BW4:BW30" si="24">IF(SUM(BT4,BU4)&gt;0,SUM(BT4,BU4),"")</f>
        <v>88.2</v>
      </c>
      <c r="BX4" s="11">
        <f t="shared" ref="BX4:BX30" si="25">IF(SUM(BK4,BO4)&gt;0,SUM(BK4,BO4),"")</f>
        <v>22.7</v>
      </c>
      <c r="BY4" s="11">
        <f t="shared" ref="BY4:BY30" si="26">IF(SUM(BJ4:BK4,BM4:BO4,BQ4)-SUM(BL4,BP4)&gt;0,SUM(BJ4:BK4,BM4:BO4,BQ4)-SUM(BL4,BP4),"")</f>
        <v>59.400000000000006</v>
      </c>
      <c r="BZ4" s="11">
        <f t="shared" ref="BZ4:BZ30" si="27"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 t="shared" ref="CV4:CV30" si="28">IF(SUM(CB4,CF4)&gt;0,SUM(CB4,CF4),"")</f>
        <v>18.100000000000001</v>
      </c>
      <c r="CW4" s="41">
        <f t="shared" ref="CW4:CW30" si="29">IF(SUM(CA4:CB4,CD4:CF4,CH4)-CC4-CG4&gt;0,SUM(CA4:CB4,CD4:CF4,CH4)-CC4-CG4,"")</f>
        <v>55.7</v>
      </c>
      <c r="CX4" s="41">
        <f t="shared" ref="CX4:CX30" si="30">IF(SUM(CI4:CJ4,CL4)-CK4&gt;0,SUM(CI4:CJ4,CL4)-CK4,"")</f>
        <v>29.4</v>
      </c>
      <c r="CY4" s="41">
        <f t="shared" ref="CY4:CY30" si="31">IF(SUM(CB4,CF4,CJ4)&gt;0,SUM(CB4,CF4,CJ4),"")</f>
        <v>29.200000000000003</v>
      </c>
      <c r="CZ4" s="41">
        <f t="shared" ref="CZ4:CZ30" si="32">IF(SUM(CW4,CX4)&gt;0,SUM(CW4,CX4),"")</f>
        <v>85.1</v>
      </c>
      <c r="DA4" s="41">
        <f t="shared" ref="DA4:DA30" si="33">IF(SUM(CN4,CR4)&gt;0,SUM(CN4,CR4),"")</f>
        <v>20.8</v>
      </c>
      <c r="DB4" s="41">
        <f t="shared" ref="DB4:DB30" si="34">IF(SUM(CM4:CN4,CP4:CR4,CT4)-SUM(CO4,CS4)&gt;0,SUM(CM4:CN4,CP4:CR4,CT4)-SUM(CO4,CS4),"")</f>
        <v>58.1</v>
      </c>
      <c r="DC4" s="41">
        <f t="shared" ref="DC4:DC30" si="35">IF(SUM(CW4,CX4,DB4)&gt;0,SUM(CW4,CX4,DB4),"")</f>
        <v>143.19999999999999</v>
      </c>
      <c r="DD4" s="52" t="str">
        <f t="shared" ref="DD4:DD30" si="36">IF(MAX(EB4,FD4,GF4,HH4,IJ4,JL4,KN4,LP4,MR4,NT4,OV4,PX4)-IF(L4="",0,L4)&gt;0.001,MAX(EB4,FD4,GF4,HH4,IJ4,JL4,KN4,LP4,MR4,NT4,OV4,PX4)-IF(L4="",0,L4),"")</f>
        <v/>
      </c>
      <c r="DE4" s="52" t="str">
        <f t="shared" ref="DE4:DE30" si="37">IF(MAX(EC4,FE4,GG4,HI4,IK4,JM4,KO4,LQ4,MS4,NU4,OW4,PY4)-IF(N4="",0,N4)&gt;0.001,MAX(EC4,FE4,GG4,HI4,IK4,JM4,KO4,LQ4,MS4,NU4,OW4,PY4)-IF(N4="",0,N4),"")</f>
        <v/>
      </c>
      <c r="DF4" s="52" t="str">
        <f t="shared" ref="DF4:DF30" si="38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30" si="39">IF(SUM(DH4,DL4)&gt;0,SUM(DH4,DL4),"")</f>
        <v/>
      </c>
      <c r="EB4" s="41" t="str">
        <f t="shared" ref="EB4:EB30" si="40">IF(SUM(DG4:DH4,DJ4:DL4,DN4)-DI4-DM4&gt;0,SUM(DG4:DH4,DJ4:DL4,DN4)-DI4-DM4,"")</f>
        <v/>
      </c>
      <c r="EC4" s="41" t="str">
        <f t="shared" ref="EC4:EC30" si="41">IF(SUM(DO4:DP4,DR4)-DQ4&gt;0,SUM(DO4:DP4,DR4)-DQ4,"")</f>
        <v/>
      </c>
      <c r="ED4" s="41" t="str">
        <f t="shared" ref="ED4:ED30" si="42">IF(SUM(DH4,DL4,DP4)&gt;0,SUM(DH4,DL4,DP4),"")</f>
        <v/>
      </c>
      <c r="EE4" s="41" t="str">
        <f t="shared" ref="EE4:EE30" si="43">IF(SUM(EB4,EC4)&gt;0,SUM(EB4,EC4),"")</f>
        <v/>
      </c>
      <c r="EF4" s="41" t="str">
        <f t="shared" ref="EF4:EF30" si="44">IF(SUM(DT4,DX4)&gt;0,SUM(DT4,DX4),"")</f>
        <v/>
      </c>
      <c r="EG4" s="41" t="str">
        <f t="shared" ref="EG4:EG30" si="45">IF(SUM(DS4:DT4,DV4:DX4,DZ4)-SUM(DU4,DY4)&gt;0,SUM(DS4:DT4,DV4:DX4,DZ4)-SUM(DU4,DY4),"")</f>
        <v/>
      </c>
      <c r="EH4" s="41" t="str">
        <f t="shared" ref="EH4:EH30" si="46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30" si="47">IF(SUM(EJ4,EN4)&gt;0,SUM(EJ4,EN4),"")</f>
        <v/>
      </c>
      <c r="FD4" s="11" t="str">
        <f t="shared" ref="FD4:FD30" si="48">IF(SUM(EI4:EJ4,EL4:EN4,EP4)-EK4-EO4&gt;0,SUM(EI4:EJ4,EL4:EN4,EP4)-EK4-EO4,"")</f>
        <v/>
      </c>
      <c r="FE4" s="11" t="str">
        <f t="shared" ref="FE4:FE30" si="49">IF(SUM(EQ4:ER4,ET4)-ES4&gt;0,SUM(EQ4:ER4,ET4)-ES4,"")</f>
        <v/>
      </c>
      <c r="FF4" s="11" t="str">
        <f t="shared" ref="FF4:FF30" si="50">IF(SUM(EJ4,EN4,ER4)&gt;0,SUM(EJ4,EN4,ER4),"")</f>
        <v/>
      </c>
      <c r="FG4" s="11" t="str">
        <f t="shared" ref="FG4:FG30" si="51">IF(SUM(FD4,FE4)&gt;0,SUM(FD4,FE4),"")</f>
        <v/>
      </c>
      <c r="FH4" s="11" t="str">
        <f t="shared" ref="FH4:FH30" si="52">IF(SUM(EV4,EZ4)&gt;0,SUM(EV4,EZ4),"")</f>
        <v/>
      </c>
      <c r="FI4" s="11" t="str">
        <f t="shared" ref="FI4:FI30" si="53">IF(SUM(EU4:EV4,EX4:EZ4,FB4)-SUM(EW4,FA4)&gt;0,SUM(EU4:EV4,EX4:EZ4,FB4)-SUM(EW4,FA4),"")</f>
        <v/>
      </c>
      <c r="FJ4" s="11" t="str">
        <f t="shared" ref="FJ4:FJ30" si="54">IF(SUM(FD4,FE4,FI4)&gt;0,SUM(FD4,FE4,FI4),"")</f>
        <v/>
      </c>
      <c r="FK4" s="17">
        <v>18.8</v>
      </c>
      <c r="FL4" s="17">
        <v>10</v>
      </c>
      <c r="FM4" s="17">
        <v>0.6</v>
      </c>
      <c r="FN4" s="17">
        <v>0</v>
      </c>
      <c r="FO4" s="17">
        <v>18.5</v>
      </c>
      <c r="FP4" s="17">
        <v>10.8</v>
      </c>
      <c r="FQ4" s="17">
        <v>0</v>
      </c>
      <c r="FR4" s="17">
        <v>0</v>
      </c>
      <c r="FS4" s="17"/>
      <c r="FT4" s="17"/>
      <c r="FU4" s="17"/>
      <c r="FV4" s="17"/>
      <c r="FW4" s="17">
        <v>18.8</v>
      </c>
      <c r="FX4" s="17">
        <v>10</v>
      </c>
      <c r="FY4" s="17">
        <v>0</v>
      </c>
      <c r="FZ4" s="17">
        <v>0</v>
      </c>
      <c r="GA4" s="17">
        <v>18.5</v>
      </c>
      <c r="GB4" s="17">
        <v>11.1</v>
      </c>
      <c r="GC4" s="17">
        <v>0.6</v>
      </c>
      <c r="GD4" s="17">
        <v>0</v>
      </c>
      <c r="GE4" s="41">
        <f t="shared" ref="GE4:GE30" si="55">IF(SUM(FL4,FP4)&gt;0,SUM(FL4,FP4),"")</f>
        <v>20.8</v>
      </c>
      <c r="GF4" s="41">
        <f t="shared" ref="GF4:GF30" si="56">IF(SUM(FK4:FL4,FN4:FP4,FR4)-FM4-FQ4&gt;0,SUM(FK4:FL4,FN4:FP4,FR4)-FM4-FQ4,"")</f>
        <v>57.499999999999993</v>
      </c>
      <c r="GG4" s="41" t="str">
        <f t="shared" ref="GG4:GG30" si="57">IF(SUM(FS4:FT4,FV4)-FU4&gt;0,SUM(FS4:FT4,FV4)-FU4,"")</f>
        <v/>
      </c>
      <c r="GH4" s="41">
        <f t="shared" ref="GH4:GH30" si="58">IF(SUM(FL4,FP4,FT4)&gt;0,SUM(FL4,FP4,FT4),"")</f>
        <v>20.8</v>
      </c>
      <c r="GI4" s="41">
        <f t="shared" ref="GI4:GI30" si="59">IF(SUM(GF4,GG4)&gt;0,SUM(GF4,GG4),"")</f>
        <v>57.499999999999993</v>
      </c>
      <c r="GJ4" s="41">
        <f t="shared" ref="GJ4:GJ30" si="60">IF(SUM(FX4,GB4)&gt;0,SUM(FX4,GB4),"")</f>
        <v>21.1</v>
      </c>
      <c r="GK4" s="41">
        <f t="shared" ref="GK4:GK30" si="61">IF(SUM(FW4:FX4,FZ4:GB4,GD4)-SUM(FY4,GC4)&gt;0,SUM(FW4:FX4,FZ4:GB4,GD4)-SUM(FY4,GC4),"")</f>
        <v>57.8</v>
      </c>
      <c r="GL4" s="41">
        <f t="shared" ref="GL4:GL30" si="62">IF(SUM(GF4,GG4,GK4)&gt;0,SUM(GF4,GG4,GK4),"")</f>
        <v>115.29999999999998</v>
      </c>
      <c r="GM4" s="18">
        <v>18.8</v>
      </c>
      <c r="GN4" s="18">
        <v>10</v>
      </c>
      <c r="GO4" s="18">
        <v>0.6</v>
      </c>
      <c r="GP4" s="18">
        <v>0</v>
      </c>
      <c r="GQ4" s="18">
        <v>18.600000000000001</v>
      </c>
      <c r="GR4" s="18">
        <v>10.8</v>
      </c>
      <c r="GS4" s="18">
        <v>0.6</v>
      </c>
      <c r="GT4" s="18">
        <v>0</v>
      </c>
      <c r="GU4" s="18"/>
      <c r="GV4" s="18"/>
      <c r="GW4" s="18"/>
      <c r="GX4" s="18"/>
      <c r="GY4" s="18">
        <v>18.600000000000001</v>
      </c>
      <c r="GZ4" s="18">
        <v>10</v>
      </c>
      <c r="HA4" s="18">
        <v>0</v>
      </c>
      <c r="HB4" s="18">
        <v>0</v>
      </c>
      <c r="HC4" s="18">
        <v>18.3</v>
      </c>
      <c r="HD4" s="18">
        <v>11.1</v>
      </c>
      <c r="HE4" s="18">
        <v>0.8</v>
      </c>
      <c r="HF4" s="18">
        <v>0</v>
      </c>
      <c r="HG4" s="11">
        <f t="shared" ref="HG4:HG30" si="63">IF(SUM(GN4,GR4)&gt;0,SUM(GN4,GR4),"")</f>
        <v>20.8</v>
      </c>
      <c r="HH4" s="11">
        <f t="shared" ref="HH4:HH30" si="64">IF(SUM(GM4:GN4,GP4:GR4,GT4)-GO4-GS4&gt;0,SUM(GM4:GN4,GP4:GR4,GT4)-GO4-GS4,"")</f>
        <v>57</v>
      </c>
      <c r="HI4" s="11" t="str">
        <f t="shared" ref="HI4:HI30" si="65">IF(SUM(GU4:GV4,GX4)-GW4&gt;0,SUM(GU4:GV4,GX4)-GW4,"")</f>
        <v/>
      </c>
      <c r="HJ4" s="11">
        <f t="shared" ref="HJ4:HJ30" si="66">IF(SUM(GN4,GR4,GV4)&gt;0,SUM(GN4,GR4,GV4),"")</f>
        <v>20.8</v>
      </c>
      <c r="HK4" s="11">
        <f t="shared" ref="HK4:HK30" si="67">IF(SUM(HH4,HI4)&gt;0,SUM(HH4,HI4),"")</f>
        <v>57</v>
      </c>
      <c r="HL4" s="11">
        <f t="shared" ref="HL4:HL30" si="68">IF(SUM(GZ4,HD4)&gt;0,SUM(GZ4,HD4),"")</f>
        <v>21.1</v>
      </c>
      <c r="HM4" s="11">
        <f t="shared" ref="HM4:HM30" si="69">IF(SUM(GY4:GZ4,HB4:HD4,HF4)-SUM(HA4,HE4)&gt;0,SUM(GY4:GZ4,HB4:HD4,HF4)-SUM(HA4,HE4),"")</f>
        <v>57.20000000000001</v>
      </c>
      <c r="HN4" s="11">
        <f t="shared" ref="HN4:HN30" si="70">IF(SUM(HH4,HI4,HM4)&gt;0,SUM(HH4,HI4,HM4),"")</f>
        <v>114.20000000000002</v>
      </c>
      <c r="HO4" s="17">
        <v>18.600000000000001</v>
      </c>
      <c r="HP4" s="17">
        <v>10</v>
      </c>
      <c r="HQ4" s="17">
        <v>0.6</v>
      </c>
      <c r="HR4" s="17">
        <v>0</v>
      </c>
      <c r="HS4" s="17">
        <v>17.2</v>
      </c>
      <c r="HT4" s="17">
        <v>5.0999999999999996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 t="shared" ref="II4:II30" si="71">IF(SUM(HP4,HT4)&gt;0,SUM(HP4,HT4),"")</f>
        <v>15.1</v>
      </c>
      <c r="IJ4" s="41">
        <f t="shared" ref="IJ4:IJ30" si="72">IF(SUM(HO4:HP4,HR4:HT4,HV4)-HQ4-HU4&gt;0,SUM(HO4:HP4,HR4:HT4,HV4)-HQ4-HU4,"")</f>
        <v>50.3</v>
      </c>
      <c r="IK4" s="41" t="str">
        <f t="shared" ref="IK4:IK30" si="73">IF(SUM(HW4:HX4,HZ4)-HY4&gt;0,SUM(HW4:HX4,HZ4)-HY4,"")</f>
        <v/>
      </c>
      <c r="IL4" s="41">
        <f t="shared" ref="IL4:IL30" si="74">IF(SUM(HP4,HT4,HX4)&gt;0,SUM(HP4,HT4,HX4),"")</f>
        <v>15.1</v>
      </c>
      <c r="IM4" s="41">
        <f t="shared" ref="IM4:IM30" si="75">IF(SUM(IJ4,IK4)&gt;0,SUM(IJ4,IK4),"")</f>
        <v>50.3</v>
      </c>
      <c r="IN4" s="41" t="str">
        <f t="shared" ref="IN4:IN30" si="76">IF(SUM(IB4,IF4)&gt;0,SUM(IB4,IF4),"")</f>
        <v/>
      </c>
      <c r="IO4" s="41" t="str">
        <f t="shared" ref="IO4:IO30" si="77">IF(SUM(IA4:IB4,ID4:IF4,IH4)-SUM(IC4,IG4)&gt;0,SUM(IA4:IB4,ID4:IF4,IH4)-SUM(IC4,IG4),"")</f>
        <v/>
      </c>
      <c r="IP4" s="41">
        <f t="shared" ref="IP4:IP30" si="78">IF(SUM(IJ4,IK4,IO4)&gt;0,SUM(IJ4,IK4,IO4),"")</f>
        <v>50.3</v>
      </c>
      <c r="IQ4" s="18">
        <v>18.3</v>
      </c>
      <c r="IR4" s="18">
        <v>9.3000000000000007</v>
      </c>
      <c r="IS4" s="18">
        <v>0</v>
      </c>
      <c r="IT4" s="18">
        <v>0</v>
      </c>
      <c r="IU4" s="18">
        <v>18.8</v>
      </c>
      <c r="IV4" s="18">
        <v>10</v>
      </c>
      <c r="IW4" s="18">
        <v>0.8</v>
      </c>
      <c r="IX4" s="18">
        <v>0</v>
      </c>
      <c r="IY4" s="18">
        <v>18.5</v>
      </c>
      <c r="IZ4" s="18">
        <v>9.5</v>
      </c>
      <c r="JA4" s="18">
        <v>1</v>
      </c>
      <c r="JB4" s="18">
        <v>0</v>
      </c>
      <c r="JC4" s="18">
        <v>18.399999999999999</v>
      </c>
      <c r="JD4" s="18">
        <v>11.1</v>
      </c>
      <c r="JE4" s="18">
        <v>0.6</v>
      </c>
      <c r="JF4" s="18">
        <v>0</v>
      </c>
      <c r="JG4" s="18">
        <v>18.3</v>
      </c>
      <c r="JH4" s="18">
        <v>4.5</v>
      </c>
      <c r="JI4" s="18">
        <v>0</v>
      </c>
      <c r="JJ4" s="18">
        <v>0</v>
      </c>
      <c r="JK4" s="11">
        <f t="shared" ref="JK4:JK30" si="79">IF(SUM(IR4,IV4)&gt;0,SUM(IR4,IV4),"")</f>
        <v>19.3</v>
      </c>
      <c r="JL4" s="11">
        <f t="shared" ref="JL4:JL30" si="80">IF(SUM(IQ4:IR4,IT4:IV4,IX4)-IS4-IW4&gt;0,SUM(IQ4:IR4,IT4:IV4,IX4)-IS4-IW4,"")</f>
        <v>55.600000000000009</v>
      </c>
      <c r="JM4" s="11">
        <f t="shared" ref="JM4:JM30" si="81">IF(SUM(IY4:IZ4,JB4)-JA4&gt;0,SUM(IY4:IZ4,JB4)-JA4,"")</f>
        <v>27</v>
      </c>
      <c r="JN4" s="11">
        <f t="shared" ref="JN4:JN30" si="82">IF(SUM(IR4,IV4,IZ4)&gt;0,SUM(IR4,IV4,IZ4),"")</f>
        <v>28.8</v>
      </c>
      <c r="JO4" s="11">
        <f t="shared" ref="JO4:JO30" si="83">IF(SUM(JL4,JM4)&gt;0,SUM(JL4,JM4),"")</f>
        <v>82.600000000000009</v>
      </c>
      <c r="JP4" s="11">
        <f t="shared" ref="JP4:JP30" si="84">IF(SUM(JD4,JH4)&gt;0,SUM(JD4,JH4),"")</f>
        <v>15.6</v>
      </c>
      <c r="JQ4" s="11">
        <f t="shared" ref="JQ4:JQ30" si="85">IF(SUM(JC4:JD4,JF4:JH4,JJ4)-SUM(JE4,JI4)&gt;0,SUM(JC4:JD4,JF4:JH4,JJ4)-SUM(JE4,JI4),"")</f>
        <v>51.699999999999996</v>
      </c>
      <c r="JR4" s="11">
        <f t="shared" ref="JR4:JR30" si="86">IF(SUM(JL4,JM4,JQ4)&gt;0,SUM(JL4,JM4,JQ4),"")</f>
        <v>134.30000000000001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30" si="87">IF(SUM(JT4,JX4)&gt;0,SUM(JT4,JX4),"")</f>
        <v/>
      </c>
      <c r="KN4" s="41" t="str">
        <f t="shared" ref="KN4:KN30" si="88">IF(SUM(JS4:JT4,JV4:JX4,JZ4)-JU4-JY4&gt;0,SUM(JS4:JT4,JV4:JX4,JZ4)-JU4-JY4,"")</f>
        <v/>
      </c>
      <c r="KO4" s="41" t="str">
        <f t="shared" ref="KO4:KO30" si="89">IF(SUM(KA4:KB4,KD4)-KC4&gt;0,SUM(KA4:KB4,KD4)-KC4,"")</f>
        <v/>
      </c>
      <c r="KP4" s="41" t="str">
        <f t="shared" ref="KP4:KP30" si="90">IF(SUM(JT4,JX4,KB4)&gt;0,SUM(JT4,JX4,KB4),"")</f>
        <v/>
      </c>
      <c r="KQ4" s="41" t="str">
        <f t="shared" ref="KQ4:KQ30" si="91">IF(SUM(KN4,KO4)&gt;0,SUM(KN4,KO4),"")</f>
        <v/>
      </c>
      <c r="KR4" s="41" t="str">
        <f t="shared" ref="KR4:KR30" si="92">IF(SUM(KF4,KJ4)&gt;0,SUM(KF4,KJ4),"")</f>
        <v/>
      </c>
      <c r="KS4" s="41" t="str">
        <f t="shared" ref="KS4:KS30" si="93">IF(SUM(KE4:KF4,KH4:KJ4,KL4)-SUM(KG4,KK4)&gt;0,SUM(KE4:KF4,KH4:KJ4,KL4)-SUM(KG4,KK4),"")</f>
        <v/>
      </c>
      <c r="KT4" s="41" t="str">
        <f t="shared" ref="KT4:KT30" si="94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30" si="95">IF(SUM(KV4,KZ4)&gt;0,SUM(KV4,KZ4),"")</f>
        <v/>
      </c>
      <c r="LP4" s="11" t="str">
        <f t="shared" ref="LP4:LP30" si="96">IF(SUM(KU4:KV4,KX4:KZ4,LB4)-KW4-LA4&gt;0,SUM(KU4:KV4,KX4:KZ4,LB4)-KW4-LA4,"")</f>
        <v/>
      </c>
      <c r="LQ4" s="11" t="str">
        <f t="shared" ref="LQ4:LQ30" si="97">IF(SUM(LC4:LD4,LF4)-LE4&gt;0,SUM(LC4:LD4,LF4)-LE4,"")</f>
        <v/>
      </c>
      <c r="LR4" s="11" t="str">
        <f t="shared" ref="LR4:LR30" si="98">IF(SUM(KV4,KZ4,LD4)&gt;0,SUM(KV4,KZ4,LD4),"")</f>
        <v/>
      </c>
      <c r="LS4" s="11" t="str">
        <f t="shared" ref="LS4:LS30" si="99">IF(SUM(LP4,LQ4)&gt;0,SUM(LP4,LQ4),"")</f>
        <v/>
      </c>
      <c r="LT4" s="11" t="str">
        <f t="shared" ref="LT4:LT30" si="100">IF(SUM(LH4,LL4)&gt;0,SUM(LH4,LL4),"")</f>
        <v/>
      </c>
      <c r="LU4" s="11" t="str">
        <f t="shared" ref="LU4:LU30" si="101">IF(SUM(LG4:LH4,LJ4:LL4,LN4)-SUM(LI4,LM4)&gt;0,SUM(LG4:LH4,LJ4:LL4,LN4)-SUM(LI4,LM4),"")</f>
        <v/>
      </c>
      <c r="LV4" s="11" t="str">
        <f t="shared" ref="LV4:LV30" si="102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30" si="103">IF(SUM(LX4,MB4)&gt;0,SUM(LX4,MB4),"")</f>
        <v/>
      </c>
      <c r="MR4" s="41" t="str">
        <f t="shared" ref="MR4:MR30" si="104">IF(SUM(LW4:LX4,LZ4:MB4,MD4)-LY4-MC4&gt;0,SUM(LW4:LX4,LZ4:MB4,MD4)-LY4-MC4,"")</f>
        <v/>
      </c>
      <c r="MS4" s="41" t="str">
        <f t="shared" ref="MS4:MS30" si="105">IF(SUM(ME4:MF4,MH4)-MG4&gt;0,SUM(ME4:MF4,MH4)-MG4,"")</f>
        <v/>
      </c>
      <c r="MT4" s="41" t="str">
        <f t="shared" ref="MT4:MT30" si="106">IF(SUM(LX4,MB4,MF4)&gt;0,SUM(LX4,MB4,MF4),"")</f>
        <v/>
      </c>
      <c r="MU4" s="41" t="str">
        <f t="shared" ref="MU4:MU30" si="107">IF(SUM(MR4,MS4)&gt;0,SUM(MR4,MS4),"")</f>
        <v/>
      </c>
      <c r="MV4" s="41" t="str">
        <f t="shared" ref="MV4:MV30" si="108">IF(SUM(MJ4,MN4)&gt;0,SUM(MJ4,MN4),"")</f>
        <v/>
      </c>
      <c r="MW4" s="41" t="str">
        <f t="shared" ref="MW4:MW30" si="109">IF(SUM(MI4:MJ4,ML4:MN4,MP4)-SUM(MK4,MO4)&gt;0,SUM(MI4:MJ4,ML4:MN4,MP4)-SUM(MK4,MO4),"")</f>
        <v/>
      </c>
      <c r="MX4" s="41" t="str">
        <f t="shared" ref="MX4:MX30" si="110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30" si="111">IF(SUM(MZ4,ND4)&gt;0,SUM(MZ4,ND4),"")</f>
        <v/>
      </c>
      <c r="NT4" s="11" t="str">
        <f t="shared" ref="NT4:NT30" si="112">IF(SUM(MY4:MZ4,NB4:ND4,NF4)-NA4-NE4&gt;0,SUM(MY4:MZ4,NB4:ND4,NF4)-NA4-NE4,"")</f>
        <v/>
      </c>
      <c r="NU4" s="11" t="str">
        <f t="shared" ref="NU4:NU30" si="113">IF(SUM(NG4:NH4,NJ4)-NI4&gt;0,SUM(NG4:NH4,NJ4)-NI4,"")</f>
        <v/>
      </c>
      <c r="NV4" s="11" t="str">
        <f t="shared" ref="NV4:NV30" si="114">IF(SUM(MZ4,ND4,NH4)&gt;0,SUM(MZ4,ND4,NH4),"")</f>
        <v/>
      </c>
      <c r="NW4" s="11" t="str">
        <f t="shared" ref="NW4:NW30" si="115">IF(SUM(NT4,NU4)&gt;0,SUM(NT4,NU4),"")</f>
        <v/>
      </c>
      <c r="NX4" s="11" t="str">
        <f t="shared" ref="NX4:NX30" si="116">IF(SUM(NL4,NP4)&gt;0,SUM(NL4,NP4),"")</f>
        <v/>
      </c>
      <c r="NY4" s="11" t="str">
        <f t="shared" ref="NY4:NY30" si="117">IF(SUM(NK4:NL4,NN4:NP4,NR4)-SUM(NM4,NQ4)&gt;0,SUM(NK4:NL4,NN4:NP4,NR4)-SUM(NM4,NQ4),"")</f>
        <v/>
      </c>
      <c r="NZ4" s="11" t="str">
        <f t="shared" ref="NZ4:NZ30" si="118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30" si="119">IF(SUM(OB4,OF4)&gt;0,SUM(OB4,OF4),"")</f>
        <v/>
      </c>
      <c r="OV4" s="41" t="str">
        <f t="shared" ref="OV4:OV30" si="120">IF(SUM(OA4:OB4,OD4:OF4,OH4)-OC4-OG4&gt;0,SUM(OA4:OB4,OD4:OF4,OH4)-OC4-OG4,"")</f>
        <v/>
      </c>
      <c r="OW4" s="41" t="str">
        <f t="shared" ref="OW4:OW30" si="121">IF(SUM(OI4:OJ4,OL4)-OK4&gt;0,SUM(OI4:OJ4,OL4)-OK4,"")</f>
        <v/>
      </c>
      <c r="OX4" s="41" t="str">
        <f t="shared" ref="OX4:OX30" si="122">IF(SUM(OB4,OF4,OJ4)&gt;0,SUM(OB4,OF4,OJ4),"")</f>
        <v/>
      </c>
      <c r="OY4" s="41" t="str">
        <f t="shared" ref="OY4:OY30" si="123">IF(SUM(OV4,OW4)&gt;0,SUM(OV4,OW4),"")</f>
        <v/>
      </c>
      <c r="OZ4" s="41" t="str">
        <f t="shared" ref="OZ4:OZ30" si="124">IF(SUM(ON4,OR4)&gt;0,SUM(ON4,OR4),"")</f>
        <v/>
      </c>
      <c r="PA4" s="41" t="str">
        <f t="shared" ref="PA4:PA30" si="125">IF(SUM(OM4:ON4,OP4:OR4,OT4)-SUM(OO4,OS4)&gt;0,SUM(OM4:ON4,OP4:OR4,OT4)-SUM(OO4,OS4),"")</f>
        <v/>
      </c>
      <c r="PB4" s="41" t="str">
        <f t="shared" ref="PB4:PB30" si="126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30" si="127">IF(SUM(PD4,PH4)&gt;0,SUM(PD4,PH4),"")</f>
        <v/>
      </c>
      <c r="PX4" s="11" t="str">
        <f t="shared" ref="PX4:PX30" si="128">IF(SUM(PC4:PD4,PF4:PH4,PJ4)-PE4-PI4&gt;0,SUM(PC4:PD4,PF4:PH4,PJ4)-PE4-PI4,"")</f>
        <v/>
      </c>
      <c r="PY4" s="11" t="str">
        <f t="shared" ref="PY4:PY30" si="129">IF(SUM(PK4:PL4,PN4)-PM4&gt;0,SUM(PK4:PL4,PN4)-PM4,"")</f>
        <v/>
      </c>
      <c r="PZ4" s="11" t="str">
        <f t="shared" ref="PZ4:PZ30" si="130">IF(SUM(PD4,PH4,PL4)&gt;0,SUM(PD4,PH4,PL4),"")</f>
        <v/>
      </c>
      <c r="QA4" s="11" t="str">
        <f t="shared" ref="QA4:QA30" si="131">IF(SUM(PX4,PY4)&gt;0,SUM(PX4,PY4),"")</f>
        <v/>
      </c>
      <c r="QB4" s="11" t="str">
        <f t="shared" ref="QB4:QB30" si="132">IF(SUM(PP4,PT4)&gt;0,SUM(PP4,PT4),"")</f>
        <v/>
      </c>
      <c r="QC4" s="11" t="str">
        <f t="shared" ref="QC4:QC30" si="133">IF(SUM(PO4:PP4,PR4:PT4,PV4)-SUM(PQ4,PU4)&gt;0,SUM(PO4:PP4,PR4:PT4,PV4)-SUM(PQ4,PU4),"")</f>
        <v/>
      </c>
      <c r="QD4" s="11" t="str">
        <f t="shared" ref="QD4:QD30" si="134">IF(SUM(PX4,PY4,QC4)&gt;0,SUM(PX4,PY4,QC4),"")</f>
        <v/>
      </c>
      <c r="QE4" s="23">
        <f t="shared" ref="QE4:QE30" si="135">IF($CU4="P",CA4,(CA4+AX4)/2)</f>
        <v>19.2</v>
      </c>
      <c r="QF4" s="23">
        <f t="shared" ref="QF4:QF30" si="136">IF($CU4="P",CB4,(CB4+AY4)/2)</f>
        <v>10</v>
      </c>
      <c r="QG4" s="23">
        <f t="shared" ref="QG4:QG30" si="137">IF($CU4="P",CC4,(CC4+AZ4)/2)</f>
        <v>0.3</v>
      </c>
      <c r="QH4" s="23">
        <f t="shared" ref="QH4:QH30" si="138">IF($CU4="P",CD4,(CD4+BA4)/2)</f>
        <v>0.6</v>
      </c>
      <c r="QI4" s="23">
        <f t="shared" ref="QI4:QI30" si="139">IF($CU4="P",CE4,(CE4+BB4)/2)</f>
        <v>18.8</v>
      </c>
      <c r="QJ4" s="23">
        <f t="shared" ref="QJ4:QJ30" si="140">IF($CU4="P",CF4,(CF4+BC4)/2)</f>
        <v>9.6</v>
      </c>
      <c r="QK4" s="23">
        <f t="shared" ref="QK4:QK30" si="141">IF($CU4="P",CG4,(CG4+BD4)/2)</f>
        <v>0.1</v>
      </c>
      <c r="QL4" s="23">
        <f t="shared" ref="QL4:QL30" si="142">IF($CU4="P",CH4,(CH4+BE4)/2)</f>
        <v>0.3</v>
      </c>
      <c r="QM4" s="23">
        <f t="shared" ref="QM4:QM30" si="143">IF($CU4="P",CI4,(CI4+BF4)/2)</f>
        <v>18.5</v>
      </c>
      <c r="QN4" s="23">
        <f t="shared" ref="QN4:QN30" si="144">IF($CU4="P",CJ4,(CJ4+BG4)/2)</f>
        <v>10.199999999999999</v>
      </c>
      <c r="QO4" s="23">
        <f t="shared" ref="QO4:QO30" si="145">IF($CU4="P",CK4,(CK4+BH4)/2)</f>
        <v>0.6</v>
      </c>
      <c r="QP4" s="23">
        <f t="shared" ref="QP4:QP30" si="146">IF($CU4="P",CL4,(CL4+BI4)/2)</f>
        <v>0.44999999999999996</v>
      </c>
      <c r="QQ4" s="23">
        <f t="shared" ref="QQ4:QQ30" si="147">IF($CU4="P",CM4,(CM4+BJ4)/2)</f>
        <v>18.3</v>
      </c>
      <c r="QR4" s="23">
        <f t="shared" ref="QR4:QR30" si="148">IF($CU4="P",CN4,(CN4+BK4)/2)</f>
        <v>10.8</v>
      </c>
      <c r="QS4" s="23">
        <f t="shared" ref="QS4:QS30" si="149">IF($CU4="P",CO4,(CO4+BL4)/2)</f>
        <v>0.8</v>
      </c>
      <c r="QT4" s="23">
        <f t="shared" ref="QT4:QT30" si="150">IF($CU4="P",CP4,(CP4+BM4)/2)</f>
        <v>0.44999999999999996</v>
      </c>
      <c r="QU4" s="23">
        <f t="shared" ref="QU4:QU30" si="151">IF($CU4="P",CQ4,(CQ4+BN4)/2)</f>
        <v>18.75</v>
      </c>
      <c r="QV4" s="23">
        <f t="shared" ref="QV4:QV30" si="152">IF($CU4="P",CR4,(CR4+BO4)/2)</f>
        <v>10.95</v>
      </c>
      <c r="QW4" s="23">
        <f t="shared" ref="QW4:QW30" si="153">IF($CU4="P",CS4,(CS4+BP4)/2)</f>
        <v>0.3</v>
      </c>
      <c r="QX4" s="23">
        <f t="shared" ref="QX4:QX30" si="154">IF($CU4="P",CT4,(CT4+BQ4)/2)</f>
        <v>0.6</v>
      </c>
      <c r="QY4" s="28" t="s">
        <v>57</v>
      </c>
      <c r="QZ4" s="41">
        <f t="shared" ref="QZ4:QZ30" si="155">IF(SUM(QF4,QJ4)&gt;0,SUM(QF4,QJ4),"")</f>
        <v>19.600000000000001</v>
      </c>
      <c r="RA4" s="41">
        <f t="shared" ref="RA4:RA30" si="156">IF(SUM(QE4:QF4,QH4:QJ4,QL4)-QG4-QK4&gt;0,SUM(QE4:QF4,QH4:QJ4,QL4)-QG4-QK4,"")</f>
        <v>58.1</v>
      </c>
      <c r="RB4" s="41">
        <f t="shared" ref="RB4:RB30" si="157">IF(SUM(QM4:QN4,QP4)-QO4&gt;0,SUM(QM4:QN4,QP4)-QO4,"")</f>
        <v>28.549999999999997</v>
      </c>
      <c r="RC4" s="41">
        <f t="shared" ref="RC4:RC30" si="158">IF(SUM(QF4,QJ4,QN4)&gt;0,SUM(QF4,QJ4,QN4),"")</f>
        <v>29.8</v>
      </c>
      <c r="RD4" s="41">
        <f t="shared" ref="RD4:RD30" si="159">IF(SUM(RA4,RB4)&gt;0,SUM(RA4,RB4),"")</f>
        <v>86.65</v>
      </c>
      <c r="RE4" s="41">
        <f t="shared" ref="RE4:RE30" si="160">IF(SUM(QR4,QV4)&gt;0,SUM(QR4,QV4),"")</f>
        <v>21.75</v>
      </c>
      <c r="RF4" s="41">
        <f t="shared" ref="RF4:RF30" si="161">IF(SUM(QQ4:QR4,QT4:QV4,QX4)-SUM(QS4,QW4)&gt;0,SUM(QQ4:QR4,QT4:QV4,QX4)-SUM(QS4,QW4),"")</f>
        <v>58.75</v>
      </c>
      <c r="RG4" s="41">
        <f t="shared" ref="RG4:RG30" si="162">IF(SUM(RA4,RB4,RF4)&gt;0,SUM(RA4,RB4,RF4),"")</f>
        <v>145.4</v>
      </c>
    </row>
    <row r="5" spans="1:475" x14ac:dyDescent="0.2">
      <c r="A5" s="4" cm="1">
        <f t="array" ref="A5">IF(AND(H5&lt;&gt;"",H5&lt;&gt;"No DD"),SUMPRODUCT((H$4:H$31&lt;&gt;"")*(H$4:H$31&lt;&gt;"No DD")*(E$4:E$31&gt;E5))+1,IF(H5="No DD",SUMPRODUCT((H$4:H$31="No DD")*(E$4:E$31&gt;E5))+1+SUMPRODUCT((H$4:H$31&lt;&gt;"")*(H$4:H$31&lt;&gt;"No DD")),""))</f>
        <v>2</v>
      </c>
      <c r="B5" s="5" t="s">
        <v>87</v>
      </c>
      <c r="C5" s="4" t="s">
        <v>5</v>
      </c>
      <c r="D5" s="4">
        <v>2003</v>
      </c>
      <c r="E5" s="9">
        <f t="shared" ref="E5:E30" si="163">SUM(J5:R5)+SUM(J5:O5)*0.0000001+SUM(J5)*0.0000000000001</f>
        <v>186.90001313000539</v>
      </c>
      <c r="F5" s="3" t="str">
        <f t="shared" si="0"/>
        <v>P</v>
      </c>
      <c r="G5" s="3" t="str">
        <f t="shared" si="1"/>
        <v>P</v>
      </c>
      <c r="H5" s="37" t="str">
        <f t="shared" si="2"/>
        <v>Excellence</v>
      </c>
      <c r="I5" s="3" t="str">
        <f t="shared" si="3"/>
        <v>P</v>
      </c>
      <c r="J5" s="8">
        <f>IF(COUNT(AQ5,BT5,CW5)&gt;0,LARGE((AQ5,BT5,CW5),1),0)</f>
        <v>53.6</v>
      </c>
      <c r="K5" s="8" t="str">
        <f t="shared" si="4"/>
        <v>2023 Nationals</v>
      </c>
      <c r="L5" s="8">
        <f>IF(COUNT(AQ5,BT5,CW5)&gt;1,LARGE((AQ5,BT5,CW5),2),0)</f>
        <v>50.9</v>
      </c>
      <c r="M5" s="8" t="str">
        <f t="shared" si="5"/>
        <v>2023 Domestic 3rd Trial</v>
      </c>
      <c r="N5" s="8">
        <f>IF(COUNT(AR5,BU5,CX5)&gt;0,LARGE((AR5,BU5,CX5),1),0)</f>
        <v>26.8</v>
      </c>
      <c r="O5" s="8" t="str">
        <f t="shared" si="6"/>
        <v>2023 Domestic 3rd Trial</v>
      </c>
      <c r="P5" s="8">
        <f t="shared" si="7"/>
        <v>52.199999999999989</v>
      </c>
      <c r="Q5" s="8" t="str">
        <f t="shared" si="8"/>
        <v>2023 Domestic 3rd Trial</v>
      </c>
      <c r="R5" s="8">
        <f t="shared" si="9"/>
        <v>3.3999999999999986</v>
      </c>
      <c r="S5" s="11" t="str">
        <f t="shared" si="10"/>
        <v>(Q1)</v>
      </c>
      <c r="T5" s="8" t="str">
        <f t="shared" si="11"/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 t="shared" si="12"/>
        <v>16</v>
      </c>
      <c r="AQ5" s="41">
        <f t="shared" si="13"/>
        <v>50.800000000000004</v>
      </c>
      <c r="AR5" s="41">
        <f t="shared" si="14"/>
        <v>26.7</v>
      </c>
      <c r="AS5" s="41">
        <f t="shared" si="15"/>
        <v>23.6</v>
      </c>
      <c r="AT5" s="41">
        <f t="shared" si="16"/>
        <v>77.5</v>
      </c>
      <c r="AU5" s="41">
        <f t="shared" si="17"/>
        <v>14.8</v>
      </c>
      <c r="AV5" s="41">
        <f t="shared" si="18"/>
        <v>51.3</v>
      </c>
      <c r="AW5" s="41">
        <f t="shared" si="19"/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 t="shared" si="20"/>
        <v>16.799999999999997</v>
      </c>
      <c r="BT5" s="11">
        <f t="shared" si="21"/>
        <v>53.6</v>
      </c>
      <c r="BU5" s="11">
        <f t="shared" si="22"/>
        <v>26.499999999999996</v>
      </c>
      <c r="BV5" s="11">
        <f t="shared" si="23"/>
        <v>25.199999999999996</v>
      </c>
      <c r="BW5" s="11">
        <f t="shared" si="24"/>
        <v>80.099999999999994</v>
      </c>
      <c r="BX5" s="11">
        <f t="shared" si="25"/>
        <v>14.8</v>
      </c>
      <c r="BY5" s="11">
        <f t="shared" si="26"/>
        <v>50.9</v>
      </c>
      <c r="BZ5" s="11">
        <f t="shared" si="27"/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 t="shared" si="28"/>
        <v>14.8</v>
      </c>
      <c r="CW5" s="41">
        <f t="shared" si="29"/>
        <v>50.9</v>
      </c>
      <c r="CX5" s="41">
        <f t="shared" si="30"/>
        <v>26.8</v>
      </c>
      <c r="CY5" s="41">
        <f t="shared" si="31"/>
        <v>23.6</v>
      </c>
      <c r="CZ5" s="41">
        <f t="shared" si="32"/>
        <v>77.7</v>
      </c>
      <c r="DA5" s="41">
        <f t="shared" si="33"/>
        <v>16.8</v>
      </c>
      <c r="DB5" s="41">
        <f t="shared" si="34"/>
        <v>52.199999999999989</v>
      </c>
      <c r="DC5" s="41">
        <f t="shared" si="35"/>
        <v>129.89999999999998</v>
      </c>
      <c r="DD5" s="52">
        <f t="shared" si="36"/>
        <v>3.3999999999999986</v>
      </c>
      <c r="DE5" s="52" t="str">
        <f t="shared" si="37"/>
        <v/>
      </c>
      <c r="DF5" s="52">
        <f t="shared" si="38"/>
        <v>1.4000000000000128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39"/>
        <v/>
      </c>
      <c r="EB5" s="41" t="str">
        <f t="shared" si="40"/>
        <v/>
      </c>
      <c r="EC5" s="41" t="str">
        <f t="shared" si="41"/>
        <v/>
      </c>
      <c r="ED5" s="41" t="str">
        <f t="shared" si="42"/>
        <v/>
      </c>
      <c r="EE5" s="41" t="str">
        <f t="shared" si="43"/>
        <v/>
      </c>
      <c r="EF5" s="41" t="str">
        <f t="shared" si="44"/>
        <v/>
      </c>
      <c r="EG5" s="41" t="str">
        <f t="shared" si="45"/>
        <v/>
      </c>
      <c r="EH5" s="41" t="str">
        <f t="shared" si="46"/>
        <v/>
      </c>
      <c r="EI5" s="18">
        <v>17.2</v>
      </c>
      <c r="EJ5" s="18">
        <v>3.2</v>
      </c>
      <c r="EK5" s="18">
        <v>0</v>
      </c>
      <c r="EL5" s="18">
        <v>0</v>
      </c>
      <c r="EM5" s="18">
        <v>18</v>
      </c>
      <c r="EN5" s="18">
        <v>3.6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7"/>
        <v>6.8000000000000007</v>
      </c>
      <c r="FD5" s="11">
        <f t="shared" si="48"/>
        <v>41.4</v>
      </c>
      <c r="FE5" s="11" t="str">
        <f t="shared" si="49"/>
        <v/>
      </c>
      <c r="FF5" s="11">
        <f t="shared" si="50"/>
        <v>6.8000000000000007</v>
      </c>
      <c r="FG5" s="11">
        <f t="shared" si="51"/>
        <v>41.4</v>
      </c>
      <c r="FH5" s="11" t="str">
        <f t="shared" si="52"/>
        <v/>
      </c>
      <c r="FI5" s="11" t="str">
        <f t="shared" si="53"/>
        <v/>
      </c>
      <c r="FJ5" s="11">
        <f t="shared" si="54"/>
        <v>41.4</v>
      </c>
      <c r="FK5" s="17">
        <v>18.899999999999999</v>
      </c>
      <c r="FL5" s="17">
        <v>8.4</v>
      </c>
      <c r="FM5" s="17">
        <v>0</v>
      </c>
      <c r="FN5" s="17">
        <v>0</v>
      </c>
      <c r="FO5" s="17">
        <v>18.600000000000001</v>
      </c>
      <c r="FP5" s="17">
        <v>8.4</v>
      </c>
      <c r="FQ5" s="17">
        <v>0</v>
      </c>
      <c r="FR5" s="17">
        <v>0</v>
      </c>
      <c r="FS5" s="17"/>
      <c r="FT5" s="17"/>
      <c r="FU5" s="17"/>
      <c r="FV5" s="17"/>
      <c r="FW5" s="17">
        <v>18.8</v>
      </c>
      <c r="FX5" s="17">
        <v>9.1999999999999993</v>
      </c>
      <c r="FY5" s="17">
        <v>0</v>
      </c>
      <c r="FZ5" s="17">
        <v>0</v>
      </c>
      <c r="GA5" s="17">
        <v>18.2</v>
      </c>
      <c r="GB5" s="17">
        <v>8</v>
      </c>
      <c r="GC5" s="17">
        <v>0.6</v>
      </c>
      <c r="GD5" s="17">
        <v>0</v>
      </c>
      <c r="GE5" s="41">
        <f t="shared" si="55"/>
        <v>16.8</v>
      </c>
      <c r="GF5" s="41">
        <f t="shared" si="56"/>
        <v>54.3</v>
      </c>
      <c r="GG5" s="41" t="str">
        <f t="shared" si="57"/>
        <v/>
      </c>
      <c r="GH5" s="41">
        <f t="shared" si="58"/>
        <v>16.8</v>
      </c>
      <c r="GI5" s="41">
        <f t="shared" si="59"/>
        <v>54.3</v>
      </c>
      <c r="GJ5" s="41">
        <f t="shared" si="60"/>
        <v>17.2</v>
      </c>
      <c r="GK5" s="41">
        <f t="shared" si="61"/>
        <v>53.6</v>
      </c>
      <c r="GL5" s="41">
        <f t="shared" si="62"/>
        <v>107.9</v>
      </c>
      <c r="GM5" s="18">
        <v>18.100000000000001</v>
      </c>
      <c r="GN5" s="18">
        <v>8</v>
      </c>
      <c r="GO5" s="18">
        <v>0.8</v>
      </c>
      <c r="GP5" s="18">
        <v>0</v>
      </c>
      <c r="GQ5" s="18">
        <v>17.899999999999999</v>
      </c>
      <c r="GR5" s="18">
        <v>8.8000000000000007</v>
      </c>
      <c r="GS5" s="18">
        <v>0.6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3"/>
        <v>16.8</v>
      </c>
      <c r="HH5" s="11">
        <f t="shared" si="64"/>
        <v>51.4</v>
      </c>
      <c r="HI5" s="11" t="str">
        <f t="shared" si="65"/>
        <v/>
      </c>
      <c r="HJ5" s="11">
        <f t="shared" si="66"/>
        <v>16.8</v>
      </c>
      <c r="HK5" s="11">
        <f t="shared" si="67"/>
        <v>51.4</v>
      </c>
      <c r="HL5" s="11" t="str">
        <f t="shared" si="68"/>
        <v/>
      </c>
      <c r="HM5" s="11" t="str">
        <f t="shared" si="69"/>
        <v/>
      </c>
      <c r="HN5" s="11">
        <f t="shared" si="70"/>
        <v>51.4</v>
      </c>
      <c r="HO5" s="17">
        <v>18.399999999999999</v>
      </c>
      <c r="HP5" s="17">
        <v>8.8000000000000007</v>
      </c>
      <c r="HQ5" s="17">
        <v>0</v>
      </c>
      <c r="HR5" s="17">
        <v>0</v>
      </c>
      <c r="HS5" s="17">
        <v>18.100000000000001</v>
      </c>
      <c r="HT5" s="17">
        <v>7.2</v>
      </c>
      <c r="HU5" s="17">
        <v>0.6</v>
      </c>
      <c r="HV5" s="17">
        <v>0</v>
      </c>
      <c r="HW5" s="17"/>
      <c r="HX5" s="17"/>
      <c r="HY5" s="17"/>
      <c r="HZ5" s="17"/>
      <c r="IA5" s="17">
        <v>18.600000000000001</v>
      </c>
      <c r="IB5" s="17">
        <v>9.1999999999999993</v>
      </c>
      <c r="IC5" s="17">
        <v>0.6</v>
      </c>
      <c r="ID5" s="17">
        <v>0</v>
      </c>
      <c r="IE5" s="17">
        <v>18.399999999999999</v>
      </c>
      <c r="IF5" s="17">
        <v>8.4</v>
      </c>
      <c r="IG5" s="17">
        <v>0.6</v>
      </c>
      <c r="IH5" s="17">
        <v>0</v>
      </c>
      <c r="II5" s="41">
        <f t="shared" si="71"/>
        <v>16</v>
      </c>
      <c r="IJ5" s="41">
        <f t="shared" si="72"/>
        <v>51.9</v>
      </c>
      <c r="IK5" s="41" t="str">
        <f t="shared" si="73"/>
        <v/>
      </c>
      <c r="IL5" s="41">
        <f t="shared" si="74"/>
        <v>16</v>
      </c>
      <c r="IM5" s="41">
        <f t="shared" si="75"/>
        <v>51.9</v>
      </c>
      <c r="IN5" s="41">
        <f t="shared" si="76"/>
        <v>17.600000000000001</v>
      </c>
      <c r="IO5" s="41">
        <f t="shared" si="77"/>
        <v>53.4</v>
      </c>
      <c r="IP5" s="41">
        <f t="shared" si="78"/>
        <v>105.3</v>
      </c>
      <c r="IQ5" s="18">
        <v>18.100000000000001</v>
      </c>
      <c r="IR5" s="18">
        <v>9.1999999999999993</v>
      </c>
      <c r="IS5" s="18">
        <v>0.6</v>
      </c>
      <c r="IT5" s="18">
        <v>0</v>
      </c>
      <c r="IU5" s="18">
        <v>18.600000000000001</v>
      </c>
      <c r="IV5" s="18">
        <v>8.4</v>
      </c>
      <c r="IW5" s="18">
        <v>0</v>
      </c>
      <c r="IX5" s="18">
        <v>0</v>
      </c>
      <c r="IY5" s="18">
        <v>18.8</v>
      </c>
      <c r="IZ5" s="18">
        <v>7.6</v>
      </c>
      <c r="JA5" s="18">
        <v>0</v>
      </c>
      <c r="JB5" s="18">
        <v>0</v>
      </c>
      <c r="JC5" s="18">
        <v>18.399999999999999</v>
      </c>
      <c r="JD5" s="18">
        <v>7.6</v>
      </c>
      <c r="JE5" s="18">
        <v>0</v>
      </c>
      <c r="JF5" s="18">
        <v>0</v>
      </c>
      <c r="JG5" s="18"/>
      <c r="JH5" s="18"/>
      <c r="JI5" s="18"/>
      <c r="JJ5" s="18"/>
      <c r="JK5" s="11">
        <f t="shared" si="79"/>
        <v>17.600000000000001</v>
      </c>
      <c r="JL5" s="11">
        <f t="shared" si="80"/>
        <v>53.7</v>
      </c>
      <c r="JM5" s="11">
        <f t="shared" si="81"/>
        <v>26.4</v>
      </c>
      <c r="JN5" s="11">
        <f t="shared" si="82"/>
        <v>25.200000000000003</v>
      </c>
      <c r="JO5" s="11">
        <f t="shared" si="83"/>
        <v>80.099999999999994</v>
      </c>
      <c r="JP5" s="11">
        <f t="shared" si="84"/>
        <v>7.6</v>
      </c>
      <c r="JQ5" s="11">
        <f t="shared" si="85"/>
        <v>26</v>
      </c>
      <c r="JR5" s="11">
        <f t="shared" si="86"/>
        <v>106.1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7"/>
        <v/>
      </c>
      <c r="KN5" s="41" t="str">
        <f t="shared" si="88"/>
        <v/>
      </c>
      <c r="KO5" s="41" t="str">
        <f t="shared" si="89"/>
        <v/>
      </c>
      <c r="KP5" s="41" t="str">
        <f t="shared" si="90"/>
        <v/>
      </c>
      <c r="KQ5" s="41" t="str">
        <f t="shared" si="91"/>
        <v/>
      </c>
      <c r="KR5" s="41" t="str">
        <f t="shared" si="92"/>
        <v/>
      </c>
      <c r="KS5" s="41" t="str">
        <f t="shared" si="93"/>
        <v/>
      </c>
      <c r="KT5" s="41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3"/>
        <v/>
      </c>
      <c r="MR5" s="41" t="str">
        <f t="shared" si="104"/>
        <v/>
      </c>
      <c r="MS5" s="41" t="str">
        <f t="shared" si="105"/>
        <v/>
      </c>
      <c r="MT5" s="41" t="str">
        <f t="shared" si="106"/>
        <v/>
      </c>
      <c r="MU5" s="41" t="str">
        <f t="shared" si="107"/>
        <v/>
      </c>
      <c r="MV5" s="41" t="str">
        <f t="shared" si="108"/>
        <v/>
      </c>
      <c r="MW5" s="41" t="str">
        <f t="shared" si="109"/>
        <v/>
      </c>
      <c r="MX5" s="41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18.649999999999999</v>
      </c>
      <c r="QF5" s="23">
        <f t="shared" si="136"/>
        <v>7.4</v>
      </c>
      <c r="QG5" s="23">
        <f t="shared" si="137"/>
        <v>0.6</v>
      </c>
      <c r="QH5" s="23">
        <f t="shared" si="138"/>
        <v>0</v>
      </c>
      <c r="QI5" s="23">
        <f t="shared" si="139"/>
        <v>18.25</v>
      </c>
      <c r="QJ5" s="23">
        <f t="shared" si="140"/>
        <v>8.3999999999999986</v>
      </c>
      <c r="QK5" s="23">
        <f t="shared" si="141"/>
        <v>0</v>
      </c>
      <c r="QL5" s="23">
        <f t="shared" si="142"/>
        <v>0.15</v>
      </c>
      <c r="QM5" s="23">
        <f t="shared" si="143"/>
        <v>18.45</v>
      </c>
      <c r="QN5" s="23">
        <f t="shared" si="144"/>
        <v>8.6000000000000014</v>
      </c>
      <c r="QO5" s="23">
        <f t="shared" si="145"/>
        <v>0.7</v>
      </c>
      <c r="QP5" s="23">
        <f t="shared" si="146"/>
        <v>0.3</v>
      </c>
      <c r="QQ5" s="23">
        <f t="shared" si="147"/>
        <v>18.5</v>
      </c>
      <c r="QR5" s="23">
        <f t="shared" si="148"/>
        <v>7.6</v>
      </c>
      <c r="QS5" s="23">
        <f t="shared" si="149"/>
        <v>1</v>
      </c>
      <c r="QT5" s="23">
        <f t="shared" si="150"/>
        <v>0</v>
      </c>
      <c r="QU5" s="23">
        <f t="shared" si="151"/>
        <v>18.55</v>
      </c>
      <c r="QV5" s="23">
        <f t="shared" si="152"/>
        <v>8.1999999999999993</v>
      </c>
      <c r="QW5" s="23">
        <f t="shared" si="153"/>
        <v>0.6</v>
      </c>
      <c r="QX5" s="23">
        <f t="shared" si="154"/>
        <v>0.3</v>
      </c>
      <c r="QY5" s="28" t="s">
        <v>57</v>
      </c>
      <c r="QZ5" s="41">
        <f t="shared" si="155"/>
        <v>15.799999999999999</v>
      </c>
      <c r="RA5" s="41">
        <f t="shared" si="156"/>
        <v>52.249999999999993</v>
      </c>
      <c r="RB5" s="41">
        <f t="shared" si="157"/>
        <v>26.650000000000002</v>
      </c>
      <c r="RC5" s="41">
        <f t="shared" si="158"/>
        <v>24.4</v>
      </c>
      <c r="RD5" s="41">
        <f t="shared" si="159"/>
        <v>78.899999999999991</v>
      </c>
      <c r="RE5" s="41">
        <f t="shared" si="160"/>
        <v>15.799999999999999</v>
      </c>
      <c r="RF5" s="41">
        <f t="shared" si="161"/>
        <v>51.550000000000004</v>
      </c>
      <c r="RG5" s="41">
        <f t="shared" si="162"/>
        <v>130.44999999999999</v>
      </c>
    </row>
    <row r="6" spans="1:475" x14ac:dyDescent="0.2">
      <c r="A6" s="4" cm="1">
        <f t="array" ref="A6">IF(AND(H6&lt;&gt;"",H6&lt;&gt;"No DD"),SUMPRODUCT((H$4:H$31&lt;&gt;"")*(H$4:H$31&lt;&gt;"No DD")*(E$4:E$31&gt;E6))+1,IF(H6="No DD",SUMPRODUCT((H$4:H$31="No DD")*(E$4:E$31&gt;E6))+1+SUMPRODUCT((H$4:H$31&lt;&gt;"")*(H$4:H$31&lt;&gt;"No DD")),""))</f>
        <v>3</v>
      </c>
      <c r="B6" s="5" t="s">
        <v>79</v>
      </c>
      <c r="C6" s="4" t="s">
        <v>3</v>
      </c>
      <c r="D6" s="4">
        <v>2003</v>
      </c>
      <c r="E6" s="9">
        <f t="shared" si="163"/>
        <v>186.80001300000518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51.5</v>
      </c>
      <c r="K6" s="8" t="str">
        <f t="shared" si="4"/>
        <v>2023 Domestic 3rd Trial</v>
      </c>
      <c r="L6" s="8">
        <f>IF(COUNT(AQ6,BT6,CW6)&gt;1,LARGE((AQ6,BT6,CW6),2),0)</f>
        <v>51.199999999999989</v>
      </c>
      <c r="M6" s="8" t="str">
        <f t="shared" si="5"/>
        <v>2023 Nationals</v>
      </c>
      <c r="N6" s="8">
        <f>IF(COUNT(AR6,BU6,CX6)&gt;0,LARGE((AR6,BU6,CX6),1),0)</f>
        <v>27.3</v>
      </c>
      <c r="O6" s="8" t="str">
        <f t="shared" si="6"/>
        <v>2023 Domestic 3rd Trial</v>
      </c>
      <c r="P6" s="8">
        <f t="shared" si="7"/>
        <v>52.600000000000009</v>
      </c>
      <c r="Q6" s="8" t="str">
        <f t="shared" si="8"/>
        <v>2023 Domestic 3rd Trial</v>
      </c>
      <c r="R6" s="8">
        <f t="shared" si="9"/>
        <v>4.2000000000000171</v>
      </c>
      <c r="S6" s="11" t="str">
        <f t="shared" si="10"/>
        <v>(Q1)</v>
      </c>
      <c r="T6" s="8" t="str">
        <f t="shared" si="11"/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 t="shared" si="12"/>
        <v/>
      </c>
      <c r="AQ6" s="41" t="str">
        <f t="shared" si="13"/>
        <v/>
      </c>
      <c r="AR6" s="41" t="str">
        <f t="shared" si="14"/>
        <v/>
      </c>
      <c r="AS6" s="41" t="str">
        <f t="shared" si="15"/>
        <v/>
      </c>
      <c r="AT6" s="41" t="str">
        <f t="shared" si="16"/>
        <v/>
      </c>
      <c r="AU6" s="41" t="str">
        <f t="shared" si="17"/>
        <v/>
      </c>
      <c r="AV6" s="41" t="str">
        <f t="shared" si="18"/>
        <v/>
      </c>
      <c r="AW6" s="41" t="str">
        <f t="shared" si="19"/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 t="shared" si="20"/>
        <v>14</v>
      </c>
      <c r="BT6" s="11">
        <f t="shared" si="21"/>
        <v>51.199999999999989</v>
      </c>
      <c r="BU6" s="11">
        <f t="shared" si="22"/>
        <v>21.200000000000003</v>
      </c>
      <c r="BV6" s="11">
        <f t="shared" si="23"/>
        <v>17.600000000000001</v>
      </c>
      <c r="BW6" s="11">
        <f t="shared" si="24"/>
        <v>72.399999999999991</v>
      </c>
      <c r="BX6" s="11" t="str">
        <f t="shared" si="25"/>
        <v/>
      </c>
      <c r="BY6" s="11" t="str">
        <f t="shared" si="26"/>
        <v/>
      </c>
      <c r="BZ6" s="11">
        <f t="shared" si="27"/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 t="shared" si="28"/>
        <v>16.399999999999999</v>
      </c>
      <c r="CW6" s="41">
        <f t="shared" si="29"/>
        <v>51.5</v>
      </c>
      <c r="CX6" s="41">
        <f t="shared" si="30"/>
        <v>27.3</v>
      </c>
      <c r="CY6" s="41">
        <f t="shared" si="31"/>
        <v>24.799999999999997</v>
      </c>
      <c r="CZ6" s="41">
        <f t="shared" si="32"/>
        <v>78.8</v>
      </c>
      <c r="DA6" s="41">
        <f t="shared" si="33"/>
        <v>15.6</v>
      </c>
      <c r="DB6" s="41">
        <f t="shared" si="34"/>
        <v>52.600000000000009</v>
      </c>
      <c r="DC6" s="41">
        <f t="shared" si="35"/>
        <v>131.4</v>
      </c>
      <c r="DD6" s="52">
        <f t="shared" si="36"/>
        <v>4.2000000000000171</v>
      </c>
      <c r="DE6" s="52" t="str">
        <f t="shared" si="37"/>
        <v/>
      </c>
      <c r="DF6" s="52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39"/>
        <v/>
      </c>
      <c r="EB6" s="41" t="str">
        <f t="shared" si="40"/>
        <v/>
      </c>
      <c r="EC6" s="41" t="str">
        <f t="shared" si="41"/>
        <v/>
      </c>
      <c r="ED6" s="41" t="str">
        <f t="shared" si="42"/>
        <v/>
      </c>
      <c r="EE6" s="41" t="str">
        <f t="shared" si="43"/>
        <v/>
      </c>
      <c r="EF6" s="41" t="str">
        <f t="shared" si="44"/>
        <v/>
      </c>
      <c r="EG6" s="41" t="str">
        <f t="shared" si="45"/>
        <v/>
      </c>
      <c r="EH6" s="41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>
        <v>18.600000000000001</v>
      </c>
      <c r="GN6" s="18">
        <v>9.1999999999999993</v>
      </c>
      <c r="GO6" s="18">
        <v>0.2</v>
      </c>
      <c r="GP6" s="18">
        <v>0</v>
      </c>
      <c r="GQ6" s="18">
        <v>18.600000000000001</v>
      </c>
      <c r="GR6" s="18">
        <v>9.1999999999999993</v>
      </c>
      <c r="GS6" s="18">
        <v>0</v>
      </c>
      <c r="GT6" s="18">
        <v>0</v>
      </c>
      <c r="GU6" s="18"/>
      <c r="GV6" s="18"/>
      <c r="GW6" s="18"/>
      <c r="GX6" s="18"/>
      <c r="GY6" s="18">
        <v>18.399999999999999</v>
      </c>
      <c r="GZ6" s="18">
        <v>10</v>
      </c>
      <c r="HA6" s="18">
        <v>0.6</v>
      </c>
      <c r="HB6" s="18">
        <v>0</v>
      </c>
      <c r="HC6" s="18"/>
      <c r="HD6" s="18"/>
      <c r="HE6" s="18"/>
      <c r="HF6" s="18"/>
      <c r="HG6" s="11">
        <f t="shared" si="63"/>
        <v>18.399999999999999</v>
      </c>
      <c r="HH6" s="11">
        <f t="shared" si="64"/>
        <v>55.400000000000006</v>
      </c>
      <c r="HI6" s="11" t="str">
        <f t="shared" si="65"/>
        <v/>
      </c>
      <c r="HJ6" s="11">
        <f t="shared" si="66"/>
        <v>18.399999999999999</v>
      </c>
      <c r="HK6" s="11">
        <f t="shared" si="67"/>
        <v>55.400000000000006</v>
      </c>
      <c r="HL6" s="11">
        <f t="shared" si="68"/>
        <v>10</v>
      </c>
      <c r="HM6" s="11">
        <f t="shared" si="69"/>
        <v>27.799999999999997</v>
      </c>
      <c r="HN6" s="11">
        <f t="shared" si="70"/>
        <v>83.2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1"/>
        <v/>
      </c>
      <c r="IJ6" s="41" t="str">
        <f t="shared" si="72"/>
        <v/>
      </c>
      <c r="IK6" s="41" t="str">
        <f t="shared" si="73"/>
        <v/>
      </c>
      <c r="IL6" s="41" t="str">
        <f t="shared" si="74"/>
        <v/>
      </c>
      <c r="IM6" s="41" t="str">
        <f t="shared" si="75"/>
        <v/>
      </c>
      <c r="IN6" s="41" t="str">
        <f t="shared" si="76"/>
        <v/>
      </c>
      <c r="IO6" s="41" t="str">
        <f t="shared" si="77"/>
        <v/>
      </c>
      <c r="IP6" s="41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 t="str">
        <f t="shared" si="92"/>
        <v/>
      </c>
      <c r="KS6" s="41" t="str">
        <f t="shared" si="93"/>
        <v/>
      </c>
      <c r="KT6" s="41" t="str">
        <f t="shared" si="94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9"/>
        <v/>
      </c>
      <c r="OV6" s="41" t="str">
        <f t="shared" si="120"/>
        <v/>
      </c>
      <c r="OW6" s="41" t="str">
        <f t="shared" si="121"/>
        <v/>
      </c>
      <c r="OX6" s="41" t="str">
        <f t="shared" si="122"/>
        <v/>
      </c>
      <c r="OY6" s="41" t="str">
        <f t="shared" si="123"/>
        <v/>
      </c>
      <c r="OZ6" s="41" t="str">
        <f t="shared" si="124"/>
        <v/>
      </c>
      <c r="PA6" s="41" t="str">
        <f t="shared" si="125"/>
        <v/>
      </c>
      <c r="PB6" s="41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18.149999999999999</v>
      </c>
      <c r="QF6" s="23">
        <f t="shared" si="136"/>
        <v>8.6</v>
      </c>
      <c r="QG6" s="23">
        <f t="shared" si="137"/>
        <v>0.6</v>
      </c>
      <c r="QH6" s="23">
        <f t="shared" si="138"/>
        <v>0.3</v>
      </c>
      <c r="QI6" s="23">
        <f t="shared" si="139"/>
        <v>18.350000000000001</v>
      </c>
      <c r="QJ6" s="23">
        <f t="shared" si="140"/>
        <v>6.6</v>
      </c>
      <c r="QK6" s="23">
        <f t="shared" si="141"/>
        <v>0.2</v>
      </c>
      <c r="QL6" s="23">
        <f t="shared" si="142"/>
        <v>0.15</v>
      </c>
      <c r="QM6" s="23">
        <f t="shared" si="143"/>
        <v>18.3</v>
      </c>
      <c r="QN6" s="23">
        <f t="shared" si="144"/>
        <v>6</v>
      </c>
      <c r="QO6" s="23">
        <f t="shared" si="145"/>
        <v>0.2</v>
      </c>
      <c r="QP6" s="23">
        <f t="shared" si="146"/>
        <v>0.15</v>
      </c>
      <c r="QQ6" s="23">
        <f t="shared" si="147"/>
        <v>9.5500000000000007</v>
      </c>
      <c r="QR6" s="23">
        <f t="shared" si="148"/>
        <v>4</v>
      </c>
      <c r="QS6" s="23">
        <f t="shared" si="149"/>
        <v>0.3</v>
      </c>
      <c r="QT6" s="23">
        <f t="shared" si="150"/>
        <v>0.15</v>
      </c>
      <c r="QU6" s="23">
        <f t="shared" si="151"/>
        <v>9.5</v>
      </c>
      <c r="QV6" s="23">
        <f t="shared" si="152"/>
        <v>3.8</v>
      </c>
      <c r="QW6" s="23">
        <f t="shared" si="153"/>
        <v>0.4</v>
      </c>
      <c r="QX6" s="23">
        <f t="shared" si="154"/>
        <v>0</v>
      </c>
      <c r="QY6" s="28" t="s">
        <v>57</v>
      </c>
      <c r="QZ6" s="41">
        <f t="shared" si="155"/>
        <v>15.2</v>
      </c>
      <c r="RA6" s="41">
        <f t="shared" si="156"/>
        <v>51.35</v>
      </c>
      <c r="RB6" s="41">
        <f t="shared" si="157"/>
        <v>24.25</v>
      </c>
      <c r="RC6" s="41">
        <f t="shared" si="158"/>
        <v>21.2</v>
      </c>
      <c r="RD6" s="41">
        <f t="shared" si="159"/>
        <v>75.599999999999994</v>
      </c>
      <c r="RE6" s="41">
        <f t="shared" si="160"/>
        <v>7.8</v>
      </c>
      <c r="RF6" s="41">
        <f t="shared" si="161"/>
        <v>26.300000000000004</v>
      </c>
      <c r="RG6" s="41">
        <f t="shared" si="162"/>
        <v>101.9</v>
      </c>
    </row>
    <row r="7" spans="1:475" x14ac:dyDescent="0.2">
      <c r="A7" s="4" cm="1">
        <f t="array" ref="A7">IF(AND(H7&lt;&gt;"",H7&lt;&gt;"No DD"),SUMPRODUCT((H$4:H$31&lt;&gt;"")*(H$4:H$31&lt;&gt;"No DD")*(E$4:E$31&gt;E7))+1,IF(H7="No DD",SUMPRODUCT((H$4:H$31="No DD")*(E$4:E$31&gt;E7))+1+SUMPRODUCT((H$4:H$31&lt;&gt;"")*(H$4:H$31&lt;&gt;"No DD")),""))</f>
        <v>4</v>
      </c>
      <c r="B7" s="5" t="s">
        <v>9</v>
      </c>
      <c r="C7" s="4" t="s">
        <v>5</v>
      </c>
      <c r="D7" s="4">
        <v>1994</v>
      </c>
      <c r="E7" s="9">
        <f t="shared" si="163"/>
        <v>185.40001324000536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53.400000000000006</v>
      </c>
      <c r="K7" s="8" t="str">
        <f t="shared" si="4"/>
        <v>2023 Domestic 3rd Trial</v>
      </c>
      <c r="L7" s="8">
        <f>IF(COUNT(AQ7,BT7,CW7)&gt;1,LARGE((AQ7,BT7,CW7),2),0)</f>
        <v>53.300000000000004</v>
      </c>
      <c r="M7" s="8" t="str">
        <f t="shared" si="5"/>
        <v>2023 Nationals</v>
      </c>
      <c r="N7" s="8">
        <f>IF(COUNT(AR7,BU7,CX7)&gt;0,LARGE((AR7,BU7,CX7),1),0)</f>
        <v>25.700000000000003</v>
      </c>
      <c r="O7" s="8" t="str">
        <f t="shared" si="6"/>
        <v>2023 Elite Canada</v>
      </c>
      <c r="P7" s="8">
        <f t="shared" si="7"/>
        <v>53</v>
      </c>
      <c r="Q7" s="8" t="str">
        <f t="shared" si="8"/>
        <v>2023 Domestic 3rd Trial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 t="shared" si="12"/>
        <v>14.8</v>
      </c>
      <c r="AQ7" s="41">
        <f t="shared" si="13"/>
        <v>51.3</v>
      </c>
      <c r="AR7" s="41">
        <f t="shared" si="14"/>
        <v>25.700000000000003</v>
      </c>
      <c r="AS7" s="41">
        <f t="shared" si="15"/>
        <v>22.1</v>
      </c>
      <c r="AT7" s="41">
        <f t="shared" si="16"/>
        <v>77</v>
      </c>
      <c r="AU7" s="41">
        <f t="shared" si="17"/>
        <v>12</v>
      </c>
      <c r="AV7" s="41">
        <f t="shared" si="18"/>
        <v>47.4</v>
      </c>
      <c r="AW7" s="41">
        <f t="shared" si="19"/>
        <v>124.4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 t="shared" si="20"/>
        <v>15.600000000000001</v>
      </c>
      <c r="BT7" s="11">
        <f t="shared" si="21"/>
        <v>53.300000000000004</v>
      </c>
      <c r="BU7" s="11">
        <f t="shared" si="22"/>
        <v>20.900000000000002</v>
      </c>
      <c r="BV7" s="11">
        <f t="shared" si="23"/>
        <v>21</v>
      </c>
      <c r="BW7" s="11">
        <f t="shared" si="24"/>
        <v>74.2</v>
      </c>
      <c r="BX7" s="11">
        <f t="shared" si="25"/>
        <v>15.600000000000001</v>
      </c>
      <c r="BY7" s="11">
        <f t="shared" si="26"/>
        <v>52.7</v>
      </c>
      <c r="BZ7" s="11">
        <f t="shared" si="27"/>
        <v>126.9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 t="shared" si="28"/>
        <v>15.600000000000001</v>
      </c>
      <c r="CW7" s="41">
        <f t="shared" si="29"/>
        <v>53.400000000000006</v>
      </c>
      <c r="CX7" s="41">
        <f t="shared" si="30"/>
        <v>25.299999999999997</v>
      </c>
      <c r="CY7" s="41">
        <f t="shared" si="31"/>
        <v>22</v>
      </c>
      <c r="CZ7" s="41">
        <f t="shared" si="32"/>
        <v>78.7</v>
      </c>
      <c r="DA7" s="41">
        <f t="shared" si="33"/>
        <v>16.5</v>
      </c>
      <c r="DB7" s="41">
        <f t="shared" si="34"/>
        <v>53</v>
      </c>
      <c r="DC7" s="41">
        <f t="shared" si="35"/>
        <v>131.69999999999999</v>
      </c>
      <c r="DD7" s="52" t="str">
        <f t="shared" si="36"/>
        <v/>
      </c>
      <c r="DE7" s="52" t="str">
        <f t="shared" si="37"/>
        <v/>
      </c>
      <c r="DF7" s="52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39"/>
        <v/>
      </c>
      <c r="EB7" s="41" t="str">
        <f t="shared" si="40"/>
        <v/>
      </c>
      <c r="EC7" s="41" t="str">
        <f t="shared" si="41"/>
        <v/>
      </c>
      <c r="ED7" s="41" t="str">
        <f t="shared" si="42"/>
        <v/>
      </c>
      <c r="EE7" s="41" t="str">
        <f t="shared" si="43"/>
        <v/>
      </c>
      <c r="EF7" s="41" t="str">
        <f t="shared" si="44"/>
        <v/>
      </c>
      <c r="EG7" s="41" t="str">
        <f t="shared" si="45"/>
        <v/>
      </c>
      <c r="EH7" s="41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1"/>
        <v/>
      </c>
      <c r="IJ7" s="41" t="str">
        <f t="shared" si="72"/>
        <v/>
      </c>
      <c r="IK7" s="41" t="str">
        <f t="shared" si="73"/>
        <v/>
      </c>
      <c r="IL7" s="41" t="str">
        <f t="shared" si="74"/>
        <v/>
      </c>
      <c r="IM7" s="41" t="str">
        <f t="shared" si="75"/>
        <v/>
      </c>
      <c r="IN7" s="41" t="str">
        <f t="shared" si="76"/>
        <v/>
      </c>
      <c r="IO7" s="41" t="str">
        <f t="shared" si="77"/>
        <v/>
      </c>
      <c r="IP7" s="41" t="str">
        <f t="shared" si="78"/>
        <v/>
      </c>
      <c r="IQ7" s="18">
        <v>17.7</v>
      </c>
      <c r="IR7" s="18">
        <v>7.6</v>
      </c>
      <c r="IS7" s="18">
        <v>1</v>
      </c>
      <c r="IT7" s="18">
        <v>0</v>
      </c>
      <c r="IU7" s="18">
        <v>18.3</v>
      </c>
      <c r="IV7" s="18">
        <v>8.4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 t="shared" si="79"/>
        <v>16</v>
      </c>
      <c r="JL7" s="11">
        <f t="shared" si="80"/>
        <v>50.999999999999993</v>
      </c>
      <c r="JM7" s="11" t="str">
        <f t="shared" si="81"/>
        <v/>
      </c>
      <c r="JN7" s="11">
        <f t="shared" si="82"/>
        <v>16</v>
      </c>
      <c r="JO7" s="11">
        <f t="shared" si="83"/>
        <v>50.999999999999993</v>
      </c>
      <c r="JP7" s="11" t="str">
        <f t="shared" si="84"/>
        <v/>
      </c>
      <c r="JQ7" s="11" t="str">
        <f t="shared" si="85"/>
        <v/>
      </c>
      <c r="JR7" s="11">
        <f t="shared" si="86"/>
        <v>50.999999999999993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7"/>
        <v/>
      </c>
      <c r="KN7" s="41" t="str">
        <f t="shared" si="88"/>
        <v/>
      </c>
      <c r="KO7" s="41" t="str">
        <f t="shared" si="89"/>
        <v/>
      </c>
      <c r="KP7" s="41" t="str">
        <f t="shared" si="90"/>
        <v/>
      </c>
      <c r="KQ7" s="41" t="str">
        <f t="shared" si="91"/>
        <v/>
      </c>
      <c r="KR7" s="41" t="str">
        <f t="shared" si="92"/>
        <v/>
      </c>
      <c r="KS7" s="41" t="str">
        <f t="shared" si="93"/>
        <v/>
      </c>
      <c r="KT7" s="41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9"/>
        <v/>
      </c>
      <c r="OV7" s="41" t="str">
        <f t="shared" si="120"/>
        <v/>
      </c>
      <c r="OW7" s="41" t="str">
        <f t="shared" si="121"/>
        <v/>
      </c>
      <c r="OX7" s="41" t="str">
        <f t="shared" si="122"/>
        <v/>
      </c>
      <c r="OY7" s="41" t="str">
        <f t="shared" si="123"/>
        <v/>
      </c>
      <c r="OZ7" s="41" t="str">
        <f t="shared" si="124"/>
        <v/>
      </c>
      <c r="PA7" s="41" t="str">
        <f t="shared" si="125"/>
        <v/>
      </c>
      <c r="PB7" s="41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18.8</v>
      </c>
      <c r="QF7" s="23">
        <f t="shared" si="136"/>
        <v>8.4</v>
      </c>
      <c r="QG7" s="23">
        <f t="shared" si="137"/>
        <v>0</v>
      </c>
      <c r="QH7" s="23">
        <f t="shared" si="138"/>
        <v>0</v>
      </c>
      <c r="QI7" s="23">
        <f t="shared" si="139"/>
        <v>18.95</v>
      </c>
      <c r="QJ7" s="23">
        <f t="shared" si="140"/>
        <v>7.2</v>
      </c>
      <c r="QK7" s="23">
        <f t="shared" si="141"/>
        <v>0</v>
      </c>
      <c r="QL7" s="23">
        <f t="shared" si="142"/>
        <v>0</v>
      </c>
      <c r="QM7" s="23">
        <f t="shared" si="143"/>
        <v>17.75</v>
      </c>
      <c r="QN7" s="23">
        <f t="shared" si="144"/>
        <v>5.9</v>
      </c>
      <c r="QO7" s="23">
        <f t="shared" si="145"/>
        <v>0.7</v>
      </c>
      <c r="QP7" s="23">
        <f t="shared" si="146"/>
        <v>0.15</v>
      </c>
      <c r="QQ7" s="23">
        <f t="shared" si="147"/>
        <v>18.8</v>
      </c>
      <c r="QR7" s="23">
        <f t="shared" si="148"/>
        <v>8.1999999999999993</v>
      </c>
      <c r="QS7" s="23">
        <f t="shared" si="149"/>
        <v>0</v>
      </c>
      <c r="QT7" s="23">
        <f t="shared" si="150"/>
        <v>0</v>
      </c>
      <c r="QU7" s="23">
        <f t="shared" si="151"/>
        <v>18.7</v>
      </c>
      <c r="QV7" s="23">
        <f t="shared" si="152"/>
        <v>7.85</v>
      </c>
      <c r="QW7" s="23">
        <f t="shared" si="153"/>
        <v>0.7</v>
      </c>
      <c r="QX7" s="23">
        <f t="shared" si="154"/>
        <v>0</v>
      </c>
      <c r="QY7" s="28" t="s">
        <v>57</v>
      </c>
      <c r="QZ7" s="41">
        <f t="shared" si="155"/>
        <v>15.600000000000001</v>
      </c>
      <c r="RA7" s="41">
        <f t="shared" si="156"/>
        <v>53.350000000000009</v>
      </c>
      <c r="RB7" s="41">
        <f t="shared" si="157"/>
        <v>23.099999999999998</v>
      </c>
      <c r="RC7" s="41">
        <f t="shared" si="158"/>
        <v>21.5</v>
      </c>
      <c r="RD7" s="41">
        <f t="shared" si="159"/>
        <v>76.45</v>
      </c>
      <c r="RE7" s="41">
        <f t="shared" si="160"/>
        <v>16.049999999999997</v>
      </c>
      <c r="RF7" s="41">
        <f t="shared" si="161"/>
        <v>52.85</v>
      </c>
      <c r="RG7" s="41">
        <f t="shared" si="162"/>
        <v>129.30000000000001</v>
      </c>
    </row>
    <row r="8" spans="1:475" x14ac:dyDescent="0.2">
      <c r="A8" s="4" cm="1">
        <f t="array" ref="A8">IF(AND(H8&lt;&gt;"",H8&lt;&gt;"No DD"),SUMPRODUCT((H$4:H$31&lt;&gt;"")*(H$4:H$31&lt;&gt;"No DD")*(E$4:E$31&gt;E8))+1,IF(H8="No DD",SUMPRODUCT((H$4:H$31="No DD")*(E$4:E$31&gt;E8))+1+SUMPRODUCT((H$4:H$31&lt;&gt;"")*(H$4:H$31&lt;&gt;"No DD")),""))</f>
        <v>5</v>
      </c>
      <c r="B8" s="5" t="s">
        <v>131</v>
      </c>
      <c r="C8" s="4" t="s">
        <v>5</v>
      </c>
      <c r="D8" s="4">
        <v>2004</v>
      </c>
      <c r="E8" s="9">
        <f t="shared" si="163"/>
        <v>185.00001247000512</v>
      </c>
      <c r="F8" s="3" t="str">
        <f t="shared" si="0"/>
        <v>P</v>
      </c>
      <c r="G8" s="3" t="str">
        <f t="shared" si="1"/>
        <v>P</v>
      </c>
      <c r="H8" s="37" t="str">
        <f t="shared" si="2"/>
        <v>Worlds Team</v>
      </c>
      <c r="I8" s="3" t="str">
        <f t="shared" si="3"/>
        <v>P</v>
      </c>
      <c r="J8" s="8">
        <f>IF(COUNT(AQ8,BT8,CW8)&gt;0,LARGE((AQ8,BT8,CW8),1),0)</f>
        <v>51.4</v>
      </c>
      <c r="K8" s="8" t="str">
        <f t="shared" si="4"/>
        <v>2023 Domestic 3rd Trial</v>
      </c>
      <c r="L8" s="8">
        <f>IF(COUNT(AQ8,BT8,CW8)&gt;1,LARGE((AQ8,BT8,CW8),2),0)</f>
        <v>46.4</v>
      </c>
      <c r="M8" s="8" t="str">
        <f t="shared" si="5"/>
        <v>2023 Elite Canada</v>
      </c>
      <c r="N8" s="8">
        <f>IF(COUNT(AR8,BU8,CX8)&gt;0,LARGE((AR8,BU8,CX8),1),0)</f>
        <v>26.9</v>
      </c>
      <c r="O8" s="8" t="str">
        <f t="shared" si="6"/>
        <v>2023 Domestic 3rd Trial</v>
      </c>
      <c r="P8" s="8">
        <f t="shared" si="7"/>
        <v>54.29999999999999</v>
      </c>
      <c r="Q8" s="8" t="str">
        <f t="shared" si="8"/>
        <v>2023 Domestic 3rd Trial</v>
      </c>
      <c r="R8" s="8">
        <f t="shared" si="9"/>
        <v>5.9999999999999929</v>
      </c>
      <c r="S8" s="11" t="str">
        <f t="shared" si="10"/>
        <v>(Q1)</v>
      </c>
      <c r="T8" s="8" t="str">
        <f t="shared" si="11"/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 t="shared" si="12"/>
        <v>10.4</v>
      </c>
      <c r="AQ8" s="41">
        <f t="shared" si="13"/>
        <v>46.4</v>
      </c>
      <c r="AR8" s="41">
        <f t="shared" si="14"/>
        <v>25.6</v>
      </c>
      <c r="AS8" s="41">
        <f t="shared" si="15"/>
        <v>19.3</v>
      </c>
      <c r="AT8" s="41">
        <f t="shared" si="16"/>
        <v>72</v>
      </c>
      <c r="AU8" s="41" t="str">
        <f t="shared" si="17"/>
        <v/>
      </c>
      <c r="AV8" s="41" t="str">
        <f t="shared" si="18"/>
        <v/>
      </c>
      <c r="AW8" s="41">
        <f t="shared" si="19"/>
        <v>72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 t="shared" si="20"/>
        <v>9.1999999999999993</v>
      </c>
      <c r="BT8" s="11">
        <f t="shared" si="21"/>
        <v>26.5</v>
      </c>
      <c r="BU8" s="11">
        <f t="shared" si="22"/>
        <v>26.200000000000003</v>
      </c>
      <c r="BV8" s="11">
        <f t="shared" si="23"/>
        <v>17.299999999999997</v>
      </c>
      <c r="BW8" s="11">
        <f t="shared" si="24"/>
        <v>52.7</v>
      </c>
      <c r="BX8" s="11" t="str">
        <f t="shared" si="25"/>
        <v/>
      </c>
      <c r="BY8" s="11" t="str">
        <f t="shared" si="26"/>
        <v/>
      </c>
      <c r="BZ8" s="11">
        <f t="shared" si="27"/>
        <v>52.7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 t="shared" si="28"/>
        <v>15.6</v>
      </c>
      <c r="CW8" s="41">
        <f t="shared" si="29"/>
        <v>51.4</v>
      </c>
      <c r="CX8" s="41">
        <f t="shared" si="30"/>
        <v>26.9</v>
      </c>
      <c r="CY8" s="41">
        <f t="shared" si="31"/>
        <v>23.6</v>
      </c>
      <c r="CZ8" s="41">
        <f t="shared" si="32"/>
        <v>78.3</v>
      </c>
      <c r="DA8" s="41">
        <f t="shared" si="33"/>
        <v>18.100000000000001</v>
      </c>
      <c r="DB8" s="41">
        <f t="shared" si="34"/>
        <v>54.29999999999999</v>
      </c>
      <c r="DC8" s="41">
        <f t="shared" si="35"/>
        <v>132.6</v>
      </c>
      <c r="DD8" s="52">
        <f t="shared" si="36"/>
        <v>5.9999999999999929</v>
      </c>
      <c r="DE8" s="52" t="str">
        <f t="shared" si="37"/>
        <v/>
      </c>
      <c r="DF8" s="52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>
        <v>18.600000000000001</v>
      </c>
      <c r="DT8" s="17">
        <v>8</v>
      </c>
      <c r="DU8" s="17">
        <v>0.8</v>
      </c>
      <c r="DV8" s="17">
        <v>0</v>
      </c>
      <c r="DW8" s="17">
        <v>18.600000000000001</v>
      </c>
      <c r="DX8" s="17">
        <v>9.1999999999999993</v>
      </c>
      <c r="DY8" s="17">
        <v>0.6</v>
      </c>
      <c r="DZ8" s="17">
        <v>0</v>
      </c>
      <c r="EA8" s="41" t="str">
        <f t="shared" si="39"/>
        <v/>
      </c>
      <c r="EB8" s="41" t="str">
        <f t="shared" si="40"/>
        <v/>
      </c>
      <c r="EC8" s="41" t="str">
        <f t="shared" si="41"/>
        <v/>
      </c>
      <c r="ED8" s="41" t="str">
        <f t="shared" si="42"/>
        <v/>
      </c>
      <c r="EE8" s="41" t="str">
        <f t="shared" si="43"/>
        <v/>
      </c>
      <c r="EF8" s="41">
        <f t="shared" si="44"/>
        <v>17.2</v>
      </c>
      <c r="EG8" s="41">
        <f t="shared" si="45"/>
        <v>53.000000000000007</v>
      </c>
      <c r="EH8" s="41">
        <f t="shared" si="46"/>
        <v>53.000000000000007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5"/>
        <v/>
      </c>
      <c r="GF8" s="41" t="str">
        <f t="shared" si="56"/>
        <v/>
      </c>
      <c r="GG8" s="41" t="str">
        <f t="shared" si="57"/>
        <v/>
      </c>
      <c r="GH8" s="41" t="str">
        <f t="shared" si="58"/>
        <v/>
      </c>
      <c r="GI8" s="41" t="str">
        <f t="shared" si="59"/>
        <v/>
      </c>
      <c r="GJ8" s="41" t="str">
        <f t="shared" si="60"/>
        <v/>
      </c>
      <c r="GK8" s="41" t="str">
        <f t="shared" si="61"/>
        <v/>
      </c>
      <c r="GL8" s="41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>
        <v>18.600000000000001</v>
      </c>
      <c r="HP8" s="17">
        <v>9.1999999999999993</v>
      </c>
      <c r="HQ8" s="17">
        <v>0.6</v>
      </c>
      <c r="HR8" s="17">
        <v>0</v>
      </c>
      <c r="HS8" s="17">
        <v>16.5</v>
      </c>
      <c r="HT8" s="17">
        <v>8.9</v>
      </c>
      <c r="HU8" s="17">
        <v>0.2</v>
      </c>
      <c r="HV8" s="17">
        <v>0</v>
      </c>
      <c r="HW8" s="17"/>
      <c r="HX8" s="17"/>
      <c r="HY8" s="17"/>
      <c r="HZ8" s="17"/>
      <c r="IA8" s="17">
        <v>18.7</v>
      </c>
      <c r="IB8" s="17">
        <v>9.1999999999999993</v>
      </c>
      <c r="IC8" s="17">
        <v>0.8</v>
      </c>
      <c r="ID8" s="17">
        <v>0</v>
      </c>
      <c r="IE8" s="17">
        <v>0</v>
      </c>
      <c r="IF8" s="17">
        <v>0</v>
      </c>
      <c r="IG8" s="17">
        <v>0</v>
      </c>
      <c r="IH8" s="17">
        <v>0</v>
      </c>
      <c r="II8" s="41">
        <f t="shared" si="71"/>
        <v>18.100000000000001</v>
      </c>
      <c r="IJ8" s="41">
        <f t="shared" si="72"/>
        <v>52.399999999999991</v>
      </c>
      <c r="IK8" s="41" t="str">
        <f t="shared" si="73"/>
        <v/>
      </c>
      <c r="IL8" s="41">
        <f t="shared" si="74"/>
        <v>18.100000000000001</v>
      </c>
      <c r="IM8" s="41">
        <f t="shared" si="75"/>
        <v>52.399999999999991</v>
      </c>
      <c r="IN8" s="41">
        <f t="shared" si="76"/>
        <v>9.1999999999999993</v>
      </c>
      <c r="IO8" s="41">
        <f t="shared" si="77"/>
        <v>27.099999999999998</v>
      </c>
      <c r="IP8" s="41">
        <f t="shared" si="78"/>
        <v>79.499999999999986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3"/>
        <v/>
      </c>
      <c r="MR8" s="41" t="str">
        <f t="shared" si="104"/>
        <v/>
      </c>
      <c r="MS8" s="41" t="str">
        <f t="shared" si="105"/>
        <v/>
      </c>
      <c r="MT8" s="41" t="str">
        <f t="shared" si="106"/>
        <v/>
      </c>
      <c r="MU8" s="41" t="str">
        <f t="shared" si="107"/>
        <v/>
      </c>
      <c r="MV8" s="41" t="str">
        <f t="shared" si="108"/>
        <v/>
      </c>
      <c r="MW8" s="41" t="str">
        <f t="shared" si="109"/>
        <v/>
      </c>
      <c r="MX8" s="41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17.799999999999997</v>
      </c>
      <c r="QF8" s="23">
        <f t="shared" si="136"/>
        <v>8.3999999999999986</v>
      </c>
      <c r="QG8" s="23">
        <f t="shared" si="137"/>
        <v>0.6</v>
      </c>
      <c r="QH8" s="23">
        <f t="shared" si="138"/>
        <v>0.15</v>
      </c>
      <c r="QI8" s="23">
        <f t="shared" si="139"/>
        <v>9.5</v>
      </c>
      <c r="QJ8" s="23">
        <f t="shared" si="140"/>
        <v>4</v>
      </c>
      <c r="QK8" s="23">
        <f t="shared" si="141"/>
        <v>0.3</v>
      </c>
      <c r="QL8" s="23">
        <f t="shared" si="142"/>
        <v>0</v>
      </c>
      <c r="QM8" s="23">
        <f t="shared" si="143"/>
        <v>18.899999999999999</v>
      </c>
      <c r="QN8" s="23">
        <f t="shared" si="144"/>
        <v>8.0500000000000007</v>
      </c>
      <c r="QO8" s="23">
        <f t="shared" si="145"/>
        <v>0.7</v>
      </c>
      <c r="QP8" s="23">
        <f t="shared" si="146"/>
        <v>0.3</v>
      </c>
      <c r="QQ8" s="23">
        <f t="shared" si="147"/>
        <v>9.1999999999999993</v>
      </c>
      <c r="QR8" s="23">
        <f t="shared" si="148"/>
        <v>4.5999999999999996</v>
      </c>
      <c r="QS8" s="23">
        <f t="shared" si="149"/>
        <v>0.3</v>
      </c>
      <c r="QT8" s="23">
        <f t="shared" si="150"/>
        <v>0.15</v>
      </c>
      <c r="QU8" s="23">
        <f t="shared" si="151"/>
        <v>9.1999999999999993</v>
      </c>
      <c r="QV8" s="23">
        <f t="shared" si="152"/>
        <v>4.45</v>
      </c>
      <c r="QW8" s="23">
        <f t="shared" si="153"/>
        <v>0.3</v>
      </c>
      <c r="QX8" s="23">
        <f t="shared" si="154"/>
        <v>0.15</v>
      </c>
      <c r="QY8" s="28" t="s">
        <v>57</v>
      </c>
      <c r="QZ8" s="41">
        <f t="shared" si="155"/>
        <v>12.399999999999999</v>
      </c>
      <c r="RA8" s="41">
        <f t="shared" si="156"/>
        <v>38.949999999999996</v>
      </c>
      <c r="RB8" s="41">
        <f t="shared" si="157"/>
        <v>26.55</v>
      </c>
      <c r="RC8" s="41">
        <f t="shared" si="158"/>
        <v>20.45</v>
      </c>
      <c r="RD8" s="41">
        <f t="shared" si="159"/>
        <v>65.5</v>
      </c>
      <c r="RE8" s="41">
        <f t="shared" si="160"/>
        <v>9.0500000000000007</v>
      </c>
      <c r="RF8" s="41">
        <f t="shared" si="161"/>
        <v>27.149999999999995</v>
      </c>
      <c r="RG8" s="41">
        <f t="shared" si="162"/>
        <v>92.649999999999991</v>
      </c>
    </row>
    <row r="9" spans="1:475" x14ac:dyDescent="0.2">
      <c r="A9" s="4" cm="1">
        <f t="array" ref="A9">IF(AND(H9&lt;&gt;"",H9&lt;&gt;"No DD"),SUMPRODUCT((H$4:H$31&lt;&gt;"")*(H$4:H$31&lt;&gt;"No DD")*(E$4:E$31&gt;E9))+1,IF(H9="No DD",SUMPRODUCT((H$4:H$31="No DD")*(E$4:E$31&gt;E9))+1+SUMPRODUCT((H$4:H$31&lt;&gt;"")*(H$4:H$31&lt;&gt;"No DD")),""))</f>
        <v>6</v>
      </c>
      <c r="B9" s="5" t="s">
        <v>168</v>
      </c>
      <c r="C9" s="4" t="s">
        <v>167</v>
      </c>
      <c r="D9" s="4">
        <v>2002</v>
      </c>
      <c r="E9" s="9">
        <f t="shared" si="163"/>
        <v>182.50001297000529</v>
      </c>
      <c r="F9" s="3" t="str">
        <f t="shared" si="0"/>
        <v>P</v>
      </c>
      <c r="G9" s="3" t="str">
        <f t="shared" si="1"/>
        <v>P</v>
      </c>
      <c r="H9" s="37" t="str">
        <f t="shared" si="2"/>
        <v>Worlds Team</v>
      </c>
      <c r="I9" s="3" t="str">
        <f t="shared" si="3"/>
        <v>P</v>
      </c>
      <c r="J9" s="8">
        <f>IF(COUNT(AQ9,BT9,CW9)&gt;0,LARGE((AQ9,BT9,CW9),1),0)</f>
        <v>52.9</v>
      </c>
      <c r="K9" s="8" t="str">
        <f t="shared" si="4"/>
        <v>2023 Nationals</v>
      </c>
      <c r="L9" s="8">
        <f>IF(COUNT(AQ9,BT9,CW9)&gt;1,LARGE((AQ9,BT9,CW9),2),0)</f>
        <v>51.4</v>
      </c>
      <c r="M9" s="8" t="str">
        <f t="shared" si="5"/>
        <v>2023 Domestic 3rd Trial</v>
      </c>
      <c r="N9" s="8">
        <f>IF(COUNT(AR9,BU9,CX9)&gt;0,LARGE((AR9,BU9,CX9),1),0)</f>
        <v>25.4</v>
      </c>
      <c r="O9" s="8" t="str">
        <f t="shared" si="6"/>
        <v>2023 Domestic 3rd Trial</v>
      </c>
      <c r="P9" s="8">
        <f t="shared" si="7"/>
        <v>52.800000000000004</v>
      </c>
      <c r="Q9" s="8" t="str">
        <f t="shared" si="8"/>
        <v>2023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 t="shared" si="12"/>
        <v>7</v>
      </c>
      <c r="AQ9" s="41">
        <f t="shared" si="13"/>
        <v>25.1</v>
      </c>
      <c r="AR9" s="41">
        <f t="shared" si="14"/>
        <v>10.199999999999999</v>
      </c>
      <c r="AS9" s="41">
        <f t="shared" si="15"/>
        <v>8.6</v>
      </c>
      <c r="AT9" s="41">
        <f t="shared" si="16"/>
        <v>35.299999999999997</v>
      </c>
      <c r="AU9" s="41" t="str">
        <f t="shared" si="17"/>
        <v/>
      </c>
      <c r="AV9" s="41" t="str">
        <f t="shared" si="18"/>
        <v/>
      </c>
      <c r="AW9" s="41">
        <f t="shared" si="19"/>
        <v>35.299999999999997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 t="shared" si="20"/>
        <v>14.8</v>
      </c>
      <c r="BT9" s="11">
        <f t="shared" si="21"/>
        <v>52.9</v>
      </c>
      <c r="BU9" s="11">
        <f t="shared" si="22"/>
        <v>24.999999999999996</v>
      </c>
      <c r="BV9" s="11">
        <f t="shared" si="23"/>
        <v>22.5</v>
      </c>
      <c r="BW9" s="11">
        <f t="shared" si="24"/>
        <v>77.899999999999991</v>
      </c>
      <c r="BX9" s="11">
        <f t="shared" si="25"/>
        <v>15.2</v>
      </c>
      <c r="BY9" s="11">
        <f t="shared" si="26"/>
        <v>52.800000000000004</v>
      </c>
      <c r="BZ9" s="11">
        <f t="shared" si="27"/>
        <v>130.69999999999999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 t="shared" si="28"/>
        <v>14.8</v>
      </c>
      <c r="CW9" s="41">
        <f t="shared" si="29"/>
        <v>51.4</v>
      </c>
      <c r="CX9" s="41">
        <f t="shared" si="30"/>
        <v>25.4</v>
      </c>
      <c r="CY9" s="41">
        <f t="shared" si="31"/>
        <v>22.5</v>
      </c>
      <c r="CZ9" s="41">
        <f t="shared" si="32"/>
        <v>76.8</v>
      </c>
      <c r="DA9" s="41">
        <f t="shared" si="33"/>
        <v>14</v>
      </c>
      <c r="DB9" s="41">
        <f t="shared" si="34"/>
        <v>51.9</v>
      </c>
      <c r="DC9" s="41">
        <f t="shared" si="35"/>
        <v>128.69999999999999</v>
      </c>
      <c r="DD9" s="52" t="str">
        <f t="shared" si="36"/>
        <v/>
      </c>
      <c r="DE9" s="52" t="str">
        <f t="shared" si="37"/>
        <v/>
      </c>
      <c r="DF9" s="52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9"/>
        <v/>
      </c>
      <c r="EB9" s="41" t="str">
        <f t="shared" si="40"/>
        <v/>
      </c>
      <c r="EC9" s="41" t="str">
        <f t="shared" si="41"/>
        <v/>
      </c>
      <c r="ED9" s="41" t="str">
        <f t="shared" si="42"/>
        <v/>
      </c>
      <c r="EE9" s="41" t="str">
        <f t="shared" si="43"/>
        <v/>
      </c>
      <c r="EF9" s="41" t="str">
        <f t="shared" si="44"/>
        <v/>
      </c>
      <c r="EG9" s="41" t="str">
        <f t="shared" si="45"/>
        <v/>
      </c>
      <c r="EH9" s="41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5"/>
        <v/>
      </c>
      <c r="GF9" s="41" t="str">
        <f t="shared" si="56"/>
        <v/>
      </c>
      <c r="GG9" s="41" t="str">
        <f t="shared" si="57"/>
        <v/>
      </c>
      <c r="GH9" s="41" t="str">
        <f t="shared" si="58"/>
        <v/>
      </c>
      <c r="GI9" s="41" t="str">
        <f t="shared" si="59"/>
        <v/>
      </c>
      <c r="GJ9" s="41" t="str">
        <f t="shared" si="60"/>
        <v/>
      </c>
      <c r="GK9" s="41" t="str">
        <f t="shared" si="61"/>
        <v/>
      </c>
      <c r="GL9" s="41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19.2</v>
      </c>
      <c r="QF9" s="23">
        <f t="shared" si="136"/>
        <v>7.2</v>
      </c>
      <c r="QG9" s="23">
        <f t="shared" si="137"/>
        <v>0.3</v>
      </c>
      <c r="QH9" s="23">
        <f t="shared" si="138"/>
        <v>0</v>
      </c>
      <c r="QI9" s="23">
        <f t="shared" si="139"/>
        <v>18.75</v>
      </c>
      <c r="QJ9" s="23">
        <f t="shared" si="140"/>
        <v>7.6</v>
      </c>
      <c r="QK9" s="23">
        <f t="shared" si="141"/>
        <v>0.3</v>
      </c>
      <c r="QL9" s="23">
        <f t="shared" si="142"/>
        <v>0</v>
      </c>
      <c r="QM9" s="23">
        <f t="shared" si="143"/>
        <v>18.100000000000001</v>
      </c>
      <c r="QN9" s="23">
        <f t="shared" si="144"/>
        <v>7.7</v>
      </c>
      <c r="QO9" s="23">
        <f t="shared" si="145"/>
        <v>0.6</v>
      </c>
      <c r="QP9" s="23">
        <f t="shared" si="146"/>
        <v>0</v>
      </c>
      <c r="QQ9" s="23">
        <f t="shared" si="147"/>
        <v>19.05</v>
      </c>
      <c r="QR9" s="23">
        <f t="shared" si="148"/>
        <v>7.4</v>
      </c>
      <c r="QS9" s="23">
        <f t="shared" si="149"/>
        <v>0</v>
      </c>
      <c r="QT9" s="23">
        <f t="shared" si="150"/>
        <v>0</v>
      </c>
      <c r="QU9" s="23">
        <f t="shared" si="151"/>
        <v>18.700000000000003</v>
      </c>
      <c r="QV9" s="23">
        <f t="shared" si="152"/>
        <v>7.1999999999999993</v>
      </c>
      <c r="QW9" s="23">
        <f t="shared" si="153"/>
        <v>0</v>
      </c>
      <c r="QX9" s="23">
        <f t="shared" si="154"/>
        <v>0</v>
      </c>
      <c r="QY9" s="28" t="s">
        <v>57</v>
      </c>
      <c r="QZ9" s="41">
        <f t="shared" si="155"/>
        <v>14.8</v>
      </c>
      <c r="RA9" s="41">
        <f t="shared" si="156"/>
        <v>52.150000000000006</v>
      </c>
      <c r="RB9" s="41">
        <f t="shared" si="157"/>
        <v>25.2</v>
      </c>
      <c r="RC9" s="41">
        <f t="shared" si="158"/>
        <v>22.5</v>
      </c>
      <c r="RD9" s="41">
        <f t="shared" si="159"/>
        <v>77.350000000000009</v>
      </c>
      <c r="RE9" s="41">
        <f t="shared" si="160"/>
        <v>14.6</v>
      </c>
      <c r="RF9" s="41">
        <f t="shared" si="161"/>
        <v>52.350000000000009</v>
      </c>
      <c r="RG9" s="41">
        <f t="shared" si="162"/>
        <v>129.70000000000002</v>
      </c>
    </row>
    <row r="10" spans="1:475" x14ac:dyDescent="0.2">
      <c r="A10" s="4" cm="1">
        <f t="array" ref="A10">IF(AND(H10&lt;&gt;"",H10&lt;&gt;"No DD"),SUMPRODUCT((H$4:H$31&lt;&gt;"")*(H$4:H$31&lt;&gt;"No DD")*(E$4:E$31&gt;E10))+1,IF(H10="No DD",SUMPRODUCT((H$4:H$31="No DD")*(E$4:E$31&gt;E10))+1+SUMPRODUCT((H$4:H$31&lt;&gt;"")*(H$4:H$31&lt;&gt;"No DD")),""))</f>
        <v>7</v>
      </c>
      <c r="B10" s="5" t="s">
        <v>130</v>
      </c>
      <c r="C10" s="4" t="s">
        <v>5</v>
      </c>
      <c r="D10" s="4">
        <v>1999</v>
      </c>
      <c r="E10" s="9">
        <f t="shared" si="163"/>
        <v>181.10001300000525</v>
      </c>
      <c r="F10" s="3" t="str">
        <f t="shared" si="0"/>
        <v>P</v>
      </c>
      <c r="G10" s="3" t="str">
        <f t="shared" si="1"/>
        <v>P</v>
      </c>
      <c r="H10" s="37" t="str">
        <f t="shared" si="2"/>
        <v>Worlds Team</v>
      </c>
      <c r="I10" s="3" t="str">
        <f t="shared" si="3"/>
        <v>P</v>
      </c>
      <c r="J10" s="8">
        <f>IF(COUNT(AQ10,BT10,CW10)&gt;0,LARGE((AQ10,BT10,CW10),1),0)</f>
        <v>52.2</v>
      </c>
      <c r="K10" s="8" t="str">
        <f t="shared" si="4"/>
        <v>2023 Nationals</v>
      </c>
      <c r="L10" s="8">
        <f>IF(COUNT(AQ10,BT10,CW10)&gt;1,LARGE((AQ10,BT10,CW10),2),0)</f>
        <v>52</v>
      </c>
      <c r="M10" s="8" t="str">
        <f t="shared" si="5"/>
        <v>2023 Elite Canada</v>
      </c>
      <c r="N10" s="8">
        <f>IF(COUNT(AR10,BU10,CX10)&gt;0,LARGE((AR10,BU10,CX10),1),0)</f>
        <v>25.799999999999997</v>
      </c>
      <c r="O10" s="8" t="str">
        <f t="shared" si="6"/>
        <v>2023 Domestic 3rd Trial</v>
      </c>
      <c r="P10" s="8">
        <f t="shared" si="7"/>
        <v>51.100000000000009</v>
      </c>
      <c r="Q10" s="8" t="str">
        <f t="shared" si="8"/>
        <v>2023 Domestic 3rd Trial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 t="shared" si="12"/>
        <v>14.4</v>
      </c>
      <c r="AQ10" s="41">
        <f t="shared" si="13"/>
        <v>52</v>
      </c>
      <c r="AR10" s="41">
        <f t="shared" si="14"/>
        <v>25</v>
      </c>
      <c r="AS10" s="41">
        <f t="shared" si="15"/>
        <v>21.2</v>
      </c>
      <c r="AT10" s="41">
        <f t="shared" si="16"/>
        <v>77</v>
      </c>
      <c r="AU10" s="41">
        <f t="shared" si="17"/>
        <v>10</v>
      </c>
      <c r="AV10" s="41">
        <f t="shared" si="18"/>
        <v>46.199999999999996</v>
      </c>
      <c r="AW10" s="41">
        <f t="shared" si="19"/>
        <v>123.19999999999999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 t="shared" si="20"/>
        <v>14.8</v>
      </c>
      <c r="BT10" s="11">
        <f t="shared" si="21"/>
        <v>52.2</v>
      </c>
      <c r="BU10" s="11">
        <f t="shared" si="22"/>
        <v>25.2</v>
      </c>
      <c r="BV10" s="11">
        <f t="shared" si="23"/>
        <v>21.6</v>
      </c>
      <c r="BW10" s="11">
        <f t="shared" si="24"/>
        <v>77.400000000000006</v>
      </c>
      <c r="BX10" s="11">
        <f t="shared" si="25"/>
        <v>10</v>
      </c>
      <c r="BY10" s="11">
        <f t="shared" si="26"/>
        <v>46.099999999999994</v>
      </c>
      <c r="BZ10" s="11">
        <f t="shared" si="27"/>
        <v>123.5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 t="shared" si="28"/>
        <v>14</v>
      </c>
      <c r="CW10" s="41">
        <f t="shared" si="29"/>
        <v>50.9</v>
      </c>
      <c r="CX10" s="41">
        <f t="shared" si="30"/>
        <v>25.799999999999997</v>
      </c>
      <c r="CY10" s="41">
        <f t="shared" si="31"/>
        <v>21.2</v>
      </c>
      <c r="CZ10" s="41">
        <f t="shared" si="32"/>
        <v>76.699999999999989</v>
      </c>
      <c r="DA10" s="41">
        <f t="shared" si="33"/>
        <v>14.4</v>
      </c>
      <c r="DB10" s="41">
        <f t="shared" si="34"/>
        <v>51.100000000000009</v>
      </c>
      <c r="DC10" s="41">
        <f t="shared" si="35"/>
        <v>127.8</v>
      </c>
      <c r="DD10" s="52" t="str">
        <f t="shared" si="36"/>
        <v/>
      </c>
      <c r="DE10" s="52" t="str">
        <f t="shared" si="37"/>
        <v/>
      </c>
      <c r="DF10" s="52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9"/>
        <v/>
      </c>
      <c r="EB10" s="41" t="str">
        <f t="shared" si="40"/>
        <v/>
      </c>
      <c r="EC10" s="41" t="str">
        <f t="shared" si="41"/>
        <v/>
      </c>
      <c r="ED10" s="41" t="str">
        <f t="shared" si="42"/>
        <v/>
      </c>
      <c r="EE10" s="41" t="str">
        <f t="shared" si="43"/>
        <v/>
      </c>
      <c r="EF10" s="41" t="str">
        <f t="shared" si="44"/>
        <v/>
      </c>
      <c r="EG10" s="41" t="str">
        <f t="shared" si="45"/>
        <v/>
      </c>
      <c r="EH10" s="41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>
        <v>18.5</v>
      </c>
      <c r="HP10" s="17">
        <v>7.2</v>
      </c>
      <c r="HQ10" s="17">
        <v>0.8</v>
      </c>
      <c r="HR10" s="17">
        <v>0</v>
      </c>
      <c r="HS10" s="17">
        <v>18.2</v>
      </c>
      <c r="HT10" s="17">
        <v>6.8</v>
      </c>
      <c r="HU10" s="17">
        <v>0.6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 t="shared" si="71"/>
        <v>14</v>
      </c>
      <c r="IJ10" s="41">
        <f t="shared" si="72"/>
        <v>49.3</v>
      </c>
      <c r="IK10" s="41" t="str">
        <f t="shared" si="73"/>
        <v/>
      </c>
      <c r="IL10" s="41">
        <f t="shared" si="74"/>
        <v>14</v>
      </c>
      <c r="IM10" s="41">
        <f t="shared" si="75"/>
        <v>49.3</v>
      </c>
      <c r="IN10" s="41" t="str">
        <f t="shared" si="76"/>
        <v/>
      </c>
      <c r="IO10" s="41" t="str">
        <f t="shared" si="77"/>
        <v/>
      </c>
      <c r="IP10" s="41">
        <f t="shared" si="78"/>
        <v>49.3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7"/>
        <v/>
      </c>
      <c r="KN10" s="41" t="str">
        <f t="shared" si="88"/>
        <v/>
      </c>
      <c r="KO10" s="41" t="str">
        <f t="shared" si="89"/>
        <v/>
      </c>
      <c r="KP10" s="41" t="str">
        <f t="shared" si="90"/>
        <v/>
      </c>
      <c r="KQ10" s="41" t="str">
        <f t="shared" si="91"/>
        <v/>
      </c>
      <c r="KR10" s="41" t="str">
        <f t="shared" si="92"/>
        <v/>
      </c>
      <c r="KS10" s="41" t="str">
        <f t="shared" si="93"/>
        <v/>
      </c>
      <c r="KT10" s="41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3"/>
        <v/>
      </c>
      <c r="MR10" s="41" t="str">
        <f t="shared" si="104"/>
        <v/>
      </c>
      <c r="MS10" s="41" t="str">
        <f t="shared" si="105"/>
        <v/>
      </c>
      <c r="MT10" s="41" t="str">
        <f t="shared" si="106"/>
        <v/>
      </c>
      <c r="MU10" s="41" t="str">
        <f t="shared" si="107"/>
        <v/>
      </c>
      <c r="MV10" s="41" t="str">
        <f t="shared" si="108"/>
        <v/>
      </c>
      <c r="MW10" s="41" t="str">
        <f t="shared" si="109"/>
        <v/>
      </c>
      <c r="MX10" s="41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9"/>
        <v/>
      </c>
      <c r="OV10" s="41" t="str">
        <f t="shared" si="120"/>
        <v/>
      </c>
      <c r="OW10" s="41" t="str">
        <f t="shared" si="121"/>
        <v/>
      </c>
      <c r="OX10" s="41" t="str">
        <f t="shared" si="122"/>
        <v/>
      </c>
      <c r="OY10" s="41" t="str">
        <f t="shared" si="123"/>
        <v/>
      </c>
      <c r="OZ10" s="41" t="str">
        <f t="shared" si="124"/>
        <v/>
      </c>
      <c r="PA10" s="41" t="str">
        <f t="shared" si="125"/>
        <v/>
      </c>
      <c r="PB10" s="41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18.8</v>
      </c>
      <c r="QF10" s="23">
        <f t="shared" si="136"/>
        <v>7.4</v>
      </c>
      <c r="QG10" s="23">
        <f t="shared" si="137"/>
        <v>0.3</v>
      </c>
      <c r="QH10" s="23">
        <f t="shared" si="138"/>
        <v>0</v>
      </c>
      <c r="QI10" s="23">
        <f t="shared" si="139"/>
        <v>18.75</v>
      </c>
      <c r="QJ10" s="23">
        <f t="shared" si="140"/>
        <v>7</v>
      </c>
      <c r="QK10" s="23">
        <f t="shared" si="141"/>
        <v>0.1</v>
      </c>
      <c r="QL10" s="23">
        <f t="shared" si="142"/>
        <v>0</v>
      </c>
      <c r="QM10" s="23">
        <f t="shared" si="143"/>
        <v>19.100000000000001</v>
      </c>
      <c r="QN10" s="23">
        <f t="shared" si="144"/>
        <v>7</v>
      </c>
      <c r="QO10" s="23">
        <f t="shared" si="145"/>
        <v>0.6</v>
      </c>
      <c r="QP10" s="23">
        <f t="shared" si="146"/>
        <v>0</v>
      </c>
      <c r="QQ10" s="23">
        <f t="shared" si="147"/>
        <v>18.649999999999999</v>
      </c>
      <c r="QR10" s="23">
        <f t="shared" si="148"/>
        <v>7.2</v>
      </c>
      <c r="QS10" s="23">
        <f t="shared" si="149"/>
        <v>0.1</v>
      </c>
      <c r="QT10" s="23">
        <f t="shared" si="150"/>
        <v>0</v>
      </c>
      <c r="QU10" s="23">
        <f t="shared" si="151"/>
        <v>18.149999999999999</v>
      </c>
      <c r="QV10" s="23">
        <f t="shared" si="152"/>
        <v>5</v>
      </c>
      <c r="QW10" s="23">
        <f t="shared" si="153"/>
        <v>0.3</v>
      </c>
      <c r="QX10" s="23">
        <f t="shared" si="154"/>
        <v>0</v>
      </c>
      <c r="QY10" s="28" t="s">
        <v>57</v>
      </c>
      <c r="QZ10" s="41">
        <f t="shared" si="155"/>
        <v>14.4</v>
      </c>
      <c r="RA10" s="41">
        <f t="shared" si="156"/>
        <v>51.550000000000004</v>
      </c>
      <c r="RB10" s="41">
        <f t="shared" si="157"/>
        <v>25.5</v>
      </c>
      <c r="RC10" s="41">
        <f t="shared" si="158"/>
        <v>21.4</v>
      </c>
      <c r="RD10" s="41">
        <f t="shared" si="159"/>
        <v>77.050000000000011</v>
      </c>
      <c r="RE10" s="41">
        <f t="shared" si="160"/>
        <v>12.2</v>
      </c>
      <c r="RF10" s="41">
        <f t="shared" si="161"/>
        <v>48.6</v>
      </c>
      <c r="RG10" s="41">
        <f t="shared" si="162"/>
        <v>125.65</v>
      </c>
    </row>
    <row r="11" spans="1:475" x14ac:dyDescent="0.2">
      <c r="A11" s="4" cm="1">
        <f t="array" ref="A11">IF(AND(H11&lt;&gt;"",H11&lt;&gt;"No DD"),SUMPRODUCT((H$4:H$31&lt;&gt;"")*(H$4:H$31&lt;&gt;"No DD")*(E$4:E$31&gt;E11))+1,IF(H11="No DD",SUMPRODUCT((H$4:H$31="No DD")*(E$4:E$31&gt;E11))+1+SUMPRODUCT((H$4:H$31&lt;&gt;"")*(H$4:H$31&lt;&gt;"No DD")),""))</f>
        <v>8</v>
      </c>
      <c r="B11" s="5" t="s">
        <v>171</v>
      </c>
      <c r="C11" s="4" t="s">
        <v>3</v>
      </c>
      <c r="D11" s="4">
        <v>2002</v>
      </c>
      <c r="E11" s="9">
        <f t="shared" si="163"/>
        <v>179.60001266500515</v>
      </c>
      <c r="F11" s="3" t="str">
        <f t="shared" si="0"/>
        <v>P</v>
      </c>
      <c r="G11" s="3" t="str">
        <f t="shared" si="1"/>
        <v>P</v>
      </c>
      <c r="H11" s="37" t="str">
        <f t="shared" si="2"/>
        <v>National Team</v>
      </c>
      <c r="I11" s="3" t="str">
        <f t="shared" si="3"/>
        <v/>
      </c>
      <c r="J11" s="8">
        <f>IF(COUNT(AQ11,BT11,CW11)&gt;0,LARGE((AQ11,BT11,CW11),1),0)</f>
        <v>51.2</v>
      </c>
      <c r="K11" s="8" t="str">
        <f t="shared" si="4"/>
        <v>2023 Elite Canada</v>
      </c>
      <c r="L11" s="8">
        <f>IF(COUNT(AQ11,BT11,CW11)&gt;1,LARGE((AQ11,BT11,CW11),2),0)</f>
        <v>50.449999999999996</v>
      </c>
      <c r="M11" s="8" t="str">
        <f t="shared" si="5"/>
        <v>2023 Nationals</v>
      </c>
      <c r="N11" s="8">
        <f>IF(COUNT(AR11,BU11,CX11)&gt;0,LARGE((AR11,BU11,CX11),1),0)</f>
        <v>25</v>
      </c>
      <c r="O11" s="8" t="str">
        <f t="shared" si="6"/>
        <v>2023 Nationals</v>
      </c>
      <c r="P11" s="8">
        <f t="shared" si="7"/>
        <v>51</v>
      </c>
      <c r="Q11" s="8" t="str">
        <f t="shared" si="8"/>
        <v>2023 Elite Canada</v>
      </c>
      <c r="R11" s="8">
        <f t="shared" si="9"/>
        <v>1.9500000000000028</v>
      </c>
      <c r="S11" s="11" t="str">
        <f t="shared" si="10"/>
        <v>(Q1)</v>
      </c>
      <c r="T11" s="8" t="str">
        <f t="shared" si="11"/>
        <v>2023 WAGC (Nov 17)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 t="shared" si="12"/>
        <v>14</v>
      </c>
      <c r="AQ11" s="41">
        <f t="shared" si="13"/>
        <v>51.2</v>
      </c>
      <c r="AR11" s="41">
        <f t="shared" si="14"/>
        <v>24.900000000000002</v>
      </c>
      <c r="AS11" s="41">
        <f t="shared" si="15"/>
        <v>20.8</v>
      </c>
      <c r="AT11" s="41">
        <f t="shared" si="16"/>
        <v>76.100000000000009</v>
      </c>
      <c r="AU11" s="41">
        <f t="shared" si="17"/>
        <v>15.2</v>
      </c>
      <c r="AV11" s="41">
        <f t="shared" si="18"/>
        <v>51</v>
      </c>
      <c r="AW11" s="41">
        <f t="shared" si="19"/>
        <v>127.10000000000001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 t="shared" si="20"/>
        <v>13.399999999999999</v>
      </c>
      <c r="BT11" s="11">
        <f t="shared" si="21"/>
        <v>50.449999999999996</v>
      </c>
      <c r="BU11" s="11">
        <f t="shared" si="22"/>
        <v>25</v>
      </c>
      <c r="BV11" s="11">
        <f t="shared" si="23"/>
        <v>20.399999999999999</v>
      </c>
      <c r="BW11" s="11">
        <f t="shared" si="24"/>
        <v>75.449999999999989</v>
      </c>
      <c r="BX11" s="11">
        <f t="shared" si="25"/>
        <v>14.2</v>
      </c>
      <c r="BY11" s="11">
        <f t="shared" si="26"/>
        <v>49.8</v>
      </c>
      <c r="BZ11" s="11">
        <f t="shared" si="27"/>
        <v>125.24999999999999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 t="shared" si="28"/>
        <v/>
      </c>
      <c r="CW11" s="41" t="str">
        <f t="shared" si="29"/>
        <v/>
      </c>
      <c r="CX11" s="41" t="str">
        <f t="shared" si="30"/>
        <v/>
      </c>
      <c r="CY11" s="41" t="str">
        <f t="shared" si="31"/>
        <v/>
      </c>
      <c r="CZ11" s="41" t="str">
        <f t="shared" si="32"/>
        <v/>
      </c>
      <c r="DA11" s="41" t="str">
        <f t="shared" si="33"/>
        <v/>
      </c>
      <c r="DB11" s="41" t="str">
        <f t="shared" si="34"/>
        <v/>
      </c>
      <c r="DC11" s="41" t="str">
        <f t="shared" si="35"/>
        <v/>
      </c>
      <c r="DD11" s="52">
        <f t="shared" si="36"/>
        <v>1.9500000000000028</v>
      </c>
      <c r="DE11" s="52" t="str">
        <f t="shared" si="37"/>
        <v/>
      </c>
      <c r="DF11" s="52">
        <f t="shared" si="38"/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39"/>
        <v/>
      </c>
      <c r="EB11" s="41" t="str">
        <f t="shared" si="40"/>
        <v/>
      </c>
      <c r="EC11" s="41" t="str">
        <f t="shared" si="41"/>
        <v/>
      </c>
      <c r="ED11" s="41" t="str">
        <f t="shared" si="42"/>
        <v/>
      </c>
      <c r="EE11" s="41" t="str">
        <f t="shared" si="43"/>
        <v/>
      </c>
      <c r="EF11" s="41" t="str">
        <f t="shared" si="44"/>
        <v/>
      </c>
      <c r="EG11" s="41" t="str">
        <f t="shared" si="45"/>
        <v/>
      </c>
      <c r="EH11" s="41" t="str">
        <f t="shared" si="46"/>
        <v/>
      </c>
      <c r="EI11" s="18">
        <v>18.399999999999999</v>
      </c>
      <c r="EJ11" s="18">
        <v>8.4</v>
      </c>
      <c r="EK11" s="18">
        <v>0.6</v>
      </c>
      <c r="EL11" s="18">
        <v>0</v>
      </c>
      <c r="EM11" s="18">
        <v>18.600000000000001</v>
      </c>
      <c r="EN11" s="18">
        <v>6.8</v>
      </c>
      <c r="EO11" s="18">
        <v>0.2</v>
      </c>
      <c r="EP11" s="18">
        <v>0</v>
      </c>
      <c r="EQ11" s="18"/>
      <c r="ER11" s="18"/>
      <c r="ES11" s="18"/>
      <c r="ET11" s="18"/>
      <c r="EU11" s="18">
        <v>18.600000000000001</v>
      </c>
      <c r="EV11" s="18">
        <v>8.4</v>
      </c>
      <c r="EW11" s="18">
        <v>0.6</v>
      </c>
      <c r="EX11" s="18">
        <v>0</v>
      </c>
      <c r="EY11" s="18">
        <v>19.100000000000001</v>
      </c>
      <c r="EZ11" s="18">
        <v>6.8</v>
      </c>
      <c r="FA11" s="18">
        <v>0.6</v>
      </c>
      <c r="FB11" s="18">
        <v>0</v>
      </c>
      <c r="FC11" s="11">
        <f t="shared" si="47"/>
        <v>15.2</v>
      </c>
      <c r="FD11" s="11">
        <f t="shared" si="48"/>
        <v>51.399999999999991</v>
      </c>
      <c r="FE11" s="11" t="str">
        <f t="shared" si="49"/>
        <v/>
      </c>
      <c r="FF11" s="11">
        <f t="shared" si="50"/>
        <v>15.2</v>
      </c>
      <c r="FG11" s="11">
        <f t="shared" si="51"/>
        <v>51.399999999999991</v>
      </c>
      <c r="FH11" s="11">
        <f t="shared" si="52"/>
        <v>15.2</v>
      </c>
      <c r="FI11" s="11">
        <f t="shared" si="53"/>
        <v>51.699999999999996</v>
      </c>
      <c r="FJ11" s="11">
        <f t="shared" si="54"/>
        <v>103.1</v>
      </c>
      <c r="FK11" s="17">
        <v>18.600000000000001</v>
      </c>
      <c r="FL11" s="17">
        <v>8.4</v>
      </c>
      <c r="FM11" s="17">
        <v>0.6</v>
      </c>
      <c r="FN11" s="17">
        <v>0</v>
      </c>
      <c r="FO11" s="17">
        <v>18.8</v>
      </c>
      <c r="FP11" s="17">
        <v>6.8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>
        <f t="shared" si="55"/>
        <v>15.2</v>
      </c>
      <c r="GF11" s="41">
        <f t="shared" si="56"/>
        <v>51.999999999999993</v>
      </c>
      <c r="GG11" s="41" t="str">
        <f t="shared" si="57"/>
        <v/>
      </c>
      <c r="GH11" s="41">
        <f t="shared" si="58"/>
        <v>15.2</v>
      </c>
      <c r="GI11" s="41">
        <f t="shared" si="59"/>
        <v>51.999999999999993</v>
      </c>
      <c r="GJ11" s="41" t="str">
        <f t="shared" si="60"/>
        <v/>
      </c>
      <c r="GK11" s="41" t="str">
        <f t="shared" si="61"/>
        <v/>
      </c>
      <c r="GL11" s="41">
        <f t="shared" si="62"/>
        <v>51.999999999999993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>
        <v>18.600000000000001</v>
      </c>
      <c r="JT11" s="17">
        <v>8.4</v>
      </c>
      <c r="JU11" s="17">
        <v>0.6</v>
      </c>
      <c r="JV11" s="17">
        <v>0</v>
      </c>
      <c r="JW11" s="17">
        <v>19.2</v>
      </c>
      <c r="JX11" s="17">
        <v>6.8</v>
      </c>
      <c r="JY11" s="17">
        <v>0</v>
      </c>
      <c r="JZ11" s="17">
        <v>0</v>
      </c>
      <c r="KA11" s="17"/>
      <c r="KB11" s="17"/>
      <c r="KC11" s="17"/>
      <c r="KD11" s="17"/>
      <c r="KE11" s="17">
        <v>19.100000000000001</v>
      </c>
      <c r="KF11" s="17">
        <v>6.8</v>
      </c>
      <c r="KG11" s="17">
        <v>0.6</v>
      </c>
      <c r="KH11" s="17">
        <v>0</v>
      </c>
      <c r="KI11" s="17">
        <v>18.2</v>
      </c>
      <c r="KJ11" s="17">
        <v>6.8</v>
      </c>
      <c r="KK11" s="17">
        <v>1</v>
      </c>
      <c r="KL11" s="17">
        <v>0</v>
      </c>
      <c r="KM11" s="41">
        <f t="shared" si="87"/>
        <v>15.2</v>
      </c>
      <c r="KN11" s="41">
        <f t="shared" si="88"/>
        <v>52.4</v>
      </c>
      <c r="KO11" s="41" t="str">
        <f t="shared" si="89"/>
        <v/>
      </c>
      <c r="KP11" s="41">
        <f t="shared" si="90"/>
        <v>15.2</v>
      </c>
      <c r="KQ11" s="41">
        <f t="shared" si="91"/>
        <v>52.4</v>
      </c>
      <c r="KR11" s="41">
        <f t="shared" si="92"/>
        <v>13.6</v>
      </c>
      <c r="KS11" s="41">
        <f t="shared" si="93"/>
        <v>49.3</v>
      </c>
      <c r="KT11" s="41">
        <f t="shared" si="94"/>
        <v>101.69999999999999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3"/>
        <v/>
      </c>
      <c r="MR11" s="41" t="str">
        <f t="shared" si="104"/>
        <v/>
      </c>
      <c r="MS11" s="41" t="str">
        <f t="shared" si="105"/>
        <v/>
      </c>
      <c r="MT11" s="41" t="str">
        <f t="shared" si="106"/>
        <v/>
      </c>
      <c r="MU11" s="41" t="str">
        <f t="shared" si="107"/>
        <v/>
      </c>
      <c r="MV11" s="41" t="str">
        <f t="shared" si="108"/>
        <v/>
      </c>
      <c r="MW11" s="41" t="str">
        <f t="shared" si="109"/>
        <v/>
      </c>
      <c r="MX11" s="41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9"/>
        <v/>
      </c>
      <c r="OV11" s="41" t="str">
        <f t="shared" si="120"/>
        <v/>
      </c>
      <c r="OW11" s="41" t="str">
        <f t="shared" si="121"/>
        <v/>
      </c>
      <c r="OX11" s="41" t="str">
        <f t="shared" si="122"/>
        <v/>
      </c>
      <c r="OY11" s="41" t="str">
        <f t="shared" si="123"/>
        <v/>
      </c>
      <c r="OZ11" s="41" t="str">
        <f t="shared" si="124"/>
        <v/>
      </c>
      <c r="PA11" s="41" t="str">
        <f t="shared" si="125"/>
        <v/>
      </c>
      <c r="PB11" s="41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9.35</v>
      </c>
      <c r="QF11" s="23">
        <f t="shared" si="136"/>
        <v>3.4</v>
      </c>
      <c r="QG11" s="23">
        <f t="shared" si="137"/>
        <v>0.05</v>
      </c>
      <c r="QH11" s="23">
        <f t="shared" si="138"/>
        <v>0</v>
      </c>
      <c r="QI11" s="23">
        <f t="shared" si="139"/>
        <v>9.2749999999999986</v>
      </c>
      <c r="QJ11" s="23">
        <f t="shared" si="140"/>
        <v>3.3</v>
      </c>
      <c r="QK11" s="23">
        <f t="shared" si="141"/>
        <v>0.05</v>
      </c>
      <c r="QL11" s="23">
        <f t="shared" si="142"/>
        <v>0</v>
      </c>
      <c r="QM11" s="23">
        <f t="shared" si="143"/>
        <v>9.25</v>
      </c>
      <c r="QN11" s="23">
        <f t="shared" si="144"/>
        <v>3.5</v>
      </c>
      <c r="QO11" s="23">
        <f t="shared" si="145"/>
        <v>0.25</v>
      </c>
      <c r="QP11" s="23">
        <f t="shared" si="146"/>
        <v>0</v>
      </c>
      <c r="QQ11" s="23">
        <f t="shared" si="147"/>
        <v>9.0250000000000004</v>
      </c>
      <c r="QR11" s="23">
        <f t="shared" si="148"/>
        <v>3.6</v>
      </c>
      <c r="QS11" s="23">
        <f t="shared" si="149"/>
        <v>0.35</v>
      </c>
      <c r="QT11" s="23">
        <f t="shared" si="150"/>
        <v>0</v>
      </c>
      <c r="QU11" s="23">
        <f t="shared" si="151"/>
        <v>9.3249999999999993</v>
      </c>
      <c r="QV11" s="23">
        <f t="shared" si="152"/>
        <v>3.5</v>
      </c>
      <c r="QW11" s="23">
        <f t="shared" si="153"/>
        <v>0.2</v>
      </c>
      <c r="QX11" s="23">
        <f t="shared" si="154"/>
        <v>0</v>
      </c>
      <c r="QY11" s="28" t="s">
        <v>57</v>
      </c>
      <c r="QZ11" s="41">
        <f t="shared" si="155"/>
        <v>6.6999999999999993</v>
      </c>
      <c r="RA11" s="41">
        <f t="shared" si="156"/>
        <v>25.224999999999998</v>
      </c>
      <c r="RB11" s="41">
        <f t="shared" si="157"/>
        <v>12.5</v>
      </c>
      <c r="RC11" s="41">
        <f t="shared" si="158"/>
        <v>10.199999999999999</v>
      </c>
      <c r="RD11" s="41">
        <f t="shared" si="159"/>
        <v>37.724999999999994</v>
      </c>
      <c r="RE11" s="41">
        <f t="shared" si="160"/>
        <v>7.1</v>
      </c>
      <c r="RF11" s="41">
        <f t="shared" si="161"/>
        <v>24.9</v>
      </c>
      <c r="RG11" s="41">
        <f t="shared" si="162"/>
        <v>62.624999999999993</v>
      </c>
    </row>
    <row r="12" spans="1:475" x14ac:dyDescent="0.2">
      <c r="A12" s="4" cm="1">
        <f t="array" ref="A12">IF(AND(H12&lt;&gt;"",H12&lt;&gt;"No DD"),SUMPRODUCT((H$4:H$31&lt;&gt;"")*(H$4:H$31&lt;&gt;"No DD")*(E$4:E$31&gt;E12))+1,IF(H12="No DD",SUMPRODUCT((H$4:H$31="No DD")*(E$4:E$31&gt;E12))+1+SUMPRODUCT((H$4:H$31&lt;&gt;"")*(H$4:H$31&lt;&gt;"No DD")),""))</f>
        <v>9</v>
      </c>
      <c r="B12" s="5" t="s">
        <v>222</v>
      </c>
      <c r="C12" s="4" t="s">
        <v>167</v>
      </c>
      <c r="D12" s="4">
        <v>2005</v>
      </c>
      <c r="E12" s="9">
        <f t="shared" si="163"/>
        <v>178.40001268000509</v>
      </c>
      <c r="F12" s="3" t="str">
        <f t="shared" si="0"/>
        <v>P</v>
      </c>
      <c r="G12" s="3" t="str">
        <f t="shared" si="1"/>
        <v>P</v>
      </c>
      <c r="H12" s="37" t="str">
        <f t="shared" si="2"/>
        <v>National Team</v>
      </c>
      <c r="I12" s="3" t="str">
        <f t="shared" si="3"/>
        <v/>
      </c>
      <c r="J12" s="8">
        <f>IF(COUNT(AQ12,BT12,CW12)&gt;0,LARGE((AQ12,BT12,CW12),1),0)</f>
        <v>50.9</v>
      </c>
      <c r="K12" s="8" t="str">
        <f t="shared" si="4"/>
        <v>2023 Nationals</v>
      </c>
      <c r="L12" s="8">
        <f>IF(COUNT(AQ12,BT12,CW12)&gt;1,LARGE((AQ12,BT12,CW12),2),0)</f>
        <v>50.6</v>
      </c>
      <c r="M12" s="8" t="str">
        <f t="shared" si="5"/>
        <v>2023 Domestic 3rd Trial</v>
      </c>
      <c r="N12" s="8">
        <f>IF(COUNT(AR12,BU12,CX12)&gt;0,LARGE((AR12,BU12,CX12),1),0)</f>
        <v>25.3</v>
      </c>
      <c r="O12" s="8" t="str">
        <f t="shared" si="6"/>
        <v>2023 Nationals</v>
      </c>
      <c r="P12" s="8">
        <f t="shared" si="7"/>
        <v>51</v>
      </c>
      <c r="Q12" s="8" t="str">
        <f t="shared" si="8"/>
        <v>2023 Nationals</v>
      </c>
      <c r="R12" s="8">
        <f t="shared" si="9"/>
        <v>0.59999999999999432</v>
      </c>
      <c r="S12" s="11" t="str">
        <f t="shared" si="10"/>
        <v>(Q1)</v>
      </c>
      <c r="T12" s="8" t="str">
        <f t="shared" si="11"/>
        <v>2023 WAGC (Nov 17)</v>
      </c>
      <c r="U12" s="19">
        <v>18.600000000000001</v>
      </c>
      <c r="V12" s="19">
        <v>6</v>
      </c>
      <c r="W12" s="19">
        <v>0.8</v>
      </c>
      <c r="X12" s="19">
        <v>0</v>
      </c>
      <c r="Y12" s="19">
        <v>18.8</v>
      </c>
      <c r="Z12" s="19">
        <v>6.4</v>
      </c>
      <c r="AA12" s="19">
        <v>0.6</v>
      </c>
      <c r="AB12" s="19">
        <v>0</v>
      </c>
      <c r="AC12" s="19">
        <v>18.600000000000001</v>
      </c>
      <c r="AD12" s="19">
        <v>6</v>
      </c>
      <c r="AE12" s="19">
        <v>0</v>
      </c>
      <c r="AF12" s="19">
        <v>0</v>
      </c>
      <c r="AG12" s="19">
        <v>18.7</v>
      </c>
      <c r="AH12" s="19">
        <v>6.8</v>
      </c>
      <c r="AI12" s="19">
        <v>0.6</v>
      </c>
      <c r="AJ12" s="19">
        <v>0</v>
      </c>
      <c r="AK12" s="19">
        <v>18.7</v>
      </c>
      <c r="AL12" s="19">
        <v>6.4</v>
      </c>
      <c r="AM12" s="19">
        <v>0.2</v>
      </c>
      <c r="AN12" s="19">
        <v>0</v>
      </c>
      <c r="AO12" s="28"/>
      <c r="AP12" s="41">
        <f t="shared" si="12"/>
        <v>12.4</v>
      </c>
      <c r="AQ12" s="41">
        <f t="shared" si="13"/>
        <v>48.400000000000006</v>
      </c>
      <c r="AR12" s="41">
        <f t="shared" si="14"/>
        <v>24.6</v>
      </c>
      <c r="AS12" s="41">
        <f t="shared" si="15"/>
        <v>18.399999999999999</v>
      </c>
      <c r="AT12" s="41">
        <f t="shared" si="16"/>
        <v>73</v>
      </c>
      <c r="AU12" s="41">
        <f t="shared" si="17"/>
        <v>13.2</v>
      </c>
      <c r="AV12" s="41">
        <f t="shared" si="18"/>
        <v>49.800000000000004</v>
      </c>
      <c r="AW12" s="41">
        <f t="shared" si="19"/>
        <v>122.80000000000001</v>
      </c>
      <c r="AX12" s="18">
        <v>18.5</v>
      </c>
      <c r="AY12" s="18">
        <v>6.8</v>
      </c>
      <c r="AZ12" s="18">
        <v>0</v>
      </c>
      <c r="BA12" s="18">
        <v>0</v>
      </c>
      <c r="BB12" s="18">
        <v>19</v>
      </c>
      <c r="BC12" s="18">
        <v>7.2</v>
      </c>
      <c r="BD12" s="18">
        <v>0.6</v>
      </c>
      <c r="BE12" s="18">
        <v>0</v>
      </c>
      <c r="BF12" s="18">
        <v>18.600000000000001</v>
      </c>
      <c r="BG12" s="18">
        <v>6.9</v>
      </c>
      <c r="BH12" s="18">
        <v>0.2</v>
      </c>
      <c r="BI12" s="18">
        <v>0</v>
      </c>
      <c r="BJ12" s="18">
        <v>18.7</v>
      </c>
      <c r="BK12" s="18">
        <v>6.8</v>
      </c>
      <c r="BL12" s="18">
        <v>0</v>
      </c>
      <c r="BM12" s="18">
        <v>0</v>
      </c>
      <c r="BN12" s="18">
        <v>18.899999999999999</v>
      </c>
      <c r="BO12" s="18">
        <v>7.2</v>
      </c>
      <c r="BP12" s="18">
        <v>0.6</v>
      </c>
      <c r="BQ12" s="18">
        <v>0</v>
      </c>
      <c r="BR12" s="29"/>
      <c r="BS12" s="11">
        <f t="shared" si="20"/>
        <v>14</v>
      </c>
      <c r="BT12" s="11">
        <f t="shared" si="21"/>
        <v>50.9</v>
      </c>
      <c r="BU12" s="11">
        <f t="shared" si="22"/>
        <v>25.3</v>
      </c>
      <c r="BV12" s="11">
        <f t="shared" si="23"/>
        <v>20.9</v>
      </c>
      <c r="BW12" s="11">
        <f t="shared" si="24"/>
        <v>76.2</v>
      </c>
      <c r="BX12" s="11">
        <f t="shared" si="25"/>
        <v>14</v>
      </c>
      <c r="BY12" s="11">
        <f t="shared" si="26"/>
        <v>51</v>
      </c>
      <c r="BZ12" s="11">
        <f t="shared" si="27"/>
        <v>127.2</v>
      </c>
      <c r="CA12" s="19">
        <v>18.600000000000001</v>
      </c>
      <c r="CB12" s="19">
        <v>6.8000000000000007</v>
      </c>
      <c r="CC12" s="19">
        <v>0</v>
      </c>
      <c r="CD12" s="19">
        <v>0</v>
      </c>
      <c r="CE12" s="19">
        <v>18.600000000000001</v>
      </c>
      <c r="CF12" s="19">
        <v>7.2</v>
      </c>
      <c r="CG12" s="19">
        <v>0.6</v>
      </c>
      <c r="CH12" s="19">
        <v>0</v>
      </c>
      <c r="CI12" s="19">
        <v>17.600000000000001</v>
      </c>
      <c r="CJ12" s="19">
        <v>2.4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 t="shared" si="28"/>
        <v>14</v>
      </c>
      <c r="CW12" s="41">
        <f t="shared" si="29"/>
        <v>50.6</v>
      </c>
      <c r="CX12" s="41">
        <f t="shared" si="30"/>
        <v>20</v>
      </c>
      <c r="CY12" s="41">
        <f t="shared" si="31"/>
        <v>16.399999999999999</v>
      </c>
      <c r="CZ12" s="41">
        <f t="shared" si="32"/>
        <v>70.599999999999994</v>
      </c>
      <c r="DA12" s="41" t="str">
        <f t="shared" si="33"/>
        <v/>
      </c>
      <c r="DB12" s="41" t="str">
        <f t="shared" si="34"/>
        <v/>
      </c>
      <c r="DC12" s="41">
        <f t="shared" si="35"/>
        <v>70.599999999999994</v>
      </c>
      <c r="DD12" s="52">
        <f t="shared" si="36"/>
        <v>0.59999999999999432</v>
      </c>
      <c r="DE12" s="52" t="str">
        <f t="shared" si="37"/>
        <v/>
      </c>
      <c r="DF12" s="52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39"/>
        <v/>
      </c>
      <c r="EB12" s="41" t="str">
        <f t="shared" si="40"/>
        <v/>
      </c>
      <c r="EC12" s="41" t="str">
        <f t="shared" si="41"/>
        <v/>
      </c>
      <c r="ED12" s="41" t="str">
        <f t="shared" si="42"/>
        <v/>
      </c>
      <c r="EE12" s="41" t="str">
        <f t="shared" si="43"/>
        <v/>
      </c>
      <c r="EF12" s="41" t="str">
        <f t="shared" si="44"/>
        <v/>
      </c>
      <c r="EG12" s="41" t="str">
        <f t="shared" si="45"/>
        <v/>
      </c>
      <c r="EH12" s="41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5"/>
        <v/>
      </c>
      <c r="GF12" s="41" t="str">
        <f t="shared" si="56"/>
        <v/>
      </c>
      <c r="GG12" s="41" t="str">
        <f t="shared" si="57"/>
        <v/>
      </c>
      <c r="GH12" s="41" t="str">
        <f t="shared" si="58"/>
        <v/>
      </c>
      <c r="GI12" s="41" t="str">
        <f t="shared" si="59"/>
        <v/>
      </c>
      <c r="GJ12" s="41" t="str">
        <f t="shared" si="60"/>
        <v/>
      </c>
      <c r="GK12" s="41" t="str">
        <f t="shared" si="61"/>
        <v/>
      </c>
      <c r="GL12" s="41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1"/>
        <v/>
      </c>
      <c r="IJ12" s="41" t="str">
        <f t="shared" si="72"/>
        <v/>
      </c>
      <c r="IK12" s="41" t="str">
        <f t="shared" si="73"/>
        <v/>
      </c>
      <c r="IL12" s="41" t="str">
        <f t="shared" si="74"/>
        <v/>
      </c>
      <c r="IM12" s="41" t="str">
        <f t="shared" si="75"/>
        <v/>
      </c>
      <c r="IN12" s="41" t="str">
        <f t="shared" si="76"/>
        <v/>
      </c>
      <c r="IO12" s="41" t="str">
        <f t="shared" si="77"/>
        <v/>
      </c>
      <c r="IP12" s="41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>
        <v>18.7</v>
      </c>
      <c r="JT12" s="17">
        <v>7.6</v>
      </c>
      <c r="JU12" s="17">
        <v>0</v>
      </c>
      <c r="JV12" s="17">
        <v>0</v>
      </c>
      <c r="JW12" s="17">
        <v>18.2</v>
      </c>
      <c r="JX12" s="17">
        <v>7.3</v>
      </c>
      <c r="JY12" s="17">
        <v>0.6</v>
      </c>
      <c r="JZ12" s="17">
        <v>0</v>
      </c>
      <c r="KA12" s="17"/>
      <c r="KB12" s="17"/>
      <c r="KC12" s="17"/>
      <c r="KD12" s="17"/>
      <c r="KE12" s="17">
        <v>18.2</v>
      </c>
      <c r="KF12" s="17">
        <v>6.8</v>
      </c>
      <c r="KG12" s="17">
        <v>0.6</v>
      </c>
      <c r="KH12" s="17">
        <v>0</v>
      </c>
      <c r="KI12" s="17"/>
      <c r="KJ12" s="17"/>
      <c r="KK12" s="17"/>
      <c r="KL12" s="17"/>
      <c r="KM12" s="41">
        <f t="shared" si="87"/>
        <v>14.899999999999999</v>
      </c>
      <c r="KN12" s="41">
        <f t="shared" si="88"/>
        <v>51.199999999999996</v>
      </c>
      <c r="KO12" s="41" t="str">
        <f t="shared" si="89"/>
        <v/>
      </c>
      <c r="KP12" s="41">
        <f t="shared" si="90"/>
        <v>14.899999999999999</v>
      </c>
      <c r="KQ12" s="41">
        <f t="shared" si="91"/>
        <v>51.199999999999996</v>
      </c>
      <c r="KR12" s="41">
        <f t="shared" si="92"/>
        <v>6.8</v>
      </c>
      <c r="KS12" s="41">
        <f t="shared" si="93"/>
        <v>24.4</v>
      </c>
      <c r="KT12" s="41">
        <f t="shared" si="94"/>
        <v>75.599999999999994</v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3"/>
        <v/>
      </c>
      <c r="MR12" s="41" t="str">
        <f t="shared" si="104"/>
        <v/>
      </c>
      <c r="MS12" s="41" t="str">
        <f t="shared" si="105"/>
        <v/>
      </c>
      <c r="MT12" s="41" t="str">
        <f t="shared" si="106"/>
        <v/>
      </c>
      <c r="MU12" s="41" t="str">
        <f t="shared" si="107"/>
        <v/>
      </c>
      <c r="MV12" s="41" t="str">
        <f t="shared" si="108"/>
        <v/>
      </c>
      <c r="MW12" s="41" t="str">
        <f t="shared" si="109"/>
        <v/>
      </c>
      <c r="MX12" s="41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18.55</v>
      </c>
      <c r="QF12" s="23">
        <f t="shared" si="136"/>
        <v>6.8000000000000007</v>
      </c>
      <c r="QG12" s="23">
        <f t="shared" si="137"/>
        <v>0</v>
      </c>
      <c r="QH12" s="23">
        <f t="shared" si="138"/>
        <v>0</v>
      </c>
      <c r="QI12" s="23">
        <f t="shared" si="139"/>
        <v>18.8</v>
      </c>
      <c r="QJ12" s="23">
        <f t="shared" si="140"/>
        <v>7.2</v>
      </c>
      <c r="QK12" s="23">
        <f t="shared" si="141"/>
        <v>0.6</v>
      </c>
      <c r="QL12" s="23">
        <f t="shared" si="142"/>
        <v>0</v>
      </c>
      <c r="QM12" s="23">
        <f t="shared" si="143"/>
        <v>18.100000000000001</v>
      </c>
      <c r="QN12" s="23">
        <f t="shared" si="144"/>
        <v>4.6500000000000004</v>
      </c>
      <c r="QO12" s="23">
        <f t="shared" si="145"/>
        <v>0.1</v>
      </c>
      <c r="QP12" s="23">
        <f t="shared" si="146"/>
        <v>0</v>
      </c>
      <c r="QQ12" s="23">
        <f t="shared" si="147"/>
        <v>9.35</v>
      </c>
      <c r="QR12" s="23">
        <f t="shared" si="148"/>
        <v>3.4</v>
      </c>
      <c r="QS12" s="23">
        <f t="shared" si="149"/>
        <v>0</v>
      </c>
      <c r="QT12" s="23">
        <f t="shared" si="150"/>
        <v>0</v>
      </c>
      <c r="QU12" s="23">
        <f t="shared" si="151"/>
        <v>9.4499999999999993</v>
      </c>
      <c r="QV12" s="23">
        <f t="shared" si="152"/>
        <v>3.6</v>
      </c>
      <c r="QW12" s="23">
        <f t="shared" si="153"/>
        <v>0.3</v>
      </c>
      <c r="QX12" s="23">
        <f t="shared" si="154"/>
        <v>0</v>
      </c>
      <c r="QY12" s="28" t="s">
        <v>57</v>
      </c>
      <c r="QZ12" s="41">
        <f t="shared" si="155"/>
        <v>14</v>
      </c>
      <c r="RA12" s="41">
        <f t="shared" si="156"/>
        <v>50.750000000000007</v>
      </c>
      <c r="RB12" s="41">
        <f t="shared" si="157"/>
        <v>22.65</v>
      </c>
      <c r="RC12" s="41">
        <f t="shared" si="158"/>
        <v>18.649999999999999</v>
      </c>
      <c r="RD12" s="41">
        <f t="shared" si="159"/>
        <v>73.400000000000006</v>
      </c>
      <c r="RE12" s="41">
        <f t="shared" si="160"/>
        <v>7</v>
      </c>
      <c r="RF12" s="41">
        <f t="shared" si="161"/>
        <v>25.5</v>
      </c>
      <c r="RG12" s="41">
        <f t="shared" si="162"/>
        <v>98.9</v>
      </c>
    </row>
    <row r="13" spans="1:475" x14ac:dyDescent="0.2">
      <c r="A13" s="4" cm="1">
        <f t="array" ref="A13">IF(AND(H13&lt;&gt;"",H13&lt;&gt;"No DD"),SUMPRODUCT((H$4:H$31&lt;&gt;"")*(H$4:H$31&lt;&gt;"No DD")*(E$4:E$31&gt;E13))+1,IF(H13="No DD",SUMPRODUCT((H$4:H$31="No DD")*(E$4:E$31&gt;E13))+1+SUMPRODUCT((H$4:H$31&lt;&gt;"")*(H$4:H$31&lt;&gt;"No DD")),""))</f>
        <v>10</v>
      </c>
      <c r="B13" s="5" t="s">
        <v>147</v>
      </c>
      <c r="C13" s="4" t="s">
        <v>5</v>
      </c>
      <c r="D13" s="4">
        <v>2004</v>
      </c>
      <c r="E13" s="9">
        <f t="shared" si="163"/>
        <v>178.20001269000502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50.4</v>
      </c>
      <c r="K13" s="8" t="str">
        <f t="shared" si="4"/>
        <v>2023 Nationals</v>
      </c>
      <c r="L13" s="8">
        <f>IF(COUNT(AQ13,BT13,CW13)&gt;1,LARGE((AQ13,BT13,CW13),2),0)</f>
        <v>50</v>
      </c>
      <c r="M13" s="8" t="str">
        <f t="shared" si="5"/>
        <v>2023 Elite Canada</v>
      </c>
      <c r="N13" s="8">
        <f>IF(COUNT(AR13,BU13,CX13)&gt;0,LARGE((AR13,BU13,CX13),1),0)</f>
        <v>26.5</v>
      </c>
      <c r="O13" s="8" t="str">
        <f t="shared" si="6"/>
        <v>2023 Elite Canada</v>
      </c>
      <c r="P13" s="8">
        <f t="shared" si="7"/>
        <v>51.3</v>
      </c>
      <c r="Q13" s="8" t="str">
        <f t="shared" si="8"/>
        <v>2023 Elite Canada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16.5</v>
      </c>
      <c r="V13" s="19">
        <v>8.1</v>
      </c>
      <c r="W13" s="19">
        <v>0.2</v>
      </c>
      <c r="X13" s="19">
        <v>0.3</v>
      </c>
      <c r="Y13" s="19">
        <v>18.3</v>
      </c>
      <c r="Z13" s="19">
        <v>7.6</v>
      </c>
      <c r="AA13" s="19">
        <v>0.6</v>
      </c>
      <c r="AB13" s="19">
        <v>0</v>
      </c>
      <c r="AC13" s="19">
        <v>18.5</v>
      </c>
      <c r="AD13" s="19">
        <v>8</v>
      </c>
      <c r="AE13" s="19">
        <v>0</v>
      </c>
      <c r="AF13" s="19">
        <v>0</v>
      </c>
      <c r="AG13" s="19">
        <v>18.3</v>
      </c>
      <c r="AH13" s="19">
        <v>7.3</v>
      </c>
      <c r="AI13" s="19">
        <v>0.2</v>
      </c>
      <c r="AJ13" s="19">
        <v>0.3</v>
      </c>
      <c r="AK13" s="19">
        <v>18.399999999999999</v>
      </c>
      <c r="AL13" s="19">
        <v>8</v>
      </c>
      <c r="AM13" s="19">
        <v>0.8</v>
      </c>
      <c r="AN13" s="19">
        <v>0</v>
      </c>
      <c r="AO13" s="28"/>
      <c r="AP13" s="41">
        <f t="shared" si="12"/>
        <v>15.7</v>
      </c>
      <c r="AQ13" s="41">
        <f t="shared" si="13"/>
        <v>50</v>
      </c>
      <c r="AR13" s="41">
        <f t="shared" si="14"/>
        <v>26.5</v>
      </c>
      <c r="AS13" s="41">
        <f t="shared" si="15"/>
        <v>23.7</v>
      </c>
      <c r="AT13" s="41">
        <f t="shared" si="16"/>
        <v>76.5</v>
      </c>
      <c r="AU13" s="41">
        <f t="shared" si="17"/>
        <v>15.3</v>
      </c>
      <c r="AV13" s="41">
        <f t="shared" si="18"/>
        <v>51.3</v>
      </c>
      <c r="AW13" s="41">
        <f t="shared" si="19"/>
        <v>127.8</v>
      </c>
      <c r="AX13" s="18">
        <v>17.75</v>
      </c>
      <c r="AY13" s="18">
        <v>7.65</v>
      </c>
      <c r="AZ13" s="18">
        <v>0.4</v>
      </c>
      <c r="BA13" s="18">
        <v>0.15</v>
      </c>
      <c r="BB13" s="18">
        <v>18.350000000000001</v>
      </c>
      <c r="BC13" s="18">
        <v>7.6</v>
      </c>
      <c r="BD13" s="18">
        <v>0.7</v>
      </c>
      <c r="BE13" s="18">
        <v>0</v>
      </c>
      <c r="BF13" s="18">
        <v>18.55</v>
      </c>
      <c r="BG13" s="18">
        <v>7.2</v>
      </c>
      <c r="BH13" s="18">
        <v>0.4</v>
      </c>
      <c r="BI13" s="18">
        <v>0</v>
      </c>
      <c r="BJ13" s="18">
        <v>18.600000000000001</v>
      </c>
      <c r="BK13" s="18">
        <v>7.25</v>
      </c>
      <c r="BL13" s="18">
        <v>0.4</v>
      </c>
      <c r="BM13" s="18">
        <v>0.15</v>
      </c>
      <c r="BN13" s="18">
        <v>18.399999999999999</v>
      </c>
      <c r="BO13" s="18">
        <v>7.8</v>
      </c>
      <c r="BP13" s="18">
        <v>0.7</v>
      </c>
      <c r="BQ13" s="18">
        <v>0</v>
      </c>
      <c r="BR13" s="29" t="s">
        <v>57</v>
      </c>
      <c r="BS13" s="11">
        <f t="shared" si="20"/>
        <v>15.25</v>
      </c>
      <c r="BT13" s="11">
        <f t="shared" si="21"/>
        <v>50.4</v>
      </c>
      <c r="BU13" s="11">
        <f t="shared" si="22"/>
        <v>25.35</v>
      </c>
      <c r="BV13" s="11">
        <f t="shared" si="23"/>
        <v>22.45</v>
      </c>
      <c r="BW13" s="11">
        <f t="shared" si="24"/>
        <v>75.75</v>
      </c>
      <c r="BX13" s="11">
        <f t="shared" si="25"/>
        <v>15.05</v>
      </c>
      <c r="BY13" s="11">
        <f t="shared" si="26"/>
        <v>51.099999999999994</v>
      </c>
      <c r="BZ13" s="11">
        <f t="shared" si="27"/>
        <v>126.85</v>
      </c>
      <c r="CA13" s="19">
        <v>17.2</v>
      </c>
      <c r="CB13" s="19">
        <v>3.6</v>
      </c>
      <c r="CC13" s="19">
        <v>0</v>
      </c>
      <c r="CD13" s="19">
        <v>0</v>
      </c>
      <c r="CE13" s="19">
        <v>18.600000000000001</v>
      </c>
      <c r="CF13" s="19">
        <v>7.6</v>
      </c>
      <c r="CG13" s="19">
        <v>1</v>
      </c>
      <c r="CH13" s="19">
        <v>0</v>
      </c>
      <c r="CI13" s="19">
        <v>17.600000000000001</v>
      </c>
      <c r="CJ13" s="19">
        <v>2.8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 t="shared" si="28"/>
        <v>11.2</v>
      </c>
      <c r="CW13" s="41">
        <f t="shared" si="29"/>
        <v>46.000000000000007</v>
      </c>
      <c r="CX13" s="41">
        <f t="shared" si="30"/>
        <v>20.400000000000002</v>
      </c>
      <c r="CY13" s="41">
        <f t="shared" si="31"/>
        <v>14</v>
      </c>
      <c r="CZ13" s="41">
        <f t="shared" si="32"/>
        <v>66.400000000000006</v>
      </c>
      <c r="DA13" s="41" t="str">
        <f t="shared" si="33"/>
        <v/>
      </c>
      <c r="DB13" s="41" t="str">
        <f t="shared" si="34"/>
        <v/>
      </c>
      <c r="DC13" s="41">
        <f t="shared" si="35"/>
        <v>66.400000000000006</v>
      </c>
      <c r="DD13" s="52" t="str">
        <f t="shared" si="36"/>
        <v/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>
        <v>0</v>
      </c>
      <c r="EJ13" s="18">
        <v>0</v>
      </c>
      <c r="EK13" s="18">
        <v>0</v>
      </c>
      <c r="EL13" s="18">
        <v>0</v>
      </c>
      <c r="EM13" s="18">
        <v>18</v>
      </c>
      <c r="EN13" s="18">
        <v>5.2</v>
      </c>
      <c r="EO13" s="18">
        <v>0.6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 t="shared" si="47"/>
        <v>5.2</v>
      </c>
      <c r="FD13" s="11">
        <f t="shared" si="48"/>
        <v>22.599999999999998</v>
      </c>
      <c r="FE13" s="11" t="str">
        <f t="shared" si="49"/>
        <v/>
      </c>
      <c r="FF13" s="11">
        <f t="shared" si="50"/>
        <v>5.2</v>
      </c>
      <c r="FG13" s="11">
        <f t="shared" si="51"/>
        <v>22.599999999999998</v>
      </c>
      <c r="FH13" s="11" t="str">
        <f t="shared" si="52"/>
        <v/>
      </c>
      <c r="FI13" s="11" t="str">
        <f t="shared" si="53"/>
        <v/>
      </c>
      <c r="FJ13" s="11">
        <f t="shared" si="54"/>
        <v>22.599999999999998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>
        <v>17.3</v>
      </c>
      <c r="JT13" s="17">
        <v>2.8</v>
      </c>
      <c r="JU13" s="17">
        <v>0</v>
      </c>
      <c r="JV13" s="17">
        <v>0</v>
      </c>
      <c r="JW13" s="17">
        <v>18.2</v>
      </c>
      <c r="JX13" s="17">
        <v>8.4</v>
      </c>
      <c r="JY13" s="17">
        <v>1</v>
      </c>
      <c r="JZ13" s="17">
        <v>0</v>
      </c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>
        <f t="shared" si="87"/>
        <v>11.2</v>
      </c>
      <c r="KN13" s="41">
        <f t="shared" si="88"/>
        <v>45.699999999999996</v>
      </c>
      <c r="KO13" s="41" t="str">
        <f t="shared" si="89"/>
        <v/>
      </c>
      <c r="KP13" s="41">
        <f t="shared" si="90"/>
        <v>11.2</v>
      </c>
      <c r="KQ13" s="41">
        <f t="shared" si="91"/>
        <v>45.699999999999996</v>
      </c>
      <c r="KR13" s="41" t="str">
        <f t="shared" si="92"/>
        <v/>
      </c>
      <c r="KS13" s="41" t="str">
        <f t="shared" si="93"/>
        <v/>
      </c>
      <c r="KT13" s="41">
        <f t="shared" si="94"/>
        <v>45.699999999999996</v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17.475000000000001</v>
      </c>
      <c r="QF13" s="23">
        <f t="shared" si="136"/>
        <v>5.625</v>
      </c>
      <c r="QG13" s="23">
        <f t="shared" si="137"/>
        <v>0.2</v>
      </c>
      <c r="QH13" s="23">
        <f t="shared" si="138"/>
        <v>7.4999999999999997E-2</v>
      </c>
      <c r="QI13" s="23">
        <f t="shared" si="139"/>
        <v>18.475000000000001</v>
      </c>
      <c r="QJ13" s="23">
        <f t="shared" si="140"/>
        <v>7.6</v>
      </c>
      <c r="QK13" s="23">
        <f t="shared" si="141"/>
        <v>0.85</v>
      </c>
      <c r="QL13" s="23">
        <f t="shared" si="142"/>
        <v>0</v>
      </c>
      <c r="QM13" s="23">
        <f t="shared" si="143"/>
        <v>18.075000000000003</v>
      </c>
      <c r="QN13" s="23">
        <f t="shared" si="144"/>
        <v>5</v>
      </c>
      <c r="QO13" s="23">
        <f t="shared" si="145"/>
        <v>0.2</v>
      </c>
      <c r="QP13" s="23">
        <f t="shared" si="146"/>
        <v>0</v>
      </c>
      <c r="QQ13" s="23">
        <f t="shared" si="147"/>
        <v>9.3000000000000007</v>
      </c>
      <c r="QR13" s="23">
        <f t="shared" si="148"/>
        <v>3.625</v>
      </c>
      <c r="QS13" s="23">
        <f t="shared" si="149"/>
        <v>0.2</v>
      </c>
      <c r="QT13" s="23">
        <f t="shared" si="150"/>
        <v>7.4999999999999997E-2</v>
      </c>
      <c r="QU13" s="23">
        <f t="shared" si="151"/>
        <v>9.1999999999999993</v>
      </c>
      <c r="QV13" s="23">
        <f t="shared" si="152"/>
        <v>3.9</v>
      </c>
      <c r="QW13" s="23">
        <f t="shared" si="153"/>
        <v>0.35</v>
      </c>
      <c r="QX13" s="23">
        <f t="shared" si="154"/>
        <v>0</v>
      </c>
      <c r="QY13" s="28" t="s">
        <v>57</v>
      </c>
      <c r="QZ13" s="41">
        <f t="shared" si="155"/>
        <v>13.225</v>
      </c>
      <c r="RA13" s="41">
        <f t="shared" si="156"/>
        <v>48.2</v>
      </c>
      <c r="RB13" s="41">
        <f t="shared" si="157"/>
        <v>22.875000000000004</v>
      </c>
      <c r="RC13" s="41">
        <f t="shared" si="158"/>
        <v>18.225000000000001</v>
      </c>
      <c r="RD13" s="41">
        <f t="shared" si="159"/>
        <v>71.075000000000003</v>
      </c>
      <c r="RE13" s="41">
        <f t="shared" si="160"/>
        <v>7.5250000000000004</v>
      </c>
      <c r="RF13" s="41">
        <f t="shared" si="161"/>
        <v>25.549999999999997</v>
      </c>
      <c r="RG13" s="41">
        <f t="shared" si="162"/>
        <v>96.625</v>
      </c>
    </row>
    <row r="14" spans="1:475" x14ac:dyDescent="0.2">
      <c r="A14" s="4" cm="1">
        <f t="array" ref="A14">IF(AND(H14&lt;&gt;"",H14&lt;&gt;"No DD"),SUMPRODUCT((H$4:H$31&lt;&gt;"")*(H$4:H$31&lt;&gt;"No DD")*(E$4:E$31&gt;E14))+1,IF(H14="No DD",SUMPRODUCT((H$4:H$31="No DD")*(E$4:E$31&gt;E14))+1+SUMPRODUCT((H$4:H$31&lt;&gt;"")*(H$4:H$31&lt;&gt;"No DD")),""))</f>
        <v>11</v>
      </c>
      <c r="B14" s="5" t="s">
        <v>84</v>
      </c>
      <c r="C14" s="4" t="s">
        <v>5</v>
      </c>
      <c r="D14" s="4">
        <v>2002</v>
      </c>
      <c r="E14" s="9">
        <f t="shared" si="163"/>
        <v>177.60001268000514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51.4</v>
      </c>
      <c r="K14" s="8" t="str">
        <f t="shared" si="4"/>
        <v>2023 Domestic 3rd Trial</v>
      </c>
      <c r="L14" s="8">
        <f>IF(COUNT(AQ14,BT14,CW14)&gt;1,LARGE((AQ14,BT14,CW14),2),0)</f>
        <v>48.8</v>
      </c>
      <c r="M14" s="8" t="str">
        <f t="shared" si="5"/>
        <v>2023 Nationals</v>
      </c>
      <c r="N14" s="8">
        <f>IF(COUNT(AR14,BU14,CX14)&gt;0,LARGE((AR14,BU14,CX14),1),0)</f>
        <v>26.6</v>
      </c>
      <c r="O14" s="8" t="str">
        <f t="shared" si="6"/>
        <v>2023 Elite Canada</v>
      </c>
      <c r="P14" s="8">
        <f t="shared" si="7"/>
        <v>50.800000000000004</v>
      </c>
      <c r="Q14" s="8" t="str">
        <f t="shared" si="8"/>
        <v>2023 Domestic 3rd Trial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19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18.600000000000001</v>
      </c>
      <c r="AD14" s="19">
        <v>8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 t="shared" si="12"/>
        <v>6</v>
      </c>
      <c r="AQ14" s="41">
        <f t="shared" si="13"/>
        <v>24.4</v>
      </c>
      <c r="AR14" s="41">
        <f t="shared" si="14"/>
        <v>26.6</v>
      </c>
      <c r="AS14" s="41">
        <f t="shared" si="15"/>
        <v>14</v>
      </c>
      <c r="AT14" s="41">
        <f t="shared" si="16"/>
        <v>51</v>
      </c>
      <c r="AU14" s="41" t="str">
        <f t="shared" si="17"/>
        <v/>
      </c>
      <c r="AV14" s="41" t="str">
        <f t="shared" si="18"/>
        <v/>
      </c>
      <c r="AW14" s="41">
        <f t="shared" si="19"/>
        <v>51</v>
      </c>
      <c r="AX14" s="18">
        <v>18.3</v>
      </c>
      <c r="AY14" s="18">
        <v>5.6</v>
      </c>
      <c r="AZ14" s="18">
        <v>1.4</v>
      </c>
      <c r="BA14" s="18">
        <v>0</v>
      </c>
      <c r="BB14" s="18">
        <v>18.7</v>
      </c>
      <c r="BC14" s="18">
        <v>7.6</v>
      </c>
      <c r="BD14" s="18">
        <v>0</v>
      </c>
      <c r="BE14" s="18">
        <v>0</v>
      </c>
      <c r="BF14" s="18">
        <v>16.600000000000001</v>
      </c>
      <c r="BG14" s="18">
        <v>7.3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 t="shared" si="20"/>
        <v>13.2</v>
      </c>
      <c r="BT14" s="11">
        <f t="shared" si="21"/>
        <v>48.8</v>
      </c>
      <c r="BU14" s="11">
        <f t="shared" si="22"/>
        <v>23.3</v>
      </c>
      <c r="BV14" s="11">
        <f t="shared" si="23"/>
        <v>20.5</v>
      </c>
      <c r="BW14" s="11">
        <f t="shared" si="24"/>
        <v>72.099999999999994</v>
      </c>
      <c r="BX14" s="11" t="str">
        <f t="shared" si="25"/>
        <v/>
      </c>
      <c r="BY14" s="11" t="str">
        <f t="shared" si="26"/>
        <v/>
      </c>
      <c r="BZ14" s="11">
        <f t="shared" si="27"/>
        <v>72.099999999999994</v>
      </c>
      <c r="CA14" s="19">
        <v>18.5</v>
      </c>
      <c r="CB14" s="19">
        <v>7.6</v>
      </c>
      <c r="CC14" s="19">
        <v>0.6</v>
      </c>
      <c r="CD14" s="19">
        <v>0</v>
      </c>
      <c r="CE14" s="19">
        <v>18.5</v>
      </c>
      <c r="CF14" s="19">
        <v>8</v>
      </c>
      <c r="CG14" s="19">
        <v>0.6</v>
      </c>
      <c r="CH14" s="19">
        <v>0</v>
      </c>
      <c r="CI14" s="19">
        <v>16.8</v>
      </c>
      <c r="CJ14" s="19">
        <v>8.1</v>
      </c>
      <c r="CK14" s="19">
        <v>0.2</v>
      </c>
      <c r="CL14" s="19">
        <v>0.3</v>
      </c>
      <c r="CM14" s="19">
        <v>18.5</v>
      </c>
      <c r="CN14" s="19">
        <v>9.3000000000000007</v>
      </c>
      <c r="CO14" s="19">
        <v>0</v>
      </c>
      <c r="CP14" s="19">
        <v>0.3</v>
      </c>
      <c r="CQ14" s="19">
        <v>18.100000000000001</v>
      </c>
      <c r="CR14" s="19">
        <v>5.6</v>
      </c>
      <c r="CS14" s="19">
        <v>1</v>
      </c>
      <c r="CT14" s="19">
        <v>0</v>
      </c>
      <c r="CU14" s="28"/>
      <c r="CV14" s="41">
        <f t="shared" si="28"/>
        <v>15.6</v>
      </c>
      <c r="CW14" s="41">
        <f t="shared" si="29"/>
        <v>51.4</v>
      </c>
      <c r="CX14" s="41">
        <f t="shared" si="30"/>
        <v>25</v>
      </c>
      <c r="CY14" s="41">
        <f t="shared" si="31"/>
        <v>23.7</v>
      </c>
      <c r="CZ14" s="41">
        <f t="shared" si="32"/>
        <v>76.400000000000006</v>
      </c>
      <c r="DA14" s="41">
        <f t="shared" si="33"/>
        <v>14.9</v>
      </c>
      <c r="DB14" s="41">
        <f t="shared" si="34"/>
        <v>50.800000000000004</v>
      </c>
      <c r="DC14" s="41">
        <f t="shared" si="35"/>
        <v>127.20000000000002</v>
      </c>
      <c r="DD14" s="52" t="str">
        <f t="shared" si="36"/>
        <v/>
      </c>
      <c r="DE14" s="52" t="str">
        <f t="shared" si="37"/>
        <v/>
      </c>
      <c r="DF14" s="52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39"/>
        <v/>
      </c>
      <c r="EB14" s="41" t="str">
        <f t="shared" si="40"/>
        <v/>
      </c>
      <c r="EC14" s="41" t="str">
        <f t="shared" si="41"/>
        <v/>
      </c>
      <c r="ED14" s="41" t="str">
        <f t="shared" si="42"/>
        <v/>
      </c>
      <c r="EE14" s="41" t="str">
        <f t="shared" si="43"/>
        <v/>
      </c>
      <c r="EF14" s="41" t="str">
        <f t="shared" si="44"/>
        <v/>
      </c>
      <c r="EG14" s="41" t="str">
        <f t="shared" si="45"/>
        <v/>
      </c>
      <c r="EH14" s="41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5"/>
        <v/>
      </c>
      <c r="GF14" s="41" t="str">
        <f t="shared" si="56"/>
        <v/>
      </c>
      <c r="GG14" s="41" t="str">
        <f t="shared" si="57"/>
        <v/>
      </c>
      <c r="GH14" s="41" t="str">
        <f t="shared" si="58"/>
        <v/>
      </c>
      <c r="GI14" s="41" t="str">
        <f t="shared" si="59"/>
        <v/>
      </c>
      <c r="GJ14" s="41" t="str">
        <f t="shared" si="60"/>
        <v/>
      </c>
      <c r="GK14" s="41" t="str">
        <f t="shared" si="61"/>
        <v/>
      </c>
      <c r="GL14" s="41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7"/>
        <v/>
      </c>
      <c r="KN14" s="41" t="str">
        <f t="shared" si="88"/>
        <v/>
      </c>
      <c r="KO14" s="41" t="str">
        <f t="shared" si="89"/>
        <v/>
      </c>
      <c r="KP14" s="41" t="str">
        <f t="shared" si="90"/>
        <v/>
      </c>
      <c r="KQ14" s="41" t="str">
        <f t="shared" si="91"/>
        <v/>
      </c>
      <c r="KR14" s="41" t="str">
        <f t="shared" si="92"/>
        <v/>
      </c>
      <c r="KS14" s="41" t="str">
        <f t="shared" si="93"/>
        <v/>
      </c>
      <c r="KT14" s="41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18.399999999999999</v>
      </c>
      <c r="QF14" s="23">
        <f t="shared" si="136"/>
        <v>6.6</v>
      </c>
      <c r="QG14" s="23">
        <f t="shared" si="137"/>
        <v>1</v>
      </c>
      <c r="QH14" s="23">
        <f t="shared" si="138"/>
        <v>0</v>
      </c>
      <c r="QI14" s="23">
        <f t="shared" si="139"/>
        <v>18.600000000000001</v>
      </c>
      <c r="QJ14" s="23">
        <f t="shared" si="140"/>
        <v>7.8</v>
      </c>
      <c r="QK14" s="23">
        <f t="shared" si="141"/>
        <v>0.3</v>
      </c>
      <c r="QL14" s="23">
        <f t="shared" si="142"/>
        <v>0</v>
      </c>
      <c r="QM14" s="23">
        <f t="shared" si="143"/>
        <v>16.700000000000003</v>
      </c>
      <c r="QN14" s="23">
        <f t="shared" si="144"/>
        <v>7.6999999999999993</v>
      </c>
      <c r="QO14" s="23">
        <f t="shared" si="145"/>
        <v>0.4</v>
      </c>
      <c r="QP14" s="23">
        <f t="shared" si="146"/>
        <v>0.15</v>
      </c>
      <c r="QQ14" s="23">
        <f t="shared" si="147"/>
        <v>9.25</v>
      </c>
      <c r="QR14" s="23">
        <f t="shared" si="148"/>
        <v>4.6500000000000004</v>
      </c>
      <c r="QS14" s="23">
        <f t="shared" si="149"/>
        <v>0</v>
      </c>
      <c r="QT14" s="23">
        <f t="shared" si="150"/>
        <v>0.15</v>
      </c>
      <c r="QU14" s="23">
        <f t="shared" si="151"/>
        <v>9.0500000000000007</v>
      </c>
      <c r="QV14" s="23">
        <f t="shared" si="152"/>
        <v>2.8</v>
      </c>
      <c r="QW14" s="23">
        <f t="shared" si="153"/>
        <v>0.5</v>
      </c>
      <c r="QX14" s="23">
        <f t="shared" si="154"/>
        <v>0</v>
      </c>
      <c r="QY14" s="28" t="s">
        <v>57</v>
      </c>
      <c r="QZ14" s="41">
        <f t="shared" si="155"/>
        <v>14.399999999999999</v>
      </c>
      <c r="RA14" s="41">
        <f t="shared" si="156"/>
        <v>50.1</v>
      </c>
      <c r="RB14" s="41">
        <f t="shared" si="157"/>
        <v>24.150000000000002</v>
      </c>
      <c r="RC14" s="41">
        <f t="shared" si="158"/>
        <v>22.099999999999998</v>
      </c>
      <c r="RD14" s="41">
        <f t="shared" si="159"/>
        <v>74.25</v>
      </c>
      <c r="RE14" s="41">
        <f t="shared" si="160"/>
        <v>7.45</v>
      </c>
      <c r="RF14" s="41">
        <f t="shared" si="161"/>
        <v>25.400000000000002</v>
      </c>
      <c r="RG14" s="41">
        <f t="shared" si="162"/>
        <v>99.65</v>
      </c>
    </row>
    <row r="15" spans="1:475" x14ac:dyDescent="0.2">
      <c r="A15" s="4" cm="1">
        <f t="array" ref="A15">IF(AND(H15&lt;&gt;"",H15&lt;&gt;"No DD"),SUMPRODUCT((H$4:H$31&lt;&gt;"")*(H$4:H$31&lt;&gt;"No DD")*(E$4:E$31&gt;E15))+1,IF(H15="No DD",SUMPRODUCT((H$4:H$31="No DD")*(E$4:E$31&gt;E15))+1+SUMPRODUCT((H$4:H$31&lt;&gt;"")*(H$4:H$31&lt;&gt;"No DD")),""))</f>
        <v>12</v>
      </c>
      <c r="B15" s="5" t="s">
        <v>129</v>
      </c>
      <c r="C15" s="4" t="s">
        <v>6</v>
      </c>
      <c r="D15" s="4">
        <v>2003</v>
      </c>
      <c r="E15" s="9">
        <f t="shared" si="163"/>
        <v>177.10001286000514</v>
      </c>
      <c r="F15" s="3" t="str">
        <f t="shared" si="0"/>
        <v>P</v>
      </c>
      <c r="G15" s="3" t="str">
        <f t="shared" si="1"/>
        <v>P</v>
      </c>
      <c r="H15" s="37" t="str">
        <f t="shared" si="2"/>
        <v>Worlds Team</v>
      </c>
      <c r="I15" s="3" t="str">
        <f t="shared" si="3"/>
        <v>P</v>
      </c>
      <c r="J15" s="8">
        <f>IF(COUNT(AQ15,BT15,CW15)&gt;0,LARGE((AQ15,BT15,CW15),1),0)</f>
        <v>51.4</v>
      </c>
      <c r="K15" s="8" t="str">
        <f t="shared" si="4"/>
        <v>2023 Nationals</v>
      </c>
      <c r="L15" s="8">
        <f>IF(COUNT(AQ15,BT15,CW15)&gt;1,LARGE((AQ15,BT15,CW15),2),0)</f>
        <v>51.29999999999999</v>
      </c>
      <c r="M15" s="8" t="str">
        <f t="shared" si="5"/>
        <v>2023 Domestic 3rd Trial</v>
      </c>
      <c r="N15" s="8">
        <f>IF(COUNT(AR15,BU15,CX15)&gt;0,LARGE((AR15,BU15,CX15),1),0)</f>
        <v>25.9</v>
      </c>
      <c r="O15" s="8" t="str">
        <f t="shared" si="6"/>
        <v>2023 Nationals</v>
      </c>
      <c r="P15" s="8">
        <f t="shared" si="7"/>
        <v>48.5</v>
      </c>
      <c r="Q15" s="8" t="str">
        <f t="shared" si="8"/>
        <v>2023 Nationals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17.399999999999999</v>
      </c>
      <c r="V15" s="19">
        <v>2.4</v>
      </c>
      <c r="W15" s="19">
        <v>0</v>
      </c>
      <c r="X15" s="19">
        <v>0</v>
      </c>
      <c r="Y15" s="19">
        <v>18.399999999999999</v>
      </c>
      <c r="Z15" s="19">
        <v>7.3</v>
      </c>
      <c r="AA15" s="19">
        <v>0</v>
      </c>
      <c r="AB15" s="19">
        <v>0</v>
      </c>
      <c r="AC15" s="19">
        <v>17.399999999999999</v>
      </c>
      <c r="AD15" s="19">
        <v>4.4000000000000004</v>
      </c>
      <c r="AE15" s="19">
        <v>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 t="shared" si="12"/>
        <v>9.6999999999999993</v>
      </c>
      <c r="AQ15" s="41">
        <f t="shared" si="13"/>
        <v>45.499999999999993</v>
      </c>
      <c r="AR15" s="41">
        <f t="shared" si="14"/>
        <v>19.799999999999997</v>
      </c>
      <c r="AS15" s="41">
        <f t="shared" si="15"/>
        <v>14.1</v>
      </c>
      <c r="AT15" s="41">
        <f t="shared" si="16"/>
        <v>65.299999999999983</v>
      </c>
      <c r="AU15" s="41" t="str">
        <f t="shared" si="17"/>
        <v/>
      </c>
      <c r="AV15" s="41" t="str">
        <f t="shared" si="18"/>
        <v/>
      </c>
      <c r="AW15" s="41">
        <f t="shared" si="19"/>
        <v>65.299999999999983</v>
      </c>
      <c r="AX15" s="18">
        <v>18.2</v>
      </c>
      <c r="AY15" s="18">
        <v>6.9</v>
      </c>
      <c r="AZ15" s="18">
        <v>0.6</v>
      </c>
      <c r="BA15" s="18">
        <v>0</v>
      </c>
      <c r="BB15" s="18">
        <v>18.3</v>
      </c>
      <c r="BC15" s="18">
        <v>8.5</v>
      </c>
      <c r="BD15" s="18">
        <v>0.2</v>
      </c>
      <c r="BE15" s="18">
        <v>0.3</v>
      </c>
      <c r="BF15" s="18">
        <v>18.7</v>
      </c>
      <c r="BG15" s="18">
        <v>7.5</v>
      </c>
      <c r="BH15" s="18">
        <v>0.6</v>
      </c>
      <c r="BI15" s="18">
        <v>0.3</v>
      </c>
      <c r="BJ15" s="18">
        <v>18.600000000000001</v>
      </c>
      <c r="BK15" s="18">
        <v>7.3</v>
      </c>
      <c r="BL15" s="18">
        <v>0</v>
      </c>
      <c r="BM15" s="18">
        <v>0</v>
      </c>
      <c r="BN15" s="18">
        <v>17.2</v>
      </c>
      <c r="BO15" s="18">
        <v>5.0999999999999996</v>
      </c>
      <c r="BP15" s="18">
        <v>0</v>
      </c>
      <c r="BQ15" s="18">
        <v>0.3</v>
      </c>
      <c r="BR15" s="29"/>
      <c r="BS15" s="11">
        <f t="shared" si="20"/>
        <v>15.4</v>
      </c>
      <c r="BT15" s="11">
        <f t="shared" si="21"/>
        <v>51.4</v>
      </c>
      <c r="BU15" s="11">
        <f t="shared" si="22"/>
        <v>25.9</v>
      </c>
      <c r="BV15" s="11">
        <f t="shared" si="23"/>
        <v>22.9</v>
      </c>
      <c r="BW15" s="11">
        <f t="shared" si="24"/>
        <v>77.3</v>
      </c>
      <c r="BX15" s="11">
        <f t="shared" si="25"/>
        <v>12.399999999999999</v>
      </c>
      <c r="BY15" s="11">
        <f t="shared" si="26"/>
        <v>48.5</v>
      </c>
      <c r="BZ15" s="11">
        <f t="shared" si="27"/>
        <v>125.8</v>
      </c>
      <c r="CA15" s="19">
        <v>18.3</v>
      </c>
      <c r="CB15" s="19">
        <v>7.7</v>
      </c>
      <c r="CC15" s="19">
        <v>0.2</v>
      </c>
      <c r="CD15" s="19">
        <v>0.3</v>
      </c>
      <c r="CE15" s="19">
        <v>18.5</v>
      </c>
      <c r="CF15" s="19">
        <v>7.3</v>
      </c>
      <c r="CG15" s="19">
        <v>0.6</v>
      </c>
      <c r="CH15" s="19">
        <v>0</v>
      </c>
      <c r="CI15" s="19">
        <v>17.2</v>
      </c>
      <c r="CJ15" s="19">
        <v>5.4</v>
      </c>
      <c r="CK15" s="19">
        <v>0</v>
      </c>
      <c r="CL15" s="19">
        <v>0.3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8"/>
        <v>15</v>
      </c>
      <c r="CW15" s="41">
        <f t="shared" si="29"/>
        <v>51.29999999999999</v>
      </c>
      <c r="CX15" s="41">
        <f t="shared" si="30"/>
        <v>22.900000000000002</v>
      </c>
      <c r="CY15" s="41">
        <f t="shared" si="31"/>
        <v>20.399999999999999</v>
      </c>
      <c r="CZ15" s="41">
        <f t="shared" si="32"/>
        <v>74.199999999999989</v>
      </c>
      <c r="DA15" s="41" t="str">
        <f t="shared" si="33"/>
        <v/>
      </c>
      <c r="DB15" s="41" t="str">
        <f t="shared" si="34"/>
        <v/>
      </c>
      <c r="DC15" s="41">
        <f t="shared" si="35"/>
        <v>74.199999999999989</v>
      </c>
      <c r="DD15" s="52" t="str">
        <f t="shared" si="36"/>
        <v/>
      </c>
      <c r="DE15" s="52" t="str">
        <f t="shared" si="37"/>
        <v/>
      </c>
      <c r="DF15" s="52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39"/>
        <v/>
      </c>
      <c r="EB15" s="41" t="str">
        <f t="shared" si="40"/>
        <v/>
      </c>
      <c r="EC15" s="41" t="str">
        <f t="shared" si="41"/>
        <v/>
      </c>
      <c r="ED15" s="41" t="str">
        <f t="shared" si="42"/>
        <v/>
      </c>
      <c r="EE15" s="41" t="str">
        <f t="shared" si="43"/>
        <v/>
      </c>
      <c r="EF15" s="41" t="str">
        <f t="shared" si="44"/>
        <v/>
      </c>
      <c r="EG15" s="41" t="str">
        <f t="shared" si="45"/>
        <v/>
      </c>
      <c r="EH15" s="41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5"/>
        <v/>
      </c>
      <c r="GF15" s="41" t="str">
        <f t="shared" si="56"/>
        <v/>
      </c>
      <c r="GG15" s="41" t="str">
        <f t="shared" si="57"/>
        <v/>
      </c>
      <c r="GH15" s="41" t="str">
        <f t="shared" si="58"/>
        <v/>
      </c>
      <c r="GI15" s="41" t="str">
        <f t="shared" si="59"/>
        <v/>
      </c>
      <c r="GJ15" s="41" t="str">
        <f t="shared" si="60"/>
        <v/>
      </c>
      <c r="GK15" s="41" t="str">
        <f t="shared" si="61"/>
        <v/>
      </c>
      <c r="GL15" s="41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>
        <v>17.5</v>
      </c>
      <c r="JT15" s="17">
        <v>2.8</v>
      </c>
      <c r="JU15" s="17">
        <v>0</v>
      </c>
      <c r="JV15" s="17">
        <v>0</v>
      </c>
      <c r="JW15" s="17">
        <v>17.2</v>
      </c>
      <c r="JX15" s="17">
        <v>5.0999999999999996</v>
      </c>
      <c r="JY15" s="17">
        <v>0</v>
      </c>
      <c r="JZ15" s="17">
        <v>0</v>
      </c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>
        <f t="shared" si="87"/>
        <v>7.8999999999999995</v>
      </c>
      <c r="KN15" s="41">
        <f t="shared" si="88"/>
        <v>42.6</v>
      </c>
      <c r="KO15" s="41" t="str">
        <f t="shared" si="89"/>
        <v/>
      </c>
      <c r="KP15" s="41">
        <f t="shared" si="90"/>
        <v>7.8999999999999995</v>
      </c>
      <c r="KQ15" s="41">
        <f t="shared" si="91"/>
        <v>42.6</v>
      </c>
      <c r="KR15" s="41" t="str">
        <f t="shared" si="92"/>
        <v/>
      </c>
      <c r="KS15" s="41" t="str">
        <f t="shared" si="93"/>
        <v/>
      </c>
      <c r="KT15" s="41">
        <f t="shared" si="94"/>
        <v>42.6</v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18.25</v>
      </c>
      <c r="QF15" s="23">
        <f t="shared" si="136"/>
        <v>7.3000000000000007</v>
      </c>
      <c r="QG15" s="23">
        <f t="shared" si="137"/>
        <v>0.4</v>
      </c>
      <c r="QH15" s="23">
        <f t="shared" si="138"/>
        <v>0.15</v>
      </c>
      <c r="QI15" s="23">
        <f t="shared" si="139"/>
        <v>18.399999999999999</v>
      </c>
      <c r="QJ15" s="23">
        <f t="shared" si="140"/>
        <v>7.9</v>
      </c>
      <c r="QK15" s="23">
        <f t="shared" si="141"/>
        <v>0.4</v>
      </c>
      <c r="QL15" s="23">
        <f t="shared" si="142"/>
        <v>0.15</v>
      </c>
      <c r="QM15" s="23">
        <f t="shared" si="143"/>
        <v>17.95</v>
      </c>
      <c r="QN15" s="23">
        <f t="shared" si="144"/>
        <v>6.45</v>
      </c>
      <c r="QO15" s="23">
        <f t="shared" si="145"/>
        <v>0.3</v>
      </c>
      <c r="QP15" s="23">
        <f t="shared" si="146"/>
        <v>0.3</v>
      </c>
      <c r="QQ15" s="23">
        <f t="shared" si="147"/>
        <v>9.3000000000000007</v>
      </c>
      <c r="QR15" s="23">
        <f t="shared" si="148"/>
        <v>3.65</v>
      </c>
      <c r="QS15" s="23">
        <f t="shared" si="149"/>
        <v>0</v>
      </c>
      <c r="QT15" s="23">
        <f t="shared" si="150"/>
        <v>0</v>
      </c>
      <c r="QU15" s="23">
        <f t="shared" si="151"/>
        <v>8.6</v>
      </c>
      <c r="QV15" s="23">
        <f t="shared" si="152"/>
        <v>2.5499999999999998</v>
      </c>
      <c r="QW15" s="23">
        <f t="shared" si="153"/>
        <v>0</v>
      </c>
      <c r="QX15" s="23">
        <f t="shared" si="154"/>
        <v>0.15</v>
      </c>
      <c r="QY15" s="28" t="s">
        <v>57</v>
      </c>
      <c r="QZ15" s="41">
        <f t="shared" si="155"/>
        <v>15.200000000000001</v>
      </c>
      <c r="RA15" s="41">
        <f t="shared" si="156"/>
        <v>51.349999999999994</v>
      </c>
      <c r="RB15" s="41">
        <f t="shared" si="157"/>
        <v>24.4</v>
      </c>
      <c r="RC15" s="41">
        <f t="shared" si="158"/>
        <v>21.650000000000002</v>
      </c>
      <c r="RD15" s="41">
        <f t="shared" si="159"/>
        <v>75.75</v>
      </c>
      <c r="RE15" s="41">
        <f t="shared" si="160"/>
        <v>6.1999999999999993</v>
      </c>
      <c r="RF15" s="41">
        <f t="shared" si="161"/>
        <v>24.25</v>
      </c>
      <c r="RG15" s="41">
        <f t="shared" si="162"/>
        <v>100</v>
      </c>
    </row>
    <row r="16" spans="1:475" x14ac:dyDescent="0.2">
      <c r="A16" s="4" cm="1">
        <f t="array" ref="A16">IF(AND(H16&lt;&gt;"",H16&lt;&gt;"No DD"),SUMPRODUCT((H$4:H$31&lt;&gt;"")*(H$4:H$31&lt;&gt;"No DD")*(E$4:E$31&gt;E16))+1,IF(H16="No DD",SUMPRODUCT((H$4:H$31="No DD")*(E$4:E$31&gt;E16))+1+SUMPRODUCT((H$4:H$31&lt;&gt;"")*(H$4:H$31&lt;&gt;"No DD")),""))</f>
        <v>13</v>
      </c>
      <c r="B16" s="5" t="s">
        <v>254</v>
      </c>
      <c r="C16" s="4" t="s">
        <v>5</v>
      </c>
      <c r="D16" s="4">
        <v>2007</v>
      </c>
      <c r="E16" s="9">
        <f t="shared" si="163"/>
        <v>174.80001229000501</v>
      </c>
      <c r="F16" s="3" t="str">
        <f t="shared" si="0"/>
        <v>P</v>
      </c>
      <c r="G16" s="3" t="str">
        <f t="shared" si="1"/>
        <v>P</v>
      </c>
      <c r="H16" s="37" t="str">
        <f t="shared" si="2"/>
        <v>National Team</v>
      </c>
      <c r="I16" s="3" t="str">
        <f t="shared" si="3"/>
        <v/>
      </c>
      <c r="J16" s="8">
        <f>IF(COUNT(AQ16,BT16,CW16)&gt;0,LARGE((AQ16,BT16,CW16),1),0)</f>
        <v>50.199999999999996</v>
      </c>
      <c r="K16" s="8" t="str">
        <f t="shared" si="4"/>
        <v>2023 Domestic 3rd Trial</v>
      </c>
      <c r="L16" s="8">
        <f>IF(COUNT(AQ16,BT16,CW16)&gt;1,LARGE((AQ16,BT16,CW16),2),0)</f>
        <v>49.599999999999994</v>
      </c>
      <c r="M16" s="8" t="str">
        <f t="shared" si="5"/>
        <v>2023 Nationals</v>
      </c>
      <c r="N16" s="8">
        <f>IF(COUNT(AR16,BU16,CX16)&gt;0,LARGE((AR16,BU16,CX16),1),0)</f>
        <v>23.099999999999998</v>
      </c>
      <c r="O16" s="8" t="str">
        <f t="shared" si="6"/>
        <v>2023 Domestic 3rd Trial</v>
      </c>
      <c r="P16" s="8">
        <f t="shared" si="7"/>
        <v>50.099999999999994</v>
      </c>
      <c r="Q16" s="8" t="str">
        <f t="shared" si="8"/>
        <v>2023 Nationals</v>
      </c>
      <c r="R16" s="8">
        <f t="shared" si="9"/>
        <v>1.8000000000000114</v>
      </c>
      <c r="S16" s="11" t="str">
        <f t="shared" si="10"/>
        <v>(Q1)</v>
      </c>
      <c r="T16" s="8" t="str">
        <f t="shared" si="11"/>
        <v>2023 WAGC (Nov 17)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 t="shared" si="12"/>
        <v/>
      </c>
      <c r="AQ16" s="41" t="str">
        <f t="shared" si="13"/>
        <v/>
      </c>
      <c r="AR16" s="41" t="str">
        <f t="shared" si="14"/>
        <v/>
      </c>
      <c r="AS16" s="41" t="str">
        <f t="shared" si="15"/>
        <v/>
      </c>
      <c r="AT16" s="41" t="str">
        <f t="shared" si="16"/>
        <v/>
      </c>
      <c r="AU16" s="41" t="str">
        <f t="shared" si="17"/>
        <v/>
      </c>
      <c r="AV16" s="41" t="str">
        <f t="shared" si="18"/>
        <v/>
      </c>
      <c r="AW16" s="41" t="str">
        <f t="shared" si="19"/>
        <v/>
      </c>
      <c r="AX16" s="18">
        <v>18.100000000000001</v>
      </c>
      <c r="AY16" s="18">
        <v>7.6</v>
      </c>
      <c r="AZ16" s="18">
        <v>0.6</v>
      </c>
      <c r="BA16" s="18">
        <v>0</v>
      </c>
      <c r="BB16" s="18">
        <v>17.899999999999999</v>
      </c>
      <c r="BC16" s="18">
        <v>6.8</v>
      </c>
      <c r="BD16" s="18">
        <v>0.2</v>
      </c>
      <c r="BE16" s="18">
        <v>0</v>
      </c>
      <c r="BF16" s="18">
        <v>17.2</v>
      </c>
      <c r="BG16" s="18">
        <v>2.8</v>
      </c>
      <c r="BH16" s="18">
        <v>0</v>
      </c>
      <c r="BI16" s="18">
        <v>0</v>
      </c>
      <c r="BJ16" s="18">
        <v>18.2</v>
      </c>
      <c r="BK16" s="18">
        <v>7.6</v>
      </c>
      <c r="BL16" s="18">
        <v>0</v>
      </c>
      <c r="BM16" s="18">
        <v>0</v>
      </c>
      <c r="BN16" s="18">
        <v>18.100000000000001</v>
      </c>
      <c r="BO16" s="18">
        <v>6.8</v>
      </c>
      <c r="BP16" s="18">
        <v>0.6</v>
      </c>
      <c r="BQ16" s="18">
        <v>0</v>
      </c>
      <c r="BR16" s="29"/>
      <c r="BS16" s="11">
        <f t="shared" si="20"/>
        <v>14.399999999999999</v>
      </c>
      <c r="BT16" s="11">
        <f t="shared" si="21"/>
        <v>49.599999999999994</v>
      </c>
      <c r="BU16" s="11">
        <f t="shared" si="22"/>
        <v>20</v>
      </c>
      <c r="BV16" s="11">
        <f t="shared" si="23"/>
        <v>17.2</v>
      </c>
      <c r="BW16" s="11">
        <f t="shared" si="24"/>
        <v>69.599999999999994</v>
      </c>
      <c r="BX16" s="11">
        <f t="shared" si="25"/>
        <v>14.399999999999999</v>
      </c>
      <c r="BY16" s="11">
        <f t="shared" si="26"/>
        <v>50.099999999999994</v>
      </c>
      <c r="BZ16" s="11">
        <f t="shared" si="27"/>
        <v>119.69999999999999</v>
      </c>
      <c r="CA16" s="19">
        <v>18.600000000000001</v>
      </c>
      <c r="CB16" s="19">
        <v>7.2</v>
      </c>
      <c r="CC16" s="19">
        <v>0.6</v>
      </c>
      <c r="CD16" s="19">
        <v>0</v>
      </c>
      <c r="CE16" s="19">
        <v>18.2</v>
      </c>
      <c r="CF16" s="19">
        <v>6.8</v>
      </c>
      <c r="CG16" s="19">
        <v>0</v>
      </c>
      <c r="CH16" s="19">
        <v>0</v>
      </c>
      <c r="CI16" s="19">
        <v>17.7</v>
      </c>
      <c r="CJ16" s="19">
        <v>6</v>
      </c>
      <c r="CK16" s="19">
        <v>0.6</v>
      </c>
      <c r="CL16" s="19">
        <v>0</v>
      </c>
      <c r="CM16" s="19">
        <v>18.2</v>
      </c>
      <c r="CN16" s="19">
        <v>7.2</v>
      </c>
      <c r="CO16" s="19">
        <v>0.8</v>
      </c>
      <c r="CP16" s="19">
        <v>0</v>
      </c>
      <c r="CQ16" s="19">
        <v>18</v>
      </c>
      <c r="CR16" s="19">
        <v>6.8000000000000007</v>
      </c>
      <c r="CS16" s="19">
        <v>0.6</v>
      </c>
      <c r="CT16" s="19">
        <v>0</v>
      </c>
      <c r="CU16" s="28"/>
      <c r="CV16" s="41">
        <f t="shared" si="28"/>
        <v>14</v>
      </c>
      <c r="CW16" s="41">
        <f t="shared" si="29"/>
        <v>50.199999999999996</v>
      </c>
      <c r="CX16" s="41">
        <f t="shared" si="30"/>
        <v>23.099999999999998</v>
      </c>
      <c r="CY16" s="41">
        <f t="shared" si="31"/>
        <v>20</v>
      </c>
      <c r="CZ16" s="41">
        <f t="shared" si="32"/>
        <v>73.3</v>
      </c>
      <c r="DA16" s="41">
        <f t="shared" si="33"/>
        <v>14</v>
      </c>
      <c r="DB16" s="41">
        <f t="shared" si="34"/>
        <v>48.800000000000004</v>
      </c>
      <c r="DC16" s="41">
        <f t="shared" si="35"/>
        <v>122.1</v>
      </c>
      <c r="DD16" s="52">
        <f t="shared" si="36"/>
        <v>1.8000000000000114</v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>
        <v>18.5</v>
      </c>
      <c r="JT16" s="17">
        <v>7.6</v>
      </c>
      <c r="JU16" s="17">
        <v>0.6</v>
      </c>
      <c r="JV16" s="17">
        <v>0</v>
      </c>
      <c r="JW16" s="17">
        <v>18.3</v>
      </c>
      <c r="JX16" s="17">
        <v>7.6</v>
      </c>
      <c r="JY16" s="17">
        <v>0</v>
      </c>
      <c r="JZ16" s="17">
        <v>0</v>
      </c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>
        <f t="shared" si="87"/>
        <v>15.2</v>
      </c>
      <c r="KN16" s="41">
        <f t="shared" si="88"/>
        <v>51.400000000000006</v>
      </c>
      <c r="KO16" s="41" t="str">
        <f t="shared" si="89"/>
        <v/>
      </c>
      <c r="KP16" s="41">
        <f t="shared" si="90"/>
        <v>15.2</v>
      </c>
      <c r="KQ16" s="41">
        <f t="shared" si="91"/>
        <v>51.400000000000006</v>
      </c>
      <c r="KR16" s="41" t="str">
        <f t="shared" si="92"/>
        <v/>
      </c>
      <c r="KS16" s="41" t="str">
        <f t="shared" si="93"/>
        <v/>
      </c>
      <c r="KT16" s="41">
        <f t="shared" si="94"/>
        <v>51.400000000000006</v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18.350000000000001</v>
      </c>
      <c r="QF16" s="23">
        <f t="shared" si="136"/>
        <v>7.4</v>
      </c>
      <c r="QG16" s="23">
        <f t="shared" si="137"/>
        <v>0.6</v>
      </c>
      <c r="QH16" s="23">
        <f t="shared" si="138"/>
        <v>0</v>
      </c>
      <c r="QI16" s="23">
        <f t="shared" si="139"/>
        <v>18.049999999999997</v>
      </c>
      <c r="QJ16" s="23">
        <f t="shared" si="140"/>
        <v>6.8</v>
      </c>
      <c r="QK16" s="23">
        <f t="shared" si="141"/>
        <v>0.1</v>
      </c>
      <c r="QL16" s="23">
        <f t="shared" si="142"/>
        <v>0</v>
      </c>
      <c r="QM16" s="23">
        <f t="shared" si="143"/>
        <v>17.45</v>
      </c>
      <c r="QN16" s="23">
        <f t="shared" si="144"/>
        <v>4.4000000000000004</v>
      </c>
      <c r="QO16" s="23">
        <f t="shared" si="145"/>
        <v>0.3</v>
      </c>
      <c r="QP16" s="23">
        <f t="shared" si="146"/>
        <v>0</v>
      </c>
      <c r="QQ16" s="23">
        <f t="shared" si="147"/>
        <v>18.2</v>
      </c>
      <c r="QR16" s="23">
        <f t="shared" si="148"/>
        <v>7.4</v>
      </c>
      <c r="QS16" s="23">
        <f t="shared" si="149"/>
        <v>0.4</v>
      </c>
      <c r="QT16" s="23">
        <f t="shared" si="150"/>
        <v>0</v>
      </c>
      <c r="QU16" s="23">
        <f t="shared" si="151"/>
        <v>18.05</v>
      </c>
      <c r="QV16" s="23">
        <f t="shared" si="152"/>
        <v>6.8000000000000007</v>
      </c>
      <c r="QW16" s="23">
        <f t="shared" si="153"/>
        <v>0.6</v>
      </c>
      <c r="QX16" s="23">
        <f t="shared" si="154"/>
        <v>0</v>
      </c>
      <c r="QY16" s="28" t="s">
        <v>57</v>
      </c>
      <c r="QZ16" s="41">
        <f t="shared" si="155"/>
        <v>14.2</v>
      </c>
      <c r="RA16" s="41">
        <f t="shared" si="156"/>
        <v>49.899999999999991</v>
      </c>
      <c r="RB16" s="41">
        <f t="shared" si="157"/>
        <v>21.55</v>
      </c>
      <c r="RC16" s="41">
        <f t="shared" si="158"/>
        <v>18.600000000000001</v>
      </c>
      <c r="RD16" s="41">
        <f t="shared" si="159"/>
        <v>71.449999999999989</v>
      </c>
      <c r="RE16" s="41">
        <f t="shared" si="160"/>
        <v>14.200000000000001</v>
      </c>
      <c r="RF16" s="41">
        <f t="shared" si="161"/>
        <v>49.45</v>
      </c>
      <c r="RG16" s="41">
        <f t="shared" si="162"/>
        <v>120.89999999999999</v>
      </c>
    </row>
    <row r="17" spans="1:475" x14ac:dyDescent="0.2">
      <c r="A17" s="4" cm="1">
        <f t="array" ref="A17">IF(AND(H17&lt;&gt;"",H17&lt;&gt;"No DD"),SUMPRODUCT((H$4:H$31&lt;&gt;"")*(H$4:H$31&lt;&gt;"No DD")*(E$4:E$31&gt;E17))+1,IF(H17="No DD",SUMPRODUCT((H$4:H$31="No DD")*(E$4:E$31&gt;E17))+1+SUMPRODUCT((H$4:H$31&lt;&gt;"")*(H$4:H$31&lt;&gt;"No DD")),""))</f>
        <v>14</v>
      </c>
      <c r="B17" s="5" t="s">
        <v>233</v>
      </c>
      <c r="C17" s="4" t="s">
        <v>5</v>
      </c>
      <c r="D17" s="4">
        <v>2005</v>
      </c>
      <c r="E17" s="9">
        <f t="shared" si="163"/>
        <v>174.30001250000518</v>
      </c>
      <c r="F17" s="3" t="str">
        <f t="shared" si="0"/>
        <v>P</v>
      </c>
      <c r="G17" s="3" t="str">
        <f t="shared" si="1"/>
        <v>P</v>
      </c>
      <c r="H17" s="37" t="str">
        <f t="shared" si="2"/>
        <v>National Team</v>
      </c>
      <c r="I17" s="3" t="str">
        <f t="shared" si="3"/>
        <v/>
      </c>
      <c r="J17" s="8">
        <f>IF(COUNT(AQ17,BT17,CW17)&gt;0,LARGE((AQ17,BT17,CW17),1),0)</f>
        <v>51.800000000000004</v>
      </c>
      <c r="K17" s="8" t="str">
        <f t="shared" si="4"/>
        <v>2023 Domestic 3rd Trial</v>
      </c>
      <c r="L17" s="8">
        <f>IF(COUNT(AQ17,BT17,CW17)&gt;1,LARGE((AQ17,BT17,CW17),2),0)</f>
        <v>49.7</v>
      </c>
      <c r="M17" s="8" t="str">
        <f t="shared" si="5"/>
        <v>2023 Nationals</v>
      </c>
      <c r="N17" s="8">
        <f>IF(COUNT(AR17,BU17,CX17)&gt;0,LARGE((AR17,BU17,CX17),1),0)</f>
        <v>23.5</v>
      </c>
      <c r="O17" s="8" t="str">
        <f t="shared" si="6"/>
        <v>2023 Nationals</v>
      </c>
      <c r="P17" s="8">
        <f t="shared" si="7"/>
        <v>49.300000000000004</v>
      </c>
      <c r="Q17" s="8" t="str">
        <f t="shared" si="8"/>
        <v>2023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18.3</v>
      </c>
      <c r="V17" s="19">
        <v>6.9</v>
      </c>
      <c r="W17" s="19">
        <v>0.8</v>
      </c>
      <c r="X17" s="19">
        <v>0</v>
      </c>
      <c r="Y17" s="19">
        <v>18.3</v>
      </c>
      <c r="Z17" s="19">
        <v>6.4</v>
      </c>
      <c r="AA17" s="19">
        <v>0.6</v>
      </c>
      <c r="AB17" s="19">
        <v>0</v>
      </c>
      <c r="AC17" s="19">
        <v>18.8</v>
      </c>
      <c r="AD17" s="19">
        <v>4.3</v>
      </c>
      <c r="AE17" s="19">
        <v>0</v>
      </c>
      <c r="AF17" s="19">
        <v>0</v>
      </c>
      <c r="AG17" s="19">
        <v>18</v>
      </c>
      <c r="AH17" s="19">
        <v>6.9</v>
      </c>
      <c r="AI17" s="19">
        <v>0.2</v>
      </c>
      <c r="AJ17" s="19">
        <v>0</v>
      </c>
      <c r="AK17" s="19">
        <v>18.8</v>
      </c>
      <c r="AL17" s="19">
        <v>6.4</v>
      </c>
      <c r="AM17" s="19">
        <v>0.6</v>
      </c>
      <c r="AN17" s="19">
        <v>0</v>
      </c>
      <c r="AO17" s="28"/>
      <c r="AP17" s="41">
        <f t="shared" si="12"/>
        <v>13.3</v>
      </c>
      <c r="AQ17" s="41">
        <f t="shared" si="13"/>
        <v>48.5</v>
      </c>
      <c r="AR17" s="41">
        <f t="shared" si="14"/>
        <v>23.1</v>
      </c>
      <c r="AS17" s="41">
        <f t="shared" si="15"/>
        <v>17.600000000000001</v>
      </c>
      <c r="AT17" s="41">
        <f t="shared" si="16"/>
        <v>71.599999999999994</v>
      </c>
      <c r="AU17" s="41">
        <f t="shared" si="17"/>
        <v>13.3</v>
      </c>
      <c r="AV17" s="41">
        <f t="shared" si="18"/>
        <v>49.300000000000004</v>
      </c>
      <c r="AW17" s="41">
        <f t="shared" si="19"/>
        <v>120.9</v>
      </c>
      <c r="AX17" s="18">
        <v>18.3</v>
      </c>
      <c r="AY17" s="18">
        <v>6.8</v>
      </c>
      <c r="AZ17" s="18">
        <v>0.2</v>
      </c>
      <c r="BA17" s="18">
        <v>0</v>
      </c>
      <c r="BB17" s="18">
        <v>18.3</v>
      </c>
      <c r="BC17" s="18">
        <v>7.3</v>
      </c>
      <c r="BD17" s="18">
        <v>0.8</v>
      </c>
      <c r="BE17" s="18">
        <v>0</v>
      </c>
      <c r="BF17" s="18">
        <v>19.2</v>
      </c>
      <c r="BG17" s="18">
        <v>4.3</v>
      </c>
      <c r="BH17" s="18">
        <v>0</v>
      </c>
      <c r="BI17" s="18">
        <v>0</v>
      </c>
      <c r="BJ17" s="18">
        <v>18.600000000000001</v>
      </c>
      <c r="BK17" s="18">
        <v>6.8</v>
      </c>
      <c r="BL17" s="18">
        <v>0.6</v>
      </c>
      <c r="BM17" s="18">
        <v>0</v>
      </c>
      <c r="BN17" s="18">
        <v>18</v>
      </c>
      <c r="BO17" s="18">
        <v>7.3</v>
      </c>
      <c r="BP17" s="18">
        <v>1</v>
      </c>
      <c r="BQ17" s="18">
        <v>0</v>
      </c>
      <c r="BR17" s="29"/>
      <c r="BS17" s="11">
        <f t="shared" si="20"/>
        <v>14.1</v>
      </c>
      <c r="BT17" s="11">
        <f t="shared" si="21"/>
        <v>49.7</v>
      </c>
      <c r="BU17" s="11">
        <f t="shared" si="22"/>
        <v>23.5</v>
      </c>
      <c r="BV17" s="11">
        <f t="shared" si="23"/>
        <v>18.399999999999999</v>
      </c>
      <c r="BW17" s="11">
        <f t="shared" si="24"/>
        <v>73.2</v>
      </c>
      <c r="BX17" s="11">
        <f t="shared" si="25"/>
        <v>14.1</v>
      </c>
      <c r="BY17" s="11">
        <f t="shared" si="26"/>
        <v>49.1</v>
      </c>
      <c r="BZ17" s="11">
        <f t="shared" si="27"/>
        <v>122.30000000000001</v>
      </c>
      <c r="CA17" s="19">
        <v>18</v>
      </c>
      <c r="CB17" s="19">
        <v>7.7</v>
      </c>
      <c r="CC17" s="19">
        <v>0</v>
      </c>
      <c r="CD17" s="19">
        <v>0.3</v>
      </c>
      <c r="CE17" s="19">
        <v>18.600000000000001</v>
      </c>
      <c r="CF17" s="19">
        <v>7.2</v>
      </c>
      <c r="CG17" s="19">
        <v>0</v>
      </c>
      <c r="CH17" s="19">
        <v>0</v>
      </c>
      <c r="CI17" s="19">
        <v>17</v>
      </c>
      <c r="CJ17" s="19">
        <v>3.6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 t="shared" si="28"/>
        <v>14.9</v>
      </c>
      <c r="CW17" s="41">
        <f t="shared" si="29"/>
        <v>51.800000000000004</v>
      </c>
      <c r="CX17" s="41">
        <f t="shared" si="30"/>
        <v>20.6</v>
      </c>
      <c r="CY17" s="41">
        <f t="shared" si="31"/>
        <v>18.5</v>
      </c>
      <c r="CZ17" s="41">
        <f t="shared" si="32"/>
        <v>72.400000000000006</v>
      </c>
      <c r="DA17" s="41" t="str">
        <f t="shared" si="33"/>
        <v/>
      </c>
      <c r="DB17" s="41" t="str">
        <f t="shared" si="34"/>
        <v/>
      </c>
      <c r="DC17" s="41">
        <f t="shared" si="35"/>
        <v>72.400000000000006</v>
      </c>
      <c r="DD17" s="52" t="str">
        <f t="shared" si="36"/>
        <v/>
      </c>
      <c r="DE17" s="52" t="str">
        <f t="shared" si="37"/>
        <v/>
      </c>
      <c r="DF17" s="52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39"/>
        <v/>
      </c>
      <c r="EB17" s="41" t="str">
        <f t="shared" si="40"/>
        <v/>
      </c>
      <c r="EC17" s="41" t="str">
        <f t="shared" si="41"/>
        <v/>
      </c>
      <c r="ED17" s="41" t="str">
        <f t="shared" si="42"/>
        <v/>
      </c>
      <c r="EE17" s="41" t="str">
        <f t="shared" si="43"/>
        <v/>
      </c>
      <c r="EF17" s="41" t="str">
        <f t="shared" si="44"/>
        <v/>
      </c>
      <c r="EG17" s="41" t="str">
        <f t="shared" si="45"/>
        <v/>
      </c>
      <c r="EH17" s="41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5"/>
        <v/>
      </c>
      <c r="GF17" s="41" t="str">
        <f t="shared" si="56"/>
        <v/>
      </c>
      <c r="GG17" s="41" t="str">
        <f t="shared" si="57"/>
        <v/>
      </c>
      <c r="GH17" s="41" t="str">
        <f t="shared" si="58"/>
        <v/>
      </c>
      <c r="GI17" s="41" t="str">
        <f t="shared" si="59"/>
        <v/>
      </c>
      <c r="GJ17" s="41" t="str">
        <f t="shared" si="60"/>
        <v/>
      </c>
      <c r="GK17" s="41" t="str">
        <f t="shared" si="61"/>
        <v/>
      </c>
      <c r="GL17" s="41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1"/>
        <v/>
      </c>
      <c r="IJ17" s="41" t="str">
        <f t="shared" si="72"/>
        <v/>
      </c>
      <c r="IK17" s="41" t="str">
        <f t="shared" si="73"/>
        <v/>
      </c>
      <c r="IL17" s="41" t="str">
        <f t="shared" si="74"/>
        <v/>
      </c>
      <c r="IM17" s="41" t="str">
        <f t="shared" si="75"/>
        <v/>
      </c>
      <c r="IN17" s="41" t="str">
        <f t="shared" si="76"/>
        <v/>
      </c>
      <c r="IO17" s="41" t="str">
        <f t="shared" si="77"/>
        <v/>
      </c>
      <c r="IP17" s="41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7"/>
        <v/>
      </c>
      <c r="KN17" s="41" t="str">
        <f t="shared" si="88"/>
        <v/>
      </c>
      <c r="KO17" s="41" t="str">
        <f t="shared" si="89"/>
        <v/>
      </c>
      <c r="KP17" s="41" t="str">
        <f t="shared" si="90"/>
        <v/>
      </c>
      <c r="KQ17" s="41" t="str">
        <f t="shared" si="91"/>
        <v/>
      </c>
      <c r="KR17" s="41" t="str">
        <f t="shared" si="92"/>
        <v/>
      </c>
      <c r="KS17" s="41" t="str">
        <f t="shared" si="93"/>
        <v/>
      </c>
      <c r="KT17" s="41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18.149999999999999</v>
      </c>
      <c r="QF17" s="23">
        <f t="shared" si="136"/>
        <v>7.25</v>
      </c>
      <c r="QG17" s="23">
        <f t="shared" si="137"/>
        <v>0.1</v>
      </c>
      <c r="QH17" s="23">
        <f t="shared" si="138"/>
        <v>0.15</v>
      </c>
      <c r="QI17" s="23">
        <f t="shared" si="139"/>
        <v>18.450000000000003</v>
      </c>
      <c r="QJ17" s="23">
        <f t="shared" si="140"/>
        <v>7.25</v>
      </c>
      <c r="QK17" s="23">
        <f t="shared" si="141"/>
        <v>0.4</v>
      </c>
      <c r="QL17" s="23">
        <f t="shared" si="142"/>
        <v>0</v>
      </c>
      <c r="QM17" s="23">
        <f t="shared" si="143"/>
        <v>18.100000000000001</v>
      </c>
      <c r="QN17" s="23">
        <f t="shared" si="144"/>
        <v>3.95</v>
      </c>
      <c r="QO17" s="23">
        <f t="shared" si="145"/>
        <v>0</v>
      </c>
      <c r="QP17" s="23">
        <f t="shared" si="146"/>
        <v>0</v>
      </c>
      <c r="QQ17" s="23">
        <f t="shared" si="147"/>
        <v>9.3000000000000007</v>
      </c>
      <c r="QR17" s="23">
        <f t="shared" si="148"/>
        <v>3.4</v>
      </c>
      <c r="QS17" s="23">
        <f t="shared" si="149"/>
        <v>0.3</v>
      </c>
      <c r="QT17" s="23">
        <f t="shared" si="150"/>
        <v>0</v>
      </c>
      <c r="QU17" s="23">
        <f t="shared" si="151"/>
        <v>9</v>
      </c>
      <c r="QV17" s="23">
        <f t="shared" si="152"/>
        <v>3.65</v>
      </c>
      <c r="QW17" s="23">
        <f t="shared" si="153"/>
        <v>0.5</v>
      </c>
      <c r="QX17" s="23">
        <f t="shared" si="154"/>
        <v>0</v>
      </c>
      <c r="QY17" s="28" t="s">
        <v>57</v>
      </c>
      <c r="QZ17" s="41">
        <f t="shared" si="155"/>
        <v>14.5</v>
      </c>
      <c r="RA17" s="41">
        <f t="shared" si="156"/>
        <v>50.75</v>
      </c>
      <c r="RB17" s="41">
        <f t="shared" si="157"/>
        <v>22.05</v>
      </c>
      <c r="RC17" s="41">
        <f t="shared" si="158"/>
        <v>18.45</v>
      </c>
      <c r="RD17" s="41">
        <f t="shared" si="159"/>
        <v>72.8</v>
      </c>
      <c r="RE17" s="41">
        <f t="shared" si="160"/>
        <v>7.05</v>
      </c>
      <c r="RF17" s="41">
        <f t="shared" si="161"/>
        <v>24.55</v>
      </c>
      <c r="RG17" s="41">
        <f t="shared" si="162"/>
        <v>97.35</v>
      </c>
    </row>
    <row r="18" spans="1:475" x14ac:dyDescent="0.2">
      <c r="A18" s="4" cm="1">
        <f t="array" ref="A18">IF(AND(H18&lt;&gt;"",H18&lt;&gt;"No DD"),SUMPRODUCT((H$4:H$31&lt;&gt;"")*(H$4:H$31&lt;&gt;"No DD")*(E$4:E$31&gt;E18))+1,IF(H18="No DD",SUMPRODUCT((H$4:H$31="No DD")*(E$4:E$31&gt;E18))+1+SUMPRODUCT((H$4:H$31&lt;&gt;"")*(H$4:H$31&lt;&gt;"No DD")),""))</f>
        <v>15</v>
      </c>
      <c r="B18" s="5" t="s">
        <v>169</v>
      </c>
      <c r="C18" s="4" t="s">
        <v>5</v>
      </c>
      <c r="D18" s="4">
        <v>1999</v>
      </c>
      <c r="E18" s="9">
        <f t="shared" si="163"/>
        <v>174.25001224500502</v>
      </c>
      <c r="F18" s="3" t="str">
        <f t="shared" si="0"/>
        <v>P</v>
      </c>
      <c r="G18" s="3" t="str">
        <f t="shared" si="1"/>
        <v>P</v>
      </c>
      <c r="H18" s="37" t="str">
        <f t="shared" si="2"/>
        <v>National Team</v>
      </c>
      <c r="I18" s="3" t="str">
        <f t="shared" si="3"/>
        <v/>
      </c>
      <c r="J18" s="8">
        <f>IF(COUNT(AQ18,BT18,CW18)&gt;0,LARGE((AQ18,BT18,CW18),1),0)</f>
        <v>50.300000000000004</v>
      </c>
      <c r="K18" s="8" t="str">
        <f t="shared" si="4"/>
        <v>2023 Nationals</v>
      </c>
      <c r="L18" s="8">
        <f>IF(COUNT(AQ18,BT18,CW18)&gt;1,LARGE((AQ18,BT18,CW18),2),0)</f>
        <v>48.1</v>
      </c>
      <c r="M18" s="8" t="str">
        <f t="shared" si="5"/>
        <v>2023 Elite Canada</v>
      </c>
      <c r="N18" s="8">
        <f>IF(COUNT(AR18,BU18,CX18)&gt;0,LARGE((AR18,BU18,CX18),1),0)</f>
        <v>24.05</v>
      </c>
      <c r="O18" s="8" t="str">
        <f t="shared" si="6"/>
        <v>2023 Nationals</v>
      </c>
      <c r="P18" s="8">
        <f t="shared" si="7"/>
        <v>26.4</v>
      </c>
      <c r="Q18" s="8" t="str">
        <f t="shared" si="8"/>
        <v>2023 Nationals</v>
      </c>
      <c r="R18" s="8">
        <f t="shared" si="9"/>
        <v>25.400000000000006</v>
      </c>
      <c r="S18" s="11" t="str">
        <f t="shared" si="10"/>
        <v>(Final)</v>
      </c>
      <c r="T18" s="8" t="str">
        <f t="shared" si="11"/>
        <v>2023 Pan Am Championships (May 14)</v>
      </c>
      <c r="U18" s="19">
        <v>18.399999999999999</v>
      </c>
      <c r="V18" s="19">
        <v>7.6</v>
      </c>
      <c r="W18" s="19">
        <v>0.6</v>
      </c>
      <c r="X18" s="19">
        <v>0</v>
      </c>
      <c r="Y18" s="19">
        <v>16.5</v>
      </c>
      <c r="Z18" s="19">
        <v>7.2</v>
      </c>
      <c r="AA18" s="19">
        <v>1</v>
      </c>
      <c r="AB18" s="19">
        <v>0</v>
      </c>
      <c r="AC18" s="19">
        <v>18.3</v>
      </c>
      <c r="AD18" s="19">
        <v>5.2</v>
      </c>
      <c r="AE18" s="19">
        <v>1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 t="shared" si="12"/>
        <v>14.8</v>
      </c>
      <c r="AQ18" s="41">
        <f t="shared" si="13"/>
        <v>48.1</v>
      </c>
      <c r="AR18" s="41">
        <f t="shared" si="14"/>
        <v>22.5</v>
      </c>
      <c r="AS18" s="41">
        <f t="shared" si="15"/>
        <v>20</v>
      </c>
      <c r="AT18" s="41">
        <f t="shared" si="16"/>
        <v>70.599999999999994</v>
      </c>
      <c r="AU18" s="41" t="str">
        <f t="shared" si="17"/>
        <v/>
      </c>
      <c r="AV18" s="41" t="str">
        <f t="shared" si="18"/>
        <v/>
      </c>
      <c r="AW18" s="41">
        <f t="shared" si="19"/>
        <v>70.599999999999994</v>
      </c>
      <c r="AX18" s="18">
        <v>18.600000000000001</v>
      </c>
      <c r="AY18" s="18">
        <v>7.6</v>
      </c>
      <c r="AZ18" s="18">
        <v>0.7</v>
      </c>
      <c r="BA18" s="18">
        <v>0</v>
      </c>
      <c r="BB18" s="18">
        <v>17.7</v>
      </c>
      <c r="BC18" s="18">
        <v>7.6</v>
      </c>
      <c r="BD18" s="18">
        <v>0.5</v>
      </c>
      <c r="BE18" s="18">
        <v>0</v>
      </c>
      <c r="BF18" s="18">
        <v>18.55</v>
      </c>
      <c r="BG18" s="18">
        <v>6</v>
      </c>
      <c r="BH18" s="18">
        <v>0.5</v>
      </c>
      <c r="BI18" s="18">
        <v>0</v>
      </c>
      <c r="BJ18" s="18">
        <v>9.4</v>
      </c>
      <c r="BK18" s="18">
        <v>3.8</v>
      </c>
      <c r="BL18" s="18">
        <v>0</v>
      </c>
      <c r="BM18" s="18">
        <v>0</v>
      </c>
      <c r="BN18" s="18">
        <v>9.3000000000000007</v>
      </c>
      <c r="BO18" s="18">
        <v>4</v>
      </c>
      <c r="BP18" s="18">
        <v>0.1</v>
      </c>
      <c r="BQ18" s="18">
        <v>0</v>
      </c>
      <c r="BR18" s="29" t="s">
        <v>57</v>
      </c>
      <c r="BS18" s="11">
        <f t="shared" si="20"/>
        <v>15.2</v>
      </c>
      <c r="BT18" s="11">
        <f t="shared" si="21"/>
        <v>50.300000000000004</v>
      </c>
      <c r="BU18" s="11">
        <f t="shared" si="22"/>
        <v>24.05</v>
      </c>
      <c r="BV18" s="11">
        <f t="shared" si="23"/>
        <v>21.2</v>
      </c>
      <c r="BW18" s="11">
        <f t="shared" si="24"/>
        <v>74.350000000000009</v>
      </c>
      <c r="BX18" s="11">
        <f t="shared" si="25"/>
        <v>7.8</v>
      </c>
      <c r="BY18" s="11">
        <f t="shared" si="26"/>
        <v>26.4</v>
      </c>
      <c r="BZ18" s="11">
        <f t="shared" si="27"/>
        <v>100.75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 t="shared" si="28"/>
        <v/>
      </c>
      <c r="CW18" s="41" t="str">
        <f t="shared" si="29"/>
        <v/>
      </c>
      <c r="CX18" s="41" t="str">
        <f t="shared" si="30"/>
        <v/>
      </c>
      <c r="CY18" s="41" t="str">
        <f t="shared" si="31"/>
        <v/>
      </c>
      <c r="CZ18" s="41" t="str">
        <f t="shared" si="32"/>
        <v/>
      </c>
      <c r="DA18" s="41" t="str">
        <f t="shared" si="33"/>
        <v/>
      </c>
      <c r="DB18" s="41" t="str">
        <f t="shared" si="34"/>
        <v/>
      </c>
      <c r="DC18" s="41" t="str">
        <f t="shared" si="35"/>
        <v/>
      </c>
      <c r="DD18" s="52">
        <f t="shared" si="36"/>
        <v>3.2999999999999972</v>
      </c>
      <c r="DE18" s="52" t="str">
        <f t="shared" si="37"/>
        <v/>
      </c>
      <c r="DF18" s="52">
        <f t="shared" si="38"/>
        <v>25.400000000000006</v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39"/>
        <v/>
      </c>
      <c r="EB18" s="41" t="str">
        <f t="shared" si="40"/>
        <v/>
      </c>
      <c r="EC18" s="41" t="str">
        <f t="shared" si="41"/>
        <v/>
      </c>
      <c r="ED18" s="41" t="str">
        <f t="shared" si="42"/>
        <v/>
      </c>
      <c r="EE18" s="41" t="str">
        <f t="shared" si="43"/>
        <v/>
      </c>
      <c r="EF18" s="41" t="str">
        <f t="shared" si="44"/>
        <v/>
      </c>
      <c r="EG18" s="41" t="str">
        <f t="shared" si="45"/>
        <v/>
      </c>
      <c r="EH18" s="41" t="str">
        <f t="shared" si="46"/>
        <v/>
      </c>
      <c r="EI18" s="18">
        <v>18.5</v>
      </c>
      <c r="EJ18" s="18">
        <v>7.2</v>
      </c>
      <c r="EK18" s="18">
        <v>0.6</v>
      </c>
      <c r="EL18" s="18">
        <v>0</v>
      </c>
      <c r="EM18" s="18">
        <v>18.8</v>
      </c>
      <c r="EN18" s="18">
        <v>6.8</v>
      </c>
      <c r="EO18" s="18">
        <v>0</v>
      </c>
      <c r="EP18" s="18">
        <v>0</v>
      </c>
      <c r="EQ18" s="18"/>
      <c r="ER18" s="18"/>
      <c r="ES18" s="18"/>
      <c r="ET18" s="18"/>
      <c r="EU18" s="18">
        <v>18.8</v>
      </c>
      <c r="EV18" s="18">
        <v>7.6</v>
      </c>
      <c r="EW18" s="18">
        <v>0</v>
      </c>
      <c r="EX18" s="18">
        <v>0</v>
      </c>
      <c r="EY18" s="18">
        <v>18.8</v>
      </c>
      <c r="EZ18" s="18">
        <v>7.2</v>
      </c>
      <c r="FA18" s="18">
        <v>0.6</v>
      </c>
      <c r="FB18" s="18">
        <v>0</v>
      </c>
      <c r="FC18" s="11">
        <f t="shared" si="47"/>
        <v>14</v>
      </c>
      <c r="FD18" s="11">
        <f t="shared" si="48"/>
        <v>50.699999999999996</v>
      </c>
      <c r="FE18" s="11" t="str">
        <f t="shared" si="49"/>
        <v/>
      </c>
      <c r="FF18" s="11">
        <f t="shared" si="50"/>
        <v>14</v>
      </c>
      <c r="FG18" s="11">
        <f t="shared" si="51"/>
        <v>50.699999999999996</v>
      </c>
      <c r="FH18" s="11">
        <f t="shared" si="52"/>
        <v>14.8</v>
      </c>
      <c r="FI18" s="11">
        <f t="shared" si="53"/>
        <v>51.800000000000004</v>
      </c>
      <c r="FJ18" s="11">
        <f t="shared" si="54"/>
        <v>102.5</v>
      </c>
      <c r="FK18" s="17">
        <v>18.5</v>
      </c>
      <c r="FL18" s="17">
        <v>6.8</v>
      </c>
      <c r="FM18" s="17">
        <v>0.6</v>
      </c>
      <c r="FN18" s="17">
        <v>0</v>
      </c>
      <c r="FO18" s="17">
        <v>18.399999999999999</v>
      </c>
      <c r="FP18" s="17">
        <v>8.5</v>
      </c>
      <c r="FQ18" s="17">
        <v>0.2</v>
      </c>
      <c r="FR18" s="17">
        <v>0</v>
      </c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>
        <f t="shared" si="55"/>
        <v>15.3</v>
      </c>
      <c r="GF18" s="41">
        <f t="shared" si="56"/>
        <v>51.4</v>
      </c>
      <c r="GG18" s="41" t="str">
        <f t="shared" si="57"/>
        <v/>
      </c>
      <c r="GH18" s="41">
        <f t="shared" si="58"/>
        <v>15.3</v>
      </c>
      <c r="GI18" s="41">
        <f t="shared" si="59"/>
        <v>51.4</v>
      </c>
      <c r="GJ18" s="41" t="str">
        <f t="shared" si="60"/>
        <v/>
      </c>
      <c r="GK18" s="41" t="str">
        <f t="shared" si="61"/>
        <v/>
      </c>
      <c r="GL18" s="41">
        <f t="shared" si="62"/>
        <v>51.4</v>
      </c>
      <c r="GM18" s="18">
        <v>16.7</v>
      </c>
      <c r="GN18" s="18">
        <v>8.4</v>
      </c>
      <c r="GO18" s="18">
        <v>1</v>
      </c>
      <c r="GP18" s="18">
        <v>0</v>
      </c>
      <c r="GQ18" s="18">
        <v>17.399999999999999</v>
      </c>
      <c r="GR18" s="18">
        <v>3.6</v>
      </c>
      <c r="GS18" s="18">
        <v>0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 t="shared" si="63"/>
        <v>12</v>
      </c>
      <c r="HH18" s="11">
        <f t="shared" si="64"/>
        <v>45.1</v>
      </c>
      <c r="HI18" s="11" t="str">
        <f t="shared" si="65"/>
        <v/>
      </c>
      <c r="HJ18" s="11">
        <f t="shared" si="66"/>
        <v>12</v>
      </c>
      <c r="HK18" s="11">
        <f t="shared" si="67"/>
        <v>45.1</v>
      </c>
      <c r="HL18" s="11" t="str">
        <f t="shared" si="68"/>
        <v/>
      </c>
      <c r="HM18" s="11" t="str">
        <f t="shared" si="69"/>
        <v/>
      </c>
      <c r="HN18" s="11">
        <f t="shared" si="70"/>
        <v>45.1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9.3000000000000007</v>
      </c>
      <c r="QF18" s="23">
        <f t="shared" si="136"/>
        <v>3.8</v>
      </c>
      <c r="QG18" s="23">
        <f t="shared" si="137"/>
        <v>0.35</v>
      </c>
      <c r="QH18" s="23">
        <f t="shared" si="138"/>
        <v>0</v>
      </c>
      <c r="QI18" s="23">
        <f t="shared" si="139"/>
        <v>8.85</v>
      </c>
      <c r="QJ18" s="23">
        <f t="shared" si="140"/>
        <v>3.8</v>
      </c>
      <c r="QK18" s="23">
        <f t="shared" si="141"/>
        <v>0.25</v>
      </c>
      <c r="QL18" s="23">
        <f t="shared" si="142"/>
        <v>0</v>
      </c>
      <c r="QM18" s="23">
        <f t="shared" si="143"/>
        <v>9.2750000000000004</v>
      </c>
      <c r="QN18" s="23">
        <f t="shared" si="144"/>
        <v>3</v>
      </c>
      <c r="QO18" s="23">
        <f t="shared" si="145"/>
        <v>0.25</v>
      </c>
      <c r="QP18" s="23">
        <f t="shared" si="146"/>
        <v>0</v>
      </c>
      <c r="QQ18" s="23">
        <f t="shared" si="147"/>
        <v>4.7</v>
      </c>
      <c r="QR18" s="23">
        <f t="shared" si="148"/>
        <v>1.9</v>
      </c>
      <c r="QS18" s="23">
        <f t="shared" si="149"/>
        <v>0</v>
      </c>
      <c r="QT18" s="23">
        <f t="shared" si="150"/>
        <v>0</v>
      </c>
      <c r="QU18" s="23">
        <f t="shared" si="151"/>
        <v>4.6500000000000004</v>
      </c>
      <c r="QV18" s="23">
        <f t="shared" si="152"/>
        <v>2</v>
      </c>
      <c r="QW18" s="23">
        <f t="shared" si="153"/>
        <v>0.05</v>
      </c>
      <c r="QX18" s="23">
        <f t="shared" si="154"/>
        <v>0</v>
      </c>
      <c r="QY18" s="28" t="s">
        <v>57</v>
      </c>
      <c r="QZ18" s="41">
        <f t="shared" si="155"/>
        <v>7.6</v>
      </c>
      <c r="RA18" s="41">
        <f t="shared" si="156"/>
        <v>25.150000000000002</v>
      </c>
      <c r="RB18" s="41">
        <f t="shared" si="157"/>
        <v>12.025</v>
      </c>
      <c r="RC18" s="41">
        <f t="shared" si="158"/>
        <v>10.6</v>
      </c>
      <c r="RD18" s="41">
        <f t="shared" si="159"/>
        <v>37.175000000000004</v>
      </c>
      <c r="RE18" s="41">
        <f t="shared" si="160"/>
        <v>3.9</v>
      </c>
      <c r="RF18" s="41">
        <f t="shared" si="161"/>
        <v>13.2</v>
      </c>
      <c r="RG18" s="41">
        <f t="shared" si="162"/>
        <v>50.375</v>
      </c>
    </row>
    <row r="19" spans="1:475" x14ac:dyDescent="0.2">
      <c r="A19" s="4" cm="1">
        <f t="array" ref="A19">IF(AND(H19&lt;&gt;"",H19&lt;&gt;"No DD"),SUMPRODUCT((H$4:H$31&lt;&gt;"")*(H$4:H$31&lt;&gt;"No DD")*(E$4:E$31&gt;E19))+1,IF(H19="No DD",SUMPRODUCT((H$4:H$31="No DD")*(E$4:E$31&gt;E19))+1+SUMPRODUCT((H$4:H$31&lt;&gt;"")*(H$4:H$31&lt;&gt;"No DD")),""))</f>
        <v>16</v>
      </c>
      <c r="B19" s="5" t="s">
        <v>77</v>
      </c>
      <c r="C19" s="4" t="s">
        <v>76</v>
      </c>
      <c r="D19" s="4">
        <v>2001</v>
      </c>
      <c r="E19" s="9">
        <f t="shared" si="163"/>
        <v>156.15001310500523</v>
      </c>
      <c r="F19" s="3" t="str">
        <f t="shared" si="0"/>
        <v>P</v>
      </c>
      <c r="G19" s="3" t="str">
        <f t="shared" si="1"/>
        <v>P</v>
      </c>
      <c r="H19" s="37" t="str">
        <f t="shared" si="2"/>
        <v>Worlds Team</v>
      </c>
      <c r="I19" s="3" t="str">
        <f t="shared" si="3"/>
        <v>P</v>
      </c>
      <c r="J19" s="8">
        <f>IF(COUNT(AQ19,BT19,CW19)&gt;0,LARGE((AQ19,BT19,CW19),1),0)</f>
        <v>52.599999999999994</v>
      </c>
      <c r="K19" s="8" t="str">
        <f t="shared" si="4"/>
        <v>2023 Nationals</v>
      </c>
      <c r="L19" s="8">
        <f>IF(COUNT(AQ19,BT19,CW19)&gt;1,LARGE((AQ19,BT19,CW19),2),0)</f>
        <v>51.649999999999991</v>
      </c>
      <c r="M19" s="8" t="str">
        <f t="shared" si="5"/>
        <v>2023 Domestic 3rd Trial</v>
      </c>
      <c r="N19" s="8">
        <f>IF(COUNT(AR19,BU19,CX19)&gt;0,LARGE((AR19,BU19,CX19),1),0)</f>
        <v>26.8</v>
      </c>
      <c r="O19" s="8" t="str">
        <f t="shared" si="6"/>
        <v>2023 Nationals</v>
      </c>
      <c r="P19" s="8">
        <f t="shared" si="7"/>
        <v>25.1</v>
      </c>
      <c r="Q19" s="8" t="str">
        <f t="shared" si="8"/>
        <v>2023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16.8</v>
      </c>
      <c r="V19" s="19">
        <v>7.2</v>
      </c>
      <c r="W19" s="19">
        <v>0.2</v>
      </c>
      <c r="X19" s="19">
        <v>0</v>
      </c>
      <c r="Y19" s="19">
        <v>19</v>
      </c>
      <c r="Z19" s="19">
        <v>7.6</v>
      </c>
      <c r="AA19" s="19">
        <v>0</v>
      </c>
      <c r="AB19" s="19">
        <v>0.3</v>
      </c>
      <c r="AC19" s="19">
        <v>17.399999999999999</v>
      </c>
      <c r="AD19" s="19">
        <v>2.8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 t="shared" si="12"/>
        <v>14.8</v>
      </c>
      <c r="AQ19" s="41">
        <f t="shared" si="13"/>
        <v>50.699999999999996</v>
      </c>
      <c r="AR19" s="41">
        <f t="shared" si="14"/>
        <v>20.2</v>
      </c>
      <c r="AS19" s="41">
        <f t="shared" si="15"/>
        <v>17.600000000000001</v>
      </c>
      <c r="AT19" s="41">
        <f t="shared" si="16"/>
        <v>70.899999999999991</v>
      </c>
      <c r="AU19" s="41" t="str">
        <f t="shared" si="17"/>
        <v/>
      </c>
      <c r="AV19" s="41" t="str">
        <f t="shared" si="18"/>
        <v/>
      </c>
      <c r="AW19" s="41">
        <f t="shared" si="19"/>
        <v>70.899999999999991</v>
      </c>
      <c r="AX19" s="18">
        <v>18.7</v>
      </c>
      <c r="AY19" s="18">
        <v>8.4</v>
      </c>
      <c r="AZ19" s="18">
        <v>0.2</v>
      </c>
      <c r="BA19" s="18">
        <v>0</v>
      </c>
      <c r="BB19" s="18">
        <v>18.600000000000001</v>
      </c>
      <c r="BC19" s="18">
        <v>6.8</v>
      </c>
      <c r="BD19" s="18">
        <v>0</v>
      </c>
      <c r="BE19" s="18">
        <v>0.3</v>
      </c>
      <c r="BF19" s="18">
        <v>19.100000000000001</v>
      </c>
      <c r="BG19" s="18">
        <v>8</v>
      </c>
      <c r="BH19" s="18">
        <v>0.6</v>
      </c>
      <c r="BI19" s="18">
        <v>0.3</v>
      </c>
      <c r="BJ19" s="18">
        <v>18.5</v>
      </c>
      <c r="BK19" s="18">
        <v>6.8</v>
      </c>
      <c r="BL19" s="18">
        <v>0.2</v>
      </c>
      <c r="BM19" s="18">
        <v>0</v>
      </c>
      <c r="BN19" s="18"/>
      <c r="BO19" s="18"/>
      <c r="BP19" s="18"/>
      <c r="BQ19" s="18"/>
      <c r="BR19" s="29"/>
      <c r="BS19" s="11">
        <f t="shared" si="20"/>
        <v>15.2</v>
      </c>
      <c r="BT19" s="11">
        <f t="shared" si="21"/>
        <v>52.599999999999994</v>
      </c>
      <c r="BU19" s="11">
        <f t="shared" si="22"/>
        <v>26.8</v>
      </c>
      <c r="BV19" s="11">
        <f t="shared" si="23"/>
        <v>23.2</v>
      </c>
      <c r="BW19" s="11">
        <f t="shared" si="24"/>
        <v>79.399999999999991</v>
      </c>
      <c r="BX19" s="11">
        <f t="shared" si="25"/>
        <v>6.8</v>
      </c>
      <c r="BY19" s="11">
        <f t="shared" si="26"/>
        <v>25.1</v>
      </c>
      <c r="BZ19" s="11">
        <f t="shared" si="27"/>
        <v>104.5</v>
      </c>
      <c r="CA19" s="19">
        <v>17.75</v>
      </c>
      <c r="CB19" s="19">
        <v>7.8000000000000007</v>
      </c>
      <c r="CC19" s="19">
        <v>0.2</v>
      </c>
      <c r="CD19" s="19">
        <v>0</v>
      </c>
      <c r="CE19" s="19">
        <v>18.8</v>
      </c>
      <c r="CF19" s="19">
        <v>7.1999999999999993</v>
      </c>
      <c r="CG19" s="19">
        <v>0</v>
      </c>
      <c r="CH19" s="19">
        <v>0.3</v>
      </c>
      <c r="CI19" s="19">
        <v>18.25</v>
      </c>
      <c r="CJ19" s="19">
        <v>5.4</v>
      </c>
      <c r="CK19" s="19">
        <v>0.3</v>
      </c>
      <c r="CL19" s="19">
        <v>0.15</v>
      </c>
      <c r="CM19" s="19">
        <v>9.25</v>
      </c>
      <c r="CN19" s="19">
        <v>3.4</v>
      </c>
      <c r="CO19" s="19">
        <v>0.1</v>
      </c>
      <c r="CP19" s="19">
        <v>0</v>
      </c>
      <c r="CQ19" s="19">
        <v>0</v>
      </c>
      <c r="CR19" s="19">
        <v>0</v>
      </c>
      <c r="CS19" s="19">
        <v>0</v>
      </c>
      <c r="CT19" s="19">
        <v>0</v>
      </c>
      <c r="CU19" s="28" t="s">
        <v>57</v>
      </c>
      <c r="CV19" s="41">
        <f t="shared" si="28"/>
        <v>15</v>
      </c>
      <c r="CW19" s="41">
        <f t="shared" si="29"/>
        <v>51.649999999999991</v>
      </c>
      <c r="CX19" s="41">
        <f t="shared" si="30"/>
        <v>23.499999999999996</v>
      </c>
      <c r="CY19" s="41">
        <f t="shared" si="31"/>
        <v>20.399999999999999</v>
      </c>
      <c r="CZ19" s="41">
        <f t="shared" si="32"/>
        <v>75.149999999999991</v>
      </c>
      <c r="DA19" s="41">
        <f t="shared" si="33"/>
        <v>3.4</v>
      </c>
      <c r="DB19" s="41">
        <f t="shared" si="34"/>
        <v>12.55</v>
      </c>
      <c r="DC19" s="41">
        <f t="shared" si="35"/>
        <v>87.699999999999989</v>
      </c>
      <c r="DD19" s="52" t="str">
        <f t="shared" si="36"/>
        <v/>
      </c>
      <c r="DE19" s="52" t="str">
        <f t="shared" si="37"/>
        <v/>
      </c>
      <c r="DF19" s="52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5"/>
        <v/>
      </c>
      <c r="GF19" s="41" t="str">
        <f t="shared" si="56"/>
        <v/>
      </c>
      <c r="GG19" s="41" t="str">
        <f t="shared" si="57"/>
        <v/>
      </c>
      <c r="GH19" s="41" t="str">
        <f t="shared" si="58"/>
        <v/>
      </c>
      <c r="GI19" s="41" t="str">
        <f t="shared" si="59"/>
        <v/>
      </c>
      <c r="GJ19" s="41" t="str">
        <f t="shared" si="60"/>
        <v/>
      </c>
      <c r="GK19" s="41" t="str">
        <f t="shared" si="61"/>
        <v/>
      </c>
      <c r="GL19" s="41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17.75</v>
      </c>
      <c r="QF19" s="23">
        <f t="shared" si="136"/>
        <v>7.8000000000000007</v>
      </c>
      <c r="QG19" s="23">
        <f t="shared" si="137"/>
        <v>0.2</v>
      </c>
      <c r="QH19" s="23">
        <f t="shared" si="138"/>
        <v>0</v>
      </c>
      <c r="QI19" s="23">
        <f t="shared" si="139"/>
        <v>18.8</v>
      </c>
      <c r="QJ19" s="23">
        <f t="shared" si="140"/>
        <v>7.1999999999999993</v>
      </c>
      <c r="QK19" s="23">
        <f t="shared" si="141"/>
        <v>0</v>
      </c>
      <c r="QL19" s="23">
        <f t="shared" si="142"/>
        <v>0.3</v>
      </c>
      <c r="QM19" s="23">
        <f t="shared" si="143"/>
        <v>18.25</v>
      </c>
      <c r="QN19" s="23">
        <f t="shared" si="144"/>
        <v>5.4</v>
      </c>
      <c r="QO19" s="23">
        <f t="shared" si="145"/>
        <v>0.3</v>
      </c>
      <c r="QP19" s="23">
        <f t="shared" si="146"/>
        <v>0.15</v>
      </c>
      <c r="QQ19" s="23">
        <f t="shared" si="147"/>
        <v>9.25</v>
      </c>
      <c r="QR19" s="23">
        <f t="shared" si="148"/>
        <v>3.4</v>
      </c>
      <c r="QS19" s="23">
        <f t="shared" si="149"/>
        <v>0.1</v>
      </c>
      <c r="QT19" s="23">
        <f t="shared" si="150"/>
        <v>0</v>
      </c>
      <c r="QU19" s="23">
        <f t="shared" si="151"/>
        <v>0</v>
      </c>
      <c r="QV19" s="23">
        <f t="shared" si="152"/>
        <v>0</v>
      </c>
      <c r="QW19" s="23">
        <f t="shared" si="153"/>
        <v>0</v>
      </c>
      <c r="QX19" s="23">
        <f t="shared" si="154"/>
        <v>0</v>
      </c>
      <c r="QY19" s="28" t="s">
        <v>57</v>
      </c>
      <c r="QZ19" s="41">
        <f t="shared" si="155"/>
        <v>15</v>
      </c>
      <c r="RA19" s="41">
        <f t="shared" si="156"/>
        <v>51.649999999999991</v>
      </c>
      <c r="RB19" s="41">
        <f t="shared" si="157"/>
        <v>23.499999999999996</v>
      </c>
      <c r="RC19" s="41">
        <f t="shared" si="158"/>
        <v>20.399999999999999</v>
      </c>
      <c r="RD19" s="41">
        <f t="shared" si="159"/>
        <v>75.149999999999991</v>
      </c>
      <c r="RE19" s="41">
        <f t="shared" si="160"/>
        <v>3.4</v>
      </c>
      <c r="RF19" s="41">
        <f t="shared" si="161"/>
        <v>12.55</v>
      </c>
      <c r="RG19" s="41">
        <f t="shared" si="162"/>
        <v>87.699999999999989</v>
      </c>
    </row>
    <row r="20" spans="1:475" x14ac:dyDescent="0.2">
      <c r="A20" s="4" cm="1">
        <f t="array" ref="A20">IF(AND(H20&lt;&gt;"",H20&lt;&gt;"No DD"),SUMPRODUCT((H$4:H$31&lt;&gt;"")*(H$4:H$31&lt;&gt;"No DD")*(E$4:E$31&gt;E20))+1,IF(H20="No DD",SUMPRODUCT((H$4:H$31="No DD")*(E$4:E$31&gt;E20))+1+SUMPRODUCT((H$4:H$31&lt;&gt;"")*(H$4:H$31&lt;&gt;"No DD")),""))</f>
        <v>17</v>
      </c>
      <c r="B20" s="5" t="s">
        <v>253</v>
      </c>
      <c r="C20" s="4" t="s">
        <v>6</v>
      </c>
      <c r="D20" s="4">
        <v>2007</v>
      </c>
      <c r="E20" s="9">
        <f t="shared" si="163"/>
        <v>177.70001285000515</v>
      </c>
      <c r="F20" s="3" t="str">
        <f t="shared" si="0"/>
        <v/>
      </c>
      <c r="G20" s="3" t="str">
        <f t="shared" si="1"/>
        <v>P</v>
      </c>
      <c r="H20" s="37" t="str">
        <f t="shared" si="2"/>
        <v>No DD</v>
      </c>
      <c r="I20" s="3" t="str">
        <f t="shared" si="3"/>
        <v/>
      </c>
      <c r="J20" s="8">
        <f>IF(COUNT(AQ20,BT20,CW20)&gt;0,LARGE((AQ20,BT20,CW20),1),0)</f>
        <v>51.8</v>
      </c>
      <c r="K20" s="8" t="str">
        <f t="shared" si="4"/>
        <v>2023 Nationals</v>
      </c>
      <c r="L20" s="8">
        <f>IF(COUNT(AQ20,BT20,CW20)&gt;1,LARGE((AQ20,BT20,CW20),2),0)</f>
        <v>51.1</v>
      </c>
      <c r="M20" s="8" t="str">
        <f t="shared" si="5"/>
        <v>2023 Domestic 3rd Trial</v>
      </c>
      <c r="N20" s="8">
        <f>IF(COUNT(AR20,BU20,CX20)&gt;0,LARGE((AR20,BU20,CX20),1),0)</f>
        <v>25.6</v>
      </c>
      <c r="O20" s="8" t="str">
        <f t="shared" si="6"/>
        <v>2023 Nationals</v>
      </c>
      <c r="P20" s="8">
        <f t="shared" si="7"/>
        <v>49.199999999999996</v>
      </c>
      <c r="Q20" s="8" t="str">
        <f t="shared" si="8"/>
        <v>2023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8"/>
      <c r="AP20" s="41" t="str">
        <f t="shared" si="12"/>
        <v/>
      </c>
      <c r="AQ20" s="41" t="str">
        <f t="shared" si="13"/>
        <v/>
      </c>
      <c r="AR20" s="41" t="str">
        <f t="shared" si="14"/>
        <v/>
      </c>
      <c r="AS20" s="41" t="str">
        <f t="shared" si="15"/>
        <v/>
      </c>
      <c r="AT20" s="41" t="str">
        <f t="shared" si="16"/>
        <v/>
      </c>
      <c r="AU20" s="41" t="str">
        <f t="shared" si="17"/>
        <v/>
      </c>
      <c r="AV20" s="41" t="str">
        <f t="shared" si="18"/>
        <v/>
      </c>
      <c r="AW20" s="41" t="str">
        <f t="shared" si="19"/>
        <v/>
      </c>
      <c r="AX20" s="18">
        <v>19.2</v>
      </c>
      <c r="AY20" s="18">
        <v>7.2</v>
      </c>
      <c r="AZ20" s="18">
        <v>0</v>
      </c>
      <c r="BA20" s="18">
        <v>0</v>
      </c>
      <c r="BB20" s="18">
        <v>19</v>
      </c>
      <c r="BC20" s="18">
        <v>6.4</v>
      </c>
      <c r="BD20" s="18">
        <v>0</v>
      </c>
      <c r="BE20" s="18">
        <v>0</v>
      </c>
      <c r="BF20" s="18">
        <v>18.100000000000001</v>
      </c>
      <c r="BG20" s="18">
        <v>7.7</v>
      </c>
      <c r="BH20" s="18">
        <v>0.2</v>
      </c>
      <c r="BI20" s="18">
        <v>0</v>
      </c>
      <c r="BJ20" s="18">
        <v>18.7</v>
      </c>
      <c r="BK20" s="18">
        <v>6</v>
      </c>
      <c r="BL20" s="18">
        <v>1</v>
      </c>
      <c r="BM20" s="18">
        <v>0</v>
      </c>
      <c r="BN20" s="18">
        <v>19.100000000000001</v>
      </c>
      <c r="BO20" s="18">
        <v>6.4</v>
      </c>
      <c r="BP20" s="18">
        <v>0</v>
      </c>
      <c r="BQ20" s="18">
        <v>0</v>
      </c>
      <c r="BR20" s="29"/>
      <c r="BS20" s="11">
        <f t="shared" si="20"/>
        <v>13.600000000000001</v>
      </c>
      <c r="BT20" s="11">
        <f t="shared" si="21"/>
        <v>51.8</v>
      </c>
      <c r="BU20" s="11">
        <f t="shared" si="22"/>
        <v>25.6</v>
      </c>
      <c r="BV20" s="11">
        <f t="shared" si="23"/>
        <v>21.3</v>
      </c>
      <c r="BW20" s="11">
        <f t="shared" si="24"/>
        <v>77.400000000000006</v>
      </c>
      <c r="BX20" s="11">
        <f t="shared" si="25"/>
        <v>12.4</v>
      </c>
      <c r="BY20" s="11">
        <f t="shared" si="26"/>
        <v>49.199999999999996</v>
      </c>
      <c r="BZ20" s="11">
        <f t="shared" si="27"/>
        <v>126.6</v>
      </c>
      <c r="CA20" s="19">
        <v>19.100000000000001</v>
      </c>
      <c r="CB20" s="19">
        <v>7.2</v>
      </c>
      <c r="CC20" s="19">
        <v>0.6</v>
      </c>
      <c r="CD20" s="19">
        <v>0</v>
      </c>
      <c r="CE20" s="19">
        <v>18.8</v>
      </c>
      <c r="CF20" s="19">
        <v>7.2</v>
      </c>
      <c r="CG20" s="19">
        <v>0.6</v>
      </c>
      <c r="CH20" s="19">
        <v>0</v>
      </c>
      <c r="CI20" s="19">
        <v>17.899999999999999</v>
      </c>
      <c r="CJ20" s="19">
        <v>6</v>
      </c>
      <c r="CK20" s="19">
        <v>1</v>
      </c>
      <c r="CL20" s="19">
        <v>0</v>
      </c>
      <c r="CM20" s="19">
        <v>18.399999999999999</v>
      </c>
      <c r="CN20" s="19">
        <v>7.2</v>
      </c>
      <c r="CO20" s="19">
        <v>0.6</v>
      </c>
      <c r="CP20" s="19">
        <v>0</v>
      </c>
      <c r="CQ20" s="19">
        <v>0</v>
      </c>
      <c r="CR20" s="19">
        <v>0</v>
      </c>
      <c r="CS20" s="19">
        <v>0</v>
      </c>
      <c r="CT20" s="19">
        <v>0</v>
      </c>
      <c r="CU20" s="28"/>
      <c r="CV20" s="41">
        <f t="shared" si="28"/>
        <v>14.4</v>
      </c>
      <c r="CW20" s="41">
        <f t="shared" si="29"/>
        <v>51.1</v>
      </c>
      <c r="CX20" s="41">
        <f t="shared" si="30"/>
        <v>22.9</v>
      </c>
      <c r="CY20" s="41">
        <f t="shared" si="31"/>
        <v>20.399999999999999</v>
      </c>
      <c r="CZ20" s="41">
        <f t="shared" si="32"/>
        <v>74</v>
      </c>
      <c r="DA20" s="41">
        <f t="shared" si="33"/>
        <v>7.2</v>
      </c>
      <c r="DB20" s="41">
        <f t="shared" si="34"/>
        <v>24.999999999999996</v>
      </c>
      <c r="DC20" s="41">
        <f t="shared" si="35"/>
        <v>99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>
        <v>18.8</v>
      </c>
      <c r="JT20" s="17">
        <v>8</v>
      </c>
      <c r="JU20" s="17">
        <v>0</v>
      </c>
      <c r="JV20" s="17">
        <v>0</v>
      </c>
      <c r="JW20" s="17">
        <v>17.3</v>
      </c>
      <c r="JX20" s="17">
        <v>4</v>
      </c>
      <c r="JY20" s="17">
        <v>0</v>
      </c>
      <c r="JZ20" s="17">
        <v>0</v>
      </c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>
        <f t="shared" si="87"/>
        <v>12</v>
      </c>
      <c r="KN20" s="41">
        <f t="shared" si="88"/>
        <v>48.1</v>
      </c>
      <c r="KO20" s="41" t="str">
        <f t="shared" si="89"/>
        <v/>
      </c>
      <c r="KP20" s="41">
        <f t="shared" si="90"/>
        <v>12</v>
      </c>
      <c r="KQ20" s="41">
        <f t="shared" si="91"/>
        <v>48.1</v>
      </c>
      <c r="KR20" s="41" t="str">
        <f t="shared" si="92"/>
        <v/>
      </c>
      <c r="KS20" s="41" t="str">
        <f t="shared" si="93"/>
        <v/>
      </c>
      <c r="KT20" s="41">
        <f t="shared" si="94"/>
        <v>48.1</v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3"/>
        <v/>
      </c>
      <c r="MR20" s="41" t="str">
        <f t="shared" si="104"/>
        <v/>
      </c>
      <c r="MS20" s="41" t="str">
        <f t="shared" si="105"/>
        <v/>
      </c>
      <c r="MT20" s="41" t="str">
        <f t="shared" si="106"/>
        <v/>
      </c>
      <c r="MU20" s="41" t="str">
        <f t="shared" si="107"/>
        <v/>
      </c>
      <c r="MV20" s="41" t="str">
        <f t="shared" si="108"/>
        <v/>
      </c>
      <c r="MW20" s="41" t="str">
        <f t="shared" si="109"/>
        <v/>
      </c>
      <c r="MX20" s="41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19.149999999999999</v>
      </c>
      <c r="QF20" s="23">
        <f t="shared" si="136"/>
        <v>7.2</v>
      </c>
      <c r="QG20" s="23">
        <f t="shared" si="137"/>
        <v>0.3</v>
      </c>
      <c r="QH20" s="23">
        <f t="shared" si="138"/>
        <v>0</v>
      </c>
      <c r="QI20" s="23">
        <f t="shared" si="139"/>
        <v>18.899999999999999</v>
      </c>
      <c r="QJ20" s="23">
        <f t="shared" si="140"/>
        <v>6.8000000000000007</v>
      </c>
      <c r="QK20" s="23">
        <f t="shared" si="141"/>
        <v>0.3</v>
      </c>
      <c r="QL20" s="23">
        <f t="shared" si="142"/>
        <v>0</v>
      </c>
      <c r="QM20" s="23">
        <f t="shared" si="143"/>
        <v>18</v>
      </c>
      <c r="QN20" s="23">
        <f t="shared" si="144"/>
        <v>6.85</v>
      </c>
      <c r="QO20" s="23">
        <f t="shared" si="145"/>
        <v>0.6</v>
      </c>
      <c r="QP20" s="23">
        <f t="shared" si="146"/>
        <v>0</v>
      </c>
      <c r="QQ20" s="23">
        <f t="shared" si="147"/>
        <v>18.549999999999997</v>
      </c>
      <c r="QR20" s="23">
        <f t="shared" si="148"/>
        <v>6.6</v>
      </c>
      <c r="QS20" s="23">
        <f t="shared" si="149"/>
        <v>0.8</v>
      </c>
      <c r="QT20" s="23">
        <f t="shared" si="150"/>
        <v>0</v>
      </c>
      <c r="QU20" s="23">
        <f t="shared" si="151"/>
        <v>9.5500000000000007</v>
      </c>
      <c r="QV20" s="23">
        <f t="shared" si="152"/>
        <v>3.2</v>
      </c>
      <c r="QW20" s="23">
        <f t="shared" si="153"/>
        <v>0</v>
      </c>
      <c r="QX20" s="23">
        <f t="shared" si="154"/>
        <v>0</v>
      </c>
      <c r="QY20" s="28" t="s">
        <v>57</v>
      </c>
      <c r="QZ20" s="41">
        <f t="shared" si="155"/>
        <v>14</v>
      </c>
      <c r="RA20" s="41">
        <f t="shared" si="156"/>
        <v>51.45</v>
      </c>
      <c r="RB20" s="41">
        <f t="shared" si="157"/>
        <v>24.25</v>
      </c>
      <c r="RC20" s="41">
        <f t="shared" si="158"/>
        <v>20.85</v>
      </c>
      <c r="RD20" s="41">
        <f t="shared" si="159"/>
        <v>75.7</v>
      </c>
      <c r="RE20" s="41">
        <f t="shared" si="160"/>
        <v>9.8000000000000007</v>
      </c>
      <c r="RF20" s="41">
        <f t="shared" si="161"/>
        <v>37.100000000000009</v>
      </c>
      <c r="RG20" s="41">
        <f t="shared" si="162"/>
        <v>112.80000000000001</v>
      </c>
    </row>
    <row r="21" spans="1:475" x14ac:dyDescent="0.2">
      <c r="A21" s="4" t="str" cm="1">
        <f t="array" ref="A21">IF(AND(H21&lt;&gt;"",H21&lt;&gt;"No DD"),SUMPRODUCT((H$4:H$31&lt;&gt;"")*(H$4:H$31&lt;&gt;"No DD")*(E$4:E$31&gt;E21))+1,IF(H21="No DD",SUMPRODUCT((H$4:H$31="No DD")*(E$4:E$31&gt;E21))+1+SUMPRODUCT((H$4:H$31&lt;&gt;"")*(H$4:H$31&lt;&gt;"No DD")),""))</f>
        <v/>
      </c>
      <c r="B21" s="5" t="s">
        <v>181</v>
      </c>
      <c r="C21" s="4" t="s">
        <v>3</v>
      </c>
      <c r="D21" s="4">
        <v>2005</v>
      </c>
      <c r="E21" s="9">
        <f t="shared" si="163"/>
        <v>176.20001258000505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50.599999999999994</v>
      </c>
      <c r="K21" s="8" t="str">
        <f t="shared" si="4"/>
        <v>2023 Domestic 3rd Trial</v>
      </c>
      <c r="L21" s="8">
        <f>IF(COUNT(AQ21,BT21,CW21)&gt;1,LARGE((AQ21,BT21,CW21),2),0)</f>
        <v>49.499999999999993</v>
      </c>
      <c r="M21" s="8" t="str">
        <f t="shared" si="5"/>
        <v>2023 Nationals</v>
      </c>
      <c r="N21" s="8">
        <f>IF(COUNT(AR21,BU21,CX21)&gt;0,LARGE((AR21,BU21,CX21),1),0)</f>
        <v>25.7</v>
      </c>
      <c r="O21" s="8" t="str">
        <f t="shared" si="6"/>
        <v>2023 Elite Canada</v>
      </c>
      <c r="P21" s="8">
        <f t="shared" si="7"/>
        <v>50.4</v>
      </c>
      <c r="Q21" s="8" t="str">
        <f t="shared" si="8"/>
        <v>2023 Nationals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18.8</v>
      </c>
      <c r="V21" s="19">
        <v>6</v>
      </c>
      <c r="W21" s="19">
        <v>0.6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>
        <v>18.5</v>
      </c>
      <c r="AD21" s="19">
        <v>7.2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8"/>
      <c r="AP21" s="41">
        <f t="shared" si="12"/>
        <v>6</v>
      </c>
      <c r="AQ21" s="41">
        <f t="shared" si="13"/>
        <v>24.2</v>
      </c>
      <c r="AR21" s="41">
        <f t="shared" si="14"/>
        <v>25.7</v>
      </c>
      <c r="AS21" s="41">
        <f t="shared" si="15"/>
        <v>13.2</v>
      </c>
      <c r="AT21" s="41">
        <f t="shared" si="16"/>
        <v>49.9</v>
      </c>
      <c r="AU21" s="41" t="str">
        <f t="shared" si="17"/>
        <v/>
      </c>
      <c r="AV21" s="41" t="str">
        <f t="shared" si="18"/>
        <v/>
      </c>
      <c r="AW21" s="41">
        <f t="shared" si="19"/>
        <v>49.9</v>
      </c>
      <c r="AX21" s="18">
        <v>18.7</v>
      </c>
      <c r="AY21" s="18">
        <v>6</v>
      </c>
      <c r="AZ21" s="18">
        <v>0</v>
      </c>
      <c r="BA21" s="18">
        <v>0</v>
      </c>
      <c r="BB21" s="18">
        <v>18.399999999999999</v>
      </c>
      <c r="BC21" s="18">
        <v>6.4</v>
      </c>
      <c r="BD21" s="18">
        <v>0</v>
      </c>
      <c r="BE21" s="18">
        <v>0</v>
      </c>
      <c r="BF21" s="18">
        <v>18.399999999999999</v>
      </c>
      <c r="BG21" s="18">
        <v>6.4</v>
      </c>
      <c r="BH21" s="18">
        <v>0</v>
      </c>
      <c r="BI21" s="18">
        <v>0</v>
      </c>
      <c r="BJ21" s="18">
        <v>18.8</v>
      </c>
      <c r="BK21" s="18">
        <v>6.4</v>
      </c>
      <c r="BL21" s="18">
        <v>0</v>
      </c>
      <c r="BM21" s="18">
        <v>0</v>
      </c>
      <c r="BN21" s="18">
        <v>18.399999999999999</v>
      </c>
      <c r="BO21" s="18">
        <v>6.8</v>
      </c>
      <c r="BP21" s="18">
        <v>0</v>
      </c>
      <c r="BQ21" s="18">
        <v>0</v>
      </c>
      <c r="BR21" s="29"/>
      <c r="BS21" s="11">
        <f t="shared" si="20"/>
        <v>12.4</v>
      </c>
      <c r="BT21" s="11">
        <f t="shared" si="21"/>
        <v>49.499999999999993</v>
      </c>
      <c r="BU21" s="11">
        <f t="shared" si="22"/>
        <v>24.799999999999997</v>
      </c>
      <c r="BV21" s="11">
        <f t="shared" si="23"/>
        <v>18.8</v>
      </c>
      <c r="BW21" s="11">
        <f t="shared" si="24"/>
        <v>74.299999999999983</v>
      </c>
      <c r="BX21" s="11">
        <f t="shared" si="25"/>
        <v>13.2</v>
      </c>
      <c r="BY21" s="11">
        <f t="shared" si="26"/>
        <v>50.4</v>
      </c>
      <c r="BZ21" s="11">
        <f t="shared" si="27"/>
        <v>124.69999999999999</v>
      </c>
      <c r="CA21" s="19">
        <v>18.8</v>
      </c>
      <c r="CB21" s="19">
        <v>7.2</v>
      </c>
      <c r="CC21" s="19">
        <v>0.6</v>
      </c>
      <c r="CD21" s="19">
        <v>0</v>
      </c>
      <c r="CE21" s="19">
        <v>18.399999999999999</v>
      </c>
      <c r="CF21" s="19">
        <v>6.8</v>
      </c>
      <c r="CG21" s="19">
        <v>0</v>
      </c>
      <c r="CH21" s="19">
        <v>0</v>
      </c>
      <c r="CI21" s="19">
        <v>18.600000000000001</v>
      </c>
      <c r="CJ21" s="19">
        <v>6</v>
      </c>
      <c r="CK21" s="19">
        <v>0.6</v>
      </c>
      <c r="CL21" s="19">
        <v>0</v>
      </c>
      <c r="CM21" s="19">
        <v>18.600000000000001</v>
      </c>
      <c r="CN21" s="19">
        <v>6.4</v>
      </c>
      <c r="CO21" s="19">
        <v>0</v>
      </c>
      <c r="CP21" s="19">
        <v>0</v>
      </c>
      <c r="CQ21" s="19">
        <v>17.2</v>
      </c>
      <c r="CR21" s="19">
        <v>3.2</v>
      </c>
      <c r="CS21" s="19">
        <v>0</v>
      </c>
      <c r="CT21" s="19">
        <v>0</v>
      </c>
      <c r="CU21" s="28"/>
      <c r="CV21" s="41">
        <f t="shared" si="28"/>
        <v>14</v>
      </c>
      <c r="CW21" s="41">
        <f t="shared" si="29"/>
        <v>50.599999999999994</v>
      </c>
      <c r="CX21" s="41">
        <f t="shared" si="30"/>
        <v>24</v>
      </c>
      <c r="CY21" s="41">
        <f t="shared" si="31"/>
        <v>20</v>
      </c>
      <c r="CZ21" s="41">
        <f t="shared" si="32"/>
        <v>74.599999999999994</v>
      </c>
      <c r="DA21" s="41">
        <f t="shared" si="33"/>
        <v>9.6000000000000014</v>
      </c>
      <c r="DB21" s="41">
        <f t="shared" si="34"/>
        <v>45.400000000000006</v>
      </c>
      <c r="DC21" s="41">
        <f t="shared" si="35"/>
        <v>120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18.75</v>
      </c>
      <c r="QF21" s="23">
        <f t="shared" si="136"/>
        <v>6.6</v>
      </c>
      <c r="QG21" s="23">
        <f t="shared" si="137"/>
        <v>0.3</v>
      </c>
      <c r="QH21" s="23">
        <f t="shared" si="138"/>
        <v>0</v>
      </c>
      <c r="QI21" s="23">
        <f t="shared" si="139"/>
        <v>18.399999999999999</v>
      </c>
      <c r="QJ21" s="23">
        <f t="shared" si="140"/>
        <v>6.6</v>
      </c>
      <c r="QK21" s="23">
        <f t="shared" si="141"/>
        <v>0</v>
      </c>
      <c r="QL21" s="23">
        <f t="shared" si="142"/>
        <v>0</v>
      </c>
      <c r="QM21" s="23">
        <f t="shared" si="143"/>
        <v>18.5</v>
      </c>
      <c r="QN21" s="23">
        <f t="shared" si="144"/>
        <v>6.2</v>
      </c>
      <c r="QO21" s="23">
        <f t="shared" si="145"/>
        <v>0.3</v>
      </c>
      <c r="QP21" s="23">
        <f t="shared" si="146"/>
        <v>0</v>
      </c>
      <c r="QQ21" s="23">
        <f t="shared" si="147"/>
        <v>18.700000000000003</v>
      </c>
      <c r="QR21" s="23">
        <f t="shared" si="148"/>
        <v>6.4</v>
      </c>
      <c r="QS21" s="23">
        <f t="shared" si="149"/>
        <v>0</v>
      </c>
      <c r="QT21" s="23">
        <f t="shared" si="150"/>
        <v>0</v>
      </c>
      <c r="QU21" s="23">
        <f t="shared" si="151"/>
        <v>17.799999999999997</v>
      </c>
      <c r="QV21" s="23">
        <f t="shared" si="152"/>
        <v>5</v>
      </c>
      <c r="QW21" s="23">
        <f t="shared" si="153"/>
        <v>0</v>
      </c>
      <c r="QX21" s="23">
        <f t="shared" si="154"/>
        <v>0</v>
      </c>
      <c r="QY21" s="28" t="s">
        <v>57</v>
      </c>
      <c r="QZ21" s="41">
        <f t="shared" si="155"/>
        <v>13.2</v>
      </c>
      <c r="RA21" s="41">
        <f t="shared" si="156"/>
        <v>50.050000000000004</v>
      </c>
      <c r="RB21" s="41">
        <f t="shared" si="157"/>
        <v>24.4</v>
      </c>
      <c r="RC21" s="41">
        <f t="shared" si="158"/>
        <v>19.399999999999999</v>
      </c>
      <c r="RD21" s="41">
        <f t="shared" si="159"/>
        <v>74.45</v>
      </c>
      <c r="RE21" s="41">
        <f t="shared" si="160"/>
        <v>11.4</v>
      </c>
      <c r="RF21" s="41">
        <f t="shared" si="161"/>
        <v>47.9</v>
      </c>
      <c r="RG21" s="41">
        <f t="shared" si="162"/>
        <v>122.35</v>
      </c>
    </row>
    <row r="22" spans="1:475" x14ac:dyDescent="0.2">
      <c r="A22" s="4" t="str" cm="1">
        <f t="array" ref="A22">IF(AND(H22&lt;&gt;"",H22&lt;&gt;"No DD"),SUMPRODUCT((H$4:H$31&lt;&gt;"")*(H$4:H$31&lt;&gt;"No DD")*(E$4:E$31&gt;E22))+1,IF(H22="No DD",SUMPRODUCT((H$4:H$31="No DD")*(E$4:E$31&gt;E22))+1+SUMPRODUCT((H$4:H$31&lt;&gt;"")*(H$4:H$31&lt;&gt;"No DD")),""))</f>
        <v/>
      </c>
      <c r="B22" s="5" t="s">
        <v>170</v>
      </c>
      <c r="C22" s="4" t="s">
        <v>3</v>
      </c>
      <c r="D22" s="4">
        <v>2000</v>
      </c>
      <c r="E22" s="9">
        <f t="shared" si="163"/>
        <v>174.900012490005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50</v>
      </c>
      <c r="K22" s="8" t="str">
        <f t="shared" si="4"/>
        <v>2023 Domestic 3rd Trial</v>
      </c>
      <c r="L22" s="8">
        <f>IF(COUNT(AQ22,BT22,CW22)&gt;1,LARGE((AQ22,BT22,CW22),2),0)</f>
        <v>49.7</v>
      </c>
      <c r="M22" s="8" t="str">
        <f t="shared" si="5"/>
        <v>2023 Nationals</v>
      </c>
      <c r="N22" s="8">
        <f>IF(COUNT(AR22,BU22,CX22)&gt;0,LARGE((AR22,BU22,CX22),1),0)</f>
        <v>25.2</v>
      </c>
      <c r="O22" s="8" t="str">
        <f t="shared" si="6"/>
        <v>2023 Domestic 3rd Trial</v>
      </c>
      <c r="P22" s="8">
        <f t="shared" si="7"/>
        <v>50</v>
      </c>
      <c r="Q22" s="8" t="str">
        <f t="shared" si="8"/>
        <v>2023 Domestic 3rd Trial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18.2</v>
      </c>
      <c r="V22" s="19">
        <v>7.2</v>
      </c>
      <c r="W22" s="19">
        <v>0</v>
      </c>
      <c r="X22" s="19">
        <v>0</v>
      </c>
      <c r="Y22" s="19">
        <v>16.8</v>
      </c>
      <c r="Z22" s="19">
        <v>6.9</v>
      </c>
      <c r="AA22" s="19">
        <v>0.2</v>
      </c>
      <c r="AB22" s="19">
        <v>0</v>
      </c>
      <c r="AC22" s="19">
        <v>18.399999999999999</v>
      </c>
      <c r="AD22" s="19">
        <v>6.8</v>
      </c>
      <c r="AE22" s="19">
        <v>0</v>
      </c>
      <c r="AF22" s="19">
        <v>0</v>
      </c>
      <c r="AG22" s="19">
        <v>17.399999999999999</v>
      </c>
      <c r="AH22" s="19">
        <v>2.4</v>
      </c>
      <c r="AI22" s="19">
        <v>0</v>
      </c>
      <c r="AJ22" s="19">
        <v>0</v>
      </c>
      <c r="AK22" s="19">
        <v>18.399999999999999</v>
      </c>
      <c r="AL22" s="19">
        <v>6.4</v>
      </c>
      <c r="AM22" s="19">
        <v>1</v>
      </c>
      <c r="AN22" s="19">
        <v>0</v>
      </c>
      <c r="AO22" s="28"/>
      <c r="AP22" s="41">
        <f t="shared" si="12"/>
        <v>14.100000000000001</v>
      </c>
      <c r="AQ22" s="41">
        <f t="shared" si="13"/>
        <v>48.9</v>
      </c>
      <c r="AR22" s="41">
        <f t="shared" si="14"/>
        <v>25.2</v>
      </c>
      <c r="AS22" s="41">
        <f t="shared" si="15"/>
        <v>20.900000000000002</v>
      </c>
      <c r="AT22" s="41">
        <f t="shared" si="16"/>
        <v>74.099999999999994</v>
      </c>
      <c r="AU22" s="41">
        <f t="shared" si="17"/>
        <v>8.8000000000000007</v>
      </c>
      <c r="AV22" s="41">
        <f t="shared" si="18"/>
        <v>43.599999999999994</v>
      </c>
      <c r="AW22" s="41">
        <f t="shared" si="19"/>
        <v>117.69999999999999</v>
      </c>
      <c r="AX22" s="18">
        <v>18.7</v>
      </c>
      <c r="AY22" s="18">
        <v>6.8</v>
      </c>
      <c r="AZ22" s="18">
        <v>0</v>
      </c>
      <c r="BA22" s="18">
        <v>0</v>
      </c>
      <c r="BB22" s="18">
        <v>18.2</v>
      </c>
      <c r="BC22" s="18">
        <v>6.8</v>
      </c>
      <c r="BD22" s="18">
        <v>0.8</v>
      </c>
      <c r="BE22" s="18">
        <v>0</v>
      </c>
      <c r="BF22" s="18">
        <v>17.2</v>
      </c>
      <c r="BG22" s="18">
        <v>2.8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9"/>
      <c r="BS22" s="11">
        <f t="shared" si="20"/>
        <v>13.6</v>
      </c>
      <c r="BT22" s="11">
        <f t="shared" si="21"/>
        <v>49.7</v>
      </c>
      <c r="BU22" s="11">
        <f t="shared" si="22"/>
        <v>20</v>
      </c>
      <c r="BV22" s="11">
        <f t="shared" si="23"/>
        <v>16.399999999999999</v>
      </c>
      <c r="BW22" s="11">
        <f t="shared" si="24"/>
        <v>69.7</v>
      </c>
      <c r="BX22" s="11" t="str">
        <f t="shared" si="25"/>
        <v/>
      </c>
      <c r="BY22" s="11" t="str">
        <f t="shared" si="26"/>
        <v/>
      </c>
      <c r="BZ22" s="11">
        <f t="shared" si="27"/>
        <v>69.7</v>
      </c>
      <c r="CA22" s="19">
        <v>18.8</v>
      </c>
      <c r="CB22" s="19">
        <v>6</v>
      </c>
      <c r="CC22" s="19">
        <v>0.2</v>
      </c>
      <c r="CD22" s="19">
        <v>0</v>
      </c>
      <c r="CE22" s="19">
        <v>18.600000000000001</v>
      </c>
      <c r="CF22" s="19">
        <v>6.8</v>
      </c>
      <c r="CG22" s="19">
        <v>0</v>
      </c>
      <c r="CH22" s="19">
        <v>0</v>
      </c>
      <c r="CI22" s="19">
        <v>18.600000000000001</v>
      </c>
      <c r="CJ22" s="19">
        <v>7.2</v>
      </c>
      <c r="CK22" s="19">
        <v>0.6</v>
      </c>
      <c r="CL22" s="19">
        <v>0</v>
      </c>
      <c r="CM22" s="19">
        <v>18.600000000000001</v>
      </c>
      <c r="CN22" s="19">
        <v>6.8</v>
      </c>
      <c r="CO22" s="19">
        <v>0.2</v>
      </c>
      <c r="CP22" s="19">
        <v>0</v>
      </c>
      <c r="CQ22" s="19">
        <v>18.2</v>
      </c>
      <c r="CR22" s="19">
        <v>6.8</v>
      </c>
      <c r="CS22" s="19">
        <v>0.2</v>
      </c>
      <c r="CT22" s="19">
        <v>0</v>
      </c>
      <c r="CU22" s="28"/>
      <c r="CV22" s="41">
        <f t="shared" si="28"/>
        <v>12.8</v>
      </c>
      <c r="CW22" s="41">
        <f t="shared" si="29"/>
        <v>50</v>
      </c>
      <c r="CX22" s="41">
        <f t="shared" si="30"/>
        <v>25.2</v>
      </c>
      <c r="CY22" s="41">
        <f t="shared" si="31"/>
        <v>20</v>
      </c>
      <c r="CZ22" s="41">
        <f t="shared" si="32"/>
        <v>75.2</v>
      </c>
      <c r="DA22" s="41">
        <f t="shared" si="33"/>
        <v>13.6</v>
      </c>
      <c r="DB22" s="41">
        <f t="shared" si="34"/>
        <v>50</v>
      </c>
      <c r="DC22" s="41">
        <f t="shared" si="35"/>
        <v>125.2</v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18.75</v>
      </c>
      <c r="QF22" s="23">
        <f t="shared" si="136"/>
        <v>6.4</v>
      </c>
      <c r="QG22" s="23">
        <f t="shared" si="137"/>
        <v>0.1</v>
      </c>
      <c r="QH22" s="23">
        <f t="shared" si="138"/>
        <v>0</v>
      </c>
      <c r="QI22" s="23">
        <f t="shared" si="139"/>
        <v>18.399999999999999</v>
      </c>
      <c r="QJ22" s="23">
        <f t="shared" si="140"/>
        <v>6.8</v>
      </c>
      <c r="QK22" s="23">
        <f t="shared" si="141"/>
        <v>0.4</v>
      </c>
      <c r="QL22" s="23">
        <f t="shared" si="142"/>
        <v>0</v>
      </c>
      <c r="QM22" s="23">
        <f t="shared" si="143"/>
        <v>17.899999999999999</v>
      </c>
      <c r="QN22" s="23">
        <f t="shared" si="144"/>
        <v>5</v>
      </c>
      <c r="QO22" s="23">
        <f t="shared" si="145"/>
        <v>0.3</v>
      </c>
      <c r="QP22" s="23">
        <f t="shared" si="146"/>
        <v>0</v>
      </c>
      <c r="QQ22" s="23">
        <f t="shared" si="147"/>
        <v>9.3000000000000007</v>
      </c>
      <c r="QR22" s="23">
        <f t="shared" si="148"/>
        <v>3.4</v>
      </c>
      <c r="QS22" s="23">
        <f t="shared" si="149"/>
        <v>0.1</v>
      </c>
      <c r="QT22" s="23">
        <f t="shared" si="150"/>
        <v>0</v>
      </c>
      <c r="QU22" s="23">
        <f t="shared" si="151"/>
        <v>9.1</v>
      </c>
      <c r="QV22" s="23">
        <f t="shared" si="152"/>
        <v>3.4</v>
      </c>
      <c r="QW22" s="23">
        <f t="shared" si="153"/>
        <v>0.1</v>
      </c>
      <c r="QX22" s="23">
        <f t="shared" si="154"/>
        <v>0</v>
      </c>
      <c r="QY22" s="28" t="s">
        <v>57</v>
      </c>
      <c r="QZ22" s="41">
        <f t="shared" si="155"/>
        <v>13.2</v>
      </c>
      <c r="RA22" s="41">
        <f t="shared" si="156"/>
        <v>49.849999999999994</v>
      </c>
      <c r="RB22" s="41">
        <f t="shared" si="157"/>
        <v>22.599999999999998</v>
      </c>
      <c r="RC22" s="41">
        <f t="shared" si="158"/>
        <v>18.2</v>
      </c>
      <c r="RD22" s="41">
        <f t="shared" si="159"/>
        <v>72.449999999999989</v>
      </c>
      <c r="RE22" s="41">
        <f t="shared" si="160"/>
        <v>6.8</v>
      </c>
      <c r="RF22" s="41">
        <f t="shared" si="161"/>
        <v>25</v>
      </c>
      <c r="RG22" s="41">
        <f t="shared" si="162"/>
        <v>97.449999999999989</v>
      </c>
    </row>
    <row r="23" spans="1:475" x14ac:dyDescent="0.2">
      <c r="A23" s="4" t="str" cm="1">
        <f t="array" ref="A23">IF(AND(H23&lt;&gt;"",H23&lt;&gt;"No DD"),SUMPRODUCT((H$4:H$31&lt;&gt;"")*(H$4:H$31&lt;&gt;"No DD")*(E$4:E$31&gt;E23))+1,IF(H23="No DD",SUMPRODUCT((H$4:H$31="No DD")*(E$4:E$31&gt;E23))+1+SUMPRODUCT((H$4:H$31&lt;&gt;"")*(H$4:H$31&lt;&gt;"No DD")),""))</f>
        <v/>
      </c>
      <c r="B23" s="5" t="s">
        <v>183</v>
      </c>
      <c r="C23" s="4" t="s">
        <v>8</v>
      </c>
      <c r="D23" s="4">
        <v>2006</v>
      </c>
      <c r="E23" s="9">
        <f t="shared" si="163"/>
        <v>173.20001222000508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51</v>
      </c>
      <c r="K23" s="8" t="str">
        <f t="shared" si="4"/>
        <v>2023 Elite Canada</v>
      </c>
      <c r="L23" s="8">
        <f>IF(COUNT(AQ23,BT23,CW23)&gt;1,LARGE((AQ23,BT23,CW23),2),0)</f>
        <v>46</v>
      </c>
      <c r="M23" s="8" t="str">
        <f t="shared" si="5"/>
        <v>2023 Domestic 3rd Trial</v>
      </c>
      <c r="N23" s="8">
        <f>IF(COUNT(AR23,BU23,CX23)&gt;0,LARGE((AR23,BU23,CX23),1),0)</f>
        <v>25.2</v>
      </c>
      <c r="O23" s="8" t="str">
        <f t="shared" si="6"/>
        <v>2023 Nationals</v>
      </c>
      <c r="P23" s="8">
        <f t="shared" si="7"/>
        <v>50.999999999999993</v>
      </c>
      <c r="Q23" s="8" t="str">
        <f t="shared" si="8"/>
        <v>2023 Elite Canada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18.399999999999999</v>
      </c>
      <c r="V23" s="19">
        <v>7.6</v>
      </c>
      <c r="W23" s="19">
        <v>0.2</v>
      </c>
      <c r="X23" s="19">
        <v>0</v>
      </c>
      <c r="Y23" s="19">
        <v>18.2</v>
      </c>
      <c r="Z23" s="19">
        <v>7.6</v>
      </c>
      <c r="AA23" s="19">
        <v>0.6</v>
      </c>
      <c r="AB23" s="19">
        <v>0</v>
      </c>
      <c r="AC23" s="19">
        <v>18.8</v>
      </c>
      <c r="AD23" s="19">
        <v>5.6</v>
      </c>
      <c r="AE23" s="19">
        <v>1</v>
      </c>
      <c r="AF23" s="19">
        <v>0</v>
      </c>
      <c r="AG23" s="19">
        <v>17.8</v>
      </c>
      <c r="AH23" s="19">
        <v>7.6</v>
      </c>
      <c r="AI23" s="19">
        <v>0.2</v>
      </c>
      <c r="AJ23" s="19">
        <v>0</v>
      </c>
      <c r="AK23" s="19">
        <v>18.2</v>
      </c>
      <c r="AL23" s="19">
        <v>7.6</v>
      </c>
      <c r="AM23" s="19">
        <v>0</v>
      </c>
      <c r="AN23" s="19">
        <v>0</v>
      </c>
      <c r="AO23" s="28"/>
      <c r="AP23" s="41">
        <f t="shared" si="12"/>
        <v>15.2</v>
      </c>
      <c r="AQ23" s="41">
        <f t="shared" si="13"/>
        <v>51</v>
      </c>
      <c r="AR23" s="41">
        <f t="shared" si="14"/>
        <v>23.4</v>
      </c>
      <c r="AS23" s="41">
        <f t="shared" si="15"/>
        <v>20.799999999999997</v>
      </c>
      <c r="AT23" s="41">
        <f t="shared" si="16"/>
        <v>74.400000000000006</v>
      </c>
      <c r="AU23" s="41">
        <f t="shared" si="17"/>
        <v>15.2</v>
      </c>
      <c r="AV23" s="41">
        <f t="shared" si="18"/>
        <v>50.999999999999993</v>
      </c>
      <c r="AW23" s="41">
        <f t="shared" si="19"/>
        <v>125.4</v>
      </c>
      <c r="AX23" s="18">
        <v>0</v>
      </c>
      <c r="AY23" s="18">
        <v>0</v>
      </c>
      <c r="AZ23" s="18">
        <v>0</v>
      </c>
      <c r="BA23" s="18">
        <v>0</v>
      </c>
      <c r="BB23" s="18">
        <v>18.2</v>
      </c>
      <c r="BC23" s="18">
        <v>7.6</v>
      </c>
      <c r="BD23" s="18">
        <v>0.6</v>
      </c>
      <c r="BE23" s="18">
        <v>0</v>
      </c>
      <c r="BF23" s="18">
        <v>18.5</v>
      </c>
      <c r="BG23" s="18">
        <v>7.3</v>
      </c>
      <c r="BH23" s="18">
        <v>0.6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9"/>
      <c r="BS23" s="11">
        <f t="shared" si="20"/>
        <v>7.6</v>
      </c>
      <c r="BT23" s="11">
        <f t="shared" si="21"/>
        <v>25.199999999999996</v>
      </c>
      <c r="BU23" s="11">
        <f t="shared" si="22"/>
        <v>25.2</v>
      </c>
      <c r="BV23" s="11">
        <f t="shared" si="23"/>
        <v>14.899999999999999</v>
      </c>
      <c r="BW23" s="11">
        <f t="shared" si="24"/>
        <v>50.399999999999991</v>
      </c>
      <c r="BX23" s="11" t="str">
        <f t="shared" si="25"/>
        <v/>
      </c>
      <c r="BY23" s="11" t="str">
        <f t="shared" si="26"/>
        <v/>
      </c>
      <c r="BZ23" s="11">
        <f t="shared" si="27"/>
        <v>50.399999999999991</v>
      </c>
      <c r="CA23" s="19">
        <v>18.600000000000001</v>
      </c>
      <c r="CB23" s="19">
        <v>7.6</v>
      </c>
      <c r="CC23" s="19">
        <v>0</v>
      </c>
      <c r="CD23" s="19">
        <v>0</v>
      </c>
      <c r="CE23" s="19">
        <v>17.8</v>
      </c>
      <c r="CF23" s="19">
        <v>3.2</v>
      </c>
      <c r="CG23" s="19">
        <v>1.2</v>
      </c>
      <c r="CH23" s="19">
        <v>0</v>
      </c>
      <c r="CI23" s="19">
        <v>0</v>
      </c>
      <c r="CJ23" s="19">
        <v>0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8"/>
      <c r="CV23" s="41">
        <f t="shared" si="28"/>
        <v>10.8</v>
      </c>
      <c r="CW23" s="41">
        <f t="shared" si="29"/>
        <v>46</v>
      </c>
      <c r="CX23" s="41" t="str">
        <f t="shared" si="30"/>
        <v/>
      </c>
      <c r="CY23" s="41">
        <f t="shared" si="31"/>
        <v>10.8</v>
      </c>
      <c r="CZ23" s="41">
        <f t="shared" si="32"/>
        <v>46</v>
      </c>
      <c r="DA23" s="41" t="str">
        <f t="shared" si="33"/>
        <v/>
      </c>
      <c r="DB23" s="41" t="str">
        <f t="shared" si="34"/>
        <v/>
      </c>
      <c r="DC23" s="41">
        <f t="shared" si="35"/>
        <v>46</v>
      </c>
      <c r="DD23" s="52" t="str">
        <f t="shared" si="36"/>
        <v/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9.3000000000000007</v>
      </c>
      <c r="QF23" s="23">
        <f t="shared" si="136"/>
        <v>3.8</v>
      </c>
      <c r="QG23" s="23">
        <f t="shared" si="137"/>
        <v>0</v>
      </c>
      <c r="QH23" s="23">
        <f t="shared" si="138"/>
        <v>0</v>
      </c>
      <c r="QI23" s="23">
        <f t="shared" si="139"/>
        <v>18</v>
      </c>
      <c r="QJ23" s="23">
        <f t="shared" si="140"/>
        <v>5.4</v>
      </c>
      <c r="QK23" s="23">
        <f t="shared" si="141"/>
        <v>0.89999999999999991</v>
      </c>
      <c r="QL23" s="23">
        <f t="shared" si="142"/>
        <v>0</v>
      </c>
      <c r="QM23" s="23">
        <f t="shared" si="143"/>
        <v>9.25</v>
      </c>
      <c r="QN23" s="23">
        <f t="shared" si="144"/>
        <v>3.65</v>
      </c>
      <c r="QO23" s="23">
        <f t="shared" si="145"/>
        <v>0.3</v>
      </c>
      <c r="QP23" s="23">
        <f t="shared" si="146"/>
        <v>0</v>
      </c>
      <c r="QQ23" s="23">
        <f t="shared" si="147"/>
        <v>0</v>
      </c>
      <c r="QR23" s="23">
        <f t="shared" si="148"/>
        <v>0</v>
      </c>
      <c r="QS23" s="23">
        <f t="shared" si="149"/>
        <v>0</v>
      </c>
      <c r="QT23" s="23">
        <f t="shared" si="150"/>
        <v>0</v>
      </c>
      <c r="QU23" s="23">
        <f t="shared" si="151"/>
        <v>0</v>
      </c>
      <c r="QV23" s="23">
        <f t="shared" si="152"/>
        <v>0</v>
      </c>
      <c r="QW23" s="23">
        <f t="shared" si="153"/>
        <v>0</v>
      </c>
      <c r="QX23" s="23">
        <f t="shared" si="154"/>
        <v>0</v>
      </c>
      <c r="QY23" s="28" t="s">
        <v>57</v>
      </c>
      <c r="QZ23" s="41">
        <f t="shared" si="155"/>
        <v>9.1999999999999993</v>
      </c>
      <c r="RA23" s="41">
        <f t="shared" si="156"/>
        <v>35.6</v>
      </c>
      <c r="RB23" s="41">
        <f t="shared" si="157"/>
        <v>12.6</v>
      </c>
      <c r="RC23" s="41">
        <f t="shared" si="158"/>
        <v>12.85</v>
      </c>
      <c r="RD23" s="41">
        <f t="shared" si="159"/>
        <v>48.2</v>
      </c>
      <c r="RE23" s="41" t="str">
        <f t="shared" si="160"/>
        <v/>
      </c>
      <c r="RF23" s="41" t="str">
        <f t="shared" si="161"/>
        <v/>
      </c>
      <c r="RG23" s="41">
        <f t="shared" si="162"/>
        <v>48.2</v>
      </c>
    </row>
    <row r="24" spans="1:475" x14ac:dyDescent="0.2">
      <c r="A24" s="4" t="str" cm="1">
        <f t="array" ref="A24">IF(AND(H24&lt;&gt;"",H24&lt;&gt;"No DD"),SUMPRODUCT((H$4:H$31&lt;&gt;"")*(H$4:H$31&lt;&gt;"No DD")*(E$4:E$31&gt;E24))+1,IF(H24="No DD",SUMPRODUCT((H$4:H$31="No DD")*(E$4:E$31&gt;E24))+1+SUMPRODUCT((H$4:H$31&lt;&gt;"")*(H$4:H$31&lt;&gt;"No DD")),""))</f>
        <v/>
      </c>
      <c r="B24" s="5" t="s">
        <v>182</v>
      </c>
      <c r="C24" s="4" t="s">
        <v>6</v>
      </c>
      <c r="D24" s="4">
        <v>1998</v>
      </c>
      <c r="E24" s="9">
        <f t="shared" si="163"/>
        <v>168.80001212000491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48.899999999999991</v>
      </c>
      <c r="K24" s="8" t="str">
        <f t="shared" si="4"/>
        <v>2023 Elite Canada</v>
      </c>
      <c r="L24" s="8">
        <f>IF(COUNT(AQ24,BT24,CW24)&gt;1,LARGE((AQ24,BT24,CW24),2),0)</f>
        <v>46.500000000000007</v>
      </c>
      <c r="M24" s="8" t="str">
        <f t="shared" si="5"/>
        <v>2023 Nationals</v>
      </c>
      <c r="N24" s="8">
        <f>IF(COUNT(AR24,BU24,CX24)&gt;0,LARGE((AR24,BU24,CX24),1),0)</f>
        <v>25.8</v>
      </c>
      <c r="O24" s="8" t="str">
        <f t="shared" si="6"/>
        <v>2023 Nationals</v>
      </c>
      <c r="P24" s="8">
        <f t="shared" si="7"/>
        <v>47.600000000000009</v>
      </c>
      <c r="Q24" s="8" t="str">
        <f t="shared" si="8"/>
        <v>2023 Nationals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18.8</v>
      </c>
      <c r="V24" s="19">
        <v>7.6</v>
      </c>
      <c r="W24" s="19">
        <v>0.2</v>
      </c>
      <c r="X24" s="19">
        <v>0</v>
      </c>
      <c r="Y24" s="19">
        <v>16.7</v>
      </c>
      <c r="Z24" s="19">
        <v>6.8</v>
      </c>
      <c r="AA24" s="19">
        <v>0.8</v>
      </c>
      <c r="AB24" s="19">
        <v>0</v>
      </c>
      <c r="AC24" s="19">
        <v>16.8</v>
      </c>
      <c r="AD24" s="19">
        <v>7.3</v>
      </c>
      <c r="AE24" s="19">
        <v>0.2</v>
      </c>
      <c r="AF24" s="19">
        <v>0</v>
      </c>
      <c r="AG24" s="19">
        <v>0</v>
      </c>
      <c r="AH24" s="19">
        <v>0</v>
      </c>
      <c r="AI24" s="19">
        <v>0</v>
      </c>
      <c r="AJ24" s="19">
        <v>0</v>
      </c>
      <c r="AK24" s="19">
        <v>18.5</v>
      </c>
      <c r="AL24" s="19">
        <v>8.4</v>
      </c>
      <c r="AM24" s="19">
        <v>0.2</v>
      </c>
      <c r="AN24" s="19">
        <v>0</v>
      </c>
      <c r="AO24" s="28"/>
      <c r="AP24" s="41">
        <f t="shared" si="12"/>
        <v>14.399999999999999</v>
      </c>
      <c r="AQ24" s="41">
        <f t="shared" si="13"/>
        <v>48.899999999999991</v>
      </c>
      <c r="AR24" s="41">
        <f t="shared" si="14"/>
        <v>23.900000000000002</v>
      </c>
      <c r="AS24" s="41">
        <f t="shared" si="15"/>
        <v>21.7</v>
      </c>
      <c r="AT24" s="41">
        <f t="shared" si="16"/>
        <v>72.8</v>
      </c>
      <c r="AU24" s="41">
        <f t="shared" si="17"/>
        <v>8.4</v>
      </c>
      <c r="AV24" s="41">
        <f t="shared" si="18"/>
        <v>26.7</v>
      </c>
      <c r="AW24" s="41">
        <f t="shared" si="19"/>
        <v>99.5</v>
      </c>
      <c r="AX24" s="18">
        <v>17.600000000000001</v>
      </c>
      <c r="AY24" s="18">
        <v>2.8</v>
      </c>
      <c r="AZ24" s="18">
        <v>0</v>
      </c>
      <c r="BA24" s="18">
        <v>0</v>
      </c>
      <c r="BB24" s="18">
        <v>18.5</v>
      </c>
      <c r="BC24" s="18">
        <v>8.4</v>
      </c>
      <c r="BD24" s="18">
        <v>0.8</v>
      </c>
      <c r="BE24" s="18">
        <v>0</v>
      </c>
      <c r="BF24" s="18">
        <v>18.399999999999999</v>
      </c>
      <c r="BG24" s="18">
        <v>7.6</v>
      </c>
      <c r="BH24" s="18">
        <v>0.2</v>
      </c>
      <c r="BI24" s="18">
        <v>0</v>
      </c>
      <c r="BJ24" s="18">
        <v>17.5</v>
      </c>
      <c r="BK24" s="18">
        <v>4.8</v>
      </c>
      <c r="BL24" s="18">
        <v>0</v>
      </c>
      <c r="BM24" s="18">
        <v>0.3</v>
      </c>
      <c r="BN24" s="18">
        <v>18.8</v>
      </c>
      <c r="BO24" s="18">
        <v>7.2</v>
      </c>
      <c r="BP24" s="18">
        <v>1</v>
      </c>
      <c r="BQ24" s="18">
        <v>0</v>
      </c>
      <c r="BR24" s="29"/>
      <c r="BS24" s="11">
        <f t="shared" si="20"/>
        <v>11.2</v>
      </c>
      <c r="BT24" s="11">
        <f t="shared" si="21"/>
        <v>46.500000000000007</v>
      </c>
      <c r="BU24" s="11">
        <f t="shared" si="22"/>
        <v>25.8</v>
      </c>
      <c r="BV24" s="11">
        <f t="shared" si="23"/>
        <v>18.799999999999997</v>
      </c>
      <c r="BW24" s="11">
        <f t="shared" si="24"/>
        <v>72.300000000000011</v>
      </c>
      <c r="BX24" s="11">
        <f t="shared" si="25"/>
        <v>12</v>
      </c>
      <c r="BY24" s="11">
        <f t="shared" si="26"/>
        <v>47.600000000000009</v>
      </c>
      <c r="BZ24" s="11">
        <f t="shared" si="27"/>
        <v>119.90000000000002</v>
      </c>
      <c r="CA24" s="19">
        <v>18.600000000000001</v>
      </c>
      <c r="CB24" s="19">
        <v>8.4</v>
      </c>
      <c r="CC24" s="19">
        <v>0.6</v>
      </c>
      <c r="CD24" s="19">
        <v>0</v>
      </c>
      <c r="CE24" s="19">
        <v>0</v>
      </c>
      <c r="CF24" s="19">
        <v>0</v>
      </c>
      <c r="CG24" s="19">
        <v>0</v>
      </c>
      <c r="CH24" s="19">
        <v>0</v>
      </c>
      <c r="CI24" s="19">
        <v>17</v>
      </c>
      <c r="CJ24" s="19">
        <v>4.8</v>
      </c>
      <c r="CK24" s="19">
        <v>1.2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 t="shared" si="28"/>
        <v>8.4</v>
      </c>
      <c r="CW24" s="41">
        <f t="shared" si="29"/>
        <v>26.4</v>
      </c>
      <c r="CX24" s="41">
        <f t="shared" si="30"/>
        <v>20.6</v>
      </c>
      <c r="CY24" s="41">
        <f t="shared" si="31"/>
        <v>13.2</v>
      </c>
      <c r="CZ24" s="41">
        <f t="shared" si="32"/>
        <v>47</v>
      </c>
      <c r="DA24" s="41" t="str">
        <f t="shared" si="33"/>
        <v/>
      </c>
      <c r="DB24" s="41" t="str">
        <f t="shared" si="34"/>
        <v/>
      </c>
      <c r="DC24" s="41">
        <f t="shared" si="35"/>
        <v>47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18.100000000000001</v>
      </c>
      <c r="QF24" s="23">
        <f t="shared" si="136"/>
        <v>5.6</v>
      </c>
      <c r="QG24" s="23">
        <f t="shared" si="137"/>
        <v>0.3</v>
      </c>
      <c r="QH24" s="23">
        <f t="shared" si="138"/>
        <v>0</v>
      </c>
      <c r="QI24" s="23">
        <f t="shared" si="139"/>
        <v>9.25</v>
      </c>
      <c r="QJ24" s="23">
        <f t="shared" si="140"/>
        <v>4.2</v>
      </c>
      <c r="QK24" s="23">
        <f t="shared" si="141"/>
        <v>0.4</v>
      </c>
      <c r="QL24" s="23">
        <f t="shared" si="142"/>
        <v>0</v>
      </c>
      <c r="QM24" s="23">
        <f t="shared" si="143"/>
        <v>17.7</v>
      </c>
      <c r="QN24" s="23">
        <f t="shared" si="144"/>
        <v>6.1999999999999993</v>
      </c>
      <c r="QO24" s="23">
        <f t="shared" si="145"/>
        <v>0.7</v>
      </c>
      <c r="QP24" s="23">
        <f t="shared" si="146"/>
        <v>0</v>
      </c>
      <c r="QQ24" s="23">
        <f t="shared" si="147"/>
        <v>8.75</v>
      </c>
      <c r="QR24" s="23">
        <f t="shared" si="148"/>
        <v>2.4</v>
      </c>
      <c r="QS24" s="23">
        <f t="shared" si="149"/>
        <v>0</v>
      </c>
      <c r="QT24" s="23">
        <f t="shared" si="150"/>
        <v>0.15</v>
      </c>
      <c r="QU24" s="23">
        <f t="shared" si="151"/>
        <v>9.4</v>
      </c>
      <c r="QV24" s="23">
        <f t="shared" si="152"/>
        <v>3.6</v>
      </c>
      <c r="QW24" s="23">
        <f t="shared" si="153"/>
        <v>0.5</v>
      </c>
      <c r="QX24" s="23">
        <f t="shared" si="154"/>
        <v>0</v>
      </c>
      <c r="QY24" s="28" t="s">
        <v>57</v>
      </c>
      <c r="QZ24" s="41">
        <f t="shared" si="155"/>
        <v>9.8000000000000007</v>
      </c>
      <c r="RA24" s="41">
        <f t="shared" si="156"/>
        <v>36.45000000000001</v>
      </c>
      <c r="RB24" s="41">
        <f t="shared" si="157"/>
        <v>23.2</v>
      </c>
      <c r="RC24" s="41">
        <f t="shared" si="158"/>
        <v>16</v>
      </c>
      <c r="RD24" s="41">
        <f t="shared" si="159"/>
        <v>59.650000000000006</v>
      </c>
      <c r="RE24" s="41">
        <f t="shared" si="160"/>
        <v>6</v>
      </c>
      <c r="RF24" s="41">
        <f t="shared" si="161"/>
        <v>23.800000000000004</v>
      </c>
      <c r="RG24" s="41">
        <f t="shared" si="162"/>
        <v>83.450000000000017</v>
      </c>
    </row>
    <row r="25" spans="1:475" x14ac:dyDescent="0.2">
      <c r="A25" s="4" t="str" cm="1">
        <f t="array" ref="A25">IF(AND(H25&lt;&gt;"",H25&lt;&gt;"No DD"),SUMPRODUCT((H$4:H$31&lt;&gt;"")*(H$4:H$31&lt;&gt;"No DD")*(E$4:E$31&gt;E25))+1,IF(H25="No DD",SUMPRODUCT((H$4:H$31="No DD")*(E$4:E$31&gt;E25))+1+SUMPRODUCT((H$4:H$31&lt;&gt;"")*(H$4:H$31&lt;&gt;"No DD")),""))</f>
        <v/>
      </c>
      <c r="B25" s="5" t="s">
        <v>251</v>
      </c>
      <c r="C25" s="4" t="s">
        <v>5</v>
      </c>
      <c r="D25" s="4">
        <v>2007</v>
      </c>
      <c r="E25" s="9">
        <f t="shared" si="163"/>
        <v>168.00001195000493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49.399999999999991</v>
      </c>
      <c r="K25" s="8" t="str">
        <f t="shared" si="4"/>
        <v>2023 Nationals</v>
      </c>
      <c r="L25" s="8">
        <f>IF(COUNT(AQ25,BT25,CW25)&gt;1,LARGE((AQ25,BT25,CW25),2),0)</f>
        <v>45.2</v>
      </c>
      <c r="M25" s="8" t="str">
        <f t="shared" si="5"/>
        <v>2023 Domestic 3rd Trial</v>
      </c>
      <c r="N25" s="8">
        <f>IF(COUNT(AR25,BU25,CX25)&gt;0,LARGE((AR25,BU25,CX25),1),0)</f>
        <v>24.9</v>
      </c>
      <c r="O25" s="8" t="str">
        <f t="shared" si="6"/>
        <v>2023 Nationals</v>
      </c>
      <c r="P25" s="8">
        <f t="shared" si="7"/>
        <v>47.4</v>
      </c>
      <c r="Q25" s="8" t="str">
        <f t="shared" si="8"/>
        <v>2023 Nationals</v>
      </c>
      <c r="R25" s="8">
        <f t="shared" si="9"/>
        <v>1.0999999999999872</v>
      </c>
      <c r="S25" s="11" t="str">
        <f t="shared" si="10"/>
        <v>(Q1)</v>
      </c>
      <c r="T25" s="8" t="str">
        <f t="shared" si="11"/>
        <v>2023 WAGC (Nov 17)</v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 t="shared" si="12"/>
        <v/>
      </c>
      <c r="AQ25" s="41" t="str">
        <f t="shared" si="13"/>
        <v/>
      </c>
      <c r="AR25" s="41" t="str">
        <f t="shared" si="14"/>
        <v/>
      </c>
      <c r="AS25" s="41" t="str">
        <f t="shared" si="15"/>
        <v/>
      </c>
      <c r="AT25" s="41" t="str">
        <f t="shared" si="16"/>
        <v/>
      </c>
      <c r="AU25" s="41" t="str">
        <f t="shared" si="17"/>
        <v/>
      </c>
      <c r="AV25" s="41" t="str">
        <f t="shared" si="18"/>
        <v/>
      </c>
      <c r="AW25" s="41" t="str">
        <f t="shared" si="19"/>
        <v/>
      </c>
      <c r="AX25" s="18">
        <v>18.7</v>
      </c>
      <c r="AY25" s="18">
        <v>6.4</v>
      </c>
      <c r="AZ25" s="18">
        <v>0.6</v>
      </c>
      <c r="BA25" s="18">
        <v>0</v>
      </c>
      <c r="BB25" s="18">
        <v>18.7</v>
      </c>
      <c r="BC25" s="18">
        <v>6.4</v>
      </c>
      <c r="BD25" s="18">
        <v>0.2</v>
      </c>
      <c r="BE25" s="18">
        <v>0</v>
      </c>
      <c r="BF25" s="18">
        <v>18.5</v>
      </c>
      <c r="BG25" s="18">
        <v>6.4</v>
      </c>
      <c r="BH25" s="18">
        <v>0</v>
      </c>
      <c r="BI25" s="18">
        <v>0</v>
      </c>
      <c r="BJ25" s="18">
        <v>18.600000000000001</v>
      </c>
      <c r="BK25" s="18">
        <v>5.2</v>
      </c>
      <c r="BL25" s="18">
        <v>1</v>
      </c>
      <c r="BM25" s="18">
        <v>0</v>
      </c>
      <c r="BN25" s="18">
        <v>18.399999999999999</v>
      </c>
      <c r="BO25" s="18">
        <v>6.4</v>
      </c>
      <c r="BP25" s="18">
        <v>0.2</v>
      </c>
      <c r="BQ25" s="18">
        <v>0</v>
      </c>
      <c r="BR25" s="29"/>
      <c r="BS25" s="11">
        <f t="shared" si="20"/>
        <v>12.8</v>
      </c>
      <c r="BT25" s="11">
        <f t="shared" si="21"/>
        <v>49.399999999999991</v>
      </c>
      <c r="BU25" s="11">
        <f t="shared" si="22"/>
        <v>24.9</v>
      </c>
      <c r="BV25" s="11">
        <f t="shared" si="23"/>
        <v>19.200000000000003</v>
      </c>
      <c r="BW25" s="11">
        <f t="shared" si="24"/>
        <v>74.299999999999983</v>
      </c>
      <c r="BX25" s="11">
        <f t="shared" si="25"/>
        <v>11.600000000000001</v>
      </c>
      <c r="BY25" s="11">
        <f t="shared" si="26"/>
        <v>47.4</v>
      </c>
      <c r="BZ25" s="11">
        <f t="shared" si="27"/>
        <v>121.69999999999999</v>
      </c>
      <c r="CA25" s="19">
        <v>18.600000000000001</v>
      </c>
      <c r="CB25" s="19">
        <v>6.4</v>
      </c>
      <c r="CC25" s="19">
        <v>0.6</v>
      </c>
      <c r="CD25" s="19">
        <v>0</v>
      </c>
      <c r="CE25" s="19">
        <v>17.2</v>
      </c>
      <c r="CF25" s="19">
        <v>3.6</v>
      </c>
      <c r="CG25" s="19">
        <v>0</v>
      </c>
      <c r="CH25" s="19">
        <v>0</v>
      </c>
      <c r="CI25" s="19">
        <v>18.8</v>
      </c>
      <c r="CJ25" s="19">
        <v>5.6</v>
      </c>
      <c r="CK25" s="19">
        <v>0</v>
      </c>
      <c r="CL25" s="19">
        <v>0</v>
      </c>
      <c r="CM25" s="19">
        <v>18.600000000000001</v>
      </c>
      <c r="CN25" s="19">
        <v>6.8000000000000007</v>
      </c>
      <c r="CO25" s="19">
        <v>0.2</v>
      </c>
      <c r="CP25" s="19">
        <v>0</v>
      </c>
      <c r="CQ25" s="19">
        <v>0</v>
      </c>
      <c r="CR25" s="19">
        <v>0</v>
      </c>
      <c r="CS25" s="19">
        <v>0</v>
      </c>
      <c r="CT25" s="19">
        <v>0</v>
      </c>
      <c r="CU25" s="28"/>
      <c r="CV25" s="41">
        <f t="shared" si="28"/>
        <v>10</v>
      </c>
      <c r="CW25" s="41">
        <f t="shared" si="29"/>
        <v>45.2</v>
      </c>
      <c r="CX25" s="41">
        <f t="shared" si="30"/>
        <v>24.4</v>
      </c>
      <c r="CY25" s="41">
        <f t="shared" si="31"/>
        <v>15.6</v>
      </c>
      <c r="CZ25" s="41">
        <f t="shared" si="32"/>
        <v>69.599999999999994</v>
      </c>
      <c r="DA25" s="41">
        <f t="shared" si="33"/>
        <v>6.8000000000000007</v>
      </c>
      <c r="DB25" s="41">
        <f t="shared" si="34"/>
        <v>25.200000000000003</v>
      </c>
      <c r="DC25" s="41">
        <f t="shared" si="35"/>
        <v>94.8</v>
      </c>
      <c r="DD25" s="52">
        <f t="shared" si="36"/>
        <v>1.0999999999999872</v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>
        <v>18.399999999999999</v>
      </c>
      <c r="JT25" s="17">
        <v>5.2</v>
      </c>
      <c r="JU25" s="17">
        <v>0</v>
      </c>
      <c r="JV25" s="17">
        <v>0</v>
      </c>
      <c r="JW25" s="17">
        <v>16.5</v>
      </c>
      <c r="JX25" s="17">
        <v>6.4</v>
      </c>
      <c r="JY25" s="17">
        <v>0.2</v>
      </c>
      <c r="JZ25" s="17">
        <v>0</v>
      </c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>
        <f t="shared" si="87"/>
        <v>11.600000000000001</v>
      </c>
      <c r="KN25" s="41">
        <f t="shared" si="88"/>
        <v>46.29999999999999</v>
      </c>
      <c r="KO25" s="41" t="str">
        <f t="shared" si="89"/>
        <v/>
      </c>
      <c r="KP25" s="41">
        <f t="shared" si="90"/>
        <v>11.600000000000001</v>
      </c>
      <c r="KQ25" s="41">
        <f t="shared" si="91"/>
        <v>46.29999999999999</v>
      </c>
      <c r="KR25" s="41" t="str">
        <f t="shared" si="92"/>
        <v/>
      </c>
      <c r="KS25" s="41" t="str">
        <f t="shared" si="93"/>
        <v/>
      </c>
      <c r="KT25" s="41">
        <f t="shared" si="94"/>
        <v>46.29999999999999</v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18.649999999999999</v>
      </c>
      <c r="QF25" s="23">
        <f t="shared" si="136"/>
        <v>6.4</v>
      </c>
      <c r="QG25" s="23">
        <f t="shared" si="137"/>
        <v>0.6</v>
      </c>
      <c r="QH25" s="23">
        <f t="shared" si="138"/>
        <v>0</v>
      </c>
      <c r="QI25" s="23">
        <f t="shared" si="139"/>
        <v>17.95</v>
      </c>
      <c r="QJ25" s="23">
        <f t="shared" si="140"/>
        <v>5</v>
      </c>
      <c r="QK25" s="23">
        <f t="shared" si="141"/>
        <v>0.1</v>
      </c>
      <c r="QL25" s="23">
        <f t="shared" si="142"/>
        <v>0</v>
      </c>
      <c r="QM25" s="23">
        <f t="shared" si="143"/>
        <v>18.649999999999999</v>
      </c>
      <c r="QN25" s="23">
        <f t="shared" si="144"/>
        <v>6</v>
      </c>
      <c r="QO25" s="23">
        <f t="shared" si="145"/>
        <v>0</v>
      </c>
      <c r="QP25" s="23">
        <f t="shared" si="146"/>
        <v>0</v>
      </c>
      <c r="QQ25" s="23">
        <f t="shared" si="147"/>
        <v>18.600000000000001</v>
      </c>
      <c r="QR25" s="23">
        <f t="shared" si="148"/>
        <v>6</v>
      </c>
      <c r="QS25" s="23">
        <f t="shared" si="149"/>
        <v>0.6</v>
      </c>
      <c r="QT25" s="23">
        <f t="shared" si="150"/>
        <v>0</v>
      </c>
      <c r="QU25" s="23">
        <f t="shared" si="151"/>
        <v>9.1999999999999993</v>
      </c>
      <c r="QV25" s="23">
        <f t="shared" si="152"/>
        <v>3.2</v>
      </c>
      <c r="QW25" s="23">
        <f t="shared" si="153"/>
        <v>0.1</v>
      </c>
      <c r="QX25" s="23">
        <f t="shared" si="154"/>
        <v>0</v>
      </c>
      <c r="QY25" s="28" t="s">
        <v>57</v>
      </c>
      <c r="QZ25" s="41">
        <f t="shared" si="155"/>
        <v>11.4</v>
      </c>
      <c r="RA25" s="41">
        <f t="shared" si="156"/>
        <v>47.3</v>
      </c>
      <c r="RB25" s="41">
        <f t="shared" si="157"/>
        <v>24.65</v>
      </c>
      <c r="RC25" s="41">
        <f t="shared" si="158"/>
        <v>17.399999999999999</v>
      </c>
      <c r="RD25" s="41">
        <f t="shared" si="159"/>
        <v>71.949999999999989</v>
      </c>
      <c r="RE25" s="41">
        <f t="shared" si="160"/>
        <v>9.1999999999999993</v>
      </c>
      <c r="RF25" s="41">
        <f t="shared" si="161"/>
        <v>36.299999999999997</v>
      </c>
      <c r="RG25" s="41">
        <f t="shared" si="162"/>
        <v>108.24999999999999</v>
      </c>
    </row>
    <row r="26" spans="1:475" x14ac:dyDescent="0.2">
      <c r="A26" s="4" t="str" cm="1">
        <f t="array" ref="A26">IF(AND(H26&lt;&gt;"",H26&lt;&gt;"No DD"),SUMPRODUCT((H$4:H$31&lt;&gt;"")*(H$4:H$31&lt;&gt;"No DD")*(E$4:E$31&gt;E26))+1,IF(H26="No DD",SUMPRODUCT((H$4:H$31="No DD")*(E$4:E$31&gt;E26))+1+SUMPRODUCT((H$4:H$31&lt;&gt;"")*(H$4:H$31&lt;&gt;"No DD")),""))</f>
        <v/>
      </c>
      <c r="B26" s="5" t="s">
        <v>132</v>
      </c>
      <c r="C26" s="4" t="s">
        <v>8</v>
      </c>
      <c r="D26" s="4">
        <v>2005</v>
      </c>
      <c r="E26" s="9">
        <f t="shared" si="163"/>
        <v>120.40000745000495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49.500000000000007</v>
      </c>
      <c r="K26" s="8" t="str">
        <f t="shared" si="4"/>
        <v>2023 Elite Canada</v>
      </c>
      <c r="L26" s="8">
        <f>IF(COUNT(AQ26,BT26,CW26)&gt;1,LARGE((AQ26,BT26,CW26),2),0)</f>
        <v>0</v>
      </c>
      <c r="M26" s="8" t="str">
        <f t="shared" si="5"/>
        <v/>
      </c>
      <c r="N26" s="8">
        <f>IF(COUNT(AR26,BU26,CX26)&gt;0,LARGE((AR26,BU26,CX26),1),0)</f>
        <v>25</v>
      </c>
      <c r="O26" s="8" t="str">
        <f t="shared" si="6"/>
        <v>2023 Elite Canada</v>
      </c>
      <c r="P26" s="8">
        <f t="shared" si="7"/>
        <v>45.9</v>
      </c>
      <c r="Q26" s="8" t="str">
        <f t="shared" si="8"/>
        <v>2023 Elite Canada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19.3</v>
      </c>
      <c r="V26" s="19">
        <v>6.8</v>
      </c>
      <c r="W26" s="19">
        <v>0.6</v>
      </c>
      <c r="X26" s="19">
        <v>0</v>
      </c>
      <c r="Y26" s="19">
        <v>18.8</v>
      </c>
      <c r="Z26" s="19">
        <v>5.6</v>
      </c>
      <c r="AA26" s="19">
        <v>0.4</v>
      </c>
      <c r="AB26" s="19">
        <v>0</v>
      </c>
      <c r="AC26" s="19">
        <v>18.8</v>
      </c>
      <c r="AD26" s="19">
        <v>6.8</v>
      </c>
      <c r="AE26" s="19">
        <v>0.6</v>
      </c>
      <c r="AF26" s="19">
        <v>0</v>
      </c>
      <c r="AG26" s="19">
        <v>19</v>
      </c>
      <c r="AH26" s="19">
        <v>5.2</v>
      </c>
      <c r="AI26" s="19">
        <v>1.6</v>
      </c>
      <c r="AJ26" s="19">
        <v>0</v>
      </c>
      <c r="AK26" s="19">
        <v>18.7</v>
      </c>
      <c r="AL26" s="19">
        <v>5.6</v>
      </c>
      <c r="AM26" s="19">
        <v>1</v>
      </c>
      <c r="AN26" s="19">
        <v>0</v>
      </c>
      <c r="AO26" s="28"/>
      <c r="AP26" s="41">
        <f t="shared" si="12"/>
        <v>12.399999999999999</v>
      </c>
      <c r="AQ26" s="41">
        <f t="shared" si="13"/>
        <v>49.500000000000007</v>
      </c>
      <c r="AR26" s="41">
        <f t="shared" si="14"/>
        <v>25</v>
      </c>
      <c r="AS26" s="41">
        <f t="shared" si="15"/>
        <v>19.2</v>
      </c>
      <c r="AT26" s="41">
        <f t="shared" si="16"/>
        <v>74.5</v>
      </c>
      <c r="AU26" s="41">
        <f t="shared" si="17"/>
        <v>10.8</v>
      </c>
      <c r="AV26" s="41">
        <f t="shared" si="18"/>
        <v>45.9</v>
      </c>
      <c r="AW26" s="41">
        <f t="shared" si="19"/>
        <v>120.4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 t="shared" si="28"/>
        <v/>
      </c>
      <c r="CW26" s="41" t="str">
        <f t="shared" si="29"/>
        <v/>
      </c>
      <c r="CX26" s="41" t="str">
        <f t="shared" si="30"/>
        <v/>
      </c>
      <c r="CY26" s="41" t="str">
        <f t="shared" si="31"/>
        <v/>
      </c>
      <c r="CZ26" s="41" t="str">
        <f t="shared" si="32"/>
        <v/>
      </c>
      <c r="DA26" s="41" t="str">
        <f t="shared" si="33"/>
        <v/>
      </c>
      <c r="DB26" s="41" t="str">
        <f t="shared" si="34"/>
        <v/>
      </c>
      <c r="DC26" s="41" t="str">
        <f t="shared" si="35"/>
        <v/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0</v>
      </c>
      <c r="QF26" s="23">
        <f t="shared" si="136"/>
        <v>0</v>
      </c>
      <c r="QG26" s="23">
        <f t="shared" si="137"/>
        <v>0</v>
      </c>
      <c r="QH26" s="23">
        <f t="shared" si="138"/>
        <v>0</v>
      </c>
      <c r="QI26" s="23">
        <f t="shared" si="139"/>
        <v>0</v>
      </c>
      <c r="QJ26" s="23">
        <f t="shared" si="140"/>
        <v>0</v>
      </c>
      <c r="QK26" s="23">
        <f t="shared" si="141"/>
        <v>0</v>
      </c>
      <c r="QL26" s="23">
        <f t="shared" si="142"/>
        <v>0</v>
      </c>
      <c r="QM26" s="23">
        <f t="shared" si="143"/>
        <v>0</v>
      </c>
      <c r="QN26" s="23">
        <f t="shared" si="144"/>
        <v>0</v>
      </c>
      <c r="QO26" s="23">
        <f t="shared" si="145"/>
        <v>0</v>
      </c>
      <c r="QP26" s="23">
        <f t="shared" si="146"/>
        <v>0</v>
      </c>
      <c r="QQ26" s="23">
        <f t="shared" si="147"/>
        <v>0</v>
      </c>
      <c r="QR26" s="23">
        <f t="shared" si="148"/>
        <v>0</v>
      </c>
      <c r="QS26" s="23">
        <f t="shared" si="149"/>
        <v>0</v>
      </c>
      <c r="QT26" s="23">
        <f t="shared" si="150"/>
        <v>0</v>
      </c>
      <c r="QU26" s="23">
        <f t="shared" si="151"/>
        <v>0</v>
      </c>
      <c r="QV26" s="23">
        <f t="shared" si="152"/>
        <v>0</v>
      </c>
      <c r="QW26" s="23">
        <f t="shared" si="153"/>
        <v>0</v>
      </c>
      <c r="QX26" s="23">
        <f t="shared" si="154"/>
        <v>0</v>
      </c>
      <c r="QY26" s="28" t="s">
        <v>57</v>
      </c>
      <c r="QZ26" s="41" t="str">
        <f t="shared" si="155"/>
        <v/>
      </c>
      <c r="RA26" s="41" t="str">
        <f t="shared" si="156"/>
        <v/>
      </c>
      <c r="RB26" s="41" t="str">
        <f t="shared" si="157"/>
        <v/>
      </c>
      <c r="RC26" s="41" t="str">
        <f t="shared" si="158"/>
        <v/>
      </c>
      <c r="RD26" s="41" t="str">
        <f t="shared" si="159"/>
        <v/>
      </c>
      <c r="RE26" s="41" t="str">
        <f t="shared" si="160"/>
        <v/>
      </c>
      <c r="RF26" s="41" t="str">
        <f t="shared" si="161"/>
        <v/>
      </c>
      <c r="RG26" s="41" t="str">
        <f t="shared" si="162"/>
        <v/>
      </c>
    </row>
    <row r="27" spans="1:475" x14ac:dyDescent="0.2">
      <c r="A27" s="4" t="str" cm="1">
        <f t="array" ref="A27">IF(AND(H27&lt;&gt;"",H27&lt;&gt;"No DD"),SUMPRODUCT((H$4:H$31&lt;&gt;"")*(H$4:H$31&lt;&gt;"No DD")*(E$4:E$31&gt;E27))+1,IF(H27="No DD",SUMPRODUCT((H$4:H$31="No DD")*(E$4:E$31&gt;E27))+1+SUMPRODUCT((H$4:H$31&lt;&gt;"")*(H$4:H$31&lt;&gt;"No DD")),""))</f>
        <v/>
      </c>
      <c r="B27" s="5" t="s">
        <v>184</v>
      </c>
      <c r="C27" s="4" t="s">
        <v>6</v>
      </c>
      <c r="D27" s="4">
        <v>2005</v>
      </c>
      <c r="E27" s="9">
        <f t="shared" si="163"/>
        <v>120.30001203000496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49.7</v>
      </c>
      <c r="K27" s="8" t="str">
        <f t="shared" si="4"/>
        <v>2023 Elite Canada</v>
      </c>
      <c r="L27" s="8">
        <f>IF(COUNT(AQ27,BT27,CW27)&gt;1,LARGE((AQ27,BT27,CW27),2),0)</f>
        <v>44.300000000000004</v>
      </c>
      <c r="M27" s="8" t="str">
        <f t="shared" si="5"/>
        <v>2023 Domestic 3rd Trial</v>
      </c>
      <c r="N27" s="8">
        <f>IF(COUNT(AR27,BU27,CX27)&gt;0,LARGE((AR27,BU27,CX27),1),0)</f>
        <v>26.299999999999997</v>
      </c>
      <c r="O27" s="8" t="str">
        <f t="shared" si="6"/>
        <v>2023 Domestic 3rd Trial</v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18.5</v>
      </c>
      <c r="V27" s="19">
        <v>7.2</v>
      </c>
      <c r="W27" s="19">
        <v>0</v>
      </c>
      <c r="X27" s="19">
        <v>0</v>
      </c>
      <c r="Y27" s="19">
        <v>18</v>
      </c>
      <c r="Z27" s="19">
        <v>6.8</v>
      </c>
      <c r="AA27" s="19">
        <v>0.8</v>
      </c>
      <c r="AB27" s="19">
        <v>0</v>
      </c>
      <c r="AC27" s="19">
        <v>17.600000000000001</v>
      </c>
      <c r="AD27" s="19">
        <v>4.4000000000000004</v>
      </c>
      <c r="AE27" s="19">
        <v>1.2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8"/>
      <c r="AP27" s="41">
        <f t="shared" si="12"/>
        <v>14</v>
      </c>
      <c r="AQ27" s="41">
        <f t="shared" si="13"/>
        <v>49.7</v>
      </c>
      <c r="AR27" s="41">
        <f t="shared" si="14"/>
        <v>20.8</v>
      </c>
      <c r="AS27" s="41">
        <f t="shared" si="15"/>
        <v>18.399999999999999</v>
      </c>
      <c r="AT27" s="41">
        <f t="shared" si="16"/>
        <v>70.5</v>
      </c>
      <c r="AU27" s="41" t="str">
        <f t="shared" si="17"/>
        <v/>
      </c>
      <c r="AV27" s="41" t="str">
        <f t="shared" si="18"/>
        <v/>
      </c>
      <c r="AW27" s="41">
        <f t="shared" si="19"/>
        <v>70.5</v>
      </c>
      <c r="AX27" s="18">
        <v>16.8</v>
      </c>
      <c r="AY27" s="18">
        <v>3.4</v>
      </c>
      <c r="AZ27" s="18">
        <v>1.8</v>
      </c>
      <c r="BA27" s="18">
        <v>0</v>
      </c>
      <c r="BB27" s="18">
        <v>0</v>
      </c>
      <c r="BC27" s="18">
        <v>0</v>
      </c>
      <c r="BD27" s="18">
        <v>0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 t="shared" si="20"/>
        <v>3.4</v>
      </c>
      <c r="BT27" s="11">
        <f t="shared" si="21"/>
        <v>18.399999999999999</v>
      </c>
      <c r="BU27" s="11" t="str">
        <f t="shared" si="22"/>
        <v/>
      </c>
      <c r="BV27" s="11">
        <f t="shared" si="23"/>
        <v>3.4</v>
      </c>
      <c r="BW27" s="11">
        <f t="shared" si="24"/>
        <v>18.399999999999999</v>
      </c>
      <c r="BX27" s="11" t="str">
        <f t="shared" si="25"/>
        <v/>
      </c>
      <c r="BY27" s="11" t="str">
        <f t="shared" si="26"/>
        <v/>
      </c>
      <c r="BZ27" s="11">
        <f t="shared" si="27"/>
        <v>18.399999999999999</v>
      </c>
      <c r="CA27" s="19">
        <v>18.100000000000001</v>
      </c>
      <c r="CB27" s="19">
        <v>6.8</v>
      </c>
      <c r="CC27" s="19">
        <v>0</v>
      </c>
      <c r="CD27" s="19">
        <v>0</v>
      </c>
      <c r="CE27" s="19">
        <v>17</v>
      </c>
      <c r="CF27" s="19">
        <v>2.4</v>
      </c>
      <c r="CG27" s="19">
        <v>0</v>
      </c>
      <c r="CH27" s="19">
        <v>0</v>
      </c>
      <c r="CI27" s="19">
        <v>18.2</v>
      </c>
      <c r="CJ27" s="19">
        <v>8.1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 t="shared" si="28"/>
        <v>9.1999999999999993</v>
      </c>
      <c r="CW27" s="41">
        <f t="shared" si="29"/>
        <v>44.300000000000004</v>
      </c>
      <c r="CX27" s="41">
        <f t="shared" si="30"/>
        <v>26.299999999999997</v>
      </c>
      <c r="CY27" s="41">
        <f t="shared" si="31"/>
        <v>17.299999999999997</v>
      </c>
      <c r="CZ27" s="41">
        <f t="shared" si="32"/>
        <v>70.599999999999994</v>
      </c>
      <c r="DA27" s="41" t="str">
        <f t="shared" si="33"/>
        <v/>
      </c>
      <c r="DB27" s="41" t="str">
        <f t="shared" si="34"/>
        <v/>
      </c>
      <c r="DC27" s="41">
        <f t="shared" si="35"/>
        <v>70.599999999999994</v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17.450000000000003</v>
      </c>
      <c r="QF27" s="23">
        <f t="shared" si="136"/>
        <v>5.0999999999999996</v>
      </c>
      <c r="QG27" s="23">
        <f t="shared" si="137"/>
        <v>0.9</v>
      </c>
      <c r="QH27" s="23">
        <f t="shared" si="138"/>
        <v>0</v>
      </c>
      <c r="QI27" s="23">
        <f t="shared" si="139"/>
        <v>8.5</v>
      </c>
      <c r="QJ27" s="23">
        <f t="shared" si="140"/>
        <v>1.2</v>
      </c>
      <c r="QK27" s="23">
        <f t="shared" si="141"/>
        <v>0</v>
      </c>
      <c r="QL27" s="23">
        <f t="shared" si="142"/>
        <v>0</v>
      </c>
      <c r="QM27" s="23">
        <f t="shared" si="143"/>
        <v>9.1</v>
      </c>
      <c r="QN27" s="23">
        <f t="shared" si="144"/>
        <v>4.05</v>
      </c>
      <c r="QO27" s="23">
        <f t="shared" si="145"/>
        <v>0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57</v>
      </c>
      <c r="QZ27" s="41">
        <f t="shared" si="155"/>
        <v>6.3</v>
      </c>
      <c r="RA27" s="41">
        <f t="shared" si="156"/>
        <v>31.350000000000009</v>
      </c>
      <c r="RB27" s="41">
        <f t="shared" si="157"/>
        <v>13.149999999999999</v>
      </c>
      <c r="RC27" s="41">
        <f t="shared" si="158"/>
        <v>10.35</v>
      </c>
      <c r="RD27" s="41">
        <f t="shared" si="159"/>
        <v>44.500000000000007</v>
      </c>
      <c r="RE27" s="41" t="str">
        <f t="shared" si="160"/>
        <v/>
      </c>
      <c r="RF27" s="41" t="str">
        <f t="shared" si="161"/>
        <v/>
      </c>
      <c r="RG27" s="41">
        <f t="shared" si="162"/>
        <v>44.500000000000007</v>
      </c>
    </row>
    <row r="28" spans="1:475" x14ac:dyDescent="0.2">
      <c r="A28" s="4" t="str" cm="1">
        <f t="array" ref="A28">IF(AND(H28&lt;&gt;"",H28&lt;&gt;"No DD"),SUMPRODUCT((H$4:H$31&lt;&gt;"")*(H$4:H$31&lt;&gt;"No DD")*(E$4:E$31&gt;E28))+1,IF(H28="No DD",SUMPRODUCT((H$4:H$31="No DD")*(E$4:E$31&gt;E28))+1+SUMPRODUCT((H$4:H$31&lt;&gt;"")*(H$4:H$31&lt;&gt;"No DD")),""))</f>
        <v/>
      </c>
      <c r="B28" s="5" t="s">
        <v>134</v>
      </c>
      <c r="C28" s="4" t="s">
        <v>6</v>
      </c>
      <c r="D28" s="4">
        <v>2001</v>
      </c>
      <c r="E28" s="9">
        <f t="shared" si="163"/>
        <v>70.10000701000493</v>
      </c>
      <c r="F28" s="3" t="str">
        <f t="shared" si="0"/>
        <v/>
      </c>
      <c r="G28" s="3" t="str">
        <f t="shared" si="1"/>
        <v/>
      </c>
      <c r="H28" s="37" t="str">
        <f t="shared" si="2"/>
        <v/>
      </c>
      <c r="I28" s="3" t="str">
        <f t="shared" si="3"/>
        <v/>
      </c>
      <c r="J28" s="8">
        <f>IF(COUNT(AQ28,BT28,CW28)&gt;0,LARGE((AQ28,BT28,CW28),1),0)</f>
        <v>49.2</v>
      </c>
      <c r="K28" s="8" t="str">
        <f t="shared" si="4"/>
        <v>2023 Elite Canada</v>
      </c>
      <c r="L28" s="8">
        <f>IF(COUNT(AQ28,BT28,CW28)&gt;1,LARGE((AQ28,BT28,CW28),2),0)</f>
        <v>0</v>
      </c>
      <c r="M28" s="8" t="str">
        <f t="shared" si="5"/>
        <v/>
      </c>
      <c r="N28" s="8">
        <f>IF(COUNT(AR28,BU28,CX28)&gt;0,LARGE((AR28,BU28,CX28),1),0)</f>
        <v>20.900000000000002</v>
      </c>
      <c r="O28" s="8" t="str">
        <f t="shared" si="6"/>
        <v>2023 Elite Canada</v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>
        <v>18.8</v>
      </c>
      <c r="V28" s="19">
        <v>7.2</v>
      </c>
      <c r="W28" s="19">
        <v>0.6</v>
      </c>
      <c r="X28" s="19">
        <v>0</v>
      </c>
      <c r="Y28" s="19">
        <v>18.600000000000001</v>
      </c>
      <c r="Z28" s="19">
        <v>6</v>
      </c>
      <c r="AA28" s="19">
        <v>0.8</v>
      </c>
      <c r="AB28" s="19">
        <v>0</v>
      </c>
      <c r="AC28" s="19">
        <v>16.5</v>
      </c>
      <c r="AD28" s="19">
        <v>5.0999999999999996</v>
      </c>
      <c r="AE28" s="19">
        <v>1</v>
      </c>
      <c r="AF28" s="19">
        <v>0.3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>
        <f t="shared" si="12"/>
        <v>13.2</v>
      </c>
      <c r="AQ28" s="41">
        <f t="shared" si="13"/>
        <v>49.2</v>
      </c>
      <c r="AR28" s="41">
        <f t="shared" si="14"/>
        <v>20.900000000000002</v>
      </c>
      <c r="AS28" s="41">
        <f t="shared" si="15"/>
        <v>18.299999999999997</v>
      </c>
      <c r="AT28" s="41">
        <f t="shared" si="16"/>
        <v>70.100000000000009</v>
      </c>
      <c r="AU28" s="41" t="str">
        <f t="shared" si="17"/>
        <v/>
      </c>
      <c r="AV28" s="41" t="str">
        <f t="shared" si="18"/>
        <v/>
      </c>
      <c r="AW28" s="41">
        <f t="shared" si="19"/>
        <v>70.100000000000009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9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 t="shared" si="28"/>
        <v/>
      </c>
      <c r="CW28" s="41" t="str">
        <f t="shared" si="29"/>
        <v/>
      </c>
      <c r="CX28" s="41" t="str">
        <f t="shared" si="30"/>
        <v/>
      </c>
      <c r="CY28" s="41" t="str">
        <f t="shared" si="31"/>
        <v/>
      </c>
      <c r="CZ28" s="41" t="str">
        <f t="shared" si="32"/>
        <v/>
      </c>
      <c r="DA28" s="41" t="str">
        <f t="shared" si="33"/>
        <v/>
      </c>
      <c r="DB28" s="41" t="str">
        <f t="shared" si="34"/>
        <v/>
      </c>
      <c r="DC28" s="41" t="str">
        <f t="shared" si="35"/>
        <v/>
      </c>
      <c r="DD28" s="52" t="str">
        <f t="shared" si="36"/>
        <v/>
      </c>
      <c r="DE28" s="52" t="str">
        <f t="shared" si="37"/>
        <v/>
      </c>
      <c r="DF28" s="52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 t="shared" si="39"/>
        <v/>
      </c>
      <c r="EB28" s="41" t="str">
        <f t="shared" si="40"/>
        <v/>
      </c>
      <c r="EC28" s="41" t="str">
        <f t="shared" si="41"/>
        <v/>
      </c>
      <c r="ED28" s="41" t="str">
        <f t="shared" si="42"/>
        <v/>
      </c>
      <c r="EE28" s="41" t="str">
        <f t="shared" si="43"/>
        <v/>
      </c>
      <c r="EF28" s="41" t="str">
        <f t="shared" si="44"/>
        <v/>
      </c>
      <c r="EG28" s="41" t="str">
        <f t="shared" si="45"/>
        <v/>
      </c>
      <c r="EH28" s="41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 t="shared" si="55"/>
        <v/>
      </c>
      <c r="GF28" s="41" t="str">
        <f t="shared" si="56"/>
        <v/>
      </c>
      <c r="GG28" s="41" t="str">
        <f t="shared" si="57"/>
        <v/>
      </c>
      <c r="GH28" s="41" t="str">
        <f t="shared" si="58"/>
        <v/>
      </c>
      <c r="GI28" s="41" t="str">
        <f t="shared" si="59"/>
        <v/>
      </c>
      <c r="GJ28" s="41" t="str">
        <f t="shared" si="60"/>
        <v/>
      </c>
      <c r="GK28" s="41" t="str">
        <f t="shared" si="61"/>
        <v/>
      </c>
      <c r="GL28" s="41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 t="shared" si="71"/>
        <v/>
      </c>
      <c r="IJ28" s="41" t="str">
        <f t="shared" si="72"/>
        <v/>
      </c>
      <c r="IK28" s="41" t="str">
        <f t="shared" si="73"/>
        <v/>
      </c>
      <c r="IL28" s="41" t="str">
        <f t="shared" si="74"/>
        <v/>
      </c>
      <c r="IM28" s="41" t="str">
        <f t="shared" si="75"/>
        <v/>
      </c>
      <c r="IN28" s="41" t="str">
        <f t="shared" si="76"/>
        <v/>
      </c>
      <c r="IO28" s="41" t="str">
        <f t="shared" si="77"/>
        <v/>
      </c>
      <c r="IP28" s="41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 t="shared" si="87"/>
        <v/>
      </c>
      <c r="KN28" s="41" t="str">
        <f t="shared" si="88"/>
        <v/>
      </c>
      <c r="KO28" s="41" t="str">
        <f t="shared" si="89"/>
        <v/>
      </c>
      <c r="KP28" s="41" t="str">
        <f t="shared" si="90"/>
        <v/>
      </c>
      <c r="KQ28" s="41" t="str">
        <f t="shared" si="91"/>
        <v/>
      </c>
      <c r="KR28" s="41" t="str">
        <f t="shared" si="92"/>
        <v/>
      </c>
      <c r="KS28" s="41" t="str">
        <f t="shared" si="93"/>
        <v/>
      </c>
      <c r="KT28" s="41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 t="shared" si="103"/>
        <v/>
      </c>
      <c r="MR28" s="41" t="str">
        <f t="shared" si="104"/>
        <v/>
      </c>
      <c r="MS28" s="41" t="str">
        <f t="shared" si="105"/>
        <v/>
      </c>
      <c r="MT28" s="41" t="str">
        <f t="shared" si="106"/>
        <v/>
      </c>
      <c r="MU28" s="41" t="str">
        <f t="shared" si="107"/>
        <v/>
      </c>
      <c r="MV28" s="41" t="str">
        <f t="shared" si="108"/>
        <v/>
      </c>
      <c r="MW28" s="41" t="str">
        <f t="shared" si="109"/>
        <v/>
      </c>
      <c r="MX28" s="41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 t="shared" si="119"/>
        <v/>
      </c>
      <c r="OV28" s="41" t="str">
        <f t="shared" si="120"/>
        <v/>
      </c>
      <c r="OW28" s="41" t="str">
        <f t="shared" si="121"/>
        <v/>
      </c>
      <c r="OX28" s="41" t="str">
        <f t="shared" si="122"/>
        <v/>
      </c>
      <c r="OY28" s="41" t="str">
        <f t="shared" si="123"/>
        <v/>
      </c>
      <c r="OZ28" s="41" t="str">
        <f t="shared" si="124"/>
        <v/>
      </c>
      <c r="PA28" s="41" t="str">
        <f t="shared" si="125"/>
        <v/>
      </c>
      <c r="PB28" s="41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3">
        <f t="shared" si="135"/>
        <v>0</v>
      </c>
      <c r="QF28" s="23">
        <f t="shared" si="136"/>
        <v>0</v>
      </c>
      <c r="QG28" s="23">
        <f t="shared" si="137"/>
        <v>0</v>
      </c>
      <c r="QH28" s="23">
        <f t="shared" si="138"/>
        <v>0</v>
      </c>
      <c r="QI28" s="23">
        <f t="shared" si="139"/>
        <v>0</v>
      </c>
      <c r="QJ28" s="23">
        <f t="shared" si="140"/>
        <v>0</v>
      </c>
      <c r="QK28" s="23">
        <f t="shared" si="141"/>
        <v>0</v>
      </c>
      <c r="QL28" s="23">
        <f t="shared" si="142"/>
        <v>0</v>
      </c>
      <c r="QM28" s="23">
        <f t="shared" si="143"/>
        <v>0</v>
      </c>
      <c r="QN28" s="23">
        <f t="shared" si="144"/>
        <v>0</v>
      </c>
      <c r="QO28" s="23">
        <f t="shared" si="145"/>
        <v>0</v>
      </c>
      <c r="QP28" s="23">
        <f t="shared" si="146"/>
        <v>0</v>
      </c>
      <c r="QQ28" s="23">
        <f t="shared" si="147"/>
        <v>0</v>
      </c>
      <c r="QR28" s="23">
        <f t="shared" si="148"/>
        <v>0</v>
      </c>
      <c r="QS28" s="23">
        <f t="shared" si="149"/>
        <v>0</v>
      </c>
      <c r="QT28" s="23">
        <f t="shared" si="150"/>
        <v>0</v>
      </c>
      <c r="QU28" s="23">
        <f t="shared" si="151"/>
        <v>0</v>
      </c>
      <c r="QV28" s="23">
        <f t="shared" si="152"/>
        <v>0</v>
      </c>
      <c r="QW28" s="23">
        <f t="shared" si="153"/>
        <v>0</v>
      </c>
      <c r="QX28" s="23">
        <f t="shared" si="154"/>
        <v>0</v>
      </c>
      <c r="QY28" s="28" t="s">
        <v>57</v>
      </c>
      <c r="QZ28" s="41" t="str">
        <f t="shared" si="155"/>
        <v/>
      </c>
      <c r="RA28" s="41" t="str">
        <f t="shared" si="156"/>
        <v/>
      </c>
      <c r="RB28" s="41" t="str">
        <f t="shared" si="157"/>
        <v/>
      </c>
      <c r="RC28" s="41" t="str">
        <f t="shared" si="158"/>
        <v/>
      </c>
      <c r="RD28" s="41" t="str">
        <f t="shared" si="159"/>
        <v/>
      </c>
      <c r="RE28" s="41" t="str">
        <f t="shared" si="160"/>
        <v/>
      </c>
      <c r="RF28" s="41" t="str">
        <f t="shared" si="161"/>
        <v/>
      </c>
      <c r="RG28" s="41" t="str">
        <f t="shared" si="162"/>
        <v/>
      </c>
    </row>
    <row r="29" spans="1:475" x14ac:dyDescent="0.2">
      <c r="A29" s="4" t="str" cm="1">
        <f t="array" ref="A29">IF(AND(H29&lt;&gt;"",H29&lt;&gt;"No DD"),SUMPRODUCT((H$4:H$31&lt;&gt;"")*(H$4:H$31&lt;&gt;"No DD")*(E$4:E$31&gt;E29))+1,IF(H29="No DD",SUMPRODUCT((H$4:H$31="No DD")*(E$4:E$31&gt;E29))+1+SUMPRODUCT((H$4:H$31&lt;&gt;"")*(H$4:H$31&lt;&gt;"No DD")),""))</f>
        <v/>
      </c>
      <c r="B29" s="5" t="s">
        <v>180</v>
      </c>
      <c r="C29" s="4" t="s">
        <v>5</v>
      </c>
      <c r="D29" s="4">
        <v>1993</v>
      </c>
      <c r="E29" s="9">
        <f t="shared" si="163"/>
        <v>60.900006090004133</v>
      </c>
      <c r="F29" s="3" t="str">
        <f t="shared" si="0"/>
        <v/>
      </c>
      <c r="G29" s="3" t="str">
        <f t="shared" si="1"/>
        <v/>
      </c>
      <c r="H29" s="37" t="str">
        <f t="shared" si="2"/>
        <v/>
      </c>
      <c r="I29" s="3" t="str">
        <f t="shared" si="3"/>
        <v/>
      </c>
      <c r="J29" s="8">
        <f>IF(COUNT(AQ29,BT29,CW29)&gt;0,LARGE((AQ29,BT29,CW29),1),0)</f>
        <v>41.399999999999991</v>
      </c>
      <c r="K29" s="8" t="str">
        <f t="shared" si="4"/>
        <v>2023 Elite Canada</v>
      </c>
      <c r="L29" s="8">
        <f>IF(COUNT(AQ29,BT29,CW29)&gt;1,LARGE((AQ29,BT29,CW29),2),0)</f>
        <v>0</v>
      </c>
      <c r="M29" s="8" t="str">
        <f t="shared" si="5"/>
        <v/>
      </c>
      <c r="N29" s="8">
        <f>IF(COUNT(AR29,BU29,CX29)&gt;0,LARGE((AR29,BU29,CX29),1),0)</f>
        <v>19.5</v>
      </c>
      <c r="O29" s="8" t="str">
        <f t="shared" si="6"/>
        <v>2023 Elite Canada</v>
      </c>
      <c r="P29" s="8">
        <f t="shared" si="7"/>
        <v>0</v>
      </c>
      <c r="Q29" s="8" t="str">
        <f t="shared" si="8"/>
        <v/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17.8</v>
      </c>
      <c r="V29" s="19">
        <v>3</v>
      </c>
      <c r="W29" s="19">
        <v>1.2</v>
      </c>
      <c r="X29" s="19">
        <v>0</v>
      </c>
      <c r="Y29" s="19">
        <v>18.2</v>
      </c>
      <c r="Z29" s="19">
        <v>4.8</v>
      </c>
      <c r="AA29" s="19">
        <v>1.2</v>
      </c>
      <c r="AB29" s="19">
        <v>0</v>
      </c>
      <c r="AC29" s="19">
        <v>18.3</v>
      </c>
      <c r="AD29" s="19">
        <v>3.2</v>
      </c>
      <c r="AE29" s="19">
        <v>2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 t="shared" si="12"/>
        <v>7.8</v>
      </c>
      <c r="AQ29" s="41">
        <f t="shared" si="13"/>
        <v>41.399999999999991</v>
      </c>
      <c r="AR29" s="41">
        <f t="shared" si="14"/>
        <v>19.5</v>
      </c>
      <c r="AS29" s="41">
        <f t="shared" si="15"/>
        <v>11</v>
      </c>
      <c r="AT29" s="41">
        <f t="shared" si="16"/>
        <v>60.899999999999991</v>
      </c>
      <c r="AU29" s="41" t="str">
        <f t="shared" si="17"/>
        <v/>
      </c>
      <c r="AV29" s="41" t="str">
        <f t="shared" si="18"/>
        <v/>
      </c>
      <c r="AW29" s="41">
        <f t="shared" si="19"/>
        <v>60.899999999999991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9"/>
      <c r="BS29" s="11" t="str">
        <f t="shared" si="20"/>
        <v/>
      </c>
      <c r="BT29" s="11" t="str">
        <f t="shared" si="21"/>
        <v/>
      </c>
      <c r="BU29" s="11" t="str">
        <f t="shared" si="22"/>
        <v/>
      </c>
      <c r="BV29" s="11" t="str">
        <f t="shared" si="23"/>
        <v/>
      </c>
      <c r="BW29" s="11" t="str">
        <f t="shared" si="24"/>
        <v/>
      </c>
      <c r="BX29" s="11" t="str">
        <f t="shared" si="25"/>
        <v/>
      </c>
      <c r="BY29" s="11" t="str">
        <f t="shared" si="26"/>
        <v/>
      </c>
      <c r="BZ29" s="11" t="str">
        <f t="shared" si="27"/>
        <v/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8"/>
      <c r="CV29" s="41" t="str">
        <f t="shared" si="28"/>
        <v/>
      </c>
      <c r="CW29" s="41" t="str">
        <f t="shared" si="29"/>
        <v/>
      </c>
      <c r="CX29" s="41" t="str">
        <f t="shared" si="30"/>
        <v/>
      </c>
      <c r="CY29" s="41" t="str">
        <f t="shared" si="31"/>
        <v/>
      </c>
      <c r="CZ29" s="41" t="str">
        <f t="shared" si="32"/>
        <v/>
      </c>
      <c r="DA29" s="41" t="str">
        <f t="shared" si="33"/>
        <v/>
      </c>
      <c r="DB29" s="41" t="str">
        <f t="shared" si="34"/>
        <v/>
      </c>
      <c r="DC29" s="41" t="str">
        <f t="shared" si="35"/>
        <v/>
      </c>
      <c r="DD29" s="52" t="str">
        <f t="shared" si="36"/>
        <v/>
      </c>
      <c r="DE29" s="52" t="str">
        <f t="shared" si="37"/>
        <v/>
      </c>
      <c r="DF29" s="52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 t="shared" si="39"/>
        <v/>
      </c>
      <c r="EB29" s="41" t="str">
        <f t="shared" si="40"/>
        <v/>
      </c>
      <c r="EC29" s="41" t="str">
        <f t="shared" si="41"/>
        <v/>
      </c>
      <c r="ED29" s="41" t="str">
        <f t="shared" si="42"/>
        <v/>
      </c>
      <c r="EE29" s="41" t="str">
        <f t="shared" si="43"/>
        <v/>
      </c>
      <c r="EF29" s="41" t="str">
        <f t="shared" si="44"/>
        <v/>
      </c>
      <c r="EG29" s="41" t="str">
        <f t="shared" si="45"/>
        <v/>
      </c>
      <c r="EH29" s="41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 t="shared" si="55"/>
        <v/>
      </c>
      <c r="GF29" s="41" t="str">
        <f t="shared" si="56"/>
        <v/>
      </c>
      <c r="GG29" s="41" t="str">
        <f t="shared" si="57"/>
        <v/>
      </c>
      <c r="GH29" s="41" t="str">
        <f t="shared" si="58"/>
        <v/>
      </c>
      <c r="GI29" s="41" t="str">
        <f t="shared" si="59"/>
        <v/>
      </c>
      <c r="GJ29" s="41" t="str">
        <f t="shared" si="60"/>
        <v/>
      </c>
      <c r="GK29" s="41" t="str">
        <f t="shared" si="61"/>
        <v/>
      </c>
      <c r="GL29" s="41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 t="shared" si="71"/>
        <v/>
      </c>
      <c r="IJ29" s="41" t="str">
        <f t="shared" si="72"/>
        <v/>
      </c>
      <c r="IK29" s="41" t="str">
        <f t="shared" si="73"/>
        <v/>
      </c>
      <c r="IL29" s="41" t="str">
        <f t="shared" si="74"/>
        <v/>
      </c>
      <c r="IM29" s="41" t="str">
        <f t="shared" si="75"/>
        <v/>
      </c>
      <c r="IN29" s="41" t="str">
        <f t="shared" si="76"/>
        <v/>
      </c>
      <c r="IO29" s="41" t="str">
        <f t="shared" si="77"/>
        <v/>
      </c>
      <c r="IP29" s="41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 t="shared" si="87"/>
        <v/>
      </c>
      <c r="KN29" s="41" t="str">
        <f t="shared" si="88"/>
        <v/>
      </c>
      <c r="KO29" s="41" t="str">
        <f t="shared" si="89"/>
        <v/>
      </c>
      <c r="KP29" s="41" t="str">
        <f t="shared" si="90"/>
        <v/>
      </c>
      <c r="KQ29" s="41" t="str">
        <f t="shared" si="91"/>
        <v/>
      </c>
      <c r="KR29" s="41" t="str">
        <f t="shared" si="92"/>
        <v/>
      </c>
      <c r="KS29" s="41" t="str">
        <f t="shared" si="93"/>
        <v/>
      </c>
      <c r="KT29" s="41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 t="shared" si="103"/>
        <v/>
      </c>
      <c r="MR29" s="41" t="str">
        <f t="shared" si="104"/>
        <v/>
      </c>
      <c r="MS29" s="41" t="str">
        <f t="shared" si="105"/>
        <v/>
      </c>
      <c r="MT29" s="41" t="str">
        <f t="shared" si="106"/>
        <v/>
      </c>
      <c r="MU29" s="41" t="str">
        <f t="shared" si="107"/>
        <v/>
      </c>
      <c r="MV29" s="41" t="str">
        <f t="shared" si="108"/>
        <v/>
      </c>
      <c r="MW29" s="41" t="str">
        <f t="shared" si="109"/>
        <v/>
      </c>
      <c r="MX29" s="41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 t="shared" si="119"/>
        <v/>
      </c>
      <c r="OV29" s="41" t="str">
        <f t="shared" si="120"/>
        <v/>
      </c>
      <c r="OW29" s="41" t="str">
        <f t="shared" si="121"/>
        <v/>
      </c>
      <c r="OX29" s="41" t="str">
        <f t="shared" si="122"/>
        <v/>
      </c>
      <c r="OY29" s="41" t="str">
        <f t="shared" si="123"/>
        <v/>
      </c>
      <c r="OZ29" s="41" t="str">
        <f t="shared" si="124"/>
        <v/>
      </c>
      <c r="PA29" s="41" t="str">
        <f t="shared" si="125"/>
        <v/>
      </c>
      <c r="PB29" s="41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3">
        <f t="shared" si="135"/>
        <v>0</v>
      </c>
      <c r="QF29" s="23">
        <f t="shared" si="136"/>
        <v>0</v>
      </c>
      <c r="QG29" s="23">
        <f t="shared" si="137"/>
        <v>0</v>
      </c>
      <c r="QH29" s="23">
        <f t="shared" si="138"/>
        <v>0</v>
      </c>
      <c r="QI29" s="23">
        <f t="shared" si="139"/>
        <v>0</v>
      </c>
      <c r="QJ29" s="23">
        <f t="shared" si="140"/>
        <v>0</v>
      </c>
      <c r="QK29" s="23">
        <f t="shared" si="141"/>
        <v>0</v>
      </c>
      <c r="QL29" s="23">
        <f t="shared" si="142"/>
        <v>0</v>
      </c>
      <c r="QM29" s="23">
        <f t="shared" si="143"/>
        <v>0</v>
      </c>
      <c r="QN29" s="23">
        <f t="shared" si="144"/>
        <v>0</v>
      </c>
      <c r="QO29" s="23">
        <f t="shared" si="145"/>
        <v>0</v>
      </c>
      <c r="QP29" s="23">
        <f t="shared" si="146"/>
        <v>0</v>
      </c>
      <c r="QQ29" s="23">
        <f t="shared" si="147"/>
        <v>0</v>
      </c>
      <c r="QR29" s="23">
        <f t="shared" si="148"/>
        <v>0</v>
      </c>
      <c r="QS29" s="23">
        <f t="shared" si="149"/>
        <v>0</v>
      </c>
      <c r="QT29" s="23">
        <f t="shared" si="150"/>
        <v>0</v>
      </c>
      <c r="QU29" s="23">
        <f t="shared" si="151"/>
        <v>0</v>
      </c>
      <c r="QV29" s="23">
        <f t="shared" si="152"/>
        <v>0</v>
      </c>
      <c r="QW29" s="23">
        <f t="shared" si="153"/>
        <v>0</v>
      </c>
      <c r="QX29" s="23">
        <f t="shared" si="154"/>
        <v>0</v>
      </c>
      <c r="QY29" s="28" t="s">
        <v>57</v>
      </c>
      <c r="QZ29" s="41" t="str">
        <f t="shared" si="155"/>
        <v/>
      </c>
      <c r="RA29" s="41" t="str">
        <f t="shared" si="156"/>
        <v/>
      </c>
      <c r="RB29" s="41" t="str">
        <f t="shared" si="157"/>
        <v/>
      </c>
      <c r="RC29" s="41" t="str">
        <f t="shared" si="158"/>
        <v/>
      </c>
      <c r="RD29" s="41" t="str">
        <f t="shared" si="159"/>
        <v/>
      </c>
      <c r="RE29" s="41" t="str">
        <f t="shared" si="160"/>
        <v/>
      </c>
      <c r="RF29" s="41" t="str">
        <f t="shared" si="161"/>
        <v/>
      </c>
      <c r="RG29" s="41" t="str">
        <f t="shared" si="162"/>
        <v/>
      </c>
    </row>
    <row r="30" spans="1:475" x14ac:dyDescent="0.2">
      <c r="A30" s="4" t="str" cm="1">
        <f t="array" ref="A30">IF(AND(H30&lt;&gt;"",H30&lt;&gt;"No DD"),SUMPRODUCT((H$4:H$31&lt;&gt;"")*(H$4:H$31&lt;&gt;"No DD")*(E$4:E$31&gt;E30))+1,IF(H30="No DD",SUMPRODUCT((H$4:H$31="No DD")*(E$4:E$31&gt;E30))+1+SUMPRODUCT((H$4:H$31&lt;&gt;"")*(H$4:H$31&lt;&gt;"No DD")),""))</f>
        <v/>
      </c>
      <c r="B30" s="5" t="s">
        <v>88</v>
      </c>
      <c r="C30" s="4" t="s">
        <v>6</v>
      </c>
      <c r="D30" s="4">
        <v>2002</v>
      </c>
      <c r="E30" s="9">
        <f t="shared" si="163"/>
        <v>46.000004600004594</v>
      </c>
      <c r="F30" s="3" t="str">
        <f t="shared" si="0"/>
        <v/>
      </c>
      <c r="G30" s="3" t="str">
        <f t="shared" si="1"/>
        <v/>
      </c>
      <c r="H30" s="37" t="str">
        <f t="shared" si="2"/>
        <v/>
      </c>
      <c r="I30" s="3" t="str">
        <f t="shared" si="3"/>
        <v/>
      </c>
      <c r="J30" s="8">
        <f>IF(COUNT(AQ30,BT30,CW30)&gt;0,LARGE((AQ30,BT30,CW30),1),0)</f>
        <v>46</v>
      </c>
      <c r="K30" s="8" t="str">
        <f t="shared" si="4"/>
        <v>2023 Nationals</v>
      </c>
      <c r="L30" s="8">
        <f>IF(COUNT(AQ30,BT30,CW30)&gt;1,LARGE((AQ30,BT30,CW30),2),0)</f>
        <v>0</v>
      </c>
      <c r="M30" s="8" t="str">
        <f t="shared" si="5"/>
        <v/>
      </c>
      <c r="N30" s="8">
        <f>IF(COUNT(AR30,BU30,CX30)&gt;0,LARGE((AR30,BU30,CX30),1),0)</f>
        <v>0</v>
      </c>
      <c r="O30" s="8" t="str">
        <f t="shared" si="6"/>
        <v/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 t="shared" si="12"/>
        <v/>
      </c>
      <c r="AQ30" s="41" t="str">
        <f t="shared" si="13"/>
        <v/>
      </c>
      <c r="AR30" s="41" t="str">
        <f t="shared" si="14"/>
        <v/>
      </c>
      <c r="AS30" s="41" t="str">
        <f t="shared" si="15"/>
        <v/>
      </c>
      <c r="AT30" s="41" t="str">
        <f t="shared" si="16"/>
        <v/>
      </c>
      <c r="AU30" s="41" t="str">
        <f t="shared" si="17"/>
        <v/>
      </c>
      <c r="AV30" s="41" t="str">
        <f t="shared" si="18"/>
        <v/>
      </c>
      <c r="AW30" s="41" t="str">
        <f t="shared" si="19"/>
        <v/>
      </c>
      <c r="AX30" s="18">
        <v>16.600000000000001</v>
      </c>
      <c r="AY30" s="18">
        <v>6</v>
      </c>
      <c r="AZ30" s="18">
        <v>1</v>
      </c>
      <c r="BA30" s="18">
        <v>0</v>
      </c>
      <c r="BB30" s="18">
        <v>18.600000000000001</v>
      </c>
      <c r="BC30" s="18">
        <v>6.4</v>
      </c>
      <c r="BD30" s="18">
        <v>0.6</v>
      </c>
      <c r="BE30" s="18">
        <v>0</v>
      </c>
      <c r="BF30" s="18">
        <v>0</v>
      </c>
      <c r="BG30" s="18">
        <v>0</v>
      </c>
      <c r="BH30" s="18">
        <v>0</v>
      </c>
      <c r="BI30" s="18">
        <v>0</v>
      </c>
      <c r="BJ30" s="18"/>
      <c r="BK30" s="18"/>
      <c r="BL30" s="18"/>
      <c r="BM30" s="18"/>
      <c r="BN30" s="18"/>
      <c r="BO30" s="18"/>
      <c r="BP30" s="18"/>
      <c r="BQ30" s="18"/>
      <c r="BR30" s="29"/>
      <c r="BS30" s="11">
        <f t="shared" si="20"/>
        <v>12.4</v>
      </c>
      <c r="BT30" s="11">
        <f t="shared" si="21"/>
        <v>46</v>
      </c>
      <c r="BU30" s="11" t="str">
        <f t="shared" si="22"/>
        <v/>
      </c>
      <c r="BV30" s="11">
        <f t="shared" si="23"/>
        <v>12.4</v>
      </c>
      <c r="BW30" s="11">
        <f t="shared" si="24"/>
        <v>46</v>
      </c>
      <c r="BX30" s="11" t="str">
        <f t="shared" si="25"/>
        <v/>
      </c>
      <c r="BY30" s="11" t="str">
        <f t="shared" si="26"/>
        <v/>
      </c>
      <c r="BZ30" s="11">
        <f t="shared" si="27"/>
        <v>46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8"/>
      <c r="CV30" s="41" t="str">
        <f t="shared" si="28"/>
        <v/>
      </c>
      <c r="CW30" s="41" t="str">
        <f t="shared" si="29"/>
        <v/>
      </c>
      <c r="CX30" s="41" t="str">
        <f t="shared" si="30"/>
        <v/>
      </c>
      <c r="CY30" s="41" t="str">
        <f t="shared" si="31"/>
        <v/>
      </c>
      <c r="CZ30" s="41" t="str">
        <f t="shared" si="32"/>
        <v/>
      </c>
      <c r="DA30" s="41" t="str">
        <f t="shared" si="33"/>
        <v/>
      </c>
      <c r="DB30" s="41" t="str">
        <f t="shared" si="34"/>
        <v/>
      </c>
      <c r="DC30" s="41" t="str">
        <f t="shared" si="35"/>
        <v/>
      </c>
      <c r="DD30" s="52" t="str">
        <f t="shared" si="36"/>
        <v/>
      </c>
      <c r="DE30" s="52" t="str">
        <f t="shared" si="37"/>
        <v/>
      </c>
      <c r="DF30" s="52" t="str">
        <f t="shared" si="38"/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 t="shared" si="39"/>
        <v/>
      </c>
      <c r="EB30" s="41" t="str">
        <f t="shared" si="40"/>
        <v/>
      </c>
      <c r="EC30" s="41" t="str">
        <f t="shared" si="41"/>
        <v/>
      </c>
      <c r="ED30" s="41" t="str">
        <f t="shared" si="42"/>
        <v/>
      </c>
      <c r="EE30" s="41" t="str">
        <f t="shared" si="43"/>
        <v/>
      </c>
      <c r="EF30" s="41" t="str">
        <f t="shared" si="44"/>
        <v/>
      </c>
      <c r="EG30" s="41" t="str">
        <f t="shared" si="45"/>
        <v/>
      </c>
      <c r="EH30" s="41" t="str">
        <f t="shared" si="46"/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1" t="str">
        <f t="shared" si="54"/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 t="shared" si="55"/>
        <v/>
      </c>
      <c r="GF30" s="41" t="str">
        <f t="shared" si="56"/>
        <v/>
      </c>
      <c r="GG30" s="41" t="str">
        <f t="shared" si="57"/>
        <v/>
      </c>
      <c r="GH30" s="41" t="str">
        <f t="shared" si="58"/>
        <v/>
      </c>
      <c r="GI30" s="41" t="str">
        <f t="shared" si="59"/>
        <v/>
      </c>
      <c r="GJ30" s="41" t="str">
        <f t="shared" si="60"/>
        <v/>
      </c>
      <c r="GK30" s="41" t="str">
        <f t="shared" si="61"/>
        <v/>
      </c>
      <c r="GL30" s="41" t="str">
        <f t="shared" si="62"/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1" t="str">
        <f t="shared" si="70"/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 t="shared" si="71"/>
        <v/>
      </c>
      <c r="IJ30" s="41" t="str">
        <f t="shared" si="72"/>
        <v/>
      </c>
      <c r="IK30" s="41" t="str">
        <f t="shared" si="73"/>
        <v/>
      </c>
      <c r="IL30" s="41" t="str">
        <f t="shared" si="74"/>
        <v/>
      </c>
      <c r="IM30" s="41" t="str">
        <f t="shared" si="75"/>
        <v/>
      </c>
      <c r="IN30" s="41" t="str">
        <f t="shared" si="76"/>
        <v/>
      </c>
      <c r="IO30" s="41" t="str">
        <f t="shared" si="77"/>
        <v/>
      </c>
      <c r="IP30" s="41" t="str">
        <f t="shared" si="78"/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1" t="str">
        <f t="shared" si="86"/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 t="shared" si="87"/>
        <v/>
      </c>
      <c r="KN30" s="41" t="str">
        <f t="shared" si="88"/>
        <v/>
      </c>
      <c r="KO30" s="41" t="str">
        <f t="shared" si="89"/>
        <v/>
      </c>
      <c r="KP30" s="41" t="str">
        <f t="shared" si="90"/>
        <v/>
      </c>
      <c r="KQ30" s="41" t="str">
        <f t="shared" si="91"/>
        <v/>
      </c>
      <c r="KR30" s="41" t="str">
        <f t="shared" si="92"/>
        <v/>
      </c>
      <c r="KS30" s="41" t="str">
        <f t="shared" si="93"/>
        <v/>
      </c>
      <c r="KT30" s="41" t="str">
        <f t="shared" si="94"/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1" t="str">
        <f t="shared" si="102"/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 t="shared" si="103"/>
        <v/>
      </c>
      <c r="MR30" s="41" t="str">
        <f t="shared" si="104"/>
        <v/>
      </c>
      <c r="MS30" s="41" t="str">
        <f t="shared" si="105"/>
        <v/>
      </c>
      <c r="MT30" s="41" t="str">
        <f t="shared" si="106"/>
        <v/>
      </c>
      <c r="MU30" s="41" t="str">
        <f t="shared" si="107"/>
        <v/>
      </c>
      <c r="MV30" s="41" t="str">
        <f t="shared" si="108"/>
        <v/>
      </c>
      <c r="MW30" s="41" t="str">
        <f t="shared" si="109"/>
        <v/>
      </c>
      <c r="MX30" s="41" t="str">
        <f t="shared" si="110"/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1" t="str">
        <f t="shared" si="118"/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 t="shared" si="119"/>
        <v/>
      </c>
      <c r="OV30" s="41" t="str">
        <f t="shared" si="120"/>
        <v/>
      </c>
      <c r="OW30" s="41" t="str">
        <f t="shared" si="121"/>
        <v/>
      </c>
      <c r="OX30" s="41" t="str">
        <f t="shared" si="122"/>
        <v/>
      </c>
      <c r="OY30" s="41" t="str">
        <f t="shared" si="123"/>
        <v/>
      </c>
      <c r="OZ30" s="41" t="str">
        <f t="shared" si="124"/>
        <v/>
      </c>
      <c r="PA30" s="41" t="str">
        <f t="shared" si="125"/>
        <v/>
      </c>
      <c r="PB30" s="41" t="str">
        <f t="shared" si="126"/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11" t="str">
        <f t="shared" si="134"/>
        <v/>
      </c>
      <c r="QE30" s="23">
        <f t="shared" si="135"/>
        <v>8.3000000000000007</v>
      </c>
      <c r="QF30" s="23">
        <f t="shared" si="136"/>
        <v>3</v>
      </c>
      <c r="QG30" s="23">
        <f t="shared" si="137"/>
        <v>0.5</v>
      </c>
      <c r="QH30" s="23">
        <f t="shared" si="138"/>
        <v>0</v>
      </c>
      <c r="QI30" s="23">
        <f t="shared" si="139"/>
        <v>9.3000000000000007</v>
      </c>
      <c r="QJ30" s="23">
        <f t="shared" si="140"/>
        <v>3.2</v>
      </c>
      <c r="QK30" s="23">
        <f t="shared" si="141"/>
        <v>0.3</v>
      </c>
      <c r="QL30" s="23">
        <f t="shared" si="142"/>
        <v>0</v>
      </c>
      <c r="QM30" s="23">
        <f t="shared" si="143"/>
        <v>0</v>
      </c>
      <c r="QN30" s="23">
        <f t="shared" si="144"/>
        <v>0</v>
      </c>
      <c r="QO30" s="23">
        <f t="shared" si="145"/>
        <v>0</v>
      </c>
      <c r="QP30" s="23">
        <f t="shared" si="146"/>
        <v>0</v>
      </c>
      <c r="QQ30" s="23">
        <f t="shared" si="147"/>
        <v>0</v>
      </c>
      <c r="QR30" s="23">
        <f t="shared" si="148"/>
        <v>0</v>
      </c>
      <c r="QS30" s="23">
        <f t="shared" si="149"/>
        <v>0</v>
      </c>
      <c r="QT30" s="23">
        <f t="shared" si="150"/>
        <v>0</v>
      </c>
      <c r="QU30" s="23">
        <f t="shared" si="151"/>
        <v>0</v>
      </c>
      <c r="QV30" s="23">
        <f t="shared" si="152"/>
        <v>0</v>
      </c>
      <c r="QW30" s="23">
        <f t="shared" si="153"/>
        <v>0</v>
      </c>
      <c r="QX30" s="23">
        <f t="shared" si="154"/>
        <v>0</v>
      </c>
      <c r="QY30" s="28" t="s">
        <v>57</v>
      </c>
      <c r="QZ30" s="41">
        <f t="shared" si="155"/>
        <v>6.2</v>
      </c>
      <c r="RA30" s="41">
        <f t="shared" si="156"/>
        <v>23</v>
      </c>
      <c r="RB30" s="41" t="str">
        <f t="shared" si="157"/>
        <v/>
      </c>
      <c r="RC30" s="41">
        <f t="shared" si="158"/>
        <v>6.2</v>
      </c>
      <c r="RD30" s="41">
        <f t="shared" si="159"/>
        <v>23</v>
      </c>
      <c r="RE30" s="41" t="str">
        <f t="shared" si="160"/>
        <v/>
      </c>
      <c r="RF30" s="41" t="str">
        <f t="shared" si="161"/>
        <v/>
      </c>
      <c r="RG30" s="41">
        <f t="shared" si="162"/>
        <v>23</v>
      </c>
    </row>
    <row r="31" spans="1:475" ht="17" x14ac:dyDescent="0.2">
      <c r="R31" s="10"/>
      <c r="S31" s="10"/>
      <c r="T31" s="10"/>
    </row>
    <row r="32" spans="1:475" ht="17" x14ac:dyDescent="0.2">
      <c r="R32" s="10"/>
      <c r="S32" s="10"/>
      <c r="T32" s="10"/>
    </row>
    <row r="33" spans="1:456" ht="17" x14ac:dyDescent="0.2">
      <c r="B33" s="24" t="s">
        <v>54</v>
      </c>
      <c r="R33" s="10"/>
      <c r="S33" s="10"/>
      <c r="T33" s="10"/>
      <c r="AP33" s="4"/>
      <c r="AW33" s="43">
        <v>14.4</v>
      </c>
      <c r="BS33" s="4"/>
      <c r="BZ33" s="43">
        <v>14.4</v>
      </c>
      <c r="CV33" s="4"/>
      <c r="DC33" s="43">
        <v>14.4</v>
      </c>
      <c r="EA33" s="4"/>
      <c r="EH33" s="43">
        <v>14.4</v>
      </c>
      <c r="FC33" s="4"/>
      <c r="FJ33" s="43">
        <v>14.4</v>
      </c>
      <c r="GE33" s="4"/>
      <c r="GL33" s="43">
        <v>14.4</v>
      </c>
      <c r="HG33" s="4"/>
      <c r="HN33" s="43">
        <v>14.4</v>
      </c>
      <c r="II33" s="4"/>
      <c r="IP33" s="43">
        <v>14.4</v>
      </c>
      <c r="JK33" s="4"/>
      <c r="JR33" s="43">
        <v>14.4</v>
      </c>
      <c r="KM33" s="4"/>
      <c r="KT33" s="43">
        <v>14.4</v>
      </c>
      <c r="LO33" s="4"/>
      <c r="LV33" s="43">
        <v>14.4</v>
      </c>
      <c r="MQ33" s="4"/>
      <c r="MX33" s="43">
        <v>14.4</v>
      </c>
      <c r="NS33" s="4"/>
      <c r="NZ33" s="43">
        <v>14.4</v>
      </c>
      <c r="OU33" s="4"/>
      <c r="PB33" s="43">
        <v>14.4</v>
      </c>
      <c r="PW33" s="4"/>
      <c r="QD33" s="43">
        <v>14.4</v>
      </c>
    </row>
    <row r="34" spans="1:456" ht="17" x14ac:dyDescent="0.2">
      <c r="B34" s="31" t="s">
        <v>53</v>
      </c>
      <c r="R34" s="10"/>
      <c r="S34" s="10"/>
      <c r="T34" s="10"/>
      <c r="AP34" s="4"/>
      <c r="AW34" s="53">
        <v>21.6</v>
      </c>
      <c r="BS34" s="4"/>
      <c r="BZ34" s="53">
        <v>21.6</v>
      </c>
      <c r="CV34" s="4"/>
      <c r="DC34" s="53">
        <v>21.6</v>
      </c>
      <c r="EA34" s="4"/>
      <c r="EH34" s="53">
        <v>21.6</v>
      </c>
      <c r="FC34" s="4"/>
      <c r="FJ34" s="53">
        <v>21.6</v>
      </c>
      <c r="GE34" s="4"/>
      <c r="GL34" s="53">
        <v>21.6</v>
      </c>
      <c r="HG34" s="4"/>
      <c r="HN34" s="53">
        <v>21.6</v>
      </c>
      <c r="II34" s="4"/>
      <c r="IP34" s="53">
        <v>21.6</v>
      </c>
      <c r="JK34" s="4"/>
      <c r="JR34" s="53">
        <v>21.6</v>
      </c>
      <c r="KM34" s="4"/>
      <c r="KT34" s="53">
        <v>21.6</v>
      </c>
      <c r="LO34" s="4"/>
      <c r="LV34" s="53">
        <v>21.6</v>
      </c>
      <c r="MQ34" s="4"/>
      <c r="MX34" s="53">
        <v>21.6</v>
      </c>
      <c r="NS34" s="4"/>
      <c r="NZ34" s="53">
        <v>21.6</v>
      </c>
      <c r="OU34" s="4"/>
      <c r="PB34" s="53">
        <v>21.6</v>
      </c>
      <c r="PW34" s="4"/>
      <c r="QD34" s="53">
        <v>21.6</v>
      </c>
    </row>
    <row r="35" spans="1:456" ht="17" x14ac:dyDescent="0.2">
      <c r="A35" s="5"/>
      <c r="B35" s="32" t="s">
        <v>67</v>
      </c>
      <c r="C35" s="20"/>
      <c r="R35" s="10"/>
      <c r="S35" s="10"/>
      <c r="T35" s="10"/>
      <c r="AP35" s="4"/>
      <c r="AW35" s="45">
        <v>23.2</v>
      </c>
      <c r="BS35" s="4"/>
      <c r="BZ35" s="45">
        <v>23.2</v>
      </c>
      <c r="CV35" s="4"/>
      <c r="DC35" s="45">
        <v>23.2</v>
      </c>
      <c r="EA35" s="4"/>
      <c r="EH35" s="45">
        <v>23.2</v>
      </c>
      <c r="FC35" s="4"/>
      <c r="FJ35" s="45">
        <v>23.2</v>
      </c>
      <c r="GE35" s="4"/>
      <c r="GL35" s="45">
        <v>23.2</v>
      </c>
      <c r="HG35" s="4"/>
      <c r="HN35" s="45">
        <v>23.2</v>
      </c>
      <c r="II35" s="4"/>
      <c r="IP35" s="45">
        <v>23.2</v>
      </c>
      <c r="JK35" s="4"/>
      <c r="JR35" s="45">
        <v>23.2</v>
      </c>
      <c r="KM35" s="4"/>
      <c r="KT35" s="45">
        <v>23.2</v>
      </c>
      <c r="LO35" s="4"/>
      <c r="LV35" s="45">
        <v>23.2</v>
      </c>
      <c r="MQ35" s="4"/>
      <c r="MX35" s="45">
        <v>23.2</v>
      </c>
      <c r="NS35" s="4"/>
      <c r="NZ35" s="45">
        <v>23.2</v>
      </c>
      <c r="OU35" s="4"/>
      <c r="PB35" s="45">
        <v>23.2</v>
      </c>
      <c r="PW35" s="4"/>
      <c r="QD35" s="45">
        <v>23.2</v>
      </c>
    </row>
    <row r="36" spans="1:456" ht="17" x14ac:dyDescent="0.2">
      <c r="A36" s="5"/>
      <c r="B36" s="36" t="s">
        <v>80</v>
      </c>
      <c r="C36" s="20"/>
      <c r="R36" s="10"/>
      <c r="S36" s="10"/>
      <c r="T36" s="10"/>
      <c r="AP36" s="4"/>
      <c r="AW36" s="46">
        <v>25.6</v>
      </c>
      <c r="BS36" s="4"/>
      <c r="BZ36" s="46">
        <v>25.6</v>
      </c>
      <c r="CV36" s="4"/>
      <c r="DC36" s="46">
        <v>25.6</v>
      </c>
      <c r="EA36" s="4"/>
      <c r="EH36" s="46">
        <v>25.6</v>
      </c>
      <c r="FC36" s="4"/>
      <c r="FJ36" s="46">
        <v>25.6</v>
      </c>
      <c r="GE36" s="4"/>
      <c r="GL36" s="46">
        <v>25.6</v>
      </c>
      <c r="HG36" s="4"/>
      <c r="HN36" s="46">
        <v>25.6</v>
      </c>
      <c r="II36" s="4"/>
      <c r="IP36" s="46">
        <v>25.6</v>
      </c>
      <c r="JK36" s="4"/>
      <c r="JR36" s="46">
        <v>25.6</v>
      </c>
      <c r="KM36" s="4"/>
      <c r="KT36" s="46">
        <v>25.6</v>
      </c>
      <c r="LO36" s="4"/>
      <c r="LV36" s="46">
        <v>25.6</v>
      </c>
      <c r="MQ36" s="4"/>
      <c r="MX36" s="46">
        <v>25.6</v>
      </c>
      <c r="NS36" s="4"/>
      <c r="NZ36" s="46">
        <v>25.6</v>
      </c>
      <c r="OU36" s="4"/>
      <c r="PB36" s="46">
        <v>25.6</v>
      </c>
      <c r="PW36" s="4"/>
      <c r="QD36" s="46">
        <v>25.6</v>
      </c>
    </row>
    <row r="37" spans="1:456" ht="17" x14ac:dyDescent="0.2">
      <c r="A37" s="5"/>
      <c r="B37" s="35" t="s">
        <v>51</v>
      </c>
      <c r="C37" s="20"/>
      <c r="R37" s="10"/>
      <c r="S37" s="10"/>
      <c r="T37" s="10"/>
      <c r="AP37" s="4"/>
      <c r="AW37" s="47">
        <v>51.2</v>
      </c>
      <c r="BS37" s="4"/>
      <c r="BZ37" s="47">
        <v>51.2</v>
      </c>
      <c r="CV37" s="4"/>
      <c r="DC37" s="47">
        <v>51.2</v>
      </c>
      <c r="EA37" s="4"/>
      <c r="EH37" s="47">
        <v>51.2</v>
      </c>
      <c r="FC37" s="4"/>
      <c r="FJ37" s="47">
        <v>51.2</v>
      </c>
      <c r="GE37" s="4"/>
      <c r="GL37" s="47">
        <v>51.2</v>
      </c>
      <c r="HG37" s="4"/>
      <c r="HN37" s="47">
        <v>51.2</v>
      </c>
      <c r="II37" s="4"/>
      <c r="IP37" s="47">
        <v>51.2</v>
      </c>
      <c r="JK37" s="4"/>
      <c r="JR37" s="47">
        <v>51.2</v>
      </c>
      <c r="KM37" s="4"/>
      <c r="KT37" s="47">
        <v>51.2</v>
      </c>
      <c r="LO37" s="4"/>
      <c r="LV37" s="47">
        <v>51.2</v>
      </c>
      <c r="MQ37" s="4"/>
      <c r="MX37" s="47">
        <v>51.2</v>
      </c>
      <c r="NS37" s="4"/>
      <c r="NZ37" s="47">
        <v>51.2</v>
      </c>
      <c r="OU37" s="4"/>
      <c r="PB37" s="47">
        <v>51.2</v>
      </c>
      <c r="PW37" s="4"/>
      <c r="QD37" s="47">
        <v>51.2</v>
      </c>
    </row>
    <row r="38" spans="1:456" ht="17" x14ac:dyDescent="0.2">
      <c r="A38" s="5"/>
      <c r="B38" s="25" t="s">
        <v>52</v>
      </c>
      <c r="C38" s="20"/>
      <c r="R38" s="10"/>
      <c r="S38" s="10"/>
      <c r="T38" s="10"/>
      <c r="AP38" s="4"/>
      <c r="AW38" s="48">
        <v>77.2</v>
      </c>
      <c r="BS38" s="4"/>
      <c r="BZ38" s="48">
        <v>77.2</v>
      </c>
      <c r="CV38" s="4"/>
      <c r="DC38" s="48">
        <v>77.2</v>
      </c>
      <c r="EA38" s="4"/>
      <c r="EH38" s="48">
        <v>77.2</v>
      </c>
      <c r="FC38" s="4"/>
      <c r="FJ38" s="48">
        <v>77.2</v>
      </c>
      <c r="GE38" s="4"/>
      <c r="GL38" s="48">
        <v>77.2</v>
      </c>
      <c r="HG38" s="4"/>
      <c r="HN38" s="48">
        <v>77.2</v>
      </c>
      <c r="II38" s="4"/>
      <c r="IP38" s="48">
        <v>77.2</v>
      </c>
      <c r="JK38" s="4"/>
      <c r="JR38" s="48">
        <v>77.2</v>
      </c>
      <c r="KM38" s="4"/>
      <c r="KT38" s="48">
        <v>77.2</v>
      </c>
      <c r="LO38" s="4"/>
      <c r="LV38" s="48">
        <v>77.2</v>
      </c>
      <c r="MQ38" s="4"/>
      <c r="MX38" s="48">
        <v>77.2</v>
      </c>
      <c r="NS38" s="4"/>
      <c r="NZ38" s="48">
        <v>77.2</v>
      </c>
      <c r="OU38" s="4"/>
      <c r="PB38" s="48">
        <v>77.2</v>
      </c>
      <c r="PW38" s="4"/>
      <c r="QD38" s="48">
        <v>77.2</v>
      </c>
    </row>
    <row r="39" spans="1:456" ht="17" x14ac:dyDescent="0.2">
      <c r="A39" s="5"/>
      <c r="B39" s="34" t="s">
        <v>66</v>
      </c>
      <c r="C39" s="20"/>
      <c r="R39" s="10"/>
      <c r="S39" s="10"/>
      <c r="T39" s="10"/>
      <c r="AP39" s="4"/>
      <c r="AW39" s="49">
        <v>79.8</v>
      </c>
      <c r="BS39" s="4"/>
      <c r="BZ39" s="49">
        <v>79.8</v>
      </c>
      <c r="CV39" s="4"/>
      <c r="DC39" s="49">
        <v>79.8</v>
      </c>
      <c r="EA39" s="4"/>
      <c r="EH39" s="49">
        <v>79.8</v>
      </c>
      <c r="FC39" s="4"/>
      <c r="FJ39" s="49">
        <v>79.8</v>
      </c>
      <c r="GE39" s="4"/>
      <c r="GL39" s="49">
        <v>79.8</v>
      </c>
      <c r="HG39" s="4"/>
      <c r="HN39" s="49">
        <v>79.8</v>
      </c>
      <c r="II39" s="4"/>
      <c r="IP39" s="49">
        <v>79.8</v>
      </c>
      <c r="JK39" s="4"/>
      <c r="JR39" s="49">
        <v>79.8</v>
      </c>
      <c r="KM39" s="4"/>
      <c r="KT39" s="49">
        <v>79.8</v>
      </c>
      <c r="LO39" s="4"/>
      <c r="LV39" s="49">
        <v>79.8</v>
      </c>
      <c r="MQ39" s="4"/>
      <c r="MX39" s="49">
        <v>79.8</v>
      </c>
      <c r="NS39" s="4"/>
      <c r="NZ39" s="49">
        <v>79.8</v>
      </c>
      <c r="OU39" s="4"/>
      <c r="PB39" s="49">
        <v>79.8</v>
      </c>
      <c r="PW39" s="4"/>
      <c r="QD39" s="49">
        <v>79.8</v>
      </c>
    </row>
    <row r="40" spans="1:456" ht="17" x14ac:dyDescent="0.2">
      <c r="A40" s="5"/>
      <c r="B40" s="26" t="s">
        <v>35</v>
      </c>
      <c r="C40" s="20"/>
      <c r="R40" s="10"/>
      <c r="S40" s="10"/>
      <c r="T40" s="10"/>
      <c r="AP40" s="4"/>
      <c r="AW40" s="50">
        <v>82.2</v>
      </c>
      <c r="BS40" s="4"/>
      <c r="BZ40" s="50">
        <v>82.2</v>
      </c>
      <c r="CV40" s="4"/>
      <c r="DC40" s="50">
        <v>82.2</v>
      </c>
      <c r="EA40" s="4"/>
      <c r="EH40" s="50">
        <v>82.2</v>
      </c>
      <c r="FC40" s="4"/>
      <c r="FJ40" s="50">
        <v>82.2</v>
      </c>
      <c r="GE40" s="4"/>
      <c r="GL40" s="50">
        <v>82.2</v>
      </c>
      <c r="HG40" s="4"/>
      <c r="HN40" s="50">
        <v>82.2</v>
      </c>
      <c r="II40" s="4"/>
      <c r="IP40" s="50">
        <v>82.2</v>
      </c>
      <c r="JK40" s="4"/>
      <c r="JR40" s="50">
        <v>82.2</v>
      </c>
      <c r="KM40" s="4"/>
      <c r="KT40" s="50">
        <v>82.2</v>
      </c>
      <c r="LO40" s="4"/>
      <c r="LV40" s="50">
        <v>82.2</v>
      </c>
      <c r="MQ40" s="4"/>
      <c r="MX40" s="50">
        <v>82.2</v>
      </c>
      <c r="NS40" s="4"/>
      <c r="NZ40" s="50">
        <v>82.2</v>
      </c>
      <c r="OU40" s="4"/>
      <c r="PB40" s="50">
        <v>82.2</v>
      </c>
      <c r="PW40" s="4"/>
      <c r="QD40" s="50">
        <v>82.2</v>
      </c>
    </row>
    <row r="41" spans="1:456" x14ac:dyDescent="0.2">
      <c r="B41" s="30" t="s">
        <v>58</v>
      </c>
      <c r="C41" s="2"/>
    </row>
    <row r="42" spans="1:456" x14ac:dyDescent="0.2">
      <c r="A42" s="5"/>
      <c r="B42" s="5"/>
      <c r="C42" s="20"/>
      <c r="QF42" s="2"/>
      <c r="QG42" s="2"/>
      <c r="QH42" s="2"/>
      <c r="QI42" s="2"/>
      <c r="QJ42" s="2"/>
      <c r="QK42" s="2"/>
      <c r="QL42" s="2"/>
      <c r="QM42" s="2"/>
      <c r="QN42" s="2"/>
    </row>
    <row r="43" spans="1:456" x14ac:dyDescent="0.2">
      <c r="A43" s="5"/>
      <c r="B43" s="5"/>
      <c r="C43" s="20"/>
    </row>
    <row r="44" spans="1:456" x14ac:dyDescent="0.2">
      <c r="A44" s="5"/>
      <c r="B44" s="5"/>
      <c r="C44" s="20"/>
    </row>
    <row r="45" spans="1:456" x14ac:dyDescent="0.2">
      <c r="A45" s="5"/>
      <c r="B45" s="5"/>
      <c r="C4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30">
      <sortCondition descending="1" ref="F1:F31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30">
    <cfRule type="expression" dxfId="57" priority="6" stopIfTrue="1">
      <formula>IF($AO4&lt;&gt;"",1,0)</formula>
    </cfRule>
  </conditionalFormatting>
  <conditionalFormatting sqref="AX4:BZ30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0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1:AT1048576 BW41:BW1048576 EE41:EE1048576 FG41:FG1048576 BW1:BW39 CZ1:CZ1048576 EE1:EE39 FG1:FG39 GI1:GI1048576 HK1:HK1048576 IM1:IM1048576 JO1:JO1048576 KQ1:KQ1048576 LS1:LS1048576 MU1:MU1048576 NW1:NW1048576 OY1:OY1048576 QA1:QA1048576 AT1:AT39">
    <cfRule type="cellIs" dxfId="44" priority="59087" operator="between">
      <formula>AW$40</formula>
      <formula>1000</formula>
    </cfRule>
    <cfRule type="cellIs" dxfId="43" priority="59088" operator="between">
      <formula>AW$39</formula>
      <formula>AW$40</formula>
    </cfRule>
    <cfRule type="cellIs" dxfId="42" priority="59089" operator="between">
      <formula>AW$38</formula>
      <formula>AW$39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" priority="86109" operator="between">
      <formula>AW$33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86154" operator="between">
      <formula>AW$37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9" priority="86199" operator="between">
      <formula>AW$33</formula>
      <formula>AW$34</formula>
    </cfRule>
    <cfRule type="cellIs" dxfId="38" priority="86200" operator="between">
      <formula>AW$34</formula>
      <formula>AW$35</formula>
    </cfRule>
    <cfRule type="cellIs" dxfId="37" priority="86201" operator="between">
      <formula>AW$35</formula>
      <formula>AW$36</formula>
    </cfRule>
    <cfRule type="cellIs" dxfId="36" priority="86202" operator="between">
      <formula>AW$36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" priority="86379" operator="between">
      <formula>AW$37</formula>
      <formula>AW$38</formula>
    </cfRule>
    <cfRule type="cellIs" dxfId="34" priority="86380" operator="between">
      <formula>AW$38</formula>
      <formula>AW$39</formula>
    </cfRule>
    <cfRule type="cellIs" dxfId="33" priority="86381" operator="between">
      <formula>AW$39</formula>
      <formula>AW$40</formula>
    </cfRule>
    <cfRule type="cellIs" dxfId="32" priority="86382" operator="between">
      <formula>AW$40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1" priority="86559" operator="between">
      <formula>AW$36</formula>
      <formula>1000</formula>
    </cfRule>
    <cfRule type="cellIs" dxfId="30" priority="86560" operator="between">
      <formula>AW$35</formula>
      <formula>AW$36</formula>
    </cfRule>
    <cfRule type="cellIs" dxfId="29" priority="86561" operator="between">
      <formula>AW$34</formula>
      <formula>AW$35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175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212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229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196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205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211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224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242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250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257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 t="shared" ref="E4:E18" si="0">SUM(J4:R4)+SUM(J4:N4)*0.0000001+SUM(J4)*0.0000000000001</f>
        <v>183.30001302000528</v>
      </c>
      <c r="F4" s="3" t="str">
        <f t="shared" ref="F4:F18" si="1"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 t="shared" ref="G4:G18" si="2"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 t="shared" ref="H4:H18" si="3"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 t="shared" ref="I4:I18" si="4"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 t="shared" ref="K4:K18" si="5"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 t="shared" ref="M4:M18" si="6"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 t="shared" ref="O4:O18" si="7">IF(N4=0,"",IF(N4=CX4,$CA$1,IF(N4=BU4,$AX$1,IF(N4=AR4,$U$1,""))))</f>
        <v>2023 Nationals</v>
      </c>
      <c r="P4" s="8">
        <f t="shared" ref="P4:P18" si="8">IF(MAX(AV4,BY4,DB4)&gt;0,MAX(AV4,BY4,DB4),0)</f>
        <v>53.1</v>
      </c>
      <c r="Q4" s="8" t="str">
        <f t="shared" ref="Q4:Q18" si="9">IF(P4=0,"",IF(P4=DB4,$CA$1,IF(P4=BY4,$AX$1,IF(P4=AV4,$U$1,""))))</f>
        <v>2023 Elite Canada</v>
      </c>
      <c r="R4" s="8" t="str">
        <f t="shared" ref="R4:R18" si="10">IF(MAX(DD4:DF4)&gt;0,MAX(DD4:DF4),"")</f>
        <v/>
      </c>
      <c r="S4" s="11" t="str">
        <f t="shared" ref="S4:S18" si="11">IF(R4="","",IF(R4=DD4,"("&amp;DD$2&amp;")",IF(R4=DE4,"("&amp;DE$2&amp;")",IF(R4=DF4,"("&amp;DF$2&amp;")"))))</f>
        <v/>
      </c>
      <c r="T4" s="8" t="str">
        <f t="shared" ref="T4:T18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 t="shared" ref="AP4:AP18" si="13">IF(SUM(V4,Z4)&gt;0,SUM(V4,Z4),"")</f>
        <v>13.2</v>
      </c>
      <c r="AQ4" s="41">
        <f t="shared" ref="AQ4:AQ18" si="14">IF(SUM(U4:V4,X4:Z4,AB4)-W4-AA4&gt;0,SUM(U4:V4,X4:Z4,AB4)-W4-AA4,"")</f>
        <v>50.8</v>
      </c>
      <c r="AR4" s="41">
        <f t="shared" ref="AR4:AR18" si="15">IF(SUM(AC4:AD4,AF4)-AE4&gt;0,SUM(AC4:AD4,AF4)-AE4,"")</f>
        <v>24.900000000000002</v>
      </c>
      <c r="AS4" s="41">
        <f t="shared" ref="AS4:AS18" si="16">IF(SUM(V4,Z4,AD4)&gt;0,SUM(V4,Z4,AD4),"")</f>
        <v>19.2</v>
      </c>
      <c r="AT4" s="41">
        <f t="shared" ref="AT4:AT18" si="17">IF(SUM(AQ4,AR4)&gt;0,SUM(AQ4,AR4),"")</f>
        <v>75.7</v>
      </c>
      <c r="AU4" s="41">
        <f t="shared" ref="AU4:AU18" si="18">IF(SUM(AH4,AL4)&gt;0,SUM(AH4,AL4),"")</f>
        <v>15.2</v>
      </c>
      <c r="AV4" s="41">
        <f t="shared" ref="AV4:AV18" si="19">IF(SUM(AG4:AH4,AJ4:AL4,AN4)-SUM(AI4,AM4)&gt;0,SUM(AG4:AH4,AJ4:AL4,AN4)-SUM(AI4,AM4),"")</f>
        <v>53.1</v>
      </c>
      <c r="AW4" s="41">
        <f t="shared" ref="AW4:AW18" si="20">IF(SUM(AQ4,AR4,AV4)&gt;0,SUM(AQ4,AR4,AV4),"")</f>
        <v>128.80000000000001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 t="shared" ref="BS4:BS18" si="21">IF(SUM(AY4,BC4)&gt;0,SUM(AY4,BC4),"")</f>
        <v>14.8</v>
      </c>
      <c r="BT4" s="11">
        <f t="shared" ref="BT4:BT18" si="22">IF(SUM(AX4:AY4,BA4:BC4,BE4)-AZ4-BD4&gt;0,SUM(AX4:AY4,BA4:BC4,BE4)-AZ4-BD4,"")</f>
        <v>52.8</v>
      </c>
      <c r="BU4" s="11">
        <f t="shared" ref="BU4:BU18" si="23">IF(SUM(BF4:BG4,BI4)-BH4&gt;0,SUM(BF4:BG4,BI4)-BH4,"")</f>
        <v>25.8</v>
      </c>
      <c r="BV4" s="11">
        <f t="shared" ref="BV4:BV18" si="24">IF(SUM(AY4,BC4,BG4)&gt;0,SUM(AY4,BC4,BG4),"")</f>
        <v>21.6</v>
      </c>
      <c r="BW4" s="11">
        <f t="shared" ref="BW4:BW18" si="25">IF(SUM(BT4,BU4)&gt;0,SUM(BT4,BU4),"")</f>
        <v>78.599999999999994</v>
      </c>
      <c r="BX4" s="11">
        <f t="shared" ref="BX4:BX18" si="26">IF(SUM(BK4,BO4)&gt;0,SUM(BK4,BO4),"")</f>
        <v>12.4</v>
      </c>
      <c r="BY4" s="11">
        <f t="shared" ref="BY4:BY18" si="27">IF(SUM(BJ4:BK4,BM4:BO4,BQ4)-SUM(BL4,BP4)&gt;0,SUM(BJ4:BK4,BM4:BO4,BQ4)-SUM(BL4,BP4),"")</f>
        <v>49.699999999999996</v>
      </c>
      <c r="BZ4" s="11">
        <f t="shared" ref="BZ4:BZ18" si="28">IF(SUM(BT4,BU4,BY4)&gt;0,SUM(BT4,BU4,BY4),"")</f>
        <v>128.29999999999998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 t="shared" ref="CV4:CV18" si="29">IF(SUM(CB4,CF4)&gt;0,SUM(CB4,CF4),"")</f>
        <v>13.6</v>
      </c>
      <c r="CW4" s="41">
        <f t="shared" ref="CW4:CW18" si="30">IF(SUM(CA4:CB4,CD4:CF4,CH4)-CC4-CG4&gt;0,SUM(CA4:CB4,CD4:CF4,CH4)-CC4-CG4,"")</f>
        <v>51.599999999999994</v>
      </c>
      <c r="CX4" s="41">
        <f t="shared" ref="CX4:CX18" si="31">IF(SUM(CI4:CJ4,CL4)-CK4&gt;0,SUM(CI4:CJ4,CL4)-CK4,"")</f>
        <v>22.4</v>
      </c>
      <c r="CY4" s="41">
        <f t="shared" ref="CY4:CY18" si="32">IF(SUM(CB4,CF4,CJ4)&gt;0,SUM(CB4,CF4,CJ4),"")</f>
        <v>18.399999999999999</v>
      </c>
      <c r="CZ4" s="41">
        <f t="shared" ref="CZ4:CZ18" si="33">IF(SUM(CW4,CX4)&gt;0,SUM(CW4,CX4),"")</f>
        <v>74</v>
      </c>
      <c r="DA4" s="41">
        <f t="shared" ref="DA4:DA18" si="34">IF(SUM(CN4,CR4)&gt;0,SUM(CN4,CR4),"")</f>
        <v>13.6</v>
      </c>
      <c r="DB4" s="41">
        <f t="shared" ref="DB4:DB18" si="35">IF(SUM(CM4:CN4,CP4:CR4,CT4)-SUM(CO4,CS4)&gt;0,SUM(CM4:CN4,CP4:CR4,CT4)-SUM(CO4,CS4),"")</f>
        <v>52</v>
      </c>
      <c r="DC4" s="41">
        <f t="shared" ref="DC4:DC18" si="36">IF(SUM(CW4,CX4,DB4)&gt;0,SUM(CW4,CX4,DB4),"")</f>
        <v>126</v>
      </c>
      <c r="DD4" s="52" t="str">
        <f t="shared" ref="DD4:DD18" si="37">IF(MAX(EB4,FD4,GF4,HH4,IJ4,JL4,KN4,LP4,MR4,NT4,OV4,PX4)-IF(L4="",0,L4)&gt;0.001,MAX(EB4,FD4,GF4,HH4,IJ4,JL4,KN4,LP4,MR4,NT4,OV4,PX4)-IF(L4="",0,L4),"")</f>
        <v/>
      </c>
      <c r="DE4" s="52" t="str">
        <f t="shared" ref="DE4:DE18" si="38">IF(MAX(EC4,FE4,GG4,HI4,IK4,JM4,KO4,LQ4,MS4,NU4,OW4,PY4)-IF(N4="",0,N4)&gt;0.001,MAX(EC4,FE4,GG4,HI4,IK4,JM4,KO4,LQ4,MS4,NU4,OW4,PY4)-IF(N4="",0,N4),"")</f>
        <v/>
      </c>
      <c r="DF4" s="52" t="str">
        <f t="shared" ref="DF4:DF18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18" si="40">IF(SUM(DH4,DL4)&gt;0,SUM(DH4,DL4),"")</f>
        <v/>
      </c>
      <c r="EB4" s="41" t="str">
        <f t="shared" ref="EB4:EB18" si="41">IF(SUM(DG4:DH4,DJ4:DL4,DN4)-DI4-DM4&gt;0,SUM(DG4:DH4,DJ4:DL4,DN4)-DI4-DM4,"")</f>
        <v/>
      </c>
      <c r="EC4" s="41" t="str">
        <f t="shared" ref="EC4:EC18" si="42">IF(SUM(DO4:DP4,DR4)-DQ4&gt;0,SUM(DO4:DP4,DR4)-DQ4,"")</f>
        <v/>
      </c>
      <c r="ED4" s="41" t="str">
        <f t="shared" ref="ED4:ED18" si="43">IF(SUM(DH4,DL4,DP4)&gt;0,SUM(DH4,DL4,DP4),"")</f>
        <v/>
      </c>
      <c r="EE4" s="41" t="str">
        <f t="shared" ref="EE4:EE18" si="44">IF(SUM(EB4,EC4)&gt;0,SUM(EB4,EC4),"")</f>
        <v/>
      </c>
      <c r="EF4" s="41" t="str">
        <f t="shared" ref="EF4:EF18" si="45">IF(SUM(DT4,DX4)&gt;0,SUM(DT4,DX4),"")</f>
        <v/>
      </c>
      <c r="EG4" s="41" t="str">
        <f t="shared" ref="EG4:EG18" si="46">IF(SUM(DS4:DT4,DV4:DX4,DZ4)-SUM(DU4,DY4)&gt;0,SUM(DS4:DT4,DV4:DX4,DZ4)-SUM(DU4,DY4),"")</f>
        <v/>
      </c>
      <c r="EH4" s="41" t="str">
        <f t="shared" ref="EH4:EH18" si="47">IF(SUM(EB4,EC4,EG4)&gt;0,SUM(EB4,EC4,EG4),"")</f>
        <v/>
      </c>
      <c r="EI4" s="18">
        <v>18.600000000000001</v>
      </c>
      <c r="EJ4" s="18">
        <v>7.2</v>
      </c>
      <c r="EK4" s="18">
        <v>0</v>
      </c>
      <c r="EL4" s="18">
        <v>0</v>
      </c>
      <c r="EM4" s="18">
        <v>18.2</v>
      </c>
      <c r="EN4" s="18">
        <v>6.8</v>
      </c>
      <c r="EO4" s="18">
        <v>0.8</v>
      </c>
      <c r="EP4" s="18">
        <v>0</v>
      </c>
      <c r="EQ4" s="18"/>
      <c r="ER4" s="18"/>
      <c r="ES4" s="18"/>
      <c r="ET4" s="18"/>
      <c r="EU4" s="18">
        <v>18.7</v>
      </c>
      <c r="EV4" s="18">
        <v>6.8</v>
      </c>
      <c r="EW4" s="18">
        <v>0.6</v>
      </c>
      <c r="EX4" s="18">
        <v>0</v>
      </c>
      <c r="EY4" s="18">
        <v>18.5</v>
      </c>
      <c r="EZ4" s="18">
        <v>8.4</v>
      </c>
      <c r="FA4" s="18">
        <v>0.6</v>
      </c>
      <c r="FB4" s="18">
        <v>0</v>
      </c>
      <c r="FC4" s="11">
        <f t="shared" ref="FC4:FC18" si="48">IF(SUM(EJ4,EN4)&gt;0,SUM(EJ4,EN4),"")</f>
        <v>14</v>
      </c>
      <c r="FD4" s="11">
        <f t="shared" ref="FD4:FD18" si="49">IF(SUM(EI4:EJ4,EL4:EN4,EP4)-EK4-EO4&gt;0,SUM(EI4:EJ4,EL4:EN4,EP4)-EK4-EO4,"")</f>
        <v>50</v>
      </c>
      <c r="FE4" s="11" t="str">
        <f t="shared" ref="FE4:FE18" si="50">IF(SUM(EQ4:ER4,ET4)-ES4&gt;0,SUM(EQ4:ER4,ET4)-ES4,"")</f>
        <v/>
      </c>
      <c r="FF4" s="11">
        <f t="shared" ref="FF4:FF18" si="51">IF(SUM(EJ4,EN4,ER4)&gt;0,SUM(EJ4,EN4,ER4),"")</f>
        <v>14</v>
      </c>
      <c r="FG4" s="11">
        <f t="shared" ref="FG4:FG18" si="52">IF(SUM(FD4,FE4)&gt;0,SUM(FD4,FE4),"")</f>
        <v>50</v>
      </c>
      <c r="FH4" s="11">
        <f t="shared" ref="FH4:FH18" si="53">IF(SUM(EV4,EZ4)&gt;0,SUM(EV4,EZ4),"")</f>
        <v>15.2</v>
      </c>
      <c r="FI4" s="11">
        <f t="shared" ref="FI4:FI18" si="54">IF(SUM(EU4:EV4,EX4:EZ4,FB4)-SUM(EW4,FA4)&gt;0,SUM(EU4:EV4,EX4:EZ4,FB4)-SUM(EW4,FA4),"")</f>
        <v>51.199999999999996</v>
      </c>
      <c r="FJ4" s="11">
        <f t="shared" ref="FJ4:FJ18" si="55">IF(SUM(FD4,FE4,FI4)&gt;0,SUM(FD4,FE4,FI4),"")</f>
        <v>101.19999999999999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8" si="56">IF(SUM(FL4,FP4)&gt;0,SUM(FL4,FP4),"")</f>
        <v/>
      </c>
      <c r="GF4" s="41" t="str">
        <f t="shared" ref="GF4:GF18" si="57">IF(SUM(FK4:FL4,FN4:FP4,FR4)-FM4-FQ4&gt;0,SUM(FK4:FL4,FN4:FP4,FR4)-FM4-FQ4,"")</f>
        <v/>
      </c>
      <c r="GG4" s="41" t="str">
        <f t="shared" ref="GG4:GG18" si="58">IF(SUM(FS4:FT4,FV4)-FU4&gt;0,SUM(FS4:FT4,FV4)-FU4,"")</f>
        <v/>
      </c>
      <c r="GH4" s="41" t="str">
        <f t="shared" ref="GH4:GH18" si="59">IF(SUM(FL4,FP4,FT4)&gt;0,SUM(FL4,FP4,FT4),"")</f>
        <v/>
      </c>
      <c r="GI4" s="41" t="str">
        <f t="shared" ref="GI4:GI18" si="60">IF(SUM(GF4,GG4)&gt;0,SUM(GF4,GG4),"")</f>
        <v/>
      </c>
      <c r="GJ4" s="41" t="str">
        <f t="shared" ref="GJ4:GJ18" si="61">IF(SUM(FX4,GB4)&gt;0,SUM(FX4,GB4),"")</f>
        <v/>
      </c>
      <c r="GK4" s="41" t="str">
        <f t="shared" ref="GK4:GK18" si="62">IF(SUM(FW4:FX4,FZ4:GB4,GD4)-SUM(FY4,GC4)&gt;0,SUM(FW4:FX4,FZ4:GB4,GD4)-SUM(FY4,GC4),"")</f>
        <v/>
      </c>
      <c r="GL4" s="41" t="str">
        <f t="shared" ref="GL4:GL18" si="63"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8" si="64">IF(SUM(GN4,GR4)&gt;0,SUM(GN4,GR4),"")</f>
        <v/>
      </c>
      <c r="HH4" s="11" t="str">
        <f t="shared" ref="HH4:HH18" si="65">IF(SUM(GM4:GN4,GP4:GR4,GT4)-GO4-GS4&gt;0,SUM(GM4:GN4,GP4:GR4,GT4)-GO4-GS4,"")</f>
        <v/>
      </c>
      <c r="HI4" s="11" t="str">
        <f t="shared" ref="HI4:HI18" si="66">IF(SUM(GU4:GV4,GX4)-GW4&gt;0,SUM(GU4:GV4,GX4)-GW4,"")</f>
        <v/>
      </c>
      <c r="HJ4" s="11" t="str">
        <f t="shared" ref="HJ4:HJ18" si="67">IF(SUM(GN4,GR4,GV4)&gt;0,SUM(GN4,GR4,GV4),"")</f>
        <v/>
      </c>
      <c r="HK4" s="11" t="str">
        <f t="shared" ref="HK4:HK18" si="68">IF(SUM(HH4,HI4)&gt;0,SUM(HH4,HI4),"")</f>
        <v/>
      </c>
      <c r="HL4" s="11" t="str">
        <f t="shared" ref="HL4:HL18" si="69">IF(SUM(GZ4,HD4)&gt;0,SUM(GZ4,HD4),"")</f>
        <v/>
      </c>
      <c r="HM4" s="11" t="str">
        <f t="shared" ref="HM4:HM18" si="70">IF(SUM(GY4:GZ4,HB4:HD4,HF4)-SUM(HA4,HE4)&gt;0,SUM(GY4:GZ4,HB4:HD4,HF4)-SUM(HA4,HE4),"")</f>
        <v/>
      </c>
      <c r="HN4" s="11" t="str">
        <f t="shared" ref="HN4:HN18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8" si="72">IF(SUM(HP4,HT4)&gt;0,SUM(HP4,HT4),"")</f>
        <v/>
      </c>
      <c r="IJ4" s="41" t="str">
        <f t="shared" ref="IJ4:IJ18" si="73">IF(SUM(HO4:HP4,HR4:HT4,HV4)-HQ4-HU4&gt;0,SUM(HO4:HP4,HR4:HT4,HV4)-HQ4-HU4,"")</f>
        <v/>
      </c>
      <c r="IK4" s="41" t="str">
        <f t="shared" ref="IK4:IK18" si="74">IF(SUM(HW4:HX4,HZ4)-HY4&gt;0,SUM(HW4:HX4,HZ4)-HY4,"")</f>
        <v/>
      </c>
      <c r="IL4" s="41" t="str">
        <f t="shared" ref="IL4:IL18" si="75">IF(SUM(HP4,HT4,HX4)&gt;0,SUM(HP4,HT4,HX4),"")</f>
        <v/>
      </c>
      <c r="IM4" s="41" t="str">
        <f t="shared" ref="IM4:IM18" si="76">IF(SUM(IJ4,IK4)&gt;0,SUM(IJ4,IK4),"")</f>
        <v/>
      </c>
      <c r="IN4" s="41" t="str">
        <f t="shared" ref="IN4:IN18" si="77">IF(SUM(IB4,IF4)&gt;0,SUM(IB4,IF4),"")</f>
        <v/>
      </c>
      <c r="IO4" s="41" t="str">
        <f t="shared" ref="IO4:IO18" si="78">IF(SUM(IA4:IB4,ID4:IF4,IH4)-SUM(IC4,IG4)&gt;0,SUM(IA4:IB4,ID4:IF4,IH4)-SUM(IC4,IG4),"")</f>
        <v/>
      </c>
      <c r="IP4" s="41" t="str">
        <f t="shared" ref="IP4:IP18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8" si="80">IF(SUM(IR4,IV4)&gt;0,SUM(IR4,IV4),"")</f>
        <v/>
      </c>
      <c r="JL4" s="11" t="str">
        <f t="shared" ref="JL4:JL18" si="81">IF(SUM(IQ4:IR4,IT4:IV4,IX4)-IS4-IW4&gt;0,SUM(IQ4:IR4,IT4:IV4,IX4)-IS4-IW4,"")</f>
        <v/>
      </c>
      <c r="JM4" s="11" t="str">
        <f t="shared" ref="JM4:JM18" si="82">IF(SUM(IY4:IZ4,JB4)-JA4&gt;0,SUM(IY4:IZ4,JB4)-JA4,"")</f>
        <v/>
      </c>
      <c r="JN4" s="11" t="str">
        <f t="shared" ref="JN4:JN18" si="83">IF(SUM(IR4,IV4,IZ4)&gt;0,SUM(IR4,IV4,IZ4),"")</f>
        <v/>
      </c>
      <c r="JO4" s="11" t="str">
        <f t="shared" ref="JO4:JO18" si="84">IF(SUM(JL4,JM4)&gt;0,SUM(JL4,JM4),"")</f>
        <v/>
      </c>
      <c r="JP4" s="11" t="str">
        <f t="shared" ref="JP4:JP18" si="85">IF(SUM(JD4,JH4)&gt;0,SUM(JD4,JH4),"")</f>
        <v/>
      </c>
      <c r="JQ4" s="11" t="str">
        <f t="shared" ref="JQ4:JQ18" si="86">IF(SUM(JC4:JD4,JF4:JH4,JJ4)-SUM(JE4,JI4)&gt;0,SUM(JC4:JD4,JF4:JH4,JJ4)-SUM(JE4,JI4),"")</f>
        <v/>
      </c>
      <c r="JR4" s="11" t="str">
        <f t="shared" ref="JR4:JR18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8" si="88">IF(SUM(JT4,JX4)&gt;0,SUM(JT4,JX4),"")</f>
        <v/>
      </c>
      <c r="KN4" s="41" t="str">
        <f t="shared" ref="KN4:KN18" si="89">IF(SUM(JS4:JT4,JV4:JX4,JZ4)-JU4-JY4&gt;0,SUM(JS4:JT4,JV4:JX4,JZ4)-JU4-JY4,"")</f>
        <v/>
      </c>
      <c r="KO4" s="41" t="str">
        <f t="shared" ref="KO4:KO18" si="90">IF(SUM(KA4:KB4,KD4)-KC4&gt;0,SUM(KA4:KB4,KD4)-KC4,"")</f>
        <v/>
      </c>
      <c r="KP4" s="41" t="str">
        <f t="shared" ref="KP4:KP18" si="91">IF(SUM(JT4,JX4,KB4)&gt;0,SUM(JT4,JX4,KB4),"")</f>
        <v/>
      </c>
      <c r="KQ4" s="41" t="str">
        <f t="shared" ref="KQ4:KQ18" si="92">IF(SUM(KN4,KO4)&gt;0,SUM(KN4,KO4),"")</f>
        <v/>
      </c>
      <c r="KR4" s="41" t="str">
        <f t="shared" ref="KR4:KR18" si="93">IF(SUM(KF4,KJ4)&gt;0,SUM(KF4,KJ4),"")</f>
        <v/>
      </c>
      <c r="KS4" s="41" t="str">
        <f t="shared" ref="KS4:KS18" si="94">IF(SUM(KE4:KF4,KH4:KJ4,KL4)-SUM(KG4,KK4)&gt;0,SUM(KE4:KF4,KH4:KJ4,KL4)-SUM(KG4,KK4),"")</f>
        <v/>
      </c>
      <c r="KT4" s="41" t="str">
        <f t="shared" ref="KT4:KT18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8" si="96">IF(SUM(KV4,KZ4)&gt;0,SUM(KV4,KZ4),"")</f>
        <v/>
      </c>
      <c r="LP4" s="11" t="str">
        <f t="shared" ref="LP4:LP18" si="97">IF(SUM(KU4:KV4,KX4:KZ4,LB4)-KW4-LA4&gt;0,SUM(KU4:KV4,KX4:KZ4,LB4)-KW4-LA4,"")</f>
        <v/>
      </c>
      <c r="LQ4" s="11" t="str">
        <f t="shared" ref="LQ4:LQ18" si="98">IF(SUM(LC4:LD4,LF4)-LE4&gt;0,SUM(LC4:LD4,LF4)-LE4,"")</f>
        <v/>
      </c>
      <c r="LR4" s="11" t="str">
        <f t="shared" ref="LR4:LR18" si="99">IF(SUM(KV4,KZ4,LD4)&gt;0,SUM(KV4,KZ4,LD4),"")</f>
        <v/>
      </c>
      <c r="LS4" s="11" t="str">
        <f t="shared" ref="LS4:LS18" si="100">IF(SUM(LP4,LQ4)&gt;0,SUM(LP4,LQ4),"")</f>
        <v/>
      </c>
      <c r="LT4" s="11" t="str">
        <f t="shared" ref="LT4:LT18" si="101">IF(SUM(LH4,LL4)&gt;0,SUM(LH4,LL4),"")</f>
        <v/>
      </c>
      <c r="LU4" s="11" t="str">
        <f t="shared" ref="LU4:LU18" si="102">IF(SUM(LG4:LH4,LJ4:LL4,LN4)-SUM(LI4,LM4)&gt;0,SUM(LG4:LH4,LJ4:LL4,LN4)-SUM(LI4,LM4),"")</f>
        <v/>
      </c>
      <c r="LV4" s="11" t="str">
        <f t="shared" ref="LV4:LV18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8" si="104">IF(SUM(LX4,MB4)&gt;0,SUM(LX4,MB4),"")</f>
        <v/>
      </c>
      <c r="MR4" s="41" t="str">
        <f t="shared" ref="MR4:MR18" si="105">IF(SUM(LW4:LX4,LZ4:MB4,MD4)-LY4-MC4&gt;0,SUM(LW4:LX4,LZ4:MB4,MD4)-LY4-MC4,"")</f>
        <v/>
      </c>
      <c r="MS4" s="41" t="str">
        <f t="shared" ref="MS4:MS18" si="106">IF(SUM(ME4:MF4,MH4)-MG4&gt;0,SUM(ME4:MF4,MH4)-MG4,"")</f>
        <v/>
      </c>
      <c r="MT4" s="41" t="str">
        <f t="shared" ref="MT4:MT18" si="107">IF(SUM(LX4,MB4,MF4)&gt;0,SUM(LX4,MB4,MF4),"")</f>
        <v/>
      </c>
      <c r="MU4" s="41" t="str">
        <f t="shared" ref="MU4:MU18" si="108">IF(SUM(MR4,MS4)&gt;0,SUM(MR4,MS4),"")</f>
        <v/>
      </c>
      <c r="MV4" s="41" t="str">
        <f t="shared" ref="MV4:MV18" si="109">IF(SUM(MJ4,MN4)&gt;0,SUM(MJ4,MN4),"")</f>
        <v/>
      </c>
      <c r="MW4" s="41" t="str">
        <f t="shared" ref="MW4:MW18" si="110">IF(SUM(MI4:MJ4,ML4:MN4,MP4)-SUM(MK4,MO4)&gt;0,SUM(MI4:MJ4,ML4:MN4,MP4)-SUM(MK4,MO4),"")</f>
        <v/>
      </c>
      <c r="MX4" s="41" t="str">
        <f t="shared" ref="MX4:MX18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8" si="112">IF(SUM(MZ4,ND4)&gt;0,SUM(MZ4,ND4),"")</f>
        <v/>
      </c>
      <c r="NT4" s="11" t="str">
        <f t="shared" ref="NT4:NT18" si="113">IF(SUM(MY4:MZ4,NB4:ND4,NF4)-NA4-NE4&gt;0,SUM(MY4:MZ4,NB4:ND4,NF4)-NA4-NE4,"")</f>
        <v/>
      </c>
      <c r="NU4" s="11" t="str">
        <f t="shared" ref="NU4:NU18" si="114">IF(SUM(NG4:NH4,NJ4)-NI4&gt;0,SUM(NG4:NH4,NJ4)-NI4,"")</f>
        <v/>
      </c>
      <c r="NV4" s="11" t="str">
        <f t="shared" ref="NV4:NV18" si="115">IF(SUM(MZ4,ND4,NH4)&gt;0,SUM(MZ4,ND4,NH4),"")</f>
        <v/>
      </c>
      <c r="NW4" s="11" t="str">
        <f t="shared" ref="NW4:NW18" si="116">IF(SUM(NT4,NU4)&gt;0,SUM(NT4,NU4),"")</f>
        <v/>
      </c>
      <c r="NX4" s="11" t="str">
        <f t="shared" ref="NX4:NX18" si="117">IF(SUM(NL4,NP4)&gt;0,SUM(NL4,NP4),"")</f>
        <v/>
      </c>
      <c r="NY4" s="11" t="str">
        <f t="shared" ref="NY4:NY18" si="118">IF(SUM(NK4:NL4,NN4:NP4,NR4)-SUM(NM4,NQ4)&gt;0,SUM(NK4:NL4,NN4:NP4,NR4)-SUM(NM4,NQ4),"")</f>
        <v/>
      </c>
      <c r="NZ4" s="11" t="str">
        <f t="shared" ref="NZ4:NZ18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8" si="120">IF(SUM(OB4,OF4)&gt;0,SUM(OB4,OF4),"")</f>
        <v/>
      </c>
      <c r="OV4" s="41" t="str">
        <f t="shared" ref="OV4:OV18" si="121">IF(SUM(OA4:OB4,OD4:OF4,OH4)-OC4-OG4&gt;0,SUM(OA4:OB4,OD4:OF4,OH4)-OC4-OG4,"")</f>
        <v/>
      </c>
      <c r="OW4" s="41" t="str">
        <f t="shared" ref="OW4:OW18" si="122">IF(SUM(OI4:OJ4,OL4)-OK4&gt;0,SUM(OI4:OJ4,OL4)-OK4,"")</f>
        <v/>
      </c>
      <c r="OX4" s="41" t="str">
        <f t="shared" ref="OX4:OX18" si="123">IF(SUM(OB4,OF4,OJ4)&gt;0,SUM(OB4,OF4,OJ4),"")</f>
        <v/>
      </c>
      <c r="OY4" s="41" t="str">
        <f t="shared" ref="OY4:OY18" si="124">IF(SUM(OV4,OW4)&gt;0,SUM(OV4,OW4),"")</f>
        <v/>
      </c>
      <c r="OZ4" s="41" t="str">
        <f t="shared" ref="OZ4:OZ18" si="125">IF(SUM(ON4,OR4)&gt;0,SUM(ON4,OR4),"")</f>
        <v/>
      </c>
      <c r="PA4" s="41" t="str">
        <f t="shared" ref="PA4:PA18" si="126">IF(SUM(OM4:ON4,OP4:OR4,OT4)-SUM(OO4,OS4)&gt;0,SUM(OM4:ON4,OP4:OR4,OT4)-SUM(OO4,OS4),"")</f>
        <v/>
      </c>
      <c r="PB4" s="41" t="str">
        <f t="shared" ref="PB4:PB18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8" si="128">IF(SUM(PD4,PH4)&gt;0,SUM(PD4,PH4),"")</f>
        <v/>
      </c>
      <c r="PX4" s="11" t="str">
        <f t="shared" ref="PX4:PX18" si="129">IF(SUM(PC4:PD4,PF4:PH4,PJ4)-PE4-PI4&gt;0,SUM(PC4:PD4,PF4:PH4,PJ4)-PE4-PI4,"")</f>
        <v/>
      </c>
      <c r="PY4" s="11" t="str">
        <f t="shared" ref="PY4:PY18" si="130">IF(SUM(PK4:PL4,PN4)-PM4&gt;0,SUM(PK4:PL4,PN4)-PM4,"")</f>
        <v/>
      </c>
      <c r="PZ4" s="11" t="str">
        <f t="shared" ref="PZ4:PZ18" si="131">IF(SUM(PD4,PH4,PL4)&gt;0,SUM(PD4,PH4,PL4),"")</f>
        <v/>
      </c>
      <c r="QA4" s="11" t="str">
        <f t="shared" ref="QA4:QA18" si="132">IF(SUM(PX4,PY4)&gt;0,SUM(PX4,PY4),"")</f>
        <v/>
      </c>
      <c r="QB4" s="11" t="str">
        <f t="shared" ref="QB4:QB18" si="133">IF(SUM(PP4,PT4)&gt;0,SUM(PP4,PT4),"")</f>
        <v/>
      </c>
      <c r="QC4" s="11" t="str">
        <f t="shared" ref="QC4:QC18" si="134">IF(SUM(PO4:PP4,PR4:PT4,PV4)-SUM(PQ4,PU4)&gt;0,SUM(PO4:PP4,PR4:PT4,PV4)-SUM(PQ4,PU4),"")</f>
        <v/>
      </c>
      <c r="QD4" s="11" t="str">
        <f t="shared" ref="QD4:QD18" si="135">IF(SUM(PX4,PY4,QC4)&gt;0,SUM(PX4,PY4,QC4),"")</f>
        <v/>
      </c>
      <c r="QE4" s="23">
        <f t="shared" ref="QE4:QE18" si="136">IF($CU4="P",CA4,(CA4+AX4)/2)</f>
        <v>18.899999999999999</v>
      </c>
      <c r="QF4" s="23">
        <f t="shared" ref="QF4:QF18" si="137">IF($CU4="P",CB4,(CB4+AY4)/2)</f>
        <v>7</v>
      </c>
      <c r="QG4" s="23">
        <f t="shared" ref="QG4:QG18" si="138">IF($CU4="P",CC4,(CC4+AZ4)/2)</f>
        <v>0</v>
      </c>
      <c r="QH4" s="23">
        <f t="shared" ref="QH4:QH18" si="139">IF($CU4="P",CD4,(CD4+BA4)/2)</f>
        <v>0.3</v>
      </c>
      <c r="QI4" s="23">
        <f t="shared" ref="QI4:QI18" si="140">IF($CU4="P",CE4,(CE4+BB4)/2)</f>
        <v>18.700000000000003</v>
      </c>
      <c r="QJ4" s="23">
        <f t="shared" ref="QJ4:QJ18" si="141">IF($CU4="P",CF4,(CF4+BC4)/2)</f>
        <v>7.1999999999999993</v>
      </c>
      <c r="QK4" s="23">
        <f t="shared" ref="QK4:QK18" si="142">IF($CU4="P",CG4,(CG4+BD4)/2)</f>
        <v>0.2</v>
      </c>
      <c r="QL4" s="23">
        <f t="shared" ref="QL4:QL18" si="143">IF($CU4="P",CH4,(CH4+BE4)/2)</f>
        <v>0.3</v>
      </c>
      <c r="QM4" s="23">
        <f t="shared" ref="QM4:QM18" si="144">IF($CU4="P",CI4,(CI4+BF4)/2)</f>
        <v>18.399999999999999</v>
      </c>
      <c r="QN4" s="23">
        <f t="shared" ref="QN4:QN18" si="145">IF($CU4="P",CJ4,(CJ4+BG4)/2)</f>
        <v>5.8</v>
      </c>
      <c r="QO4" s="23">
        <f t="shared" ref="QO4:QO18" si="146">IF($CU4="P",CK4,(CK4+BH4)/2)</f>
        <v>0.4</v>
      </c>
      <c r="QP4" s="23">
        <f t="shared" ref="QP4:QP18" si="147">IF($CU4="P",CL4,(CL4+BI4)/2)</f>
        <v>0.3</v>
      </c>
      <c r="QQ4" s="23">
        <f t="shared" ref="QQ4:QQ18" si="148">IF($CU4="P",CM4,(CM4+BJ4)/2)</f>
        <v>18.850000000000001</v>
      </c>
      <c r="QR4" s="23">
        <f t="shared" ref="QR4:QR18" si="149">IF($CU4="P",CN4,(CN4+BK4)/2)</f>
        <v>6</v>
      </c>
      <c r="QS4" s="23">
        <f t="shared" ref="QS4:QS18" si="150">IF($CU4="P",CO4,(CO4+BL4)/2)</f>
        <v>0.3</v>
      </c>
      <c r="QT4" s="23">
        <f t="shared" ref="QT4:QT18" si="151">IF($CU4="P",CP4,(CP4+BM4)/2)</f>
        <v>0.3</v>
      </c>
      <c r="QU4" s="23">
        <f t="shared" ref="QU4:QU18" si="152">IF($CU4="P",CQ4,(CQ4+BN4)/2)</f>
        <v>18.700000000000003</v>
      </c>
      <c r="QV4" s="23">
        <f t="shared" ref="QV4:QV18" si="153">IF($CU4="P",CR4,(CR4+BO4)/2)</f>
        <v>7</v>
      </c>
      <c r="QW4" s="23">
        <f t="shared" ref="QW4:QW18" si="154">IF($CU4="P",CS4,(CS4+BP4)/2)</f>
        <v>0</v>
      </c>
      <c r="QX4" s="23">
        <f t="shared" ref="QX4:QX18" si="155">IF($CU4="P",CT4,(CT4+BQ4)/2)</f>
        <v>0.3</v>
      </c>
      <c r="QY4" s="28" t="s">
        <v>57</v>
      </c>
      <c r="QZ4" s="41">
        <f t="shared" ref="QZ4:QZ18" si="156">IF(SUM(QF4,QJ4)&gt;0,SUM(QF4,QJ4),"")</f>
        <v>14.2</v>
      </c>
      <c r="RA4" s="41">
        <f t="shared" ref="RA4:RA18" si="157">IF(SUM(QE4:QF4,QH4:QJ4,QL4)-QG4-QK4&gt;0,SUM(QE4:QF4,QH4:QJ4,QL4)-QG4-QK4,"")</f>
        <v>52.2</v>
      </c>
      <c r="RB4" s="41">
        <f t="shared" ref="RB4:RB18" si="158">IF(SUM(QM4:QN4,QP4)-QO4&gt;0,SUM(QM4:QN4,QP4)-QO4,"")</f>
        <v>24.1</v>
      </c>
      <c r="RC4" s="41">
        <f t="shared" ref="RC4:RC18" si="159">IF(SUM(QF4,QJ4,QN4)&gt;0,SUM(QF4,QJ4,QN4),"")</f>
        <v>20</v>
      </c>
      <c r="RD4" s="41">
        <f t="shared" ref="RD4:RD18" si="160">IF(SUM(RA4,RB4)&gt;0,SUM(RA4,RB4),"")</f>
        <v>76.300000000000011</v>
      </c>
      <c r="RE4" s="41">
        <f t="shared" ref="RE4:RE18" si="161">IF(SUM(QR4,QV4)&gt;0,SUM(QR4,QV4),"")</f>
        <v>13</v>
      </c>
      <c r="RF4" s="41">
        <f t="shared" ref="RF4:RF18" si="162">IF(SUM(QQ4:QR4,QT4:QV4,QX4)-SUM(QS4,QW4)&gt;0,SUM(QQ4:QR4,QT4:QV4,QX4)-SUM(QS4,QW4),"")</f>
        <v>50.850000000000009</v>
      </c>
      <c r="RG4" s="41">
        <f t="shared" ref="RG4:RG18" si="163">IF(SUM(RA4,RB4,RF4)&gt;0,SUM(RA4,RB4,RF4),"")</f>
        <v>127.15000000000002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97</v>
      </c>
      <c r="C5" s="4" t="s">
        <v>5</v>
      </c>
      <c r="D5" s="4">
        <v>1999</v>
      </c>
      <c r="E5" s="9">
        <f t="shared" si="0"/>
        <v>174.20001236000496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49.8</v>
      </c>
      <c r="K5" s="8" t="str">
        <f t="shared" si="5"/>
        <v>2023 Domestic 3rd Trial</v>
      </c>
      <c r="L5" s="8">
        <f>IF(COUNT(AQ5,BT5,CW5)&gt;1,LARGE((AQ5,BT5,CW5),2),0)</f>
        <v>48.4</v>
      </c>
      <c r="M5" s="8" t="str">
        <f t="shared" si="6"/>
        <v>2023 Nationals</v>
      </c>
      <c r="N5" s="8">
        <f>IF(COUNT(AR5,BU5,CX5)&gt;0,LARGE((AR5,BU5,CX5),1),0)</f>
        <v>25.4</v>
      </c>
      <c r="O5" s="8" t="str">
        <f t="shared" si="7"/>
        <v>2023 Domestic 3rd Trial</v>
      </c>
      <c r="P5" s="8">
        <f t="shared" si="8"/>
        <v>50.599999999999994</v>
      </c>
      <c r="Q5" s="8" t="str">
        <f t="shared" si="9"/>
        <v>2023 Domestic 3rd Trial</v>
      </c>
      <c r="R5" s="8" t="str">
        <f t="shared" si="10"/>
        <v/>
      </c>
      <c r="S5" s="11" t="str">
        <f t="shared" si="11"/>
        <v/>
      </c>
      <c r="T5" s="8" t="str">
        <f t="shared" si="12"/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 t="shared" si="13"/>
        <v>8.3999999999999986</v>
      </c>
      <c r="AQ5" s="41">
        <f t="shared" si="14"/>
        <v>41.8</v>
      </c>
      <c r="AR5" s="41">
        <f t="shared" si="15"/>
        <v>23.1</v>
      </c>
      <c r="AS5" s="41">
        <f t="shared" si="16"/>
        <v>13.2</v>
      </c>
      <c r="AT5" s="41">
        <f t="shared" si="17"/>
        <v>64.900000000000006</v>
      </c>
      <c r="AU5" s="41" t="str">
        <f t="shared" si="18"/>
        <v/>
      </c>
      <c r="AV5" s="41" t="str">
        <f t="shared" si="19"/>
        <v/>
      </c>
      <c r="AW5" s="41">
        <f t="shared" si="20"/>
        <v>64.900000000000006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 t="shared" si="21"/>
        <v>11.2</v>
      </c>
      <c r="BT5" s="11">
        <f t="shared" si="22"/>
        <v>48.4</v>
      </c>
      <c r="BU5" s="11">
        <f t="shared" si="23"/>
        <v>24.1</v>
      </c>
      <c r="BV5" s="11">
        <f t="shared" si="24"/>
        <v>17.2</v>
      </c>
      <c r="BW5" s="11">
        <f t="shared" si="25"/>
        <v>72.5</v>
      </c>
      <c r="BX5" s="11">
        <f t="shared" si="26"/>
        <v>12</v>
      </c>
      <c r="BY5" s="11">
        <f t="shared" si="27"/>
        <v>48.300000000000004</v>
      </c>
      <c r="BZ5" s="11">
        <f t="shared" si="28"/>
        <v>120.80000000000001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 t="shared" si="29"/>
        <v>13.6</v>
      </c>
      <c r="CW5" s="41">
        <f t="shared" si="30"/>
        <v>49.8</v>
      </c>
      <c r="CX5" s="41">
        <f t="shared" si="31"/>
        <v>25.4</v>
      </c>
      <c r="CY5" s="41">
        <f t="shared" si="32"/>
        <v>20</v>
      </c>
      <c r="CZ5" s="41">
        <f t="shared" si="33"/>
        <v>75.199999999999989</v>
      </c>
      <c r="DA5" s="41">
        <f t="shared" si="34"/>
        <v>12.8</v>
      </c>
      <c r="DB5" s="41">
        <f t="shared" si="35"/>
        <v>50.599999999999994</v>
      </c>
      <c r="DC5" s="41">
        <f t="shared" si="36"/>
        <v>125.79999999999998</v>
      </c>
      <c r="DD5" s="52" t="str">
        <f t="shared" si="37"/>
        <v/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18.5</v>
      </c>
      <c r="FL5" s="17">
        <v>5.6</v>
      </c>
      <c r="FM5" s="17">
        <v>0.6</v>
      </c>
      <c r="FN5" s="17">
        <v>0</v>
      </c>
      <c r="FO5" s="17">
        <v>18.7</v>
      </c>
      <c r="FP5" s="17">
        <v>5.6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 t="shared" si="56"/>
        <v>11.2</v>
      </c>
      <c r="GF5" s="41">
        <f t="shared" si="57"/>
        <v>47.8</v>
      </c>
      <c r="GG5" s="41" t="str">
        <f t="shared" si="58"/>
        <v/>
      </c>
      <c r="GH5" s="41">
        <f t="shared" si="59"/>
        <v>11.2</v>
      </c>
      <c r="GI5" s="41">
        <f t="shared" si="60"/>
        <v>47.8</v>
      </c>
      <c r="GJ5" s="41" t="str">
        <f t="shared" si="61"/>
        <v/>
      </c>
      <c r="GK5" s="41" t="str">
        <f t="shared" si="62"/>
        <v/>
      </c>
      <c r="GL5" s="41">
        <f t="shared" si="63"/>
        <v>47.8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>
        <v>17.2</v>
      </c>
      <c r="HP5" s="17">
        <v>4</v>
      </c>
      <c r="HQ5" s="17">
        <v>0</v>
      </c>
      <c r="HR5" s="17">
        <v>0</v>
      </c>
      <c r="HS5" s="17">
        <v>17.3</v>
      </c>
      <c r="HT5" s="17">
        <v>2.8</v>
      </c>
      <c r="HU5" s="17">
        <v>0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 t="shared" si="72"/>
        <v>6.8</v>
      </c>
      <c r="IJ5" s="41">
        <f t="shared" si="73"/>
        <v>41.3</v>
      </c>
      <c r="IK5" s="41" t="str">
        <f t="shared" si="74"/>
        <v/>
      </c>
      <c r="IL5" s="41">
        <f t="shared" si="75"/>
        <v>6.8</v>
      </c>
      <c r="IM5" s="41">
        <f t="shared" si="76"/>
        <v>41.3</v>
      </c>
      <c r="IN5" s="41" t="str">
        <f t="shared" si="77"/>
        <v/>
      </c>
      <c r="IO5" s="41" t="str">
        <f t="shared" si="78"/>
        <v/>
      </c>
      <c r="IP5" s="41">
        <f t="shared" si="79"/>
        <v>41.3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18.8</v>
      </c>
      <c r="QF5" s="23">
        <f t="shared" si="137"/>
        <v>6.1999999999999993</v>
      </c>
      <c r="QG5" s="23">
        <f t="shared" si="138"/>
        <v>0.3</v>
      </c>
      <c r="QH5" s="23">
        <f t="shared" si="139"/>
        <v>0.15</v>
      </c>
      <c r="QI5" s="23">
        <f t="shared" si="140"/>
        <v>18</v>
      </c>
      <c r="QJ5" s="23">
        <f t="shared" si="141"/>
        <v>6.1999999999999993</v>
      </c>
      <c r="QK5" s="23">
        <f t="shared" si="142"/>
        <v>0.1</v>
      </c>
      <c r="QL5" s="23">
        <f t="shared" si="143"/>
        <v>0.15</v>
      </c>
      <c r="QM5" s="23">
        <f t="shared" si="144"/>
        <v>18.8</v>
      </c>
      <c r="QN5" s="23">
        <f t="shared" si="145"/>
        <v>6.2</v>
      </c>
      <c r="QO5" s="23">
        <f t="shared" si="146"/>
        <v>0.4</v>
      </c>
      <c r="QP5" s="23">
        <f t="shared" si="147"/>
        <v>0.15</v>
      </c>
      <c r="QQ5" s="23">
        <f t="shared" si="148"/>
        <v>18.600000000000001</v>
      </c>
      <c r="QR5" s="23">
        <f t="shared" si="149"/>
        <v>6</v>
      </c>
      <c r="QS5" s="23">
        <f t="shared" si="150"/>
        <v>0.3</v>
      </c>
      <c r="QT5" s="23">
        <f t="shared" si="151"/>
        <v>0.3</v>
      </c>
      <c r="QU5" s="23">
        <f t="shared" si="152"/>
        <v>18.8</v>
      </c>
      <c r="QV5" s="23">
        <f t="shared" si="153"/>
        <v>6.4</v>
      </c>
      <c r="QW5" s="23">
        <f t="shared" si="154"/>
        <v>0.5</v>
      </c>
      <c r="QX5" s="23">
        <f t="shared" si="155"/>
        <v>0.15</v>
      </c>
      <c r="QY5" s="28" t="s">
        <v>57</v>
      </c>
      <c r="QZ5" s="41">
        <f t="shared" si="156"/>
        <v>12.399999999999999</v>
      </c>
      <c r="RA5" s="41">
        <f t="shared" si="157"/>
        <v>49.099999999999994</v>
      </c>
      <c r="RB5" s="41">
        <f t="shared" si="158"/>
        <v>24.75</v>
      </c>
      <c r="RC5" s="41">
        <f t="shared" si="159"/>
        <v>18.599999999999998</v>
      </c>
      <c r="RD5" s="41">
        <f t="shared" si="160"/>
        <v>73.849999999999994</v>
      </c>
      <c r="RE5" s="41">
        <f t="shared" si="161"/>
        <v>12.4</v>
      </c>
      <c r="RF5" s="41">
        <f t="shared" si="162"/>
        <v>49.45</v>
      </c>
      <c r="RG5" s="41">
        <f t="shared" si="163"/>
        <v>123.3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95</v>
      </c>
      <c r="C6" s="4" t="s">
        <v>39</v>
      </c>
      <c r="D6" s="4">
        <v>2002</v>
      </c>
      <c r="E6" s="9">
        <f t="shared" si="0"/>
        <v>173.80001237000505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50.499999999999993</v>
      </c>
      <c r="K6" s="8" t="str">
        <f t="shared" si="5"/>
        <v>2023 Elite Canada</v>
      </c>
      <c r="L6" s="8">
        <f>IF(COUNT(AQ6,BT6,CW6)&gt;1,LARGE((AQ6,BT6,CW6),2),0)</f>
        <v>48.2</v>
      </c>
      <c r="M6" s="8" t="str">
        <f t="shared" si="6"/>
        <v>2023 Nationals</v>
      </c>
      <c r="N6" s="8">
        <f>IF(COUNT(AR6,BU6,CX6)&gt;0,LARGE((AR6,BU6,CX6),1),0)</f>
        <v>25</v>
      </c>
      <c r="O6" s="8" t="str">
        <f t="shared" si="7"/>
        <v>2023 Domestic 3rd Trial</v>
      </c>
      <c r="P6" s="8">
        <f t="shared" si="8"/>
        <v>49.999999999999993</v>
      </c>
      <c r="Q6" s="8" t="str">
        <f t="shared" si="9"/>
        <v>2023 Elite Canada</v>
      </c>
      <c r="R6" s="8">
        <f t="shared" si="10"/>
        <v>9.9999999999994316E-2</v>
      </c>
      <c r="S6" s="11" t="str">
        <f t="shared" si="11"/>
        <v>(Q1)</v>
      </c>
      <c r="T6" s="8" t="str">
        <f t="shared" si="12"/>
        <v>2023 World Championships (Nov 11)</v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 t="shared" si="13"/>
        <v>13.2</v>
      </c>
      <c r="AQ6" s="41">
        <f t="shared" si="14"/>
        <v>50.499999999999993</v>
      </c>
      <c r="AR6" s="41">
        <f t="shared" si="15"/>
        <v>21.5</v>
      </c>
      <c r="AS6" s="41">
        <f t="shared" si="16"/>
        <v>18.399999999999999</v>
      </c>
      <c r="AT6" s="41">
        <f t="shared" si="17"/>
        <v>72</v>
      </c>
      <c r="AU6" s="41">
        <f t="shared" si="18"/>
        <v>13.2</v>
      </c>
      <c r="AV6" s="41">
        <f t="shared" si="19"/>
        <v>49.999999999999993</v>
      </c>
      <c r="AW6" s="41">
        <f t="shared" si="20"/>
        <v>122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 t="shared" si="21"/>
        <v>11.6</v>
      </c>
      <c r="BT6" s="11">
        <f t="shared" si="22"/>
        <v>48.2</v>
      </c>
      <c r="BU6" s="11">
        <f t="shared" si="23"/>
        <v>22.9</v>
      </c>
      <c r="BV6" s="11">
        <f t="shared" si="24"/>
        <v>16.8</v>
      </c>
      <c r="BW6" s="11">
        <f t="shared" si="25"/>
        <v>71.099999999999994</v>
      </c>
      <c r="BX6" s="11">
        <f t="shared" si="26"/>
        <v>11.6</v>
      </c>
      <c r="BY6" s="11">
        <f t="shared" si="27"/>
        <v>48.6</v>
      </c>
      <c r="BZ6" s="11">
        <f t="shared" si="28"/>
        <v>119.69999999999999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 t="shared" si="29"/>
        <v>8.4</v>
      </c>
      <c r="CW6" s="41">
        <f t="shared" si="30"/>
        <v>44.3</v>
      </c>
      <c r="CX6" s="41">
        <f t="shared" si="31"/>
        <v>25</v>
      </c>
      <c r="CY6" s="41">
        <f t="shared" si="32"/>
        <v>14.8</v>
      </c>
      <c r="CZ6" s="41">
        <f t="shared" si="33"/>
        <v>69.3</v>
      </c>
      <c r="DA6" s="41">
        <f t="shared" si="34"/>
        <v>13.2</v>
      </c>
      <c r="DB6" s="41">
        <f t="shared" si="35"/>
        <v>49.79999999999999</v>
      </c>
      <c r="DC6" s="41">
        <f t="shared" si="36"/>
        <v>119.1</v>
      </c>
      <c r="DD6" s="52">
        <f t="shared" si="37"/>
        <v>9.9999999999994316E-2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>
        <v>16.600000000000001</v>
      </c>
      <c r="DT6" s="17">
        <v>6</v>
      </c>
      <c r="DU6" s="17">
        <v>0.8</v>
      </c>
      <c r="DV6" s="17">
        <v>0</v>
      </c>
      <c r="DW6" s="17">
        <v>18.600000000000001</v>
      </c>
      <c r="DX6" s="17">
        <v>6.4</v>
      </c>
      <c r="DY6" s="17">
        <v>0.2</v>
      </c>
      <c r="DZ6" s="17">
        <v>0</v>
      </c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>
        <f t="shared" si="45"/>
        <v>12.4</v>
      </c>
      <c r="EG6" s="41">
        <f t="shared" si="46"/>
        <v>46.6</v>
      </c>
      <c r="EH6" s="41">
        <f t="shared" si="47"/>
        <v>46.6</v>
      </c>
      <c r="EI6" s="18">
        <v>18.5</v>
      </c>
      <c r="EJ6" s="18">
        <v>6.4</v>
      </c>
      <c r="EK6" s="18">
        <v>0</v>
      </c>
      <c r="EL6" s="18">
        <v>0</v>
      </c>
      <c r="EM6" s="18">
        <v>17.5</v>
      </c>
      <c r="EN6" s="18">
        <v>2.4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8.8000000000000007</v>
      </c>
      <c r="FD6" s="11">
        <f t="shared" si="49"/>
        <v>44.8</v>
      </c>
      <c r="FE6" s="11" t="str">
        <f t="shared" si="50"/>
        <v/>
      </c>
      <c r="FF6" s="11">
        <f t="shared" si="51"/>
        <v>8.8000000000000007</v>
      </c>
      <c r="FG6" s="11">
        <f t="shared" si="52"/>
        <v>44.8</v>
      </c>
      <c r="FH6" s="11" t="str">
        <f t="shared" si="53"/>
        <v/>
      </c>
      <c r="FI6" s="11" t="str">
        <f t="shared" si="54"/>
        <v/>
      </c>
      <c r="FJ6" s="11">
        <f t="shared" si="55"/>
        <v>44.8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>
        <v>18.399999999999999</v>
      </c>
      <c r="GN6" s="18">
        <v>6.4</v>
      </c>
      <c r="GO6" s="18">
        <v>0</v>
      </c>
      <c r="GP6" s="18">
        <v>0</v>
      </c>
      <c r="GQ6" s="18">
        <v>18.399999999999999</v>
      </c>
      <c r="GR6" s="18">
        <v>5.2</v>
      </c>
      <c r="GS6" s="18">
        <v>0.2</v>
      </c>
      <c r="GT6" s="18">
        <v>0</v>
      </c>
      <c r="GU6" s="18"/>
      <c r="GV6" s="18"/>
      <c r="GW6" s="18"/>
      <c r="GX6" s="18"/>
      <c r="GY6" s="18">
        <v>18.600000000000001</v>
      </c>
      <c r="GZ6" s="18">
        <v>6.4</v>
      </c>
      <c r="HA6" s="18">
        <v>0</v>
      </c>
      <c r="HB6" s="18">
        <v>0</v>
      </c>
      <c r="HC6" s="18">
        <v>18.600000000000001</v>
      </c>
      <c r="HD6" s="18">
        <v>5.2</v>
      </c>
      <c r="HE6" s="18">
        <v>0.6</v>
      </c>
      <c r="HF6" s="18">
        <v>0</v>
      </c>
      <c r="HG6" s="11">
        <f t="shared" si="64"/>
        <v>11.600000000000001</v>
      </c>
      <c r="HH6" s="11">
        <f t="shared" si="65"/>
        <v>48.199999999999996</v>
      </c>
      <c r="HI6" s="11" t="str">
        <f t="shared" si="66"/>
        <v/>
      </c>
      <c r="HJ6" s="11">
        <f t="shared" si="67"/>
        <v>11.600000000000001</v>
      </c>
      <c r="HK6" s="11">
        <f t="shared" si="68"/>
        <v>48.199999999999996</v>
      </c>
      <c r="HL6" s="11">
        <f t="shared" si="69"/>
        <v>11.600000000000001</v>
      </c>
      <c r="HM6" s="11">
        <f t="shared" si="70"/>
        <v>48.2</v>
      </c>
      <c r="HN6" s="11">
        <f t="shared" si="71"/>
        <v>96.4</v>
      </c>
      <c r="HO6" s="17">
        <v>17.8</v>
      </c>
      <c r="HP6" s="17">
        <v>5.6</v>
      </c>
      <c r="HQ6" s="17">
        <v>0</v>
      </c>
      <c r="HR6" s="17">
        <v>0</v>
      </c>
      <c r="HS6" s="17">
        <v>18.100000000000001</v>
      </c>
      <c r="HT6" s="17">
        <v>6.8</v>
      </c>
      <c r="HU6" s="17">
        <v>0</v>
      </c>
      <c r="HV6" s="17">
        <v>0</v>
      </c>
      <c r="HW6" s="17">
        <v>18.2</v>
      </c>
      <c r="HX6" s="17">
        <v>6.8</v>
      </c>
      <c r="HY6" s="17">
        <v>0.2</v>
      </c>
      <c r="HZ6" s="17">
        <v>0</v>
      </c>
      <c r="IA6" s="17">
        <v>18.3</v>
      </c>
      <c r="IB6" s="17">
        <v>7.2</v>
      </c>
      <c r="IC6" s="17">
        <v>0.2</v>
      </c>
      <c r="ID6" s="17">
        <v>0</v>
      </c>
      <c r="IE6" s="17"/>
      <c r="IF6" s="17"/>
      <c r="IG6" s="17"/>
      <c r="IH6" s="17"/>
      <c r="II6" s="41">
        <f t="shared" si="72"/>
        <v>12.399999999999999</v>
      </c>
      <c r="IJ6" s="41">
        <f t="shared" si="73"/>
        <v>48.3</v>
      </c>
      <c r="IK6" s="41">
        <f t="shared" si="74"/>
        <v>24.8</v>
      </c>
      <c r="IL6" s="41">
        <f t="shared" si="75"/>
        <v>19.2</v>
      </c>
      <c r="IM6" s="41">
        <f t="shared" si="76"/>
        <v>73.099999999999994</v>
      </c>
      <c r="IN6" s="41">
        <f t="shared" si="77"/>
        <v>7.2</v>
      </c>
      <c r="IO6" s="41">
        <f t="shared" si="78"/>
        <v>25.3</v>
      </c>
      <c r="IP6" s="41">
        <f t="shared" si="79"/>
        <v>98.399999999999991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18.049999999999997</v>
      </c>
      <c r="QF6" s="23">
        <f t="shared" si="137"/>
        <v>5.8</v>
      </c>
      <c r="QG6" s="23">
        <f t="shared" si="138"/>
        <v>0.1</v>
      </c>
      <c r="QH6" s="23">
        <f t="shared" si="139"/>
        <v>0.15</v>
      </c>
      <c r="QI6" s="23">
        <f t="shared" si="140"/>
        <v>18.149999999999999</v>
      </c>
      <c r="QJ6" s="23">
        <f t="shared" si="141"/>
        <v>4.2</v>
      </c>
      <c r="QK6" s="23">
        <f t="shared" si="142"/>
        <v>0</v>
      </c>
      <c r="QL6" s="23">
        <f t="shared" si="143"/>
        <v>0</v>
      </c>
      <c r="QM6" s="23">
        <f t="shared" si="144"/>
        <v>18.3</v>
      </c>
      <c r="QN6" s="23">
        <f t="shared" si="145"/>
        <v>5.8000000000000007</v>
      </c>
      <c r="QO6" s="23">
        <f t="shared" si="146"/>
        <v>0.3</v>
      </c>
      <c r="QP6" s="23">
        <f t="shared" si="147"/>
        <v>0.15</v>
      </c>
      <c r="QQ6" s="23">
        <f t="shared" si="148"/>
        <v>18.649999999999999</v>
      </c>
      <c r="QR6" s="23">
        <f t="shared" si="149"/>
        <v>6.2</v>
      </c>
      <c r="QS6" s="23">
        <f t="shared" si="150"/>
        <v>0.1</v>
      </c>
      <c r="QT6" s="23">
        <f t="shared" si="151"/>
        <v>0</v>
      </c>
      <c r="QU6" s="23">
        <f t="shared" si="152"/>
        <v>18.399999999999999</v>
      </c>
      <c r="QV6" s="23">
        <f t="shared" si="153"/>
        <v>6.1999999999999993</v>
      </c>
      <c r="QW6" s="23">
        <f t="shared" si="154"/>
        <v>0.3</v>
      </c>
      <c r="QX6" s="23">
        <f t="shared" si="155"/>
        <v>0.15</v>
      </c>
      <c r="QY6" s="28" t="s">
        <v>57</v>
      </c>
      <c r="QZ6" s="41">
        <f t="shared" si="156"/>
        <v>10</v>
      </c>
      <c r="RA6" s="41">
        <f t="shared" si="157"/>
        <v>46.249999999999993</v>
      </c>
      <c r="RB6" s="41">
        <f t="shared" si="158"/>
        <v>23.95</v>
      </c>
      <c r="RC6" s="41">
        <f t="shared" si="159"/>
        <v>15.8</v>
      </c>
      <c r="RD6" s="41">
        <f t="shared" si="160"/>
        <v>70.199999999999989</v>
      </c>
      <c r="RE6" s="41">
        <f t="shared" si="161"/>
        <v>12.399999999999999</v>
      </c>
      <c r="RF6" s="41">
        <f t="shared" si="162"/>
        <v>49.2</v>
      </c>
      <c r="RG6" s="41">
        <f t="shared" si="163"/>
        <v>119.39999999999999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 t="shared" si="0"/>
        <v>173.70001239000499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IF(COUNT(AQ7,BT7,CW7)&gt;0,LARGE((AQ7,BT7,CW7),1),0)</f>
        <v>49.9</v>
      </c>
      <c r="K7" s="8" t="str">
        <f t="shared" si="5"/>
        <v>2023 Elite Canada</v>
      </c>
      <c r="L7" s="8">
        <f>IF(COUNT(AQ7,BT7,CW7)&gt;1,LARGE((AQ7,BT7,CW7),2),0)</f>
        <v>49.3</v>
      </c>
      <c r="M7" s="8" t="str">
        <f t="shared" si="6"/>
        <v>2023 Nationals</v>
      </c>
      <c r="N7" s="8">
        <f>IF(COUNT(AR7,BU7,CX7)&gt;0,LARGE((AR7,BU7,CX7),1),0)</f>
        <v>24.700000000000003</v>
      </c>
      <c r="O7" s="8" t="str">
        <f t="shared" si="7"/>
        <v>2023 Domestic 3rd Trial</v>
      </c>
      <c r="P7" s="8">
        <f t="shared" si="8"/>
        <v>49.7</v>
      </c>
      <c r="Q7" s="8" t="str">
        <f t="shared" si="9"/>
        <v>2023 Domestic 3rd Trial</v>
      </c>
      <c r="R7" s="8">
        <f t="shared" si="10"/>
        <v>0.10000000000000142</v>
      </c>
      <c r="S7" s="11" t="str">
        <f t="shared" si="11"/>
        <v>(Q1)</v>
      </c>
      <c r="T7" s="8" t="str">
        <f t="shared" si="12"/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 t="shared" si="13"/>
        <v>12.4</v>
      </c>
      <c r="AQ7" s="41">
        <f t="shared" si="14"/>
        <v>49.9</v>
      </c>
      <c r="AR7" s="41">
        <f t="shared" si="15"/>
        <v>22.7</v>
      </c>
      <c r="AS7" s="41">
        <f t="shared" si="16"/>
        <v>17.600000000000001</v>
      </c>
      <c r="AT7" s="41">
        <f t="shared" si="17"/>
        <v>72.599999999999994</v>
      </c>
      <c r="AU7" s="41">
        <f t="shared" si="18"/>
        <v>12.4</v>
      </c>
      <c r="AV7" s="41">
        <f t="shared" si="19"/>
        <v>49.199999999999996</v>
      </c>
      <c r="AW7" s="41">
        <f t="shared" si="20"/>
        <v>121.79999999999998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 t="shared" si="21"/>
        <v>12.4</v>
      </c>
      <c r="BT7" s="11">
        <f t="shared" si="22"/>
        <v>49.3</v>
      </c>
      <c r="BU7" s="11">
        <f t="shared" si="23"/>
        <v>23</v>
      </c>
      <c r="BV7" s="11">
        <f t="shared" si="24"/>
        <v>17.600000000000001</v>
      </c>
      <c r="BW7" s="11">
        <f t="shared" si="25"/>
        <v>72.3</v>
      </c>
      <c r="BX7" s="11">
        <f t="shared" si="26"/>
        <v>9.3000000000000007</v>
      </c>
      <c r="BY7" s="11">
        <f t="shared" si="27"/>
        <v>42.4</v>
      </c>
      <c r="BZ7" s="11">
        <f t="shared" si="28"/>
        <v>114.69999999999999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 t="shared" si="29"/>
        <v>11.2</v>
      </c>
      <c r="CW7" s="41">
        <f t="shared" si="30"/>
        <v>48.300000000000004</v>
      </c>
      <c r="CX7" s="41">
        <f t="shared" si="31"/>
        <v>24.700000000000003</v>
      </c>
      <c r="CY7" s="41">
        <f t="shared" si="32"/>
        <v>17.600000000000001</v>
      </c>
      <c r="CZ7" s="41">
        <f t="shared" si="33"/>
        <v>73</v>
      </c>
      <c r="DA7" s="41">
        <f t="shared" si="34"/>
        <v>13.2</v>
      </c>
      <c r="DB7" s="41">
        <f t="shared" si="35"/>
        <v>49.7</v>
      </c>
      <c r="DC7" s="41">
        <f t="shared" si="36"/>
        <v>122.7</v>
      </c>
      <c r="DD7" s="52">
        <f t="shared" si="37"/>
        <v>0.10000000000000142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>
        <v>18.100000000000001</v>
      </c>
      <c r="GN7" s="18">
        <v>6.4</v>
      </c>
      <c r="GO7" s="18">
        <v>0</v>
      </c>
      <c r="GP7" s="18">
        <v>0</v>
      </c>
      <c r="GQ7" s="18">
        <v>18.3</v>
      </c>
      <c r="GR7" s="18">
        <v>5.2</v>
      </c>
      <c r="GS7" s="18">
        <v>0.8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4"/>
        <v>11.600000000000001</v>
      </c>
      <c r="HH7" s="11">
        <f t="shared" si="65"/>
        <v>47.2</v>
      </c>
      <c r="HI7" s="11" t="str">
        <f t="shared" si="66"/>
        <v/>
      </c>
      <c r="HJ7" s="11">
        <f t="shared" si="67"/>
        <v>11.600000000000001</v>
      </c>
      <c r="HK7" s="11">
        <f t="shared" si="68"/>
        <v>47.2</v>
      </c>
      <c r="HL7" s="11" t="str">
        <f t="shared" si="69"/>
        <v/>
      </c>
      <c r="HM7" s="11" t="str">
        <f t="shared" si="70"/>
        <v/>
      </c>
      <c r="HN7" s="11">
        <f t="shared" si="71"/>
        <v>47.2</v>
      </c>
      <c r="HO7" s="17">
        <v>18.399999999999999</v>
      </c>
      <c r="HP7" s="17">
        <v>7.2</v>
      </c>
      <c r="HQ7" s="17">
        <v>0</v>
      </c>
      <c r="HR7" s="17">
        <v>0</v>
      </c>
      <c r="HS7" s="17">
        <v>18.399999999999999</v>
      </c>
      <c r="HT7" s="17">
        <v>6</v>
      </c>
      <c r="HU7" s="17">
        <v>0.6</v>
      </c>
      <c r="HV7" s="17">
        <v>0</v>
      </c>
      <c r="HW7" s="17">
        <v>18.100000000000001</v>
      </c>
      <c r="HX7" s="17">
        <v>6</v>
      </c>
      <c r="HY7" s="17">
        <v>0</v>
      </c>
      <c r="HZ7" s="17">
        <v>0</v>
      </c>
      <c r="IA7" s="17">
        <v>18.399999999999999</v>
      </c>
      <c r="IB7" s="17">
        <v>6.4</v>
      </c>
      <c r="IC7" s="17">
        <v>0</v>
      </c>
      <c r="ID7" s="17">
        <v>0</v>
      </c>
      <c r="IE7" s="17"/>
      <c r="IF7" s="17"/>
      <c r="IG7" s="17"/>
      <c r="IH7" s="17"/>
      <c r="II7" s="41">
        <f t="shared" si="72"/>
        <v>13.2</v>
      </c>
      <c r="IJ7" s="41">
        <f t="shared" si="73"/>
        <v>49.4</v>
      </c>
      <c r="IK7" s="41">
        <f t="shared" si="74"/>
        <v>24.1</v>
      </c>
      <c r="IL7" s="41">
        <f t="shared" si="75"/>
        <v>19.2</v>
      </c>
      <c r="IM7" s="41">
        <f t="shared" si="76"/>
        <v>73.5</v>
      </c>
      <c r="IN7" s="41">
        <f t="shared" si="77"/>
        <v>6.4</v>
      </c>
      <c r="IO7" s="41">
        <f t="shared" si="78"/>
        <v>24.799999999999997</v>
      </c>
      <c r="IP7" s="41">
        <f t="shared" si="79"/>
        <v>98.3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18.3</v>
      </c>
      <c r="QF7" s="23">
        <f t="shared" si="137"/>
        <v>6.2</v>
      </c>
      <c r="QG7" s="23">
        <f t="shared" si="138"/>
        <v>0</v>
      </c>
      <c r="QH7" s="23">
        <f t="shared" si="139"/>
        <v>0.15</v>
      </c>
      <c r="QI7" s="23">
        <f t="shared" si="140"/>
        <v>18.5</v>
      </c>
      <c r="QJ7" s="23">
        <f t="shared" si="141"/>
        <v>5.6</v>
      </c>
      <c r="QK7" s="23">
        <f t="shared" si="142"/>
        <v>0.1</v>
      </c>
      <c r="QL7" s="23">
        <f t="shared" si="143"/>
        <v>0.15</v>
      </c>
      <c r="QM7" s="23">
        <f t="shared" si="144"/>
        <v>18.149999999999999</v>
      </c>
      <c r="QN7" s="23">
        <f t="shared" si="145"/>
        <v>5.8000000000000007</v>
      </c>
      <c r="QO7" s="23">
        <f t="shared" si="146"/>
        <v>0.1</v>
      </c>
      <c r="QP7" s="23">
        <f t="shared" si="147"/>
        <v>0</v>
      </c>
      <c r="QQ7" s="23">
        <f t="shared" si="148"/>
        <v>18.5</v>
      </c>
      <c r="QR7" s="23">
        <f t="shared" si="149"/>
        <v>6.8000000000000007</v>
      </c>
      <c r="QS7" s="23">
        <f t="shared" si="150"/>
        <v>0.1</v>
      </c>
      <c r="QT7" s="23">
        <f t="shared" si="151"/>
        <v>0.15</v>
      </c>
      <c r="QU7" s="23">
        <f t="shared" si="152"/>
        <v>17.450000000000003</v>
      </c>
      <c r="QV7" s="23">
        <f t="shared" si="153"/>
        <v>4.45</v>
      </c>
      <c r="QW7" s="23">
        <f t="shared" si="154"/>
        <v>1.2</v>
      </c>
      <c r="QX7" s="23">
        <f t="shared" si="155"/>
        <v>0</v>
      </c>
      <c r="QY7" s="28" t="s">
        <v>57</v>
      </c>
      <c r="QZ7" s="41">
        <f t="shared" si="156"/>
        <v>11.8</v>
      </c>
      <c r="RA7" s="41">
        <f t="shared" si="157"/>
        <v>48.8</v>
      </c>
      <c r="RB7" s="41">
        <f t="shared" si="158"/>
        <v>23.849999999999998</v>
      </c>
      <c r="RC7" s="41">
        <f t="shared" si="159"/>
        <v>17.600000000000001</v>
      </c>
      <c r="RD7" s="41">
        <f t="shared" si="160"/>
        <v>72.649999999999991</v>
      </c>
      <c r="RE7" s="41">
        <f t="shared" si="161"/>
        <v>11.25</v>
      </c>
      <c r="RF7" s="41">
        <f t="shared" si="162"/>
        <v>46.050000000000011</v>
      </c>
      <c r="RG7" s="41">
        <f t="shared" si="163"/>
        <v>118.7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 t="shared" si="0"/>
        <v>171.80001203000486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48.7</v>
      </c>
      <c r="K8" s="8" t="str">
        <f t="shared" si="5"/>
        <v>2023 Nationals</v>
      </c>
      <c r="L8" s="8">
        <f>IF(COUNT(AQ8,BT8,CW8)&gt;1,LARGE((AQ8,BT8,CW8),2),0)</f>
        <v>47.699999999999996</v>
      </c>
      <c r="M8" s="8" t="str">
        <f t="shared" si="6"/>
        <v>2023 Domestic 3rd Trial</v>
      </c>
      <c r="N8" s="8">
        <f>IF(COUNT(AR8,BU8,CX8)&gt;0,LARGE((AR8,BU8,CX8),1),0)</f>
        <v>23.9</v>
      </c>
      <c r="O8" s="8" t="str">
        <f t="shared" si="7"/>
        <v>2023 Domestic 3rd Trial</v>
      </c>
      <c r="P8" s="8">
        <f t="shared" si="8"/>
        <v>49.8</v>
      </c>
      <c r="Q8" s="8" t="str">
        <f t="shared" si="9"/>
        <v>2023 Nationals</v>
      </c>
      <c r="R8" s="8">
        <f t="shared" si="10"/>
        <v>1.7000000000000028</v>
      </c>
      <c r="S8" s="11" t="str">
        <f t="shared" si="11"/>
        <v>(Q1)</v>
      </c>
      <c r="T8" s="8" t="str">
        <f t="shared" si="12"/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 t="shared" si="13"/>
        <v>10.8</v>
      </c>
      <c r="AQ8" s="41">
        <f t="shared" si="14"/>
        <v>47.3</v>
      </c>
      <c r="AR8" s="41">
        <f t="shared" si="15"/>
        <v>23.6</v>
      </c>
      <c r="AS8" s="41">
        <f t="shared" si="16"/>
        <v>16</v>
      </c>
      <c r="AT8" s="41">
        <f t="shared" si="17"/>
        <v>70.900000000000006</v>
      </c>
      <c r="AU8" s="41">
        <f t="shared" si="18"/>
        <v>11.600000000000001</v>
      </c>
      <c r="AV8" s="41">
        <f t="shared" si="19"/>
        <v>48.300000000000004</v>
      </c>
      <c r="AW8" s="41">
        <f t="shared" si="20"/>
        <v>119.20000000000002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 t="shared" si="21"/>
        <v>12.4</v>
      </c>
      <c r="BT8" s="11">
        <f t="shared" si="22"/>
        <v>48.7</v>
      </c>
      <c r="BU8" s="11">
        <f t="shared" si="23"/>
        <v>22.5</v>
      </c>
      <c r="BV8" s="11">
        <f t="shared" si="24"/>
        <v>17.600000000000001</v>
      </c>
      <c r="BW8" s="11">
        <f t="shared" si="25"/>
        <v>71.2</v>
      </c>
      <c r="BX8" s="11">
        <f t="shared" si="26"/>
        <v>12.4</v>
      </c>
      <c r="BY8" s="11">
        <f t="shared" si="27"/>
        <v>49.8</v>
      </c>
      <c r="BZ8" s="11">
        <f t="shared" si="28"/>
        <v>121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 t="shared" si="29"/>
        <v>10.4</v>
      </c>
      <c r="CW8" s="41">
        <f t="shared" si="30"/>
        <v>47.699999999999996</v>
      </c>
      <c r="CX8" s="41">
        <f t="shared" si="31"/>
        <v>23.9</v>
      </c>
      <c r="CY8" s="41">
        <f t="shared" si="32"/>
        <v>16</v>
      </c>
      <c r="CZ8" s="41">
        <f t="shared" si="33"/>
        <v>71.599999999999994</v>
      </c>
      <c r="DA8" s="41">
        <f t="shared" si="34"/>
        <v>11.600000000000001</v>
      </c>
      <c r="DB8" s="41">
        <f t="shared" si="35"/>
        <v>49.199999999999996</v>
      </c>
      <c r="DC8" s="41">
        <f t="shared" si="36"/>
        <v>120.79999999999998</v>
      </c>
      <c r="DD8" s="52">
        <f t="shared" si="37"/>
        <v>1.7000000000000028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>
        <v>18.399999999999999</v>
      </c>
      <c r="EJ8" s="18">
        <v>6.4</v>
      </c>
      <c r="EK8" s="18">
        <v>0</v>
      </c>
      <c r="EL8" s="18">
        <v>0</v>
      </c>
      <c r="EM8" s="18">
        <v>18.600000000000001</v>
      </c>
      <c r="EN8" s="18">
        <v>6</v>
      </c>
      <c r="EO8" s="18">
        <v>0</v>
      </c>
      <c r="EP8" s="18">
        <v>0</v>
      </c>
      <c r="EQ8" s="18"/>
      <c r="ER8" s="18"/>
      <c r="ES8" s="18"/>
      <c r="ET8" s="18"/>
      <c r="EU8" s="18">
        <v>18.600000000000001</v>
      </c>
      <c r="EV8" s="18">
        <v>6.4</v>
      </c>
      <c r="EW8" s="18">
        <v>0</v>
      </c>
      <c r="EX8" s="18">
        <v>0</v>
      </c>
      <c r="EY8" s="18">
        <v>18.399999999999999</v>
      </c>
      <c r="EZ8" s="18">
        <v>5.2</v>
      </c>
      <c r="FA8" s="18">
        <v>1</v>
      </c>
      <c r="FB8" s="18">
        <v>0</v>
      </c>
      <c r="FC8" s="11">
        <f t="shared" si="48"/>
        <v>12.4</v>
      </c>
      <c r="FD8" s="11">
        <f t="shared" si="49"/>
        <v>49.4</v>
      </c>
      <c r="FE8" s="11" t="str">
        <f t="shared" si="50"/>
        <v/>
      </c>
      <c r="FF8" s="11">
        <f t="shared" si="51"/>
        <v>12.4</v>
      </c>
      <c r="FG8" s="11">
        <f t="shared" si="52"/>
        <v>49.4</v>
      </c>
      <c r="FH8" s="11">
        <f t="shared" si="53"/>
        <v>11.600000000000001</v>
      </c>
      <c r="FI8" s="11">
        <f t="shared" si="54"/>
        <v>47.6</v>
      </c>
      <c r="FJ8" s="11">
        <f t="shared" si="55"/>
        <v>97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17.600000000000001</v>
      </c>
      <c r="GN8" s="18">
        <v>6</v>
      </c>
      <c r="GO8" s="18">
        <v>0.8</v>
      </c>
      <c r="GP8" s="18">
        <v>0</v>
      </c>
      <c r="GQ8" s="18">
        <v>18.3</v>
      </c>
      <c r="GR8" s="18">
        <v>6.4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12.4</v>
      </c>
      <c r="HH8" s="11">
        <f t="shared" si="65"/>
        <v>47.300000000000004</v>
      </c>
      <c r="HI8" s="11" t="str">
        <f t="shared" si="66"/>
        <v/>
      </c>
      <c r="HJ8" s="11">
        <f t="shared" si="67"/>
        <v>12.4</v>
      </c>
      <c r="HK8" s="11">
        <f t="shared" si="68"/>
        <v>47.300000000000004</v>
      </c>
      <c r="HL8" s="11" t="str">
        <f t="shared" si="69"/>
        <v/>
      </c>
      <c r="HM8" s="11" t="str">
        <f t="shared" si="70"/>
        <v/>
      </c>
      <c r="HN8" s="11">
        <f t="shared" si="71"/>
        <v>47.300000000000004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18.5</v>
      </c>
      <c r="QF8" s="23">
        <f t="shared" si="137"/>
        <v>5.8000000000000007</v>
      </c>
      <c r="QG8" s="23">
        <f t="shared" si="138"/>
        <v>0.4</v>
      </c>
      <c r="QH8" s="23">
        <f t="shared" si="139"/>
        <v>0</v>
      </c>
      <c r="QI8" s="23">
        <f t="shared" si="140"/>
        <v>18.5</v>
      </c>
      <c r="QJ8" s="23">
        <f t="shared" si="141"/>
        <v>5.6</v>
      </c>
      <c r="QK8" s="23">
        <f t="shared" si="142"/>
        <v>0.1</v>
      </c>
      <c r="QL8" s="23">
        <f t="shared" si="143"/>
        <v>0.3</v>
      </c>
      <c r="QM8" s="23">
        <f t="shared" si="144"/>
        <v>18.200000000000003</v>
      </c>
      <c r="QN8" s="23">
        <f t="shared" si="145"/>
        <v>5.4</v>
      </c>
      <c r="QO8" s="23">
        <f t="shared" si="146"/>
        <v>0.4</v>
      </c>
      <c r="QP8" s="23">
        <f t="shared" si="147"/>
        <v>0</v>
      </c>
      <c r="QQ8" s="23">
        <f t="shared" si="148"/>
        <v>18.799999999999997</v>
      </c>
      <c r="QR8" s="23">
        <f t="shared" si="149"/>
        <v>5.8000000000000007</v>
      </c>
      <c r="QS8" s="23">
        <f t="shared" si="150"/>
        <v>0</v>
      </c>
      <c r="QT8" s="23">
        <f t="shared" si="151"/>
        <v>0</v>
      </c>
      <c r="QU8" s="23">
        <f t="shared" si="152"/>
        <v>18.75</v>
      </c>
      <c r="QV8" s="23">
        <f t="shared" si="153"/>
        <v>6.2</v>
      </c>
      <c r="QW8" s="23">
        <f t="shared" si="154"/>
        <v>0.2</v>
      </c>
      <c r="QX8" s="23">
        <f t="shared" si="155"/>
        <v>0.15</v>
      </c>
      <c r="QY8" s="28" t="s">
        <v>57</v>
      </c>
      <c r="QZ8" s="41">
        <f t="shared" si="156"/>
        <v>11.4</v>
      </c>
      <c r="RA8" s="41">
        <f t="shared" si="157"/>
        <v>48.199999999999996</v>
      </c>
      <c r="RB8" s="41">
        <f t="shared" si="158"/>
        <v>23.200000000000003</v>
      </c>
      <c r="RC8" s="41">
        <f t="shared" si="159"/>
        <v>16.8</v>
      </c>
      <c r="RD8" s="41">
        <f t="shared" si="160"/>
        <v>71.400000000000006</v>
      </c>
      <c r="RE8" s="41">
        <f t="shared" si="161"/>
        <v>12</v>
      </c>
      <c r="RF8" s="41">
        <f t="shared" si="162"/>
        <v>49.499999999999993</v>
      </c>
      <c r="RG8" s="41">
        <f t="shared" si="163"/>
        <v>120.9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133</v>
      </c>
      <c r="C9" s="4" t="s">
        <v>39</v>
      </c>
      <c r="D9" s="4">
        <v>2000</v>
      </c>
      <c r="E9" s="9">
        <f t="shared" si="0"/>
        <v>169.90001176000479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47.8</v>
      </c>
      <c r="K9" s="8" t="str">
        <f t="shared" si="5"/>
        <v>2023 Nationals</v>
      </c>
      <c r="L9" s="8">
        <f>IF(COUNT(AQ9,BT9,CW9)&gt;1,LARGE((AQ9,BT9,CW9),2),0)</f>
        <v>44.899999999999991</v>
      </c>
      <c r="M9" s="8" t="str">
        <f t="shared" si="6"/>
        <v>2023 Elite Canada</v>
      </c>
      <c r="N9" s="8">
        <f>IF(COUNT(AR9,BU9,CX9)&gt;0,LARGE((AR9,BU9,CX9),1),0)</f>
        <v>24.900000000000002</v>
      </c>
      <c r="O9" s="8" t="str">
        <f t="shared" si="7"/>
        <v>2023 Nationals</v>
      </c>
      <c r="P9" s="8">
        <f t="shared" si="8"/>
        <v>48.9</v>
      </c>
      <c r="Q9" s="8" t="str">
        <f t="shared" si="9"/>
        <v>2023 Nationals</v>
      </c>
      <c r="R9" s="8">
        <f t="shared" si="10"/>
        <v>3.4000000000000057</v>
      </c>
      <c r="S9" s="11" t="str">
        <f t="shared" si="11"/>
        <v>(Q1)</v>
      </c>
      <c r="T9" s="8" t="str">
        <f t="shared" si="12"/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 t="shared" si="13"/>
        <v>10</v>
      </c>
      <c r="AQ9" s="41">
        <f t="shared" si="14"/>
        <v>44.899999999999991</v>
      </c>
      <c r="AR9" s="41">
        <f t="shared" si="15"/>
        <v>23.9</v>
      </c>
      <c r="AS9" s="41">
        <f t="shared" si="16"/>
        <v>16</v>
      </c>
      <c r="AT9" s="41">
        <f t="shared" si="17"/>
        <v>68.799999999999983</v>
      </c>
      <c r="AU9" s="41">
        <f t="shared" si="18"/>
        <v>11.6</v>
      </c>
      <c r="AV9" s="41">
        <f t="shared" si="19"/>
        <v>48.400000000000006</v>
      </c>
      <c r="AW9" s="41">
        <f t="shared" si="20"/>
        <v>117.19999999999999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 t="shared" si="21"/>
        <v>12</v>
      </c>
      <c r="BT9" s="11">
        <f t="shared" si="22"/>
        <v>47.8</v>
      </c>
      <c r="BU9" s="11">
        <f t="shared" si="23"/>
        <v>24.900000000000002</v>
      </c>
      <c r="BV9" s="11">
        <f t="shared" si="24"/>
        <v>18</v>
      </c>
      <c r="BW9" s="11">
        <f t="shared" si="25"/>
        <v>72.7</v>
      </c>
      <c r="BX9" s="11">
        <f t="shared" si="26"/>
        <v>12</v>
      </c>
      <c r="BY9" s="11">
        <f t="shared" si="27"/>
        <v>48.9</v>
      </c>
      <c r="BZ9" s="11">
        <f t="shared" si="28"/>
        <v>121.6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 t="shared" si="29"/>
        <v>6.4</v>
      </c>
      <c r="CW9" s="41">
        <f t="shared" si="30"/>
        <v>25.1</v>
      </c>
      <c r="CX9" s="41">
        <f t="shared" si="31"/>
        <v>23.8</v>
      </c>
      <c r="CY9" s="41">
        <f t="shared" si="32"/>
        <v>11.600000000000001</v>
      </c>
      <c r="CZ9" s="41">
        <f t="shared" si="33"/>
        <v>48.900000000000006</v>
      </c>
      <c r="DA9" s="41" t="str">
        <f t="shared" si="34"/>
        <v/>
      </c>
      <c r="DB9" s="41" t="str">
        <f t="shared" si="35"/>
        <v/>
      </c>
      <c r="DC9" s="41">
        <f t="shared" si="36"/>
        <v>48.900000000000006</v>
      </c>
      <c r="DD9" s="52">
        <f t="shared" si="37"/>
        <v>3.4000000000000057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>
        <v>18.399999999999999</v>
      </c>
      <c r="EJ9" s="18">
        <v>6</v>
      </c>
      <c r="EK9" s="18">
        <v>0.2</v>
      </c>
      <c r="EL9" s="18">
        <v>0</v>
      </c>
      <c r="EM9" s="18">
        <v>18.5</v>
      </c>
      <c r="EN9" s="18">
        <v>5.6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 t="shared" si="48"/>
        <v>11.6</v>
      </c>
      <c r="FD9" s="11">
        <f t="shared" si="49"/>
        <v>48.3</v>
      </c>
      <c r="FE9" s="11" t="str">
        <f t="shared" si="50"/>
        <v/>
      </c>
      <c r="FF9" s="11">
        <f t="shared" si="51"/>
        <v>11.6</v>
      </c>
      <c r="FG9" s="11">
        <f t="shared" si="52"/>
        <v>48.3</v>
      </c>
      <c r="FH9" s="11" t="str">
        <f t="shared" si="53"/>
        <v/>
      </c>
      <c r="FI9" s="11" t="str">
        <f t="shared" si="54"/>
        <v/>
      </c>
      <c r="FJ9" s="11">
        <f t="shared" si="55"/>
        <v>48.3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>
        <v>18</v>
      </c>
      <c r="GN9" s="18">
        <v>5.2</v>
      </c>
      <c r="GO9" s="18">
        <v>0.2</v>
      </c>
      <c r="GP9" s="18">
        <v>0</v>
      </c>
      <c r="GQ9" s="18">
        <v>18.8</v>
      </c>
      <c r="GR9" s="18">
        <v>5.6</v>
      </c>
      <c r="GS9" s="18">
        <v>0</v>
      </c>
      <c r="GT9" s="18">
        <v>0</v>
      </c>
      <c r="GU9" s="18"/>
      <c r="GV9" s="18"/>
      <c r="GW9" s="18"/>
      <c r="GX9" s="18"/>
      <c r="GY9" s="18">
        <v>18.5</v>
      </c>
      <c r="GZ9" s="18">
        <v>5.6</v>
      </c>
      <c r="HA9" s="18">
        <v>0.8</v>
      </c>
      <c r="HB9" s="18">
        <v>0</v>
      </c>
      <c r="HC9" s="18">
        <v>18.3</v>
      </c>
      <c r="HD9" s="18">
        <v>6</v>
      </c>
      <c r="HE9" s="18">
        <v>0.2</v>
      </c>
      <c r="HF9" s="18">
        <v>0</v>
      </c>
      <c r="HG9" s="11">
        <f t="shared" si="64"/>
        <v>10.8</v>
      </c>
      <c r="HH9" s="11">
        <f t="shared" si="65"/>
        <v>47.4</v>
      </c>
      <c r="HI9" s="11" t="str">
        <f t="shared" si="66"/>
        <v/>
      </c>
      <c r="HJ9" s="11">
        <f t="shared" si="67"/>
        <v>10.8</v>
      </c>
      <c r="HK9" s="11">
        <f t="shared" si="68"/>
        <v>47.4</v>
      </c>
      <c r="HL9" s="11">
        <f t="shared" si="69"/>
        <v>11.6</v>
      </c>
      <c r="HM9" s="11">
        <f t="shared" si="70"/>
        <v>47.400000000000006</v>
      </c>
      <c r="HN9" s="11">
        <f t="shared" si="71"/>
        <v>94.800000000000011</v>
      </c>
      <c r="HO9" s="17">
        <v>18.399999999999999</v>
      </c>
      <c r="HP9" s="17">
        <v>5.6</v>
      </c>
      <c r="HQ9" s="17">
        <v>0</v>
      </c>
      <c r="HR9" s="17">
        <v>0</v>
      </c>
      <c r="HS9" s="17">
        <v>18</v>
      </c>
      <c r="HT9" s="17">
        <v>6</v>
      </c>
      <c r="HU9" s="17">
        <v>0</v>
      </c>
      <c r="HV9" s="17">
        <v>0</v>
      </c>
      <c r="HW9" s="17">
        <v>17.899999999999999</v>
      </c>
      <c r="HX9" s="17">
        <v>5.2</v>
      </c>
      <c r="HY9" s="17">
        <v>0.2</v>
      </c>
      <c r="HZ9" s="17">
        <v>0</v>
      </c>
      <c r="IA9" s="17"/>
      <c r="IB9" s="17"/>
      <c r="IC9" s="17"/>
      <c r="ID9" s="17"/>
      <c r="IE9" s="17"/>
      <c r="IF9" s="17"/>
      <c r="IG9" s="17"/>
      <c r="IH9" s="17"/>
      <c r="II9" s="41">
        <f t="shared" si="72"/>
        <v>11.6</v>
      </c>
      <c r="IJ9" s="41">
        <f t="shared" si="73"/>
        <v>48</v>
      </c>
      <c r="IK9" s="41">
        <f t="shared" si="74"/>
        <v>22.9</v>
      </c>
      <c r="IL9" s="41">
        <f t="shared" si="75"/>
        <v>16.8</v>
      </c>
      <c r="IM9" s="41">
        <f t="shared" si="76"/>
        <v>70.900000000000006</v>
      </c>
      <c r="IN9" s="41" t="str">
        <f t="shared" si="77"/>
        <v/>
      </c>
      <c r="IO9" s="41" t="str">
        <f t="shared" si="78"/>
        <v/>
      </c>
      <c r="IP9" s="41">
        <f t="shared" si="79"/>
        <v>70.900000000000006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18.75</v>
      </c>
      <c r="QF9" s="23">
        <f t="shared" si="137"/>
        <v>6</v>
      </c>
      <c r="QG9" s="23">
        <f t="shared" si="138"/>
        <v>0</v>
      </c>
      <c r="QH9" s="23">
        <f t="shared" si="139"/>
        <v>0</v>
      </c>
      <c r="QI9" s="23">
        <f t="shared" si="140"/>
        <v>8.5</v>
      </c>
      <c r="QJ9" s="23">
        <f t="shared" si="141"/>
        <v>3.2</v>
      </c>
      <c r="QK9" s="23">
        <f t="shared" si="142"/>
        <v>0</v>
      </c>
      <c r="QL9" s="23">
        <f t="shared" si="143"/>
        <v>0</v>
      </c>
      <c r="QM9" s="23">
        <f t="shared" si="144"/>
        <v>18.700000000000003</v>
      </c>
      <c r="QN9" s="23">
        <f t="shared" si="145"/>
        <v>5.6</v>
      </c>
      <c r="QO9" s="23">
        <f t="shared" si="146"/>
        <v>0.1</v>
      </c>
      <c r="QP9" s="23">
        <f t="shared" si="147"/>
        <v>0.15</v>
      </c>
      <c r="QQ9" s="23">
        <f t="shared" si="148"/>
        <v>9.1999999999999993</v>
      </c>
      <c r="QR9" s="23">
        <f t="shared" si="149"/>
        <v>3</v>
      </c>
      <c r="QS9" s="23">
        <f t="shared" si="150"/>
        <v>0.1</v>
      </c>
      <c r="QT9" s="23">
        <f t="shared" si="151"/>
        <v>0.15</v>
      </c>
      <c r="QU9" s="23">
        <f t="shared" si="152"/>
        <v>9.3000000000000007</v>
      </c>
      <c r="QV9" s="23">
        <f t="shared" si="153"/>
        <v>3</v>
      </c>
      <c r="QW9" s="23">
        <f t="shared" si="154"/>
        <v>0.1</v>
      </c>
      <c r="QX9" s="23">
        <f t="shared" si="155"/>
        <v>0</v>
      </c>
      <c r="QY9" s="28" t="s">
        <v>57</v>
      </c>
      <c r="QZ9" s="41">
        <f t="shared" si="156"/>
        <v>9.1999999999999993</v>
      </c>
      <c r="RA9" s="41">
        <f t="shared" si="157"/>
        <v>36.450000000000003</v>
      </c>
      <c r="RB9" s="41">
        <f t="shared" si="158"/>
        <v>24.35</v>
      </c>
      <c r="RC9" s="41">
        <f t="shared" si="159"/>
        <v>14.799999999999999</v>
      </c>
      <c r="RD9" s="41">
        <f t="shared" si="160"/>
        <v>60.800000000000004</v>
      </c>
      <c r="RE9" s="41">
        <f t="shared" si="161"/>
        <v>6</v>
      </c>
      <c r="RF9" s="41">
        <f t="shared" si="162"/>
        <v>24.45</v>
      </c>
      <c r="RG9" s="41">
        <f t="shared" si="163"/>
        <v>85.25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255</v>
      </c>
      <c r="C10" s="4" t="s">
        <v>6</v>
      </c>
      <c r="D10" s="4">
        <v>2007</v>
      </c>
      <c r="E10" s="9">
        <f t="shared" si="0"/>
        <v>169.6000118800049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IF(COUNT(AQ10,BT10,CW10)&gt;0,LARGE((AQ10,BT10,CW10),1),0)</f>
        <v>49.300000000000004</v>
      </c>
      <c r="K10" s="8" t="str">
        <f t="shared" si="5"/>
        <v>2023 Nationals</v>
      </c>
      <c r="L10" s="8">
        <f>IF(COUNT(AQ10,BT10,CW10)&gt;1,LARGE((AQ10,BT10,CW10),2),0)</f>
        <v>46.599999999999994</v>
      </c>
      <c r="M10" s="8" t="str">
        <f t="shared" si="6"/>
        <v>2023 Domestic 3rd Trial</v>
      </c>
      <c r="N10" s="8">
        <f>IF(COUNT(AR10,BU10,CX10)&gt;0,LARGE((AR10,BU10,CX10),1),0)</f>
        <v>22.9</v>
      </c>
      <c r="O10" s="8" t="str">
        <f t="shared" si="7"/>
        <v>2023 Nationals</v>
      </c>
      <c r="P10" s="8">
        <f t="shared" si="8"/>
        <v>48.699999999999996</v>
      </c>
      <c r="Q10" s="8" t="str">
        <f t="shared" si="9"/>
        <v>2023 Domestic 3rd Trial</v>
      </c>
      <c r="R10" s="8">
        <f t="shared" si="10"/>
        <v>2.1000000000000014</v>
      </c>
      <c r="S10" s="11" t="str">
        <f t="shared" si="11"/>
        <v>(Q2)</v>
      </c>
      <c r="T10" s="8" t="str">
        <f t="shared" si="12"/>
        <v>2023 Junior Worlds (Nov 19)</v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8"/>
      <c r="AP10" s="41" t="str">
        <f t="shared" si="13"/>
        <v/>
      </c>
      <c r="AQ10" s="41" t="str">
        <f t="shared" si="14"/>
        <v/>
      </c>
      <c r="AR10" s="41" t="str">
        <f t="shared" si="15"/>
        <v/>
      </c>
      <c r="AS10" s="41" t="str">
        <f t="shared" si="16"/>
        <v/>
      </c>
      <c r="AT10" s="41" t="str">
        <f t="shared" si="17"/>
        <v/>
      </c>
      <c r="AU10" s="41" t="str">
        <f t="shared" si="18"/>
        <v/>
      </c>
      <c r="AV10" s="41" t="str">
        <f t="shared" si="19"/>
        <v/>
      </c>
      <c r="AW10" s="41" t="str">
        <f t="shared" si="20"/>
        <v/>
      </c>
      <c r="AX10" s="18">
        <v>18.3</v>
      </c>
      <c r="AY10" s="18">
        <v>6</v>
      </c>
      <c r="AZ10" s="18">
        <v>0</v>
      </c>
      <c r="BA10" s="18">
        <v>0</v>
      </c>
      <c r="BB10" s="18">
        <v>18.600000000000001</v>
      </c>
      <c r="BC10" s="18">
        <v>6.4</v>
      </c>
      <c r="BD10" s="18">
        <v>0</v>
      </c>
      <c r="BE10" s="18">
        <v>0</v>
      </c>
      <c r="BF10" s="18">
        <v>17.899999999999999</v>
      </c>
      <c r="BG10" s="18">
        <v>5.2</v>
      </c>
      <c r="BH10" s="18">
        <v>0.2</v>
      </c>
      <c r="BI10" s="18">
        <v>0</v>
      </c>
      <c r="BJ10" s="18">
        <v>18.5</v>
      </c>
      <c r="BK10" s="18">
        <v>6</v>
      </c>
      <c r="BL10" s="18">
        <v>0.6</v>
      </c>
      <c r="BM10" s="18">
        <v>0</v>
      </c>
      <c r="BN10" s="18">
        <v>19</v>
      </c>
      <c r="BO10" s="18">
        <v>5.6</v>
      </c>
      <c r="BP10" s="18">
        <v>0</v>
      </c>
      <c r="BQ10" s="18">
        <v>0</v>
      </c>
      <c r="BR10" s="29"/>
      <c r="BS10" s="11">
        <f t="shared" si="21"/>
        <v>12.4</v>
      </c>
      <c r="BT10" s="11">
        <f t="shared" si="22"/>
        <v>49.300000000000004</v>
      </c>
      <c r="BU10" s="11">
        <f t="shared" si="23"/>
        <v>22.9</v>
      </c>
      <c r="BV10" s="11">
        <f t="shared" si="24"/>
        <v>17.600000000000001</v>
      </c>
      <c r="BW10" s="11">
        <f t="shared" si="25"/>
        <v>72.2</v>
      </c>
      <c r="BX10" s="11">
        <f t="shared" si="26"/>
        <v>11.6</v>
      </c>
      <c r="BY10" s="11">
        <f t="shared" si="27"/>
        <v>48.5</v>
      </c>
      <c r="BZ10" s="11">
        <f t="shared" si="28"/>
        <v>120.7</v>
      </c>
      <c r="CA10" s="19">
        <v>18.2</v>
      </c>
      <c r="CB10" s="19">
        <v>5.1999999999999993</v>
      </c>
      <c r="CC10" s="19">
        <v>0</v>
      </c>
      <c r="CD10" s="19">
        <v>0</v>
      </c>
      <c r="CE10" s="19">
        <v>18.2</v>
      </c>
      <c r="CF10" s="19">
        <v>5.1999999999999993</v>
      </c>
      <c r="CG10" s="19">
        <v>0.2</v>
      </c>
      <c r="CH10" s="19">
        <v>0</v>
      </c>
      <c r="CI10" s="19">
        <v>17</v>
      </c>
      <c r="CJ10" s="19">
        <v>3.2</v>
      </c>
      <c r="CK10" s="19">
        <v>0</v>
      </c>
      <c r="CL10" s="19">
        <v>0</v>
      </c>
      <c r="CM10" s="19">
        <v>18.7</v>
      </c>
      <c r="CN10" s="19">
        <v>6</v>
      </c>
      <c r="CO10" s="19">
        <v>0.2</v>
      </c>
      <c r="CP10" s="19">
        <v>0</v>
      </c>
      <c r="CQ10" s="19">
        <v>18.600000000000001</v>
      </c>
      <c r="CR10" s="19">
        <v>5.6</v>
      </c>
      <c r="CS10" s="19">
        <v>0</v>
      </c>
      <c r="CT10" s="19">
        <v>0</v>
      </c>
      <c r="CU10" s="28"/>
      <c r="CV10" s="41">
        <f t="shared" si="29"/>
        <v>10.399999999999999</v>
      </c>
      <c r="CW10" s="41">
        <f t="shared" si="30"/>
        <v>46.599999999999994</v>
      </c>
      <c r="CX10" s="41">
        <f t="shared" si="31"/>
        <v>20.2</v>
      </c>
      <c r="CY10" s="41">
        <f t="shared" si="32"/>
        <v>13.599999999999998</v>
      </c>
      <c r="CZ10" s="41">
        <f t="shared" si="33"/>
        <v>66.8</v>
      </c>
      <c r="DA10" s="41">
        <f t="shared" si="34"/>
        <v>11.6</v>
      </c>
      <c r="DB10" s="41">
        <f t="shared" si="35"/>
        <v>48.699999999999996</v>
      </c>
      <c r="DC10" s="41">
        <f t="shared" si="36"/>
        <v>115.5</v>
      </c>
      <c r="DD10" s="52">
        <f t="shared" si="37"/>
        <v>1.1000000000000085</v>
      </c>
      <c r="DE10" s="52">
        <f t="shared" si="38"/>
        <v>2.1000000000000014</v>
      </c>
      <c r="DF10" s="52">
        <f t="shared" si="39"/>
        <v>0.10000000000000142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>
        <v>16.7</v>
      </c>
      <c r="JT10" s="17">
        <v>6.8</v>
      </c>
      <c r="JU10" s="17">
        <v>0.8</v>
      </c>
      <c r="JV10" s="17">
        <v>0</v>
      </c>
      <c r="JW10" s="17">
        <v>18.600000000000001</v>
      </c>
      <c r="JX10" s="17">
        <v>6.4</v>
      </c>
      <c r="JY10" s="17">
        <v>0</v>
      </c>
      <c r="JZ10" s="17">
        <v>0</v>
      </c>
      <c r="KA10" s="17">
        <v>18.600000000000001</v>
      </c>
      <c r="KB10" s="17">
        <v>6.4</v>
      </c>
      <c r="KC10" s="17">
        <v>0</v>
      </c>
      <c r="KD10" s="17">
        <v>0</v>
      </c>
      <c r="KE10" s="17">
        <v>18.8</v>
      </c>
      <c r="KF10" s="17">
        <v>5.6</v>
      </c>
      <c r="KG10" s="17">
        <v>0</v>
      </c>
      <c r="KH10" s="17">
        <v>0</v>
      </c>
      <c r="KI10" s="17">
        <v>18.399999999999999</v>
      </c>
      <c r="KJ10" s="17">
        <v>6</v>
      </c>
      <c r="KK10" s="17">
        <v>0</v>
      </c>
      <c r="KL10" s="17">
        <v>0</v>
      </c>
      <c r="KM10" s="41">
        <f t="shared" si="88"/>
        <v>13.2</v>
      </c>
      <c r="KN10" s="41">
        <f t="shared" si="89"/>
        <v>47.7</v>
      </c>
      <c r="KO10" s="41">
        <f t="shared" si="90"/>
        <v>25</v>
      </c>
      <c r="KP10" s="41">
        <f t="shared" si="91"/>
        <v>19.600000000000001</v>
      </c>
      <c r="KQ10" s="41">
        <f t="shared" si="92"/>
        <v>72.7</v>
      </c>
      <c r="KR10" s="41">
        <f t="shared" si="93"/>
        <v>11.6</v>
      </c>
      <c r="KS10" s="41">
        <f t="shared" si="94"/>
        <v>48.8</v>
      </c>
      <c r="KT10" s="41">
        <f t="shared" si="95"/>
        <v>121.5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18.25</v>
      </c>
      <c r="QF10" s="23">
        <f t="shared" si="137"/>
        <v>5.6</v>
      </c>
      <c r="QG10" s="23">
        <f t="shared" si="138"/>
        <v>0</v>
      </c>
      <c r="QH10" s="23">
        <f t="shared" si="139"/>
        <v>0</v>
      </c>
      <c r="QI10" s="23">
        <f t="shared" si="140"/>
        <v>18.399999999999999</v>
      </c>
      <c r="QJ10" s="23">
        <f t="shared" si="141"/>
        <v>5.8</v>
      </c>
      <c r="QK10" s="23">
        <f t="shared" si="142"/>
        <v>0.1</v>
      </c>
      <c r="QL10" s="23">
        <f t="shared" si="143"/>
        <v>0</v>
      </c>
      <c r="QM10" s="23">
        <f t="shared" si="144"/>
        <v>17.45</v>
      </c>
      <c r="QN10" s="23">
        <f t="shared" si="145"/>
        <v>4.2</v>
      </c>
      <c r="QO10" s="23">
        <f t="shared" si="146"/>
        <v>0.1</v>
      </c>
      <c r="QP10" s="23">
        <f t="shared" si="147"/>
        <v>0</v>
      </c>
      <c r="QQ10" s="23">
        <f t="shared" si="148"/>
        <v>18.600000000000001</v>
      </c>
      <c r="QR10" s="23">
        <f t="shared" si="149"/>
        <v>6</v>
      </c>
      <c r="QS10" s="23">
        <f t="shared" si="150"/>
        <v>0.4</v>
      </c>
      <c r="QT10" s="23">
        <f t="shared" si="151"/>
        <v>0</v>
      </c>
      <c r="QU10" s="23">
        <f t="shared" si="152"/>
        <v>18.8</v>
      </c>
      <c r="QV10" s="23">
        <f t="shared" si="153"/>
        <v>5.6</v>
      </c>
      <c r="QW10" s="23">
        <f t="shared" si="154"/>
        <v>0</v>
      </c>
      <c r="QX10" s="23">
        <f t="shared" si="155"/>
        <v>0</v>
      </c>
      <c r="QY10" s="28" t="s">
        <v>57</v>
      </c>
      <c r="QZ10" s="41">
        <f t="shared" si="156"/>
        <v>11.399999999999999</v>
      </c>
      <c r="RA10" s="41">
        <f t="shared" si="157"/>
        <v>47.949999999999996</v>
      </c>
      <c r="RB10" s="41">
        <f t="shared" si="158"/>
        <v>21.549999999999997</v>
      </c>
      <c r="RC10" s="41">
        <f t="shared" si="159"/>
        <v>15.599999999999998</v>
      </c>
      <c r="RD10" s="41">
        <f t="shared" si="160"/>
        <v>69.5</v>
      </c>
      <c r="RE10" s="41">
        <f t="shared" si="161"/>
        <v>11.6</v>
      </c>
      <c r="RF10" s="41">
        <f t="shared" si="162"/>
        <v>48.600000000000009</v>
      </c>
      <c r="RG10" s="41">
        <f t="shared" si="163"/>
        <v>118.10000000000001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148</v>
      </c>
      <c r="C11" s="4" t="s">
        <v>5</v>
      </c>
      <c r="D11" s="4">
        <v>2001</v>
      </c>
      <c r="E11" s="9">
        <f t="shared" si="0"/>
        <v>169.00001209000484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IF(COUNT(AQ11,BT11,CW11)&gt;0,LARGE((AQ11,BT11,CW11),1),0)</f>
        <v>48.3</v>
      </c>
      <c r="K11" s="8" t="str">
        <f t="shared" si="5"/>
        <v>2023 Elite Canada</v>
      </c>
      <c r="L11" s="8">
        <f>IF(COUNT(AQ11,BT11,CW11)&gt;1,LARGE((AQ11,BT11,CW11),2),0)</f>
        <v>48.099999999999994</v>
      </c>
      <c r="M11" s="8" t="str">
        <f t="shared" si="6"/>
        <v>2023 Nationals</v>
      </c>
      <c r="N11" s="8">
        <f>IF(COUNT(AR11,BU11,CX11)&gt;0,LARGE((AR11,BU11,CX11),1),0)</f>
        <v>24.5</v>
      </c>
      <c r="O11" s="8" t="str">
        <f t="shared" si="7"/>
        <v>2023 Domestic 3rd Trial</v>
      </c>
      <c r="P11" s="8">
        <f t="shared" si="8"/>
        <v>48.1</v>
      </c>
      <c r="Q11" s="8" t="str">
        <f t="shared" si="9"/>
        <v>2023 Domestic 3rd Trial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18.399999999999999</v>
      </c>
      <c r="V11" s="19">
        <v>5.6</v>
      </c>
      <c r="W11" s="19">
        <v>0</v>
      </c>
      <c r="X11" s="19">
        <v>0</v>
      </c>
      <c r="Y11" s="19">
        <v>18.5</v>
      </c>
      <c r="Z11" s="19">
        <v>6</v>
      </c>
      <c r="AA11" s="19">
        <v>0.2</v>
      </c>
      <c r="AB11" s="19">
        <v>0</v>
      </c>
      <c r="AC11" s="19">
        <v>16.2</v>
      </c>
      <c r="AD11" s="19">
        <v>4.8</v>
      </c>
      <c r="AE11" s="19">
        <v>1</v>
      </c>
      <c r="AF11" s="19">
        <v>0</v>
      </c>
      <c r="AG11" s="19">
        <v>18.399999999999999</v>
      </c>
      <c r="AH11" s="19">
        <v>5.2</v>
      </c>
      <c r="AI11" s="19">
        <v>1</v>
      </c>
      <c r="AJ11" s="19">
        <v>0</v>
      </c>
      <c r="AK11" s="19">
        <v>18.3</v>
      </c>
      <c r="AL11" s="19">
        <v>2</v>
      </c>
      <c r="AM11" s="19">
        <v>1</v>
      </c>
      <c r="AN11" s="19">
        <v>0</v>
      </c>
      <c r="AO11" s="28"/>
      <c r="AP11" s="41">
        <f t="shared" si="13"/>
        <v>11.6</v>
      </c>
      <c r="AQ11" s="41">
        <f t="shared" si="14"/>
        <v>48.3</v>
      </c>
      <c r="AR11" s="41">
        <f t="shared" si="15"/>
        <v>20</v>
      </c>
      <c r="AS11" s="41">
        <f t="shared" si="16"/>
        <v>16.399999999999999</v>
      </c>
      <c r="AT11" s="41">
        <f t="shared" si="17"/>
        <v>68.3</v>
      </c>
      <c r="AU11" s="41">
        <f t="shared" si="18"/>
        <v>7.2</v>
      </c>
      <c r="AV11" s="41">
        <f t="shared" si="19"/>
        <v>41.9</v>
      </c>
      <c r="AW11" s="41">
        <f t="shared" si="20"/>
        <v>110.19999999999999</v>
      </c>
      <c r="AX11" s="18">
        <v>18.399999999999999</v>
      </c>
      <c r="AY11" s="18">
        <v>5.6</v>
      </c>
      <c r="AZ11" s="18">
        <v>0.2</v>
      </c>
      <c r="BA11" s="18">
        <v>0</v>
      </c>
      <c r="BB11" s="18">
        <v>18.5</v>
      </c>
      <c r="BC11" s="18">
        <v>6</v>
      </c>
      <c r="BD11" s="18">
        <v>0.2</v>
      </c>
      <c r="BE11" s="18">
        <v>0</v>
      </c>
      <c r="BF11" s="18">
        <v>18.399999999999999</v>
      </c>
      <c r="BG11" s="18">
        <v>4.8</v>
      </c>
      <c r="BH11" s="18">
        <v>0.2</v>
      </c>
      <c r="BI11" s="18">
        <v>0</v>
      </c>
      <c r="BJ11" s="18">
        <v>18.5</v>
      </c>
      <c r="BK11" s="18">
        <v>5.2</v>
      </c>
      <c r="BL11" s="18">
        <v>0.2</v>
      </c>
      <c r="BM11" s="18">
        <v>0</v>
      </c>
      <c r="BN11" s="18">
        <v>18.399999999999999</v>
      </c>
      <c r="BO11" s="18">
        <v>6.4</v>
      </c>
      <c r="BP11" s="18">
        <v>0.8</v>
      </c>
      <c r="BQ11" s="18">
        <v>0</v>
      </c>
      <c r="BR11" s="29"/>
      <c r="BS11" s="11">
        <f t="shared" si="21"/>
        <v>11.6</v>
      </c>
      <c r="BT11" s="11">
        <f t="shared" si="22"/>
        <v>48.099999999999994</v>
      </c>
      <c r="BU11" s="11">
        <f t="shared" si="23"/>
        <v>23</v>
      </c>
      <c r="BV11" s="11">
        <f t="shared" si="24"/>
        <v>16.399999999999999</v>
      </c>
      <c r="BW11" s="11">
        <f t="shared" si="25"/>
        <v>71.099999999999994</v>
      </c>
      <c r="BX11" s="11">
        <f t="shared" si="26"/>
        <v>11.600000000000001</v>
      </c>
      <c r="BY11" s="11">
        <f t="shared" si="27"/>
        <v>47.499999999999993</v>
      </c>
      <c r="BZ11" s="11">
        <f t="shared" si="28"/>
        <v>118.6</v>
      </c>
      <c r="CA11" s="19">
        <v>18.2</v>
      </c>
      <c r="CB11" s="19">
        <v>5.6</v>
      </c>
      <c r="CC11" s="19">
        <v>0.2</v>
      </c>
      <c r="CD11" s="19">
        <v>0</v>
      </c>
      <c r="CE11" s="19">
        <v>19</v>
      </c>
      <c r="CF11" s="19">
        <v>5.0999999999999996</v>
      </c>
      <c r="CG11" s="19">
        <v>0</v>
      </c>
      <c r="CH11" s="19">
        <v>0.3</v>
      </c>
      <c r="CI11" s="19">
        <v>18.5</v>
      </c>
      <c r="CJ11" s="19">
        <v>6</v>
      </c>
      <c r="CK11" s="19">
        <v>0</v>
      </c>
      <c r="CL11" s="19">
        <v>0</v>
      </c>
      <c r="CM11" s="19">
        <v>18.5</v>
      </c>
      <c r="CN11" s="19">
        <v>5.6</v>
      </c>
      <c r="CO11" s="19">
        <v>0.6</v>
      </c>
      <c r="CP11" s="19">
        <v>0</v>
      </c>
      <c r="CQ11" s="19">
        <v>18.600000000000001</v>
      </c>
      <c r="CR11" s="19">
        <v>6</v>
      </c>
      <c r="CS11" s="19">
        <v>0</v>
      </c>
      <c r="CT11" s="19">
        <v>0</v>
      </c>
      <c r="CU11" s="28"/>
      <c r="CV11" s="41">
        <f t="shared" si="29"/>
        <v>10.7</v>
      </c>
      <c r="CW11" s="41">
        <f t="shared" si="30"/>
        <v>47.999999999999993</v>
      </c>
      <c r="CX11" s="41">
        <f t="shared" si="31"/>
        <v>24.5</v>
      </c>
      <c r="CY11" s="41">
        <f t="shared" si="32"/>
        <v>16.7</v>
      </c>
      <c r="CZ11" s="41">
        <f t="shared" si="33"/>
        <v>72.5</v>
      </c>
      <c r="DA11" s="41">
        <f t="shared" si="34"/>
        <v>11.6</v>
      </c>
      <c r="DB11" s="41">
        <f t="shared" si="35"/>
        <v>48.1</v>
      </c>
      <c r="DC11" s="41">
        <f t="shared" si="36"/>
        <v>120.6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18.299999999999997</v>
      </c>
      <c r="QF11" s="23">
        <f t="shared" si="137"/>
        <v>5.6</v>
      </c>
      <c r="QG11" s="23">
        <f t="shared" si="138"/>
        <v>0.2</v>
      </c>
      <c r="QH11" s="23">
        <f t="shared" si="139"/>
        <v>0</v>
      </c>
      <c r="QI11" s="23">
        <f t="shared" si="140"/>
        <v>18.75</v>
      </c>
      <c r="QJ11" s="23">
        <f t="shared" si="141"/>
        <v>5.55</v>
      </c>
      <c r="QK11" s="23">
        <f t="shared" si="142"/>
        <v>0.1</v>
      </c>
      <c r="QL11" s="23">
        <f t="shared" si="143"/>
        <v>0.15</v>
      </c>
      <c r="QM11" s="23">
        <f t="shared" si="144"/>
        <v>18.45</v>
      </c>
      <c r="QN11" s="23">
        <f t="shared" si="145"/>
        <v>5.4</v>
      </c>
      <c r="QO11" s="23">
        <f t="shared" si="146"/>
        <v>0.1</v>
      </c>
      <c r="QP11" s="23">
        <f t="shared" si="147"/>
        <v>0</v>
      </c>
      <c r="QQ11" s="23">
        <f t="shared" si="148"/>
        <v>18.5</v>
      </c>
      <c r="QR11" s="23">
        <f t="shared" si="149"/>
        <v>5.4</v>
      </c>
      <c r="QS11" s="23">
        <f t="shared" si="150"/>
        <v>0.4</v>
      </c>
      <c r="QT11" s="23">
        <f t="shared" si="151"/>
        <v>0</v>
      </c>
      <c r="QU11" s="23">
        <f t="shared" si="152"/>
        <v>18.5</v>
      </c>
      <c r="QV11" s="23">
        <f t="shared" si="153"/>
        <v>6.2</v>
      </c>
      <c r="QW11" s="23">
        <f t="shared" si="154"/>
        <v>0.4</v>
      </c>
      <c r="QX11" s="23">
        <f t="shared" si="155"/>
        <v>0</v>
      </c>
      <c r="QY11" s="28" t="s">
        <v>57</v>
      </c>
      <c r="QZ11" s="41">
        <f t="shared" si="156"/>
        <v>11.149999999999999</v>
      </c>
      <c r="RA11" s="41">
        <f t="shared" si="157"/>
        <v>48.04999999999999</v>
      </c>
      <c r="RB11" s="41">
        <f t="shared" si="158"/>
        <v>23.75</v>
      </c>
      <c r="RC11" s="41">
        <f t="shared" si="159"/>
        <v>16.549999999999997</v>
      </c>
      <c r="RD11" s="41">
        <f t="shared" si="160"/>
        <v>71.799999999999983</v>
      </c>
      <c r="RE11" s="41">
        <f t="shared" si="161"/>
        <v>11.600000000000001</v>
      </c>
      <c r="RF11" s="41">
        <f t="shared" si="162"/>
        <v>47.800000000000004</v>
      </c>
      <c r="RG11" s="41">
        <f t="shared" si="163"/>
        <v>119.6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96</v>
      </c>
      <c r="C12" s="4" t="s">
        <v>6</v>
      </c>
      <c r="D12" s="4">
        <v>2004</v>
      </c>
      <c r="E12" s="9">
        <f t="shared" si="0"/>
        <v>167.90001197000487</v>
      </c>
      <c r="F12" s="3" t="str">
        <f t="shared" si="1"/>
        <v>P</v>
      </c>
      <c r="G12" s="3" t="str">
        <f t="shared" si="2"/>
        <v>P</v>
      </c>
      <c r="H12" s="37" t="str">
        <f t="shared" si="3"/>
        <v>Worlds Team</v>
      </c>
      <c r="I12" s="3" t="str">
        <f t="shared" si="4"/>
        <v>P</v>
      </c>
      <c r="J12" s="8">
        <f>IF(COUNT(AQ12,BT12,CW12)&gt;0,LARGE((AQ12,BT12,CW12),1),0)</f>
        <v>48.6</v>
      </c>
      <c r="K12" s="8" t="str">
        <f t="shared" si="5"/>
        <v>2023 Elite Canada</v>
      </c>
      <c r="L12" s="8">
        <f>IF(COUNT(AQ12,BT12,CW12)&gt;1,LARGE((AQ12,BT12,CW12),2),0)</f>
        <v>47.100000000000009</v>
      </c>
      <c r="M12" s="8" t="str">
        <f t="shared" si="6"/>
        <v>2023 Nationals</v>
      </c>
      <c r="N12" s="8">
        <f>IF(COUNT(AR12,BU12,CX12)&gt;0,LARGE((AR12,BU12,CX12),1),0)</f>
        <v>24</v>
      </c>
      <c r="O12" s="8" t="str">
        <f t="shared" si="7"/>
        <v>2023 Elite Canada</v>
      </c>
      <c r="P12" s="8">
        <f t="shared" si="8"/>
        <v>47.1</v>
      </c>
      <c r="Q12" s="8" t="str">
        <f t="shared" si="9"/>
        <v>2023 Elite Canada</v>
      </c>
      <c r="R12" s="8">
        <f t="shared" si="10"/>
        <v>1.0999999999999872</v>
      </c>
      <c r="S12" s="11" t="str">
        <f t="shared" si="11"/>
        <v>(Q1)</v>
      </c>
      <c r="T12" s="8" t="str">
        <f t="shared" si="12"/>
        <v>2023 World Cup POR 2 (July 8)</v>
      </c>
      <c r="U12" s="19">
        <v>18.5</v>
      </c>
      <c r="V12" s="19">
        <v>6</v>
      </c>
      <c r="W12" s="19">
        <v>0.2</v>
      </c>
      <c r="X12" s="19">
        <v>0</v>
      </c>
      <c r="Y12" s="19">
        <v>18.7</v>
      </c>
      <c r="Z12" s="19">
        <v>5.6</v>
      </c>
      <c r="AA12" s="19">
        <v>0</v>
      </c>
      <c r="AB12" s="19">
        <v>0</v>
      </c>
      <c r="AC12" s="19">
        <v>18.8</v>
      </c>
      <c r="AD12" s="19">
        <v>5.2</v>
      </c>
      <c r="AE12" s="19">
        <v>0</v>
      </c>
      <c r="AF12" s="19">
        <v>0</v>
      </c>
      <c r="AG12" s="19">
        <v>18.2</v>
      </c>
      <c r="AH12" s="19">
        <v>5.6</v>
      </c>
      <c r="AI12" s="19">
        <v>0.2</v>
      </c>
      <c r="AJ12" s="19">
        <v>0</v>
      </c>
      <c r="AK12" s="19">
        <v>18.7</v>
      </c>
      <c r="AL12" s="19">
        <v>5.6</v>
      </c>
      <c r="AM12" s="19">
        <v>0.8</v>
      </c>
      <c r="AN12" s="19">
        <v>0</v>
      </c>
      <c r="AO12" s="28"/>
      <c r="AP12" s="41">
        <f t="shared" si="13"/>
        <v>11.6</v>
      </c>
      <c r="AQ12" s="41">
        <f t="shared" si="14"/>
        <v>48.6</v>
      </c>
      <c r="AR12" s="41">
        <f t="shared" si="15"/>
        <v>24</v>
      </c>
      <c r="AS12" s="41">
        <f t="shared" si="16"/>
        <v>16.8</v>
      </c>
      <c r="AT12" s="41">
        <f t="shared" si="17"/>
        <v>72.599999999999994</v>
      </c>
      <c r="AU12" s="41">
        <f t="shared" si="18"/>
        <v>11.2</v>
      </c>
      <c r="AV12" s="41">
        <f t="shared" si="19"/>
        <v>47.1</v>
      </c>
      <c r="AW12" s="41">
        <f t="shared" si="20"/>
        <v>119.69999999999999</v>
      </c>
      <c r="AX12" s="18">
        <v>17</v>
      </c>
      <c r="AY12" s="18">
        <v>6.4</v>
      </c>
      <c r="AZ12" s="18">
        <v>0.8</v>
      </c>
      <c r="BA12" s="18">
        <v>0</v>
      </c>
      <c r="BB12" s="18">
        <v>19.3</v>
      </c>
      <c r="BC12" s="18">
        <v>5.2</v>
      </c>
      <c r="BD12" s="18">
        <v>0</v>
      </c>
      <c r="BE12" s="18">
        <v>0</v>
      </c>
      <c r="BF12" s="18">
        <v>18.7</v>
      </c>
      <c r="BG12" s="18">
        <v>5.2</v>
      </c>
      <c r="BH12" s="18">
        <v>0</v>
      </c>
      <c r="BI12" s="18">
        <v>0</v>
      </c>
      <c r="BJ12" s="18">
        <v>17.600000000000001</v>
      </c>
      <c r="BK12" s="18">
        <v>2.8</v>
      </c>
      <c r="BL12" s="18">
        <v>0</v>
      </c>
      <c r="BM12" s="18">
        <v>0</v>
      </c>
      <c r="BN12" s="18">
        <v>18.600000000000001</v>
      </c>
      <c r="BO12" s="18">
        <v>6</v>
      </c>
      <c r="BP12" s="18">
        <v>0.6</v>
      </c>
      <c r="BQ12" s="18">
        <v>0</v>
      </c>
      <c r="BR12" s="29"/>
      <c r="BS12" s="11">
        <f t="shared" si="21"/>
        <v>11.600000000000001</v>
      </c>
      <c r="BT12" s="11">
        <f t="shared" si="22"/>
        <v>47.100000000000009</v>
      </c>
      <c r="BU12" s="11">
        <f t="shared" si="23"/>
        <v>23.9</v>
      </c>
      <c r="BV12" s="11">
        <f t="shared" si="24"/>
        <v>16.8</v>
      </c>
      <c r="BW12" s="11">
        <f t="shared" si="25"/>
        <v>71</v>
      </c>
      <c r="BX12" s="11">
        <f t="shared" si="26"/>
        <v>8.8000000000000007</v>
      </c>
      <c r="BY12" s="11">
        <f t="shared" si="27"/>
        <v>44.4</v>
      </c>
      <c r="BZ12" s="11">
        <f t="shared" si="28"/>
        <v>115.4</v>
      </c>
      <c r="CA12" s="19">
        <v>18.600000000000001</v>
      </c>
      <c r="CB12" s="19">
        <v>6.4</v>
      </c>
      <c r="CC12" s="19">
        <v>0</v>
      </c>
      <c r="CD12" s="19">
        <v>0</v>
      </c>
      <c r="CE12" s="19">
        <v>18.100000000000001</v>
      </c>
      <c r="CF12" s="19">
        <v>4.4000000000000004</v>
      </c>
      <c r="CG12" s="19">
        <v>0.6</v>
      </c>
      <c r="CH12" s="19">
        <v>0</v>
      </c>
      <c r="CI12" s="19">
        <v>18.100000000000001</v>
      </c>
      <c r="CJ12" s="19">
        <v>5.2</v>
      </c>
      <c r="CK12" s="19">
        <v>0.6</v>
      </c>
      <c r="CL12" s="19">
        <v>0</v>
      </c>
      <c r="CM12" s="19">
        <v>18</v>
      </c>
      <c r="CN12" s="19">
        <v>6.4</v>
      </c>
      <c r="CO12" s="19">
        <v>0.6</v>
      </c>
      <c r="CP12" s="19">
        <v>0</v>
      </c>
      <c r="CQ12" s="19">
        <v>0</v>
      </c>
      <c r="CR12" s="19">
        <v>0</v>
      </c>
      <c r="CS12" s="19">
        <v>0</v>
      </c>
      <c r="CT12" s="19">
        <v>0</v>
      </c>
      <c r="CU12" s="28"/>
      <c r="CV12" s="41">
        <f t="shared" si="29"/>
        <v>10.8</v>
      </c>
      <c r="CW12" s="41">
        <f t="shared" si="30"/>
        <v>46.9</v>
      </c>
      <c r="CX12" s="41">
        <f t="shared" si="31"/>
        <v>22.7</v>
      </c>
      <c r="CY12" s="41">
        <f t="shared" si="32"/>
        <v>16</v>
      </c>
      <c r="CZ12" s="41">
        <f t="shared" si="33"/>
        <v>69.599999999999994</v>
      </c>
      <c r="DA12" s="41">
        <f t="shared" si="34"/>
        <v>6.4</v>
      </c>
      <c r="DB12" s="41">
        <f t="shared" si="35"/>
        <v>23.799999999999997</v>
      </c>
      <c r="DC12" s="41">
        <f t="shared" si="36"/>
        <v>93.399999999999991</v>
      </c>
      <c r="DD12" s="52">
        <f t="shared" si="37"/>
        <v>1.0999999999999872</v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>
        <v>16.7</v>
      </c>
      <c r="DT12" s="17">
        <v>6.9</v>
      </c>
      <c r="DU12" s="17">
        <v>0.2</v>
      </c>
      <c r="DV12" s="17">
        <v>0</v>
      </c>
      <c r="DW12" s="17">
        <v>17.600000000000001</v>
      </c>
      <c r="DX12" s="17">
        <v>2.8</v>
      </c>
      <c r="DY12" s="17">
        <v>0</v>
      </c>
      <c r="DZ12" s="17">
        <v>0</v>
      </c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>
        <f t="shared" si="45"/>
        <v>9.6999999999999993</v>
      </c>
      <c r="EG12" s="41">
        <f t="shared" si="46"/>
        <v>43.8</v>
      </c>
      <c r="EH12" s="41">
        <f t="shared" si="47"/>
        <v>43.8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>
        <v>18.7</v>
      </c>
      <c r="FL12" s="17">
        <v>6.4</v>
      </c>
      <c r="FM12" s="17">
        <v>0.2</v>
      </c>
      <c r="FN12" s="17">
        <v>0</v>
      </c>
      <c r="FO12" s="17">
        <v>16.600000000000001</v>
      </c>
      <c r="FP12" s="17">
        <v>6.9</v>
      </c>
      <c r="FQ12" s="17">
        <v>0.2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 t="shared" si="56"/>
        <v>13.3</v>
      </c>
      <c r="GF12" s="41">
        <f t="shared" si="57"/>
        <v>48.199999999999996</v>
      </c>
      <c r="GG12" s="41" t="str">
        <f t="shared" si="58"/>
        <v/>
      </c>
      <c r="GH12" s="41">
        <f t="shared" si="59"/>
        <v>13.3</v>
      </c>
      <c r="GI12" s="41">
        <f t="shared" si="60"/>
        <v>48.199999999999996</v>
      </c>
      <c r="GJ12" s="41" t="str">
        <f t="shared" si="61"/>
        <v/>
      </c>
      <c r="GK12" s="41" t="str">
        <f t="shared" si="62"/>
        <v/>
      </c>
      <c r="GL12" s="41">
        <f t="shared" si="63"/>
        <v>48.199999999999996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17.399999999999999</v>
      </c>
      <c r="IV12" s="18">
        <v>2.8</v>
      </c>
      <c r="IW12" s="18">
        <v>0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 t="shared" si="80"/>
        <v>2.8</v>
      </c>
      <c r="JL12" s="11">
        <f t="shared" si="81"/>
        <v>20.2</v>
      </c>
      <c r="JM12" s="11" t="str">
        <f t="shared" si="82"/>
        <v/>
      </c>
      <c r="JN12" s="11">
        <f t="shared" si="83"/>
        <v>2.8</v>
      </c>
      <c r="JO12" s="11">
        <f t="shared" si="84"/>
        <v>20.2</v>
      </c>
      <c r="JP12" s="11" t="str">
        <f t="shared" si="85"/>
        <v/>
      </c>
      <c r="JQ12" s="11" t="str">
        <f t="shared" si="86"/>
        <v/>
      </c>
      <c r="JR12" s="11">
        <f t="shared" si="87"/>
        <v>20.2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17.8</v>
      </c>
      <c r="QF12" s="23">
        <f t="shared" si="137"/>
        <v>6.4</v>
      </c>
      <c r="QG12" s="23">
        <f t="shared" si="138"/>
        <v>0.4</v>
      </c>
      <c r="QH12" s="23">
        <f t="shared" si="139"/>
        <v>0</v>
      </c>
      <c r="QI12" s="23">
        <f t="shared" si="140"/>
        <v>18.700000000000003</v>
      </c>
      <c r="QJ12" s="23">
        <f t="shared" si="141"/>
        <v>4.8000000000000007</v>
      </c>
      <c r="QK12" s="23">
        <f t="shared" si="142"/>
        <v>0.3</v>
      </c>
      <c r="QL12" s="23">
        <f t="shared" si="143"/>
        <v>0</v>
      </c>
      <c r="QM12" s="23">
        <f t="shared" si="144"/>
        <v>18.399999999999999</v>
      </c>
      <c r="QN12" s="23">
        <f t="shared" si="145"/>
        <v>5.2</v>
      </c>
      <c r="QO12" s="23">
        <f t="shared" si="146"/>
        <v>0.3</v>
      </c>
      <c r="QP12" s="23">
        <f t="shared" si="147"/>
        <v>0</v>
      </c>
      <c r="QQ12" s="23">
        <f t="shared" si="148"/>
        <v>17.8</v>
      </c>
      <c r="QR12" s="23">
        <f t="shared" si="149"/>
        <v>4.5999999999999996</v>
      </c>
      <c r="QS12" s="23">
        <f t="shared" si="150"/>
        <v>0.3</v>
      </c>
      <c r="QT12" s="23">
        <f t="shared" si="151"/>
        <v>0</v>
      </c>
      <c r="QU12" s="23">
        <f t="shared" si="152"/>
        <v>9.3000000000000007</v>
      </c>
      <c r="QV12" s="23">
        <f t="shared" si="153"/>
        <v>3</v>
      </c>
      <c r="QW12" s="23">
        <f t="shared" si="154"/>
        <v>0.3</v>
      </c>
      <c r="QX12" s="23">
        <f t="shared" si="155"/>
        <v>0</v>
      </c>
      <c r="QY12" s="28" t="s">
        <v>57</v>
      </c>
      <c r="QZ12" s="41">
        <f t="shared" si="156"/>
        <v>11.200000000000001</v>
      </c>
      <c r="RA12" s="41">
        <f t="shared" si="157"/>
        <v>47.000000000000007</v>
      </c>
      <c r="RB12" s="41">
        <f t="shared" si="158"/>
        <v>23.299999999999997</v>
      </c>
      <c r="RC12" s="41">
        <f t="shared" si="159"/>
        <v>16.400000000000002</v>
      </c>
      <c r="RD12" s="41">
        <f t="shared" si="160"/>
        <v>70.300000000000011</v>
      </c>
      <c r="RE12" s="41">
        <f t="shared" si="161"/>
        <v>7.6</v>
      </c>
      <c r="RF12" s="41">
        <f t="shared" si="162"/>
        <v>34.1</v>
      </c>
      <c r="RG12" s="41">
        <f t="shared" si="163"/>
        <v>104.4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75</v>
      </c>
      <c r="C13" s="4" t="s">
        <v>6</v>
      </c>
      <c r="D13" s="4">
        <v>2001</v>
      </c>
      <c r="E13" s="9">
        <f t="shared" si="0"/>
        <v>166.60001189000488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48.7</v>
      </c>
      <c r="K13" s="8" t="str">
        <f t="shared" si="5"/>
        <v>2023 Domestic 3rd Trial</v>
      </c>
      <c r="L13" s="8">
        <f>IF(COUNT(AQ13,BT13,CW13)&gt;1,LARGE((AQ13,BT13,CW13),2),0)</f>
        <v>47.300000000000004</v>
      </c>
      <c r="M13" s="8" t="str">
        <f t="shared" si="6"/>
        <v>2023 Elite Canada</v>
      </c>
      <c r="N13" s="8">
        <f>IF(COUNT(AR13,BU13,CX13)&gt;0,LARGE((AR13,BU13,CX13),1),0)</f>
        <v>22.9</v>
      </c>
      <c r="O13" s="8" t="str">
        <f t="shared" si="7"/>
        <v>2023 Elite Canada</v>
      </c>
      <c r="P13" s="8">
        <f t="shared" si="8"/>
        <v>47.7</v>
      </c>
      <c r="Q13" s="8" t="str">
        <f t="shared" si="9"/>
        <v>2023 Elite Canada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18.5</v>
      </c>
      <c r="V13" s="19">
        <v>5.6</v>
      </c>
      <c r="W13" s="19">
        <v>0</v>
      </c>
      <c r="X13" s="19">
        <v>0</v>
      </c>
      <c r="Y13" s="19">
        <v>18</v>
      </c>
      <c r="Z13" s="19">
        <v>6</v>
      </c>
      <c r="AA13" s="19">
        <v>0.8</v>
      </c>
      <c r="AB13" s="19">
        <v>0</v>
      </c>
      <c r="AC13" s="19">
        <v>18.3</v>
      </c>
      <c r="AD13" s="19">
        <v>5.2</v>
      </c>
      <c r="AE13" s="19">
        <v>0.6</v>
      </c>
      <c r="AF13" s="19">
        <v>0</v>
      </c>
      <c r="AG13" s="19">
        <v>18.399999999999999</v>
      </c>
      <c r="AH13" s="19">
        <v>5.6</v>
      </c>
      <c r="AI13" s="19">
        <v>0.2</v>
      </c>
      <c r="AJ13" s="19">
        <v>0</v>
      </c>
      <c r="AK13" s="19">
        <v>18.5</v>
      </c>
      <c r="AL13" s="19">
        <v>5.6</v>
      </c>
      <c r="AM13" s="19">
        <v>0.2</v>
      </c>
      <c r="AN13" s="19">
        <v>0</v>
      </c>
      <c r="AO13" s="28"/>
      <c r="AP13" s="41">
        <f t="shared" si="13"/>
        <v>11.6</v>
      </c>
      <c r="AQ13" s="41">
        <f t="shared" si="14"/>
        <v>47.300000000000004</v>
      </c>
      <c r="AR13" s="41">
        <f t="shared" si="15"/>
        <v>22.9</v>
      </c>
      <c r="AS13" s="41">
        <f t="shared" si="16"/>
        <v>16.8</v>
      </c>
      <c r="AT13" s="41">
        <f t="shared" si="17"/>
        <v>70.2</v>
      </c>
      <c r="AU13" s="41">
        <f t="shared" si="18"/>
        <v>11.2</v>
      </c>
      <c r="AV13" s="41">
        <f t="shared" si="19"/>
        <v>47.7</v>
      </c>
      <c r="AW13" s="41">
        <f t="shared" si="20"/>
        <v>117.9</v>
      </c>
      <c r="AX13" s="18">
        <v>17.399999999999999</v>
      </c>
      <c r="AY13" s="18">
        <v>2.8</v>
      </c>
      <c r="AZ13" s="18">
        <v>0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 t="shared" si="21"/>
        <v>2.8</v>
      </c>
      <c r="BT13" s="11">
        <f t="shared" si="22"/>
        <v>20.2</v>
      </c>
      <c r="BU13" s="11" t="str">
        <f t="shared" si="23"/>
        <v/>
      </c>
      <c r="BV13" s="11">
        <f t="shared" si="24"/>
        <v>2.8</v>
      </c>
      <c r="BW13" s="11">
        <f t="shared" si="25"/>
        <v>20.2</v>
      </c>
      <c r="BX13" s="11" t="str">
        <f t="shared" si="26"/>
        <v/>
      </c>
      <c r="BY13" s="11" t="str">
        <f t="shared" si="27"/>
        <v/>
      </c>
      <c r="BZ13" s="11">
        <f t="shared" si="28"/>
        <v>20.2</v>
      </c>
      <c r="CA13" s="19">
        <v>18.8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18</v>
      </c>
      <c r="CJ13" s="19">
        <v>4.8</v>
      </c>
      <c r="CK13" s="19">
        <v>0.6</v>
      </c>
      <c r="CL13" s="19">
        <v>0</v>
      </c>
      <c r="CM13" s="19">
        <v>18.7</v>
      </c>
      <c r="CN13" s="19">
        <v>5.6</v>
      </c>
      <c r="CO13" s="19">
        <v>0.6</v>
      </c>
      <c r="CP13" s="19">
        <v>0</v>
      </c>
      <c r="CQ13" s="19">
        <v>18.2</v>
      </c>
      <c r="CR13" s="19">
        <v>5.2</v>
      </c>
      <c r="CS13" s="19">
        <v>0</v>
      </c>
      <c r="CT13" s="19">
        <v>0</v>
      </c>
      <c r="CU13" s="28"/>
      <c r="CV13" s="41">
        <f t="shared" si="29"/>
        <v>11.6</v>
      </c>
      <c r="CW13" s="41">
        <f t="shared" si="30"/>
        <v>48.7</v>
      </c>
      <c r="CX13" s="41">
        <f t="shared" si="31"/>
        <v>22.2</v>
      </c>
      <c r="CY13" s="41">
        <f t="shared" si="32"/>
        <v>16.399999999999999</v>
      </c>
      <c r="CZ13" s="41">
        <f t="shared" si="33"/>
        <v>70.900000000000006</v>
      </c>
      <c r="DA13" s="41">
        <f t="shared" si="34"/>
        <v>10.8</v>
      </c>
      <c r="DB13" s="41">
        <f t="shared" si="35"/>
        <v>47.1</v>
      </c>
      <c r="DC13" s="41">
        <f t="shared" si="36"/>
        <v>118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18.100000000000001</v>
      </c>
      <c r="QF13" s="23">
        <f t="shared" si="137"/>
        <v>4.1999999999999993</v>
      </c>
      <c r="QG13" s="23">
        <f t="shared" si="138"/>
        <v>0</v>
      </c>
      <c r="QH13" s="23">
        <f t="shared" si="139"/>
        <v>0</v>
      </c>
      <c r="QI13" s="23">
        <f t="shared" si="140"/>
        <v>9.15</v>
      </c>
      <c r="QJ13" s="23">
        <f t="shared" si="141"/>
        <v>3</v>
      </c>
      <c r="QK13" s="23">
        <f t="shared" si="142"/>
        <v>0</v>
      </c>
      <c r="QL13" s="23">
        <f t="shared" si="143"/>
        <v>0</v>
      </c>
      <c r="QM13" s="23">
        <f t="shared" si="144"/>
        <v>9</v>
      </c>
      <c r="QN13" s="23">
        <f t="shared" si="145"/>
        <v>2.4</v>
      </c>
      <c r="QO13" s="23">
        <f t="shared" si="146"/>
        <v>0.3</v>
      </c>
      <c r="QP13" s="23">
        <f t="shared" si="147"/>
        <v>0</v>
      </c>
      <c r="QQ13" s="23">
        <f t="shared" si="148"/>
        <v>9.35</v>
      </c>
      <c r="QR13" s="23">
        <f t="shared" si="149"/>
        <v>2.8</v>
      </c>
      <c r="QS13" s="23">
        <f t="shared" si="150"/>
        <v>0.3</v>
      </c>
      <c r="QT13" s="23">
        <f t="shared" si="151"/>
        <v>0</v>
      </c>
      <c r="QU13" s="23">
        <f t="shared" si="152"/>
        <v>9.1</v>
      </c>
      <c r="QV13" s="23">
        <f t="shared" si="153"/>
        <v>2.6</v>
      </c>
      <c r="QW13" s="23">
        <f t="shared" si="154"/>
        <v>0</v>
      </c>
      <c r="QX13" s="23">
        <f t="shared" si="155"/>
        <v>0</v>
      </c>
      <c r="QY13" s="28" t="s">
        <v>57</v>
      </c>
      <c r="QZ13" s="41">
        <f t="shared" si="156"/>
        <v>7.1999999999999993</v>
      </c>
      <c r="RA13" s="41">
        <f t="shared" si="157"/>
        <v>34.450000000000003</v>
      </c>
      <c r="RB13" s="41">
        <f t="shared" si="158"/>
        <v>11.1</v>
      </c>
      <c r="RC13" s="41">
        <f t="shared" si="159"/>
        <v>9.6</v>
      </c>
      <c r="RD13" s="41">
        <f t="shared" si="160"/>
        <v>45.550000000000004</v>
      </c>
      <c r="RE13" s="41">
        <f t="shared" si="161"/>
        <v>5.4</v>
      </c>
      <c r="RF13" s="41">
        <f t="shared" si="162"/>
        <v>23.55</v>
      </c>
      <c r="RG13" s="41">
        <f t="shared" si="163"/>
        <v>69.100000000000009</v>
      </c>
    </row>
    <row r="14" spans="1:475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5" t="s">
        <v>221</v>
      </c>
      <c r="C14" s="4" t="s">
        <v>5</v>
      </c>
      <c r="D14" s="4">
        <v>2006</v>
      </c>
      <c r="E14" s="9">
        <f t="shared" si="0"/>
        <v>165.30001176000485</v>
      </c>
      <c r="F14" s="3" t="str">
        <f t="shared" si="1"/>
        <v>P</v>
      </c>
      <c r="G14" s="3" t="str">
        <f t="shared" si="2"/>
        <v>P</v>
      </c>
      <c r="H14" s="37" t="str">
        <f t="shared" si="3"/>
        <v>National Team</v>
      </c>
      <c r="I14" s="3" t="str">
        <f t="shared" si="4"/>
        <v/>
      </c>
      <c r="J14" s="8">
        <f>IF(COUNT(AQ14,BT14,CW14)&gt;0,LARGE((AQ14,BT14,CW14),1),0)</f>
        <v>48.599999999999994</v>
      </c>
      <c r="K14" s="8" t="str">
        <f t="shared" si="5"/>
        <v>2023 Domestic 3rd Trial</v>
      </c>
      <c r="L14" s="8">
        <f>IF(COUNT(AQ14,BT14,CW14)&gt;1,LARGE((AQ14,BT14,CW14),2),0)</f>
        <v>46.6</v>
      </c>
      <c r="M14" s="8" t="str">
        <f t="shared" si="6"/>
        <v>2023 Nationals</v>
      </c>
      <c r="N14" s="8">
        <f>IF(COUNT(AR14,BU14,CX14)&gt;0,LARGE((AR14,BU14,CX14),1),0)</f>
        <v>22.4</v>
      </c>
      <c r="O14" s="8" t="str">
        <f t="shared" si="7"/>
        <v>2023 Nationals</v>
      </c>
      <c r="P14" s="8">
        <f t="shared" si="8"/>
        <v>47.699999999999996</v>
      </c>
      <c r="Q14" s="8" t="str">
        <f t="shared" si="9"/>
        <v>2023 Domestic 3rd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 t="shared" si="13"/>
        <v/>
      </c>
      <c r="AQ14" s="41" t="str">
        <f t="shared" si="14"/>
        <v/>
      </c>
      <c r="AR14" s="41" t="str">
        <f t="shared" si="15"/>
        <v/>
      </c>
      <c r="AS14" s="41" t="str">
        <f t="shared" si="16"/>
        <v/>
      </c>
      <c r="AT14" s="41" t="str">
        <f t="shared" si="17"/>
        <v/>
      </c>
      <c r="AU14" s="41" t="str">
        <f t="shared" si="18"/>
        <v/>
      </c>
      <c r="AV14" s="41" t="str">
        <f t="shared" si="19"/>
        <v/>
      </c>
      <c r="AW14" s="41" t="str">
        <f t="shared" si="20"/>
        <v/>
      </c>
      <c r="AX14" s="18">
        <v>18.399999999999999</v>
      </c>
      <c r="AY14" s="18">
        <v>5.6</v>
      </c>
      <c r="AZ14" s="18">
        <v>0.8</v>
      </c>
      <c r="BA14" s="18">
        <v>0</v>
      </c>
      <c r="BB14" s="18">
        <v>18.399999999999999</v>
      </c>
      <c r="BC14" s="18">
        <v>6</v>
      </c>
      <c r="BD14" s="18">
        <v>1</v>
      </c>
      <c r="BE14" s="18">
        <v>0</v>
      </c>
      <c r="BF14" s="18">
        <v>17.7</v>
      </c>
      <c r="BG14" s="18">
        <v>5.2</v>
      </c>
      <c r="BH14" s="18">
        <v>0.8</v>
      </c>
      <c r="BI14" s="18">
        <v>0.3</v>
      </c>
      <c r="BJ14" s="18">
        <v>18</v>
      </c>
      <c r="BK14" s="18">
        <v>4.8</v>
      </c>
      <c r="BL14" s="18">
        <v>0.2</v>
      </c>
      <c r="BM14" s="18">
        <v>0</v>
      </c>
      <c r="BN14" s="18">
        <v>18</v>
      </c>
      <c r="BO14" s="18">
        <v>5.2</v>
      </c>
      <c r="BP14" s="18">
        <v>0.8</v>
      </c>
      <c r="BQ14" s="18">
        <v>0</v>
      </c>
      <c r="BR14" s="29"/>
      <c r="BS14" s="11">
        <f t="shared" si="21"/>
        <v>11.6</v>
      </c>
      <c r="BT14" s="11">
        <f t="shared" si="22"/>
        <v>46.6</v>
      </c>
      <c r="BU14" s="11">
        <f t="shared" si="23"/>
        <v>22.4</v>
      </c>
      <c r="BV14" s="11">
        <f t="shared" si="24"/>
        <v>16.8</v>
      </c>
      <c r="BW14" s="11">
        <f t="shared" si="25"/>
        <v>69</v>
      </c>
      <c r="BX14" s="11">
        <f t="shared" si="26"/>
        <v>10</v>
      </c>
      <c r="BY14" s="11">
        <f t="shared" si="27"/>
        <v>45</v>
      </c>
      <c r="BZ14" s="11">
        <f t="shared" si="28"/>
        <v>114</v>
      </c>
      <c r="CA14" s="19">
        <v>18.7</v>
      </c>
      <c r="CB14" s="19">
        <v>5.6</v>
      </c>
      <c r="CC14" s="19">
        <v>0</v>
      </c>
      <c r="CD14" s="19">
        <v>0</v>
      </c>
      <c r="CE14" s="19">
        <v>18.3</v>
      </c>
      <c r="CF14" s="19">
        <v>6</v>
      </c>
      <c r="CG14" s="19">
        <v>0</v>
      </c>
      <c r="CH14" s="19">
        <v>0</v>
      </c>
      <c r="CI14" s="19">
        <v>17.2</v>
      </c>
      <c r="CJ14" s="19">
        <v>2</v>
      </c>
      <c r="CK14" s="19">
        <v>0</v>
      </c>
      <c r="CL14" s="19">
        <v>0</v>
      </c>
      <c r="CM14" s="19">
        <v>18.3</v>
      </c>
      <c r="CN14" s="19">
        <v>5.6</v>
      </c>
      <c r="CO14" s="19">
        <v>0</v>
      </c>
      <c r="CP14" s="19">
        <v>0</v>
      </c>
      <c r="CQ14" s="19">
        <v>18.399999999999999</v>
      </c>
      <c r="CR14" s="19">
        <v>6</v>
      </c>
      <c r="CS14" s="19">
        <v>0.6</v>
      </c>
      <c r="CT14" s="19">
        <v>0</v>
      </c>
      <c r="CU14" s="28"/>
      <c r="CV14" s="41">
        <f t="shared" si="29"/>
        <v>11.6</v>
      </c>
      <c r="CW14" s="41">
        <f t="shared" si="30"/>
        <v>48.599999999999994</v>
      </c>
      <c r="CX14" s="41">
        <f t="shared" si="31"/>
        <v>19.2</v>
      </c>
      <c r="CY14" s="41">
        <f t="shared" si="32"/>
        <v>13.6</v>
      </c>
      <c r="CZ14" s="41">
        <f t="shared" si="33"/>
        <v>67.8</v>
      </c>
      <c r="DA14" s="41">
        <f t="shared" si="34"/>
        <v>11.6</v>
      </c>
      <c r="DB14" s="41">
        <f t="shared" si="35"/>
        <v>47.699999999999996</v>
      </c>
      <c r="DC14" s="41">
        <f t="shared" si="36"/>
        <v>115.5</v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18.549999999999997</v>
      </c>
      <c r="QF14" s="23">
        <f t="shared" si="137"/>
        <v>5.6</v>
      </c>
      <c r="QG14" s="23">
        <f t="shared" si="138"/>
        <v>0.4</v>
      </c>
      <c r="QH14" s="23">
        <f t="shared" si="139"/>
        <v>0</v>
      </c>
      <c r="QI14" s="23">
        <f t="shared" si="140"/>
        <v>18.350000000000001</v>
      </c>
      <c r="QJ14" s="23">
        <f t="shared" si="141"/>
        <v>6</v>
      </c>
      <c r="QK14" s="23">
        <f t="shared" si="142"/>
        <v>0.5</v>
      </c>
      <c r="QL14" s="23">
        <f t="shared" si="143"/>
        <v>0</v>
      </c>
      <c r="QM14" s="23">
        <f t="shared" si="144"/>
        <v>17.45</v>
      </c>
      <c r="QN14" s="23">
        <f t="shared" si="145"/>
        <v>3.6</v>
      </c>
      <c r="QO14" s="23">
        <f t="shared" si="146"/>
        <v>0.4</v>
      </c>
      <c r="QP14" s="23">
        <f t="shared" si="147"/>
        <v>0.15</v>
      </c>
      <c r="QQ14" s="23">
        <f t="shared" si="148"/>
        <v>18.149999999999999</v>
      </c>
      <c r="QR14" s="23">
        <f t="shared" si="149"/>
        <v>5.1999999999999993</v>
      </c>
      <c r="QS14" s="23">
        <f t="shared" si="150"/>
        <v>0.1</v>
      </c>
      <c r="QT14" s="23">
        <f t="shared" si="151"/>
        <v>0</v>
      </c>
      <c r="QU14" s="23">
        <f t="shared" si="152"/>
        <v>18.2</v>
      </c>
      <c r="QV14" s="23">
        <f t="shared" si="153"/>
        <v>5.6</v>
      </c>
      <c r="QW14" s="23">
        <f t="shared" si="154"/>
        <v>0.7</v>
      </c>
      <c r="QX14" s="23">
        <f t="shared" si="155"/>
        <v>0</v>
      </c>
      <c r="QY14" s="28" t="s">
        <v>57</v>
      </c>
      <c r="QZ14" s="41">
        <f t="shared" si="156"/>
        <v>11.6</v>
      </c>
      <c r="RA14" s="41">
        <f t="shared" si="157"/>
        <v>47.6</v>
      </c>
      <c r="RB14" s="41">
        <f t="shared" si="158"/>
        <v>20.8</v>
      </c>
      <c r="RC14" s="41">
        <f t="shared" si="159"/>
        <v>15.2</v>
      </c>
      <c r="RD14" s="41">
        <f t="shared" si="160"/>
        <v>68.400000000000006</v>
      </c>
      <c r="RE14" s="41">
        <f t="shared" si="161"/>
        <v>10.799999999999999</v>
      </c>
      <c r="RF14" s="41">
        <f t="shared" si="162"/>
        <v>46.35</v>
      </c>
      <c r="RG14" s="41">
        <f t="shared" si="163"/>
        <v>114.75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185</v>
      </c>
      <c r="C15" s="4" t="s">
        <v>8</v>
      </c>
      <c r="D15" s="4">
        <v>2002</v>
      </c>
      <c r="E15" s="9">
        <f t="shared" si="0"/>
        <v>166.20001184000472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47.199999999999996</v>
      </c>
      <c r="K15" s="8" t="str">
        <f t="shared" si="5"/>
        <v>2023 Nationals</v>
      </c>
      <c r="L15" s="8">
        <f>IF(COUNT(AQ15,BT15,CW15)&gt;1,LARGE((AQ15,BT15,CW15),2),0)</f>
        <v>47</v>
      </c>
      <c r="M15" s="8" t="str">
        <f t="shared" si="6"/>
        <v>2023 Elite Canada</v>
      </c>
      <c r="N15" s="8">
        <f>IF(COUNT(AR15,BU15,CX15)&gt;0,LARGE((AR15,BU15,CX15),1),0)</f>
        <v>24.2</v>
      </c>
      <c r="O15" s="8" t="str">
        <f t="shared" si="7"/>
        <v>2023 Domestic 3rd Trial</v>
      </c>
      <c r="P15" s="8">
        <f t="shared" si="8"/>
        <v>47.800000000000004</v>
      </c>
      <c r="Q15" s="8" t="str">
        <f t="shared" si="9"/>
        <v>2023 Nationals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18.2</v>
      </c>
      <c r="V15" s="19">
        <v>5.6</v>
      </c>
      <c r="W15" s="19">
        <v>0.6</v>
      </c>
      <c r="X15" s="19">
        <v>0</v>
      </c>
      <c r="Y15" s="19">
        <v>18.600000000000001</v>
      </c>
      <c r="Z15" s="19">
        <v>5.2</v>
      </c>
      <c r="AA15" s="19">
        <v>0</v>
      </c>
      <c r="AB15" s="19">
        <v>0</v>
      </c>
      <c r="AC15" s="19">
        <v>19</v>
      </c>
      <c r="AD15" s="19">
        <v>3.1</v>
      </c>
      <c r="AE15" s="19">
        <v>1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9">
        <v>18.8</v>
      </c>
      <c r="AL15" s="19">
        <v>5.2</v>
      </c>
      <c r="AM15" s="19">
        <v>0.8</v>
      </c>
      <c r="AN15" s="19">
        <v>0</v>
      </c>
      <c r="AO15" s="28"/>
      <c r="AP15" s="41">
        <f t="shared" si="13"/>
        <v>10.8</v>
      </c>
      <c r="AQ15" s="41">
        <f t="shared" si="14"/>
        <v>47</v>
      </c>
      <c r="AR15" s="41">
        <f t="shared" si="15"/>
        <v>21.1</v>
      </c>
      <c r="AS15" s="41">
        <f t="shared" si="16"/>
        <v>13.9</v>
      </c>
      <c r="AT15" s="41">
        <f t="shared" si="17"/>
        <v>68.099999999999994</v>
      </c>
      <c r="AU15" s="41">
        <f t="shared" si="18"/>
        <v>5.2</v>
      </c>
      <c r="AV15" s="41">
        <f t="shared" si="19"/>
        <v>23.2</v>
      </c>
      <c r="AW15" s="41">
        <f t="shared" si="20"/>
        <v>91.3</v>
      </c>
      <c r="AX15" s="18">
        <v>18.5</v>
      </c>
      <c r="AY15" s="18">
        <v>5.6</v>
      </c>
      <c r="AZ15" s="18">
        <v>0</v>
      </c>
      <c r="BA15" s="18">
        <v>0</v>
      </c>
      <c r="BB15" s="18">
        <v>18.7</v>
      </c>
      <c r="BC15" s="18">
        <v>4.4000000000000004</v>
      </c>
      <c r="BD15" s="18">
        <v>0</v>
      </c>
      <c r="BE15" s="18">
        <v>0</v>
      </c>
      <c r="BF15" s="18">
        <v>19</v>
      </c>
      <c r="BG15" s="18">
        <v>3.5</v>
      </c>
      <c r="BH15" s="18">
        <v>0.9</v>
      </c>
      <c r="BI15" s="18">
        <v>0</v>
      </c>
      <c r="BJ15" s="18">
        <v>18.8</v>
      </c>
      <c r="BK15" s="18">
        <v>5.6</v>
      </c>
      <c r="BL15" s="18">
        <v>0.2</v>
      </c>
      <c r="BM15" s="18">
        <v>0</v>
      </c>
      <c r="BN15" s="18">
        <v>18.600000000000001</v>
      </c>
      <c r="BO15" s="18">
        <v>5.2</v>
      </c>
      <c r="BP15" s="18">
        <v>0.2</v>
      </c>
      <c r="BQ15" s="18">
        <v>0</v>
      </c>
      <c r="BR15" s="29"/>
      <c r="BS15" s="11">
        <f t="shared" si="21"/>
        <v>10</v>
      </c>
      <c r="BT15" s="11">
        <f t="shared" si="22"/>
        <v>47.199999999999996</v>
      </c>
      <c r="BU15" s="11">
        <f t="shared" si="23"/>
        <v>21.6</v>
      </c>
      <c r="BV15" s="11">
        <f t="shared" si="24"/>
        <v>13.5</v>
      </c>
      <c r="BW15" s="11">
        <f t="shared" si="25"/>
        <v>68.8</v>
      </c>
      <c r="BX15" s="11">
        <f t="shared" si="26"/>
        <v>10.8</v>
      </c>
      <c r="BY15" s="11">
        <f t="shared" si="27"/>
        <v>47.800000000000004</v>
      </c>
      <c r="BZ15" s="11">
        <f t="shared" si="28"/>
        <v>116.6</v>
      </c>
      <c r="CA15" s="19">
        <v>18.3</v>
      </c>
      <c r="CB15" s="19">
        <v>5.6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19</v>
      </c>
      <c r="CJ15" s="19">
        <v>5.2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9"/>
        <v>5.6</v>
      </c>
      <c r="CW15" s="41">
        <f t="shared" si="30"/>
        <v>23.9</v>
      </c>
      <c r="CX15" s="41">
        <f t="shared" si="31"/>
        <v>24.2</v>
      </c>
      <c r="CY15" s="41">
        <f t="shared" si="32"/>
        <v>10.8</v>
      </c>
      <c r="CZ15" s="41">
        <f t="shared" si="33"/>
        <v>48.099999999999994</v>
      </c>
      <c r="DA15" s="41" t="str">
        <f t="shared" si="34"/>
        <v/>
      </c>
      <c r="DB15" s="41" t="str">
        <f t="shared" si="35"/>
        <v/>
      </c>
      <c r="DC15" s="41">
        <f t="shared" si="36"/>
        <v>48.099999999999994</v>
      </c>
      <c r="DD15" s="52" t="str">
        <f t="shared" si="37"/>
        <v/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>
        <v>18.600000000000001</v>
      </c>
      <c r="IR15" s="18">
        <v>5.6</v>
      </c>
      <c r="IS15" s="18">
        <v>0</v>
      </c>
      <c r="IT15" s="18">
        <v>0</v>
      </c>
      <c r="IU15" s="18">
        <v>18.5</v>
      </c>
      <c r="IV15" s="18">
        <v>5.2</v>
      </c>
      <c r="IW15" s="18">
        <v>1</v>
      </c>
      <c r="IX15" s="18">
        <v>0</v>
      </c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>
        <f t="shared" si="80"/>
        <v>10.8</v>
      </c>
      <c r="JL15" s="11">
        <f t="shared" si="81"/>
        <v>46.900000000000006</v>
      </c>
      <c r="JM15" s="11" t="str">
        <f t="shared" si="82"/>
        <v/>
      </c>
      <c r="JN15" s="11">
        <f t="shared" si="83"/>
        <v>10.8</v>
      </c>
      <c r="JO15" s="11">
        <f t="shared" si="84"/>
        <v>46.900000000000006</v>
      </c>
      <c r="JP15" s="11" t="str">
        <f t="shared" si="85"/>
        <v/>
      </c>
      <c r="JQ15" s="11" t="str">
        <f t="shared" si="86"/>
        <v/>
      </c>
      <c r="JR15" s="11">
        <f t="shared" si="87"/>
        <v>46.900000000000006</v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18.399999999999999</v>
      </c>
      <c r="QF15" s="23">
        <f t="shared" si="137"/>
        <v>5.6</v>
      </c>
      <c r="QG15" s="23">
        <f t="shared" si="138"/>
        <v>0</v>
      </c>
      <c r="QH15" s="23">
        <f t="shared" si="139"/>
        <v>0</v>
      </c>
      <c r="QI15" s="23">
        <f t="shared" si="140"/>
        <v>9.35</v>
      </c>
      <c r="QJ15" s="23">
        <f t="shared" si="141"/>
        <v>2.2000000000000002</v>
      </c>
      <c r="QK15" s="23">
        <f t="shared" si="142"/>
        <v>0</v>
      </c>
      <c r="QL15" s="23">
        <f t="shared" si="143"/>
        <v>0</v>
      </c>
      <c r="QM15" s="23">
        <f t="shared" si="144"/>
        <v>19</v>
      </c>
      <c r="QN15" s="23">
        <f t="shared" si="145"/>
        <v>4.3499999999999996</v>
      </c>
      <c r="QO15" s="23">
        <f t="shared" si="146"/>
        <v>0.45</v>
      </c>
      <c r="QP15" s="23">
        <f t="shared" si="147"/>
        <v>0</v>
      </c>
      <c r="QQ15" s="23">
        <f t="shared" si="148"/>
        <v>9.4</v>
      </c>
      <c r="QR15" s="23">
        <f t="shared" si="149"/>
        <v>2.8</v>
      </c>
      <c r="QS15" s="23">
        <f t="shared" si="150"/>
        <v>0.1</v>
      </c>
      <c r="QT15" s="23">
        <f t="shared" si="151"/>
        <v>0</v>
      </c>
      <c r="QU15" s="23">
        <f t="shared" si="152"/>
        <v>9.3000000000000007</v>
      </c>
      <c r="QV15" s="23">
        <f t="shared" si="153"/>
        <v>2.6</v>
      </c>
      <c r="QW15" s="23">
        <f t="shared" si="154"/>
        <v>0.1</v>
      </c>
      <c r="QX15" s="23">
        <f t="shared" si="155"/>
        <v>0</v>
      </c>
      <c r="QY15" s="28" t="s">
        <v>57</v>
      </c>
      <c r="QZ15" s="41">
        <f t="shared" si="156"/>
        <v>7.8</v>
      </c>
      <c r="RA15" s="41">
        <f t="shared" si="157"/>
        <v>35.550000000000004</v>
      </c>
      <c r="RB15" s="41">
        <f t="shared" si="158"/>
        <v>22.900000000000002</v>
      </c>
      <c r="RC15" s="41">
        <f t="shared" si="159"/>
        <v>12.149999999999999</v>
      </c>
      <c r="RD15" s="41">
        <f t="shared" si="160"/>
        <v>58.45</v>
      </c>
      <c r="RE15" s="41">
        <f t="shared" si="161"/>
        <v>5.4</v>
      </c>
      <c r="RF15" s="41">
        <f t="shared" si="162"/>
        <v>23.900000000000002</v>
      </c>
      <c r="RG15" s="41">
        <f t="shared" si="163"/>
        <v>82.350000000000009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223</v>
      </c>
      <c r="C16" s="4" t="s">
        <v>5</v>
      </c>
      <c r="D16" s="4">
        <v>1999</v>
      </c>
      <c r="E16" s="9">
        <f t="shared" si="0"/>
        <v>162.80001155000471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46.800000000000004</v>
      </c>
      <c r="K16" s="8" t="str">
        <f t="shared" si="5"/>
        <v>2023 Nationals</v>
      </c>
      <c r="L16" s="8">
        <f>IF(COUNT(AQ16,BT16,CW16)&gt;1,LARGE((AQ16,BT16,CW16),2),0)</f>
        <v>45.3</v>
      </c>
      <c r="M16" s="8" t="str">
        <f t="shared" si="6"/>
        <v>2023 Elite Canada</v>
      </c>
      <c r="N16" s="8">
        <f>IF(COUNT(AR16,BU16,CX16)&gt;0,LARGE((AR16,BU16,CX16),1),0)</f>
        <v>23.400000000000002</v>
      </c>
      <c r="O16" s="8" t="str">
        <f t="shared" si="7"/>
        <v>2023 Elite Canada</v>
      </c>
      <c r="P16" s="8">
        <f t="shared" si="8"/>
        <v>47.3</v>
      </c>
      <c r="Q16" s="8" t="str">
        <f t="shared" si="9"/>
        <v>2023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18.2</v>
      </c>
      <c r="V16" s="19">
        <v>4.8</v>
      </c>
      <c r="W16" s="19">
        <v>0.2</v>
      </c>
      <c r="X16" s="19">
        <v>0</v>
      </c>
      <c r="Y16" s="19">
        <v>19</v>
      </c>
      <c r="Z16" s="19">
        <v>3.5</v>
      </c>
      <c r="AA16" s="19">
        <v>0</v>
      </c>
      <c r="AB16" s="19">
        <v>0</v>
      </c>
      <c r="AC16" s="19">
        <v>18.3</v>
      </c>
      <c r="AD16" s="19">
        <v>4.8</v>
      </c>
      <c r="AE16" s="19">
        <v>0</v>
      </c>
      <c r="AF16" s="19">
        <v>0.3</v>
      </c>
      <c r="AG16" s="19">
        <v>19</v>
      </c>
      <c r="AH16" s="19">
        <v>4.8</v>
      </c>
      <c r="AI16" s="19">
        <v>0</v>
      </c>
      <c r="AJ16" s="19">
        <v>0</v>
      </c>
      <c r="AK16" s="19">
        <v>18.399999999999999</v>
      </c>
      <c r="AL16" s="19">
        <v>4.8</v>
      </c>
      <c r="AM16" s="19">
        <v>0</v>
      </c>
      <c r="AN16" s="19">
        <v>0.3</v>
      </c>
      <c r="AO16" s="28"/>
      <c r="AP16" s="41">
        <f t="shared" si="13"/>
        <v>8.3000000000000007</v>
      </c>
      <c r="AQ16" s="41">
        <f t="shared" si="14"/>
        <v>45.3</v>
      </c>
      <c r="AR16" s="41">
        <f t="shared" si="15"/>
        <v>23.400000000000002</v>
      </c>
      <c r="AS16" s="41">
        <f t="shared" si="16"/>
        <v>13.100000000000001</v>
      </c>
      <c r="AT16" s="41">
        <f t="shared" si="17"/>
        <v>68.7</v>
      </c>
      <c r="AU16" s="41">
        <f t="shared" si="18"/>
        <v>9.6</v>
      </c>
      <c r="AV16" s="41">
        <f t="shared" si="19"/>
        <v>47.3</v>
      </c>
      <c r="AW16" s="41">
        <f t="shared" si="20"/>
        <v>116</v>
      </c>
      <c r="AX16" s="18">
        <v>18.600000000000001</v>
      </c>
      <c r="AY16" s="18">
        <v>5.2</v>
      </c>
      <c r="AZ16" s="18">
        <v>0</v>
      </c>
      <c r="BA16" s="18">
        <v>0</v>
      </c>
      <c r="BB16" s="18">
        <v>18.399999999999999</v>
      </c>
      <c r="BC16" s="18">
        <v>5.2</v>
      </c>
      <c r="BD16" s="18">
        <v>0.6</v>
      </c>
      <c r="BE16" s="18">
        <v>0</v>
      </c>
      <c r="BF16" s="18">
        <v>17</v>
      </c>
      <c r="BG16" s="18">
        <v>2.4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 t="shared" si="21"/>
        <v>10.4</v>
      </c>
      <c r="BT16" s="11">
        <f t="shared" si="22"/>
        <v>46.800000000000004</v>
      </c>
      <c r="BU16" s="11">
        <f t="shared" si="23"/>
        <v>19.399999999999999</v>
      </c>
      <c r="BV16" s="11">
        <f t="shared" si="24"/>
        <v>12.8</v>
      </c>
      <c r="BW16" s="11">
        <f t="shared" si="25"/>
        <v>66.2</v>
      </c>
      <c r="BX16" s="11" t="str">
        <f t="shared" si="26"/>
        <v/>
      </c>
      <c r="BY16" s="11" t="str">
        <f t="shared" si="27"/>
        <v/>
      </c>
      <c r="BZ16" s="11">
        <f t="shared" si="28"/>
        <v>66.2</v>
      </c>
      <c r="CA16" s="19">
        <v>0</v>
      </c>
      <c r="CB16" s="19">
        <v>0</v>
      </c>
      <c r="CC16" s="19">
        <v>0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 t="shared" si="29"/>
        <v/>
      </c>
      <c r="CW16" s="41" t="str">
        <f t="shared" si="30"/>
        <v/>
      </c>
      <c r="CX16" s="41" t="str">
        <f t="shared" si="31"/>
        <v/>
      </c>
      <c r="CY16" s="41" t="str">
        <f t="shared" si="32"/>
        <v/>
      </c>
      <c r="CZ16" s="41" t="str">
        <f t="shared" si="33"/>
        <v/>
      </c>
      <c r="DA16" s="41" t="str">
        <f t="shared" si="34"/>
        <v/>
      </c>
      <c r="DB16" s="41" t="str">
        <f t="shared" si="35"/>
        <v/>
      </c>
      <c r="DC16" s="41" t="str">
        <f t="shared" si="36"/>
        <v/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9.3000000000000007</v>
      </c>
      <c r="QF16" s="23">
        <f t="shared" si="137"/>
        <v>2.6</v>
      </c>
      <c r="QG16" s="23">
        <f t="shared" si="138"/>
        <v>0</v>
      </c>
      <c r="QH16" s="23">
        <f t="shared" si="139"/>
        <v>0</v>
      </c>
      <c r="QI16" s="23">
        <f t="shared" si="140"/>
        <v>9.1999999999999993</v>
      </c>
      <c r="QJ16" s="23">
        <f t="shared" si="141"/>
        <v>2.6</v>
      </c>
      <c r="QK16" s="23">
        <f t="shared" si="142"/>
        <v>0.3</v>
      </c>
      <c r="QL16" s="23">
        <f t="shared" si="143"/>
        <v>0</v>
      </c>
      <c r="QM16" s="23">
        <f t="shared" si="144"/>
        <v>8.5</v>
      </c>
      <c r="QN16" s="23">
        <f t="shared" si="145"/>
        <v>1.2</v>
      </c>
      <c r="QO16" s="23">
        <f t="shared" si="146"/>
        <v>0</v>
      </c>
      <c r="QP16" s="23">
        <f t="shared" si="147"/>
        <v>0</v>
      </c>
      <c r="QQ16" s="23">
        <f t="shared" si="148"/>
        <v>0</v>
      </c>
      <c r="QR16" s="23">
        <f t="shared" si="149"/>
        <v>0</v>
      </c>
      <c r="QS16" s="23">
        <f t="shared" si="150"/>
        <v>0</v>
      </c>
      <c r="QT16" s="23">
        <f t="shared" si="151"/>
        <v>0</v>
      </c>
      <c r="QU16" s="23">
        <f t="shared" si="152"/>
        <v>0</v>
      </c>
      <c r="QV16" s="23">
        <f t="shared" si="153"/>
        <v>0</v>
      </c>
      <c r="QW16" s="23">
        <f t="shared" si="154"/>
        <v>0</v>
      </c>
      <c r="QX16" s="23">
        <f t="shared" si="155"/>
        <v>0</v>
      </c>
      <c r="QY16" s="28" t="s">
        <v>57</v>
      </c>
      <c r="QZ16" s="41">
        <f t="shared" si="156"/>
        <v>5.2</v>
      </c>
      <c r="RA16" s="41">
        <f t="shared" si="157"/>
        <v>23.400000000000002</v>
      </c>
      <c r="RB16" s="41">
        <f t="shared" si="158"/>
        <v>9.6999999999999993</v>
      </c>
      <c r="RC16" s="41">
        <f t="shared" si="159"/>
        <v>6.4</v>
      </c>
      <c r="RD16" s="41">
        <f t="shared" si="160"/>
        <v>33.1</v>
      </c>
      <c r="RE16" s="41" t="str">
        <f t="shared" si="161"/>
        <v/>
      </c>
      <c r="RF16" s="41" t="str">
        <f t="shared" si="162"/>
        <v/>
      </c>
      <c r="RG16" s="41">
        <f t="shared" si="163"/>
        <v>33.1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91</v>
      </c>
      <c r="C17" s="4" t="s">
        <v>6</v>
      </c>
      <c r="D17" s="4">
        <v>2003</v>
      </c>
      <c r="E17" s="9">
        <f t="shared" si="0"/>
        <v>110.6000110600045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45.099999999999994</v>
      </c>
      <c r="K17" s="8" t="str">
        <f t="shared" si="5"/>
        <v>2023 Nationals</v>
      </c>
      <c r="L17" s="8">
        <f>IF(COUNT(AQ17,BT17,CW17)&gt;1,LARGE((AQ17,BT17,CW17),2),0)</f>
        <v>42.9</v>
      </c>
      <c r="M17" s="8" t="str">
        <f t="shared" si="6"/>
        <v>2023 Elite Canada</v>
      </c>
      <c r="N17" s="8">
        <f>IF(COUNT(AR17,BU17,CX17)&gt;0,LARGE((AR17,BU17,CX17),1),0)</f>
        <v>22.6</v>
      </c>
      <c r="O17" s="8" t="str">
        <f t="shared" si="7"/>
        <v>2023 Nationals</v>
      </c>
      <c r="P17" s="8">
        <f t="shared" si="8"/>
        <v>0</v>
      </c>
      <c r="Q17" s="8" t="str">
        <f t="shared" si="9"/>
        <v/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17.399999999999999</v>
      </c>
      <c r="V17" s="19">
        <v>2.9</v>
      </c>
      <c r="W17" s="19">
        <v>1.2</v>
      </c>
      <c r="X17" s="19">
        <v>0</v>
      </c>
      <c r="Y17" s="19">
        <v>18.2</v>
      </c>
      <c r="Z17" s="19">
        <v>5.6</v>
      </c>
      <c r="AA17" s="19">
        <v>0</v>
      </c>
      <c r="AB17" s="19">
        <v>0</v>
      </c>
      <c r="AC17" s="19">
        <v>17</v>
      </c>
      <c r="AD17" s="19">
        <v>2.8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 t="shared" si="13"/>
        <v>8.5</v>
      </c>
      <c r="AQ17" s="41">
        <f t="shared" si="14"/>
        <v>42.9</v>
      </c>
      <c r="AR17" s="41">
        <f t="shared" si="15"/>
        <v>19.8</v>
      </c>
      <c r="AS17" s="41">
        <f t="shared" si="16"/>
        <v>11.3</v>
      </c>
      <c r="AT17" s="41">
        <f t="shared" si="17"/>
        <v>62.7</v>
      </c>
      <c r="AU17" s="41" t="str">
        <f t="shared" si="18"/>
        <v/>
      </c>
      <c r="AV17" s="41" t="str">
        <f t="shared" si="19"/>
        <v/>
      </c>
      <c r="AW17" s="41">
        <f t="shared" si="20"/>
        <v>62.7</v>
      </c>
      <c r="AX17" s="18">
        <v>18</v>
      </c>
      <c r="AY17" s="18">
        <v>5.6</v>
      </c>
      <c r="AZ17" s="18">
        <v>0.2</v>
      </c>
      <c r="BA17" s="18">
        <v>0</v>
      </c>
      <c r="BB17" s="18">
        <v>16.2</v>
      </c>
      <c r="BC17" s="18">
        <v>6</v>
      </c>
      <c r="BD17" s="18">
        <v>0.8</v>
      </c>
      <c r="BE17" s="18">
        <v>0.3</v>
      </c>
      <c r="BF17" s="18">
        <v>18</v>
      </c>
      <c r="BG17" s="18">
        <v>4.8</v>
      </c>
      <c r="BH17" s="18">
        <v>0.2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 t="shared" si="21"/>
        <v>11.6</v>
      </c>
      <c r="BT17" s="11">
        <f t="shared" si="22"/>
        <v>45.099999999999994</v>
      </c>
      <c r="BU17" s="11">
        <f t="shared" si="23"/>
        <v>22.6</v>
      </c>
      <c r="BV17" s="11">
        <f t="shared" si="24"/>
        <v>16.399999999999999</v>
      </c>
      <c r="BW17" s="11">
        <f t="shared" si="25"/>
        <v>67.699999999999989</v>
      </c>
      <c r="BX17" s="11" t="str">
        <f t="shared" si="26"/>
        <v/>
      </c>
      <c r="BY17" s="11" t="str">
        <f t="shared" si="27"/>
        <v/>
      </c>
      <c r="BZ17" s="11">
        <f t="shared" si="28"/>
        <v>67.699999999999989</v>
      </c>
      <c r="CA17" s="19">
        <v>16.399999999999999</v>
      </c>
      <c r="CB17" s="19">
        <v>5.2</v>
      </c>
      <c r="CC17" s="19">
        <v>0.8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 t="shared" si="29"/>
        <v>5.2</v>
      </c>
      <c r="CW17" s="41">
        <f t="shared" si="30"/>
        <v>20.799999999999997</v>
      </c>
      <c r="CX17" s="41" t="str">
        <f t="shared" si="31"/>
        <v/>
      </c>
      <c r="CY17" s="41">
        <f t="shared" si="32"/>
        <v>5.2</v>
      </c>
      <c r="CZ17" s="41">
        <f t="shared" si="33"/>
        <v>20.799999999999997</v>
      </c>
      <c r="DA17" s="41" t="str">
        <f t="shared" si="34"/>
        <v/>
      </c>
      <c r="DB17" s="41" t="str">
        <f t="shared" si="35"/>
        <v/>
      </c>
      <c r="DC17" s="41">
        <f t="shared" si="36"/>
        <v>20.799999999999997</v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17.2</v>
      </c>
      <c r="QF17" s="23">
        <f t="shared" si="137"/>
        <v>5.4</v>
      </c>
      <c r="QG17" s="23">
        <f t="shared" si="138"/>
        <v>0.5</v>
      </c>
      <c r="QH17" s="23">
        <f t="shared" si="139"/>
        <v>0</v>
      </c>
      <c r="QI17" s="23">
        <f t="shared" si="140"/>
        <v>8.1</v>
      </c>
      <c r="QJ17" s="23">
        <f t="shared" si="141"/>
        <v>3</v>
      </c>
      <c r="QK17" s="23">
        <f t="shared" si="142"/>
        <v>0.4</v>
      </c>
      <c r="QL17" s="23">
        <f t="shared" si="143"/>
        <v>0.15</v>
      </c>
      <c r="QM17" s="23">
        <f t="shared" si="144"/>
        <v>9</v>
      </c>
      <c r="QN17" s="23">
        <f t="shared" si="145"/>
        <v>2.4</v>
      </c>
      <c r="QO17" s="23">
        <f t="shared" si="146"/>
        <v>0.1</v>
      </c>
      <c r="QP17" s="23">
        <f t="shared" si="147"/>
        <v>0</v>
      </c>
      <c r="QQ17" s="23">
        <f t="shared" si="148"/>
        <v>0</v>
      </c>
      <c r="QR17" s="23">
        <f t="shared" si="149"/>
        <v>0</v>
      </c>
      <c r="QS17" s="23">
        <f t="shared" si="150"/>
        <v>0</v>
      </c>
      <c r="QT17" s="23">
        <f t="shared" si="151"/>
        <v>0</v>
      </c>
      <c r="QU17" s="23">
        <f t="shared" si="152"/>
        <v>0</v>
      </c>
      <c r="QV17" s="23">
        <f t="shared" si="153"/>
        <v>0</v>
      </c>
      <c r="QW17" s="23">
        <f t="shared" si="154"/>
        <v>0</v>
      </c>
      <c r="QX17" s="23">
        <f t="shared" si="155"/>
        <v>0</v>
      </c>
      <c r="QY17" s="28" t="s">
        <v>57</v>
      </c>
      <c r="QZ17" s="41">
        <f t="shared" si="156"/>
        <v>8.4</v>
      </c>
      <c r="RA17" s="41">
        <f t="shared" si="157"/>
        <v>32.950000000000003</v>
      </c>
      <c r="RB17" s="41">
        <f t="shared" si="158"/>
        <v>11.3</v>
      </c>
      <c r="RC17" s="41">
        <f t="shared" si="159"/>
        <v>10.8</v>
      </c>
      <c r="RD17" s="41">
        <f t="shared" si="160"/>
        <v>44.25</v>
      </c>
      <c r="RE17" s="41" t="str">
        <f t="shared" si="161"/>
        <v/>
      </c>
      <c r="RF17" s="41" t="str">
        <f t="shared" si="162"/>
        <v/>
      </c>
      <c r="RG17" s="41">
        <f t="shared" si="163"/>
        <v>44.25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186</v>
      </c>
      <c r="C18" s="4" t="s">
        <v>6</v>
      </c>
      <c r="D18" s="4">
        <v>2001</v>
      </c>
      <c r="E18" s="9">
        <f t="shared" si="0"/>
        <v>105.30001053000427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IF(COUNT(AQ18,BT18,CW18)&gt;0,LARGE((AQ18,BT18,CW18),1),0)</f>
        <v>42.9</v>
      </c>
      <c r="K18" s="8" t="str">
        <f t="shared" si="5"/>
        <v>2023 Nationals</v>
      </c>
      <c r="L18" s="8">
        <f>IF(COUNT(AQ18,BT18,CW18)&gt;1,LARGE((AQ18,BT18,CW18),2),0)</f>
        <v>40.299999999999997</v>
      </c>
      <c r="M18" s="8" t="str">
        <f t="shared" si="6"/>
        <v>2023 Elite Canada</v>
      </c>
      <c r="N18" s="8">
        <f>IF(COUNT(AR18,BU18,CX18)&gt;0,LARGE((AR18,BU18,CX18),1),0)</f>
        <v>22.099999999999998</v>
      </c>
      <c r="O18" s="8" t="str">
        <f t="shared" si="7"/>
        <v>2023 Elite Canada</v>
      </c>
      <c r="P18" s="8">
        <f t="shared" si="8"/>
        <v>0</v>
      </c>
      <c r="Q18" s="8" t="str">
        <f t="shared" si="9"/>
        <v/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>
        <v>18.3</v>
      </c>
      <c r="V18" s="19">
        <v>3.1</v>
      </c>
      <c r="W18" s="19">
        <v>1</v>
      </c>
      <c r="X18" s="19">
        <v>0</v>
      </c>
      <c r="Y18" s="19">
        <v>17.100000000000001</v>
      </c>
      <c r="Z18" s="19">
        <v>2.8</v>
      </c>
      <c r="AA18" s="19">
        <v>0</v>
      </c>
      <c r="AB18" s="19">
        <v>0</v>
      </c>
      <c r="AC18" s="19">
        <v>17.899999999999999</v>
      </c>
      <c r="AD18" s="19">
        <v>4.8</v>
      </c>
      <c r="AE18" s="19">
        <v>0.6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 t="shared" si="13"/>
        <v>5.9</v>
      </c>
      <c r="AQ18" s="41">
        <f t="shared" si="14"/>
        <v>40.299999999999997</v>
      </c>
      <c r="AR18" s="41">
        <f t="shared" si="15"/>
        <v>22.099999999999998</v>
      </c>
      <c r="AS18" s="41">
        <f t="shared" si="16"/>
        <v>10.7</v>
      </c>
      <c r="AT18" s="41">
        <f t="shared" si="17"/>
        <v>62.399999999999991</v>
      </c>
      <c r="AU18" s="41" t="str">
        <f t="shared" si="18"/>
        <v/>
      </c>
      <c r="AV18" s="41" t="str">
        <f t="shared" si="19"/>
        <v/>
      </c>
      <c r="AW18" s="41">
        <f t="shared" si="20"/>
        <v>62.399999999999991</v>
      </c>
      <c r="AX18" s="18">
        <v>16.2</v>
      </c>
      <c r="AY18" s="18">
        <v>5.2</v>
      </c>
      <c r="AZ18" s="18">
        <v>0.8</v>
      </c>
      <c r="BA18" s="18">
        <v>0</v>
      </c>
      <c r="BB18" s="18">
        <v>18.100000000000001</v>
      </c>
      <c r="BC18" s="18">
        <v>4.8</v>
      </c>
      <c r="BD18" s="18">
        <v>0.6</v>
      </c>
      <c r="BE18" s="18">
        <v>0</v>
      </c>
      <c r="BF18" s="18">
        <v>17</v>
      </c>
      <c r="BG18" s="18">
        <v>2.4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9"/>
      <c r="BS18" s="11">
        <f t="shared" si="21"/>
        <v>10</v>
      </c>
      <c r="BT18" s="11">
        <f t="shared" si="22"/>
        <v>42.9</v>
      </c>
      <c r="BU18" s="11">
        <f t="shared" si="23"/>
        <v>19.399999999999999</v>
      </c>
      <c r="BV18" s="11">
        <f t="shared" si="24"/>
        <v>12.4</v>
      </c>
      <c r="BW18" s="11">
        <f t="shared" si="25"/>
        <v>62.3</v>
      </c>
      <c r="BX18" s="11" t="str">
        <f t="shared" si="26"/>
        <v/>
      </c>
      <c r="BY18" s="11" t="str">
        <f t="shared" si="27"/>
        <v/>
      </c>
      <c r="BZ18" s="11">
        <f t="shared" si="28"/>
        <v>62.3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 t="shared" si="29"/>
        <v/>
      </c>
      <c r="CW18" s="41" t="str">
        <f t="shared" si="30"/>
        <v/>
      </c>
      <c r="CX18" s="41" t="str">
        <f t="shared" si="31"/>
        <v/>
      </c>
      <c r="CY18" s="41" t="str">
        <f t="shared" si="32"/>
        <v/>
      </c>
      <c r="CZ18" s="41" t="str">
        <f t="shared" si="33"/>
        <v/>
      </c>
      <c r="DA18" s="41" t="str">
        <f t="shared" si="34"/>
        <v/>
      </c>
      <c r="DB18" s="41" t="str">
        <f t="shared" si="35"/>
        <v/>
      </c>
      <c r="DC18" s="41" t="str">
        <f t="shared" si="36"/>
        <v/>
      </c>
      <c r="DD18" s="52" t="str">
        <f t="shared" si="37"/>
        <v/>
      </c>
      <c r="DE18" s="52" t="str">
        <f t="shared" si="38"/>
        <v/>
      </c>
      <c r="DF18" s="52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40"/>
        <v/>
      </c>
      <c r="EB18" s="41" t="str">
        <f t="shared" si="41"/>
        <v/>
      </c>
      <c r="EC18" s="41" t="str">
        <f t="shared" si="42"/>
        <v/>
      </c>
      <c r="ED18" s="41" t="str">
        <f t="shared" si="43"/>
        <v/>
      </c>
      <c r="EE18" s="41" t="str">
        <f t="shared" si="44"/>
        <v/>
      </c>
      <c r="EF18" s="41" t="str">
        <f t="shared" si="45"/>
        <v/>
      </c>
      <c r="EG18" s="41" t="str">
        <f t="shared" si="46"/>
        <v/>
      </c>
      <c r="EH18" s="41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6"/>
        <v/>
      </c>
      <c r="GF18" s="41" t="str">
        <f t="shared" si="57"/>
        <v/>
      </c>
      <c r="GG18" s="41" t="str">
        <f t="shared" si="58"/>
        <v/>
      </c>
      <c r="GH18" s="41" t="str">
        <f t="shared" si="59"/>
        <v/>
      </c>
      <c r="GI18" s="41" t="str">
        <f t="shared" si="60"/>
        <v/>
      </c>
      <c r="GJ18" s="41" t="str">
        <f t="shared" si="61"/>
        <v/>
      </c>
      <c r="GK18" s="41" t="str">
        <f t="shared" si="62"/>
        <v/>
      </c>
      <c r="GL18" s="41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2"/>
        <v/>
      </c>
      <c r="IJ18" s="41" t="str">
        <f t="shared" si="73"/>
        <v/>
      </c>
      <c r="IK18" s="41" t="str">
        <f t="shared" si="74"/>
        <v/>
      </c>
      <c r="IL18" s="41" t="str">
        <f t="shared" si="75"/>
        <v/>
      </c>
      <c r="IM18" s="41" t="str">
        <f t="shared" si="76"/>
        <v/>
      </c>
      <c r="IN18" s="41" t="str">
        <f t="shared" si="77"/>
        <v/>
      </c>
      <c r="IO18" s="41" t="str">
        <f t="shared" si="78"/>
        <v/>
      </c>
      <c r="IP18" s="41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8"/>
        <v/>
      </c>
      <c r="KN18" s="41" t="str">
        <f t="shared" si="89"/>
        <v/>
      </c>
      <c r="KO18" s="41" t="str">
        <f t="shared" si="90"/>
        <v/>
      </c>
      <c r="KP18" s="41" t="str">
        <f t="shared" si="91"/>
        <v/>
      </c>
      <c r="KQ18" s="41" t="str">
        <f t="shared" si="92"/>
        <v/>
      </c>
      <c r="KR18" s="41" t="str">
        <f t="shared" si="93"/>
        <v/>
      </c>
      <c r="KS18" s="41" t="str">
        <f t="shared" si="94"/>
        <v/>
      </c>
      <c r="KT18" s="41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4"/>
        <v/>
      </c>
      <c r="MR18" s="41" t="str">
        <f t="shared" si="105"/>
        <v/>
      </c>
      <c r="MS18" s="41" t="str">
        <f t="shared" si="106"/>
        <v/>
      </c>
      <c r="MT18" s="41" t="str">
        <f t="shared" si="107"/>
        <v/>
      </c>
      <c r="MU18" s="41" t="str">
        <f t="shared" si="108"/>
        <v/>
      </c>
      <c r="MV18" s="41" t="str">
        <f t="shared" si="109"/>
        <v/>
      </c>
      <c r="MW18" s="41" t="str">
        <f t="shared" si="110"/>
        <v/>
      </c>
      <c r="MX18" s="41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20"/>
        <v/>
      </c>
      <c r="OV18" s="41" t="str">
        <f t="shared" si="121"/>
        <v/>
      </c>
      <c r="OW18" s="41" t="str">
        <f t="shared" si="122"/>
        <v/>
      </c>
      <c r="OX18" s="41" t="str">
        <f t="shared" si="123"/>
        <v/>
      </c>
      <c r="OY18" s="41" t="str">
        <f t="shared" si="124"/>
        <v/>
      </c>
      <c r="OZ18" s="41" t="str">
        <f t="shared" si="125"/>
        <v/>
      </c>
      <c r="PA18" s="41" t="str">
        <f t="shared" si="126"/>
        <v/>
      </c>
      <c r="PB18" s="41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3">
        <f t="shared" si="136"/>
        <v>8.1</v>
      </c>
      <c r="QF18" s="23">
        <f t="shared" si="137"/>
        <v>2.6</v>
      </c>
      <c r="QG18" s="23">
        <f t="shared" si="138"/>
        <v>0.4</v>
      </c>
      <c r="QH18" s="23">
        <f t="shared" si="139"/>
        <v>0</v>
      </c>
      <c r="QI18" s="23">
        <f t="shared" si="140"/>
        <v>9.0500000000000007</v>
      </c>
      <c r="QJ18" s="23">
        <f t="shared" si="141"/>
        <v>2.4</v>
      </c>
      <c r="QK18" s="23">
        <f t="shared" si="142"/>
        <v>0.3</v>
      </c>
      <c r="QL18" s="23">
        <f t="shared" si="143"/>
        <v>0</v>
      </c>
      <c r="QM18" s="23">
        <f t="shared" si="144"/>
        <v>8.5</v>
      </c>
      <c r="QN18" s="23">
        <f t="shared" si="145"/>
        <v>1.2</v>
      </c>
      <c r="QO18" s="23">
        <f t="shared" si="146"/>
        <v>0</v>
      </c>
      <c r="QP18" s="23">
        <f t="shared" si="147"/>
        <v>0</v>
      </c>
      <c r="QQ18" s="23">
        <f t="shared" si="148"/>
        <v>0</v>
      </c>
      <c r="QR18" s="23">
        <f t="shared" si="149"/>
        <v>0</v>
      </c>
      <c r="QS18" s="23">
        <f t="shared" si="150"/>
        <v>0</v>
      </c>
      <c r="QT18" s="23">
        <f t="shared" si="151"/>
        <v>0</v>
      </c>
      <c r="QU18" s="23">
        <f t="shared" si="152"/>
        <v>0</v>
      </c>
      <c r="QV18" s="23">
        <f t="shared" si="153"/>
        <v>0</v>
      </c>
      <c r="QW18" s="23">
        <f t="shared" si="154"/>
        <v>0</v>
      </c>
      <c r="QX18" s="23">
        <f t="shared" si="155"/>
        <v>0</v>
      </c>
      <c r="QY18" s="28" t="s">
        <v>57</v>
      </c>
      <c r="QZ18" s="41">
        <f t="shared" si="156"/>
        <v>5</v>
      </c>
      <c r="RA18" s="41">
        <f t="shared" si="157"/>
        <v>21.45</v>
      </c>
      <c r="RB18" s="41">
        <f t="shared" si="158"/>
        <v>9.6999999999999993</v>
      </c>
      <c r="RC18" s="41">
        <f t="shared" si="159"/>
        <v>6.2</v>
      </c>
      <c r="RD18" s="41">
        <f t="shared" si="160"/>
        <v>31.15</v>
      </c>
      <c r="RE18" s="41" t="str">
        <f t="shared" si="161"/>
        <v/>
      </c>
      <c r="RF18" s="41" t="str">
        <f t="shared" si="162"/>
        <v/>
      </c>
      <c r="RG18" s="41">
        <f t="shared" si="163"/>
        <v>31.15</v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8">
      <sortCondition descending="1" ref="F1:F19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8">
    <cfRule type="expression" dxfId="28" priority="6" stopIfTrue="1">
      <formula>IF($AO4&lt;&gt;"",1,0)</formula>
    </cfRule>
  </conditionalFormatting>
  <conditionalFormatting sqref="AX4:BZ18">
    <cfRule type="expression" dxfId="27" priority="11" stopIfTrue="1">
      <formula>IF($BR4&lt;&gt;"",1,0)</formula>
    </cfRule>
  </conditionalFormatting>
  <conditionalFormatting sqref="M1:M3 O1:O3 K1:K1048576 Q1:Q1048576 M4:O1048576">
    <cfRule type="expression" dxfId="26" priority="18">
      <formula>IF(K1=$CA$1,1,0)</formula>
    </cfRule>
    <cfRule type="expression" dxfId="25" priority="19">
      <formula>IF(K1=$AX$1,1,0)</formula>
    </cfRule>
    <cfRule type="expression" dxfId="24" priority="20">
      <formula>IF(K1=$U$1,1,0)</formula>
    </cfRule>
  </conditionalFormatting>
  <conditionalFormatting sqref="CA4:DC18">
    <cfRule type="expression" dxfId="23" priority="12" stopIfTrue="1">
      <formula>IF($CU4&lt;&gt;"",1,0)</formula>
    </cfRule>
  </conditionalFormatting>
  <conditionalFormatting sqref="A4:A1048576">
    <cfRule type="expression" dxfId="22" priority="1">
      <formula>AND(G4="P",F4="")</formula>
    </cfRule>
    <cfRule type="expression" dxfId="21" priority="21">
      <formula>IF(A4&gt;8,1,0)</formula>
    </cfRule>
  </conditionalFormatting>
  <conditionalFormatting sqref="H1:H1048576">
    <cfRule type="containsText" dxfId="20" priority="13" operator="containsText" text="No DD">
      <formula>NOT(ISERROR(SEARCH("No DD",H1)))</formula>
    </cfRule>
    <cfRule type="containsText" dxfId="19" priority="14" operator="containsText" text="Merit">
      <formula>NOT(ISERROR(SEARCH("Merit",H1)))</formula>
    </cfRule>
    <cfRule type="containsText" dxfId="18" priority="15" operator="containsText" text="Excellence">
      <formula>NOT(ISERROR(SEARCH("Excellence",H1)))</formula>
    </cfRule>
    <cfRule type="containsText" dxfId="17" priority="16" operator="containsText" text="Worlds Team">
      <formula>NOT(ISERROR(SEARCH("Worlds Team",H1)))</formula>
    </cfRule>
    <cfRule type="containsText" dxfId="16" priority="17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3" operator="between">
      <formula>AW$28</formula>
      <formula>1000</formula>
    </cfRule>
    <cfRule type="cellIs" dxfId="14" priority="60354" operator="between">
      <formula>AW$27</formula>
      <formula>AW$28</formula>
    </cfRule>
    <cfRule type="cellIs" dxfId="13" priority="60355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90068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90113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90158" operator="between">
      <formula>AW$21</formula>
      <formula>AW$22</formula>
    </cfRule>
    <cfRule type="cellIs" dxfId="9" priority="90159" operator="between">
      <formula>AW$22</formula>
      <formula>AW$23</formula>
    </cfRule>
    <cfRule type="cellIs" dxfId="8" priority="90160" operator="between">
      <formula>AW$23</formula>
      <formula>AW$24</formula>
    </cfRule>
    <cfRule type="cellIs" dxfId="7" priority="90161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90338" operator="between">
      <formula>AW$25</formula>
      <formula>AW$26</formula>
    </cfRule>
    <cfRule type="cellIs" dxfId="5" priority="90339" operator="between">
      <formula>AW$26</formula>
      <formula>AW$27</formula>
    </cfRule>
    <cfRule type="cellIs" dxfId="4" priority="90340" operator="between">
      <formula>AW$27</formula>
      <formula>AW$28</formula>
    </cfRule>
    <cfRule type="cellIs" dxfId="3" priority="90341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90518" operator="between">
      <formula>AW$24</formula>
      <formula>1000</formula>
    </cfRule>
    <cfRule type="cellIs" dxfId="1" priority="90519" operator="between">
      <formula>AW$23</formula>
      <formula>AW$24</formula>
    </cfRule>
    <cfRule type="cellIs" dxfId="0" priority="90520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2024-01-14T20:43:56Z</dcterms:modified>
</cp:coreProperties>
</file>