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CA6684C-C0BE-3F4F-9CA1-81E01DF1D5E7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'TRA-M'!$A$1:$TV$19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17" i="21" l="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OU11" i="21"/>
  <c r="PA9" i="21"/>
  <c r="OZ9" i="21"/>
  <c r="OX9" i="21"/>
  <c r="OW9" i="21"/>
  <c r="OV9" i="21"/>
  <c r="OU9" i="21"/>
  <c r="PA10" i="21"/>
  <c r="OZ10" i="21"/>
  <c r="OX10" i="21"/>
  <c r="OW10" i="21"/>
  <c r="OV10" i="21"/>
  <c r="OU10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9" i="21"/>
  <c r="NX9" i="21"/>
  <c r="NV9" i="21"/>
  <c r="NU9" i="21"/>
  <c r="NT9" i="21"/>
  <c r="NS9" i="21"/>
  <c r="NY10" i="21"/>
  <c r="NX10" i="21"/>
  <c r="NV10" i="21"/>
  <c r="NU10" i="21"/>
  <c r="NT10" i="21"/>
  <c r="NS10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9" i="21"/>
  <c r="MV9" i="21"/>
  <c r="MT9" i="21"/>
  <c r="MS9" i="21"/>
  <c r="MR9" i="21"/>
  <c r="MQ9" i="21"/>
  <c r="MW10" i="21"/>
  <c r="MV10" i="21"/>
  <c r="MT10" i="21"/>
  <c r="MS10" i="21"/>
  <c r="MR10" i="21"/>
  <c r="MQ10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9" i="21"/>
  <c r="LT9" i="21"/>
  <c r="LR9" i="21"/>
  <c r="LQ9" i="21"/>
  <c r="LP9" i="21"/>
  <c r="LO9" i="21"/>
  <c r="LU10" i="21"/>
  <c r="LT10" i="21"/>
  <c r="LR10" i="21"/>
  <c r="LQ10" i="21"/>
  <c r="LP10" i="21"/>
  <c r="LO10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9" i="21"/>
  <c r="KR9" i="21"/>
  <c r="KP9" i="21"/>
  <c r="KO9" i="21"/>
  <c r="KN9" i="21"/>
  <c r="KM9" i="21"/>
  <c r="KS10" i="21"/>
  <c r="KR10" i="21"/>
  <c r="KP10" i="21"/>
  <c r="KO10" i="21"/>
  <c r="KN10" i="21"/>
  <c r="KM10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9" i="21"/>
  <c r="JP9" i="21"/>
  <c r="JN9" i="21"/>
  <c r="JM9" i="21"/>
  <c r="JL9" i="21"/>
  <c r="JK9" i="21"/>
  <c r="JQ10" i="21"/>
  <c r="JP10" i="21"/>
  <c r="JN10" i="21"/>
  <c r="JM10" i="21"/>
  <c r="JL10" i="21"/>
  <c r="JK10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9" i="21"/>
  <c r="IN9" i="21"/>
  <c r="IL9" i="21"/>
  <c r="IK9" i="21"/>
  <c r="IJ9" i="21"/>
  <c r="II9" i="21"/>
  <c r="IO10" i="21"/>
  <c r="IN10" i="21"/>
  <c r="IL10" i="21"/>
  <c r="IK10" i="21"/>
  <c r="IJ10" i="21"/>
  <c r="II10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9" i="21"/>
  <c r="HL9" i="21"/>
  <c r="HJ9" i="21"/>
  <c r="HI9" i="21"/>
  <c r="HH9" i="21"/>
  <c r="HG9" i="21"/>
  <c r="HM10" i="21"/>
  <c r="HL10" i="21"/>
  <c r="HJ10" i="21"/>
  <c r="HI10" i="21"/>
  <c r="HH10" i="21"/>
  <c r="HG10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9" i="21"/>
  <c r="GJ9" i="21"/>
  <c r="GH9" i="21"/>
  <c r="GG9" i="21"/>
  <c r="GF9" i="21"/>
  <c r="GE9" i="21"/>
  <c r="GK10" i="21"/>
  <c r="GJ10" i="21"/>
  <c r="GH10" i="21"/>
  <c r="GG10" i="21"/>
  <c r="GF10" i="21"/>
  <c r="GE10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9" i="21"/>
  <c r="FH9" i="21"/>
  <c r="FF9" i="21"/>
  <c r="FE9" i="21"/>
  <c r="FD9" i="21"/>
  <c r="FC9" i="21"/>
  <c r="FI10" i="21"/>
  <c r="FH10" i="21"/>
  <c r="FF10" i="21"/>
  <c r="FE10" i="21"/>
  <c r="FD10" i="21"/>
  <c r="FC10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9" i="21"/>
  <c r="EF9" i="21"/>
  <c r="ED9" i="21"/>
  <c r="EC9" i="21"/>
  <c r="EB9" i="21"/>
  <c r="EA9" i="21"/>
  <c r="EG10" i="21"/>
  <c r="EF10" i="21"/>
  <c r="ED10" i="21"/>
  <c r="EC10" i="21"/>
  <c r="EB10" i="21"/>
  <c r="EA10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8" i="19"/>
  <c r="OZ28" i="19"/>
  <c r="OX28" i="19"/>
  <c r="OW28" i="19"/>
  <c r="OV28" i="19"/>
  <c r="PB28" i="19" s="1"/>
  <c r="OU28" i="19"/>
  <c r="PA26" i="19"/>
  <c r="OZ26" i="19"/>
  <c r="OX26" i="19"/>
  <c r="OW26" i="19"/>
  <c r="OV26" i="19"/>
  <c r="PB26" i="19" s="1"/>
  <c r="OU26" i="19"/>
  <c r="PA25" i="19"/>
  <c r="OZ25" i="19"/>
  <c r="OX25" i="19"/>
  <c r="OW25" i="19"/>
  <c r="OV25" i="19"/>
  <c r="PB25" i="19" s="1"/>
  <c r="OU25" i="19"/>
  <c r="PA24" i="19"/>
  <c r="OZ24" i="19"/>
  <c r="OX24" i="19"/>
  <c r="OW24" i="19"/>
  <c r="OV24" i="19"/>
  <c r="OU24" i="19"/>
  <c r="PA27" i="19"/>
  <c r="OZ27" i="19"/>
  <c r="OX27" i="19"/>
  <c r="OW27" i="19"/>
  <c r="OV27" i="19"/>
  <c r="OU27" i="19"/>
  <c r="PA23" i="19"/>
  <c r="OZ23" i="19"/>
  <c r="OX23" i="19"/>
  <c r="OW23" i="19"/>
  <c r="OV23" i="19"/>
  <c r="PB23" i="19" s="1"/>
  <c r="OU23" i="19"/>
  <c r="PA22" i="19"/>
  <c r="OZ22" i="19"/>
  <c r="OX22" i="19"/>
  <c r="OW22" i="19"/>
  <c r="OV22" i="19"/>
  <c r="PB22" i="19" s="1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PB19" i="19" s="1"/>
  <c r="OU19" i="19"/>
  <c r="PA18" i="19"/>
  <c r="OZ18" i="19"/>
  <c r="OX18" i="19"/>
  <c r="OW18" i="19"/>
  <c r="OV18" i="19"/>
  <c r="PB18" i="19" s="1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4" i="19"/>
  <c r="OZ14" i="19"/>
  <c r="OX14" i="19"/>
  <c r="OW14" i="19"/>
  <c r="OV14" i="19"/>
  <c r="PB14" i="19" s="1"/>
  <c r="OU14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2" i="19"/>
  <c r="OZ12" i="19"/>
  <c r="OX12" i="19"/>
  <c r="OW12" i="19"/>
  <c r="OV12" i="19"/>
  <c r="PB12" i="19" s="1"/>
  <c r="OU12" i="19"/>
  <c r="PA10" i="19"/>
  <c r="OZ10" i="19"/>
  <c r="OX10" i="19"/>
  <c r="OW10" i="19"/>
  <c r="OV10" i="19"/>
  <c r="PB10" i="19" s="1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11" i="19"/>
  <c r="OZ11" i="19"/>
  <c r="OX11" i="19"/>
  <c r="OW11" i="19"/>
  <c r="OV11" i="19"/>
  <c r="OU11" i="19"/>
  <c r="PA7" i="19"/>
  <c r="OZ7" i="19"/>
  <c r="OX7" i="19"/>
  <c r="OW7" i="19"/>
  <c r="OV7" i="19"/>
  <c r="PB7" i="19" s="1"/>
  <c r="OU7" i="19"/>
  <c r="PA6" i="19"/>
  <c r="OZ6" i="19"/>
  <c r="OX6" i="19"/>
  <c r="OW6" i="19"/>
  <c r="OV6" i="19"/>
  <c r="PB6" i="19" s="1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8" i="19"/>
  <c r="NX28" i="19"/>
  <c r="NV28" i="19"/>
  <c r="NU28" i="19"/>
  <c r="NT28" i="19"/>
  <c r="NZ28" i="19" s="1"/>
  <c r="NS28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7" i="19"/>
  <c r="NX27" i="19"/>
  <c r="NV27" i="19"/>
  <c r="NU27" i="19"/>
  <c r="NT27" i="19"/>
  <c r="NZ27" i="19" s="1"/>
  <c r="NS27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Z21" i="19" s="1"/>
  <c r="NS21" i="19"/>
  <c r="NY20" i="19"/>
  <c r="NX20" i="19"/>
  <c r="NV20" i="19"/>
  <c r="NU20" i="19"/>
  <c r="NT20" i="19"/>
  <c r="NZ20" i="19" s="1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Z17" i="19" s="1"/>
  <c r="NS17" i="19"/>
  <c r="NY16" i="19"/>
  <c r="NX16" i="19"/>
  <c r="NV16" i="19"/>
  <c r="NU16" i="19"/>
  <c r="NT16" i="19"/>
  <c r="NZ16" i="19" s="1"/>
  <c r="NS16" i="19"/>
  <c r="NY14" i="19"/>
  <c r="NX14" i="19"/>
  <c r="NV14" i="19"/>
  <c r="NU14" i="19"/>
  <c r="NT14" i="19"/>
  <c r="NS14" i="19"/>
  <c r="NY15" i="19"/>
  <c r="NX15" i="19"/>
  <c r="NV15" i="19"/>
  <c r="NU15" i="19"/>
  <c r="NT15" i="19"/>
  <c r="NS15" i="19"/>
  <c r="NY13" i="19"/>
  <c r="NX13" i="19"/>
  <c r="NV13" i="19"/>
  <c r="NU13" i="19"/>
  <c r="NT13" i="19"/>
  <c r="NZ13" i="19" s="1"/>
  <c r="NS13" i="19"/>
  <c r="NY12" i="19"/>
  <c r="NX12" i="19"/>
  <c r="NV12" i="19"/>
  <c r="NU12" i="19"/>
  <c r="NT12" i="19"/>
  <c r="NS12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11" i="19"/>
  <c r="NX11" i="19"/>
  <c r="NV11" i="19"/>
  <c r="NU11" i="19"/>
  <c r="NT11" i="19"/>
  <c r="NS11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8" i="19"/>
  <c r="MV28" i="19"/>
  <c r="MT28" i="19"/>
  <c r="MS28" i="19"/>
  <c r="MR28" i="19"/>
  <c r="MQ28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7" i="19"/>
  <c r="MV27" i="19"/>
  <c r="MT27" i="19"/>
  <c r="MS27" i="19"/>
  <c r="MR27" i="19"/>
  <c r="MQ27" i="19"/>
  <c r="MW23" i="19"/>
  <c r="MV23" i="19"/>
  <c r="MT23" i="19"/>
  <c r="MS23" i="19"/>
  <c r="MR23" i="19"/>
  <c r="MQ23" i="19"/>
  <c r="MW22" i="19"/>
  <c r="MV22" i="19"/>
  <c r="MT22" i="19"/>
  <c r="MS22" i="19"/>
  <c r="MR22" i="19"/>
  <c r="MX22" i="19" s="1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X18" i="19" s="1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5" i="19"/>
  <c r="MV15" i="19"/>
  <c r="MT15" i="19"/>
  <c r="MS15" i="19"/>
  <c r="MR15" i="19"/>
  <c r="MX15" i="19" s="1"/>
  <c r="MQ15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0" i="19"/>
  <c r="MV10" i="19"/>
  <c r="MT10" i="19"/>
  <c r="MS10" i="19"/>
  <c r="MR10" i="19"/>
  <c r="MQ10" i="19"/>
  <c r="MW9" i="19"/>
  <c r="MV9" i="19"/>
  <c r="MT9" i="19"/>
  <c r="MS9" i="19"/>
  <c r="MR9" i="19"/>
  <c r="MX9" i="19" s="1"/>
  <c r="MQ9" i="19"/>
  <c r="MW8" i="19"/>
  <c r="MV8" i="19"/>
  <c r="MT8" i="19"/>
  <c r="MS8" i="19"/>
  <c r="MR8" i="19"/>
  <c r="MQ8" i="19"/>
  <c r="MW11" i="19"/>
  <c r="MV11" i="19"/>
  <c r="MT11" i="19"/>
  <c r="MS11" i="19"/>
  <c r="MR11" i="19"/>
  <c r="MQ11" i="19"/>
  <c r="MW7" i="19"/>
  <c r="MV7" i="19"/>
  <c r="MT7" i="19"/>
  <c r="MS7" i="19"/>
  <c r="MR7" i="19"/>
  <c r="MQ7" i="19"/>
  <c r="MW6" i="19"/>
  <c r="MV6" i="19"/>
  <c r="MT6" i="19"/>
  <c r="MS6" i="19"/>
  <c r="MR6" i="19"/>
  <c r="MX6" i="19" s="1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8" i="19"/>
  <c r="LT28" i="19"/>
  <c r="LR28" i="19"/>
  <c r="LQ28" i="19"/>
  <c r="LP28" i="19"/>
  <c r="LO28" i="19"/>
  <c r="LU26" i="19"/>
  <c r="LT26" i="19"/>
  <c r="LR26" i="19"/>
  <c r="LQ26" i="19"/>
  <c r="LP26" i="19"/>
  <c r="LV26" i="19" s="1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7" i="19"/>
  <c r="LT27" i="19"/>
  <c r="LR27" i="19"/>
  <c r="LQ27" i="19"/>
  <c r="LP27" i="19"/>
  <c r="LO27" i="19"/>
  <c r="LU23" i="19"/>
  <c r="LT23" i="19"/>
  <c r="LR23" i="19"/>
  <c r="LQ23" i="19"/>
  <c r="LP23" i="19"/>
  <c r="LV23" i="19" s="1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V19" i="19" s="1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4" i="19"/>
  <c r="LT14" i="19"/>
  <c r="LR14" i="19"/>
  <c r="LQ14" i="19"/>
  <c r="LP14" i="19"/>
  <c r="LV14" i="19" s="1"/>
  <c r="LO14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0" i="19"/>
  <c r="LT10" i="19"/>
  <c r="LR10" i="19"/>
  <c r="LQ10" i="19"/>
  <c r="LP10" i="19"/>
  <c r="LV10" i="19" s="1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11" i="19"/>
  <c r="LT11" i="19"/>
  <c r="LR11" i="19"/>
  <c r="LQ11" i="19"/>
  <c r="LP11" i="19"/>
  <c r="LO11" i="19"/>
  <c r="LU7" i="19"/>
  <c r="LT7" i="19"/>
  <c r="LR7" i="19"/>
  <c r="LQ7" i="19"/>
  <c r="LP7" i="19"/>
  <c r="LV7" i="19" s="1"/>
  <c r="LO7" i="19"/>
  <c r="LU6" i="19"/>
  <c r="LT6" i="19"/>
  <c r="LR6" i="19"/>
  <c r="LQ6" i="19"/>
  <c r="LP6" i="19"/>
  <c r="LV6" i="19" s="1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8" i="19"/>
  <c r="KR28" i="19"/>
  <c r="KP28" i="19"/>
  <c r="KO28" i="19"/>
  <c r="KN28" i="19"/>
  <c r="KT28" i="19" s="1"/>
  <c r="KM28" i="19"/>
  <c r="KS26" i="19"/>
  <c r="KR26" i="19"/>
  <c r="KP26" i="19"/>
  <c r="KO26" i="19"/>
  <c r="KN26" i="19"/>
  <c r="KT26" i="19" s="1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7" i="19"/>
  <c r="KR27" i="19"/>
  <c r="KP27" i="19"/>
  <c r="KO27" i="19"/>
  <c r="KN27" i="19"/>
  <c r="KT27" i="19" s="1"/>
  <c r="KM27" i="19"/>
  <c r="KS23" i="19"/>
  <c r="KR23" i="19"/>
  <c r="KP23" i="19"/>
  <c r="KO23" i="19"/>
  <c r="KN23" i="19"/>
  <c r="KT23" i="19" s="1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T20" i="19" s="1"/>
  <c r="KM20" i="19"/>
  <c r="KS19" i="19"/>
  <c r="KR19" i="19"/>
  <c r="KP19" i="19"/>
  <c r="KO19" i="19"/>
  <c r="KN19" i="19"/>
  <c r="KT19" i="19" s="1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T16" i="19" s="1"/>
  <c r="KM16" i="19"/>
  <c r="KS14" i="19"/>
  <c r="KR14" i="19"/>
  <c r="KP14" i="19"/>
  <c r="KO14" i="19"/>
  <c r="KN14" i="19"/>
  <c r="KT14" i="19" s="1"/>
  <c r="KM14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2" i="19"/>
  <c r="KR12" i="19"/>
  <c r="KP12" i="19"/>
  <c r="KO12" i="19"/>
  <c r="KN12" i="19"/>
  <c r="KT12" i="19" s="1"/>
  <c r="KM12" i="19"/>
  <c r="KS10" i="19"/>
  <c r="KR10" i="19"/>
  <c r="KP10" i="19"/>
  <c r="KO10" i="19"/>
  <c r="KN10" i="19"/>
  <c r="KT10" i="19" s="1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11" i="19"/>
  <c r="KR11" i="19"/>
  <c r="KP11" i="19"/>
  <c r="KO11" i="19"/>
  <c r="KN11" i="19"/>
  <c r="KT11" i="19" s="1"/>
  <c r="KM11" i="19"/>
  <c r="KS7" i="19"/>
  <c r="KR7" i="19"/>
  <c r="KP7" i="19"/>
  <c r="KO7" i="19"/>
  <c r="KN7" i="19"/>
  <c r="KT7" i="19" s="1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T4" i="19" s="1"/>
  <c r="KM4" i="19"/>
  <c r="JQ28" i="19"/>
  <c r="JP28" i="19"/>
  <c r="JN28" i="19"/>
  <c r="JM28" i="19"/>
  <c r="JL28" i="19"/>
  <c r="JR28" i="19" s="1"/>
  <c r="JK28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R24" i="19" s="1"/>
  <c r="JK24" i="19"/>
  <c r="JQ27" i="19"/>
  <c r="JP27" i="19"/>
  <c r="JN27" i="19"/>
  <c r="JM27" i="19"/>
  <c r="JL27" i="19"/>
  <c r="JR27" i="19" s="1"/>
  <c r="JK27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R21" i="19" s="1"/>
  <c r="JK21" i="19"/>
  <c r="JQ20" i="19"/>
  <c r="JP20" i="19"/>
  <c r="JN20" i="19"/>
  <c r="JM20" i="19"/>
  <c r="JL20" i="19"/>
  <c r="JR20" i="19" s="1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R17" i="19" s="1"/>
  <c r="JK17" i="19"/>
  <c r="JQ16" i="19"/>
  <c r="JP16" i="19"/>
  <c r="JN16" i="19"/>
  <c r="JM16" i="19"/>
  <c r="JL16" i="19"/>
  <c r="JR16" i="19" s="1"/>
  <c r="JK16" i="19"/>
  <c r="JQ14" i="19"/>
  <c r="JP14" i="19"/>
  <c r="JN14" i="19"/>
  <c r="JM14" i="19"/>
  <c r="JL14" i="19"/>
  <c r="JK14" i="19"/>
  <c r="JQ15" i="19"/>
  <c r="JP15" i="19"/>
  <c r="JN15" i="19"/>
  <c r="JM15" i="19"/>
  <c r="JL15" i="19"/>
  <c r="JK15" i="19"/>
  <c r="JQ13" i="19"/>
  <c r="JP13" i="19"/>
  <c r="JN13" i="19"/>
  <c r="JM13" i="19"/>
  <c r="JL13" i="19"/>
  <c r="JR13" i="19" s="1"/>
  <c r="JK13" i="19"/>
  <c r="JQ12" i="19"/>
  <c r="JP12" i="19"/>
  <c r="JN12" i="19"/>
  <c r="JM12" i="19"/>
  <c r="JL12" i="19"/>
  <c r="JR12" i="19" s="1"/>
  <c r="JK12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R8" i="19" s="1"/>
  <c r="JK8" i="19"/>
  <c r="JQ11" i="19"/>
  <c r="JP11" i="19"/>
  <c r="JN11" i="19"/>
  <c r="JM11" i="19"/>
  <c r="JL11" i="19"/>
  <c r="JR11" i="19" s="1"/>
  <c r="JK11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R5" i="19" s="1"/>
  <c r="JK5" i="19"/>
  <c r="JQ4" i="19"/>
  <c r="JP4" i="19"/>
  <c r="JN4" i="19"/>
  <c r="JM4" i="19"/>
  <c r="JL4" i="19"/>
  <c r="JR4" i="19" s="1"/>
  <c r="JK4" i="19"/>
  <c r="IO28" i="19"/>
  <c r="IN28" i="19"/>
  <c r="IL28" i="19"/>
  <c r="IK28" i="19"/>
  <c r="IJ28" i="19"/>
  <c r="II28" i="19"/>
  <c r="IO26" i="19"/>
  <c r="IN26" i="19"/>
  <c r="IL26" i="19"/>
  <c r="IK26" i="19"/>
  <c r="IJ26" i="19"/>
  <c r="II26" i="19"/>
  <c r="IO25" i="19"/>
  <c r="IN25" i="19"/>
  <c r="IL25" i="19"/>
  <c r="IK25" i="19"/>
  <c r="IJ25" i="19"/>
  <c r="IP25" i="19" s="1"/>
  <c r="II25" i="19"/>
  <c r="IO24" i="19"/>
  <c r="IN24" i="19"/>
  <c r="IL24" i="19"/>
  <c r="IK24" i="19"/>
  <c r="IJ24" i="19"/>
  <c r="IP24" i="19" s="1"/>
  <c r="II24" i="19"/>
  <c r="IO27" i="19"/>
  <c r="IN27" i="19"/>
  <c r="IL27" i="19"/>
  <c r="IK27" i="19"/>
  <c r="IJ27" i="19"/>
  <c r="II27" i="19"/>
  <c r="IO23" i="19"/>
  <c r="IN23" i="19"/>
  <c r="IL23" i="19"/>
  <c r="IK23" i="19"/>
  <c r="IJ23" i="19"/>
  <c r="II23" i="19"/>
  <c r="IO22" i="19"/>
  <c r="IN22" i="19"/>
  <c r="IL22" i="19"/>
  <c r="IK22" i="19"/>
  <c r="IJ22" i="19"/>
  <c r="IP22" i="19" s="1"/>
  <c r="II22" i="19"/>
  <c r="IO21" i="19"/>
  <c r="IN21" i="19"/>
  <c r="IL21" i="19"/>
  <c r="IK21" i="19"/>
  <c r="IJ21" i="19"/>
  <c r="IP21" i="19" s="1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P18" i="19" s="1"/>
  <c r="II18" i="19"/>
  <c r="IO17" i="19"/>
  <c r="IN17" i="19"/>
  <c r="IL17" i="19"/>
  <c r="IK17" i="19"/>
  <c r="IJ17" i="19"/>
  <c r="IP17" i="19" s="1"/>
  <c r="II17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5" i="19"/>
  <c r="IN15" i="19"/>
  <c r="IL15" i="19"/>
  <c r="IK15" i="19"/>
  <c r="IJ15" i="19"/>
  <c r="II15" i="19"/>
  <c r="IO13" i="19"/>
  <c r="IN13" i="19"/>
  <c r="IL13" i="19"/>
  <c r="IK13" i="19"/>
  <c r="IJ13" i="19"/>
  <c r="IP13" i="19" s="1"/>
  <c r="II13" i="19"/>
  <c r="IO12" i="19"/>
  <c r="IN12" i="19"/>
  <c r="IL12" i="19"/>
  <c r="IK12" i="19"/>
  <c r="IJ12" i="19"/>
  <c r="II12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P8" i="19" s="1"/>
  <c r="II8" i="19"/>
  <c r="IO11" i="19"/>
  <c r="IN11" i="19"/>
  <c r="IL11" i="19"/>
  <c r="IK11" i="19"/>
  <c r="IJ11" i="19"/>
  <c r="II11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P5" i="19" s="1"/>
  <c r="II5" i="19"/>
  <c r="IO4" i="19"/>
  <c r="IN4" i="19"/>
  <c r="IL4" i="19"/>
  <c r="IK4" i="19"/>
  <c r="IJ4" i="19"/>
  <c r="II4" i="19"/>
  <c r="HM28" i="19"/>
  <c r="HL28" i="19"/>
  <c r="HJ28" i="19"/>
  <c r="HI28" i="19"/>
  <c r="HH28" i="19"/>
  <c r="HG28" i="19"/>
  <c r="HM26" i="19"/>
  <c r="HL26" i="19"/>
  <c r="HJ26" i="19"/>
  <c r="HI26" i="19"/>
  <c r="HH26" i="19"/>
  <c r="HG26" i="19"/>
  <c r="HM25" i="19"/>
  <c r="HL25" i="19"/>
  <c r="HJ25" i="19"/>
  <c r="HI25" i="19"/>
  <c r="HH25" i="19"/>
  <c r="HN25" i="19" s="1"/>
  <c r="HG25" i="19"/>
  <c r="HM24" i="19"/>
  <c r="HL24" i="19"/>
  <c r="HJ24" i="19"/>
  <c r="HI24" i="19"/>
  <c r="HH24" i="19"/>
  <c r="HG24" i="19"/>
  <c r="HM27" i="19"/>
  <c r="HL27" i="19"/>
  <c r="HJ27" i="19"/>
  <c r="HI27" i="19"/>
  <c r="HH27" i="19"/>
  <c r="HG27" i="19"/>
  <c r="HM23" i="19"/>
  <c r="HL23" i="19"/>
  <c r="HJ23" i="19"/>
  <c r="HI23" i="19"/>
  <c r="HH23" i="19"/>
  <c r="HG23" i="19"/>
  <c r="HM22" i="19"/>
  <c r="HL22" i="19"/>
  <c r="HJ22" i="19"/>
  <c r="HI22" i="19"/>
  <c r="HH22" i="19"/>
  <c r="HN22" i="19" s="1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N18" i="19" s="1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5" i="19"/>
  <c r="HL15" i="19"/>
  <c r="HJ15" i="19"/>
  <c r="HI15" i="19"/>
  <c r="HH15" i="19"/>
  <c r="HN15" i="19" s="1"/>
  <c r="HG15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0" i="19"/>
  <c r="HL10" i="19"/>
  <c r="HJ10" i="19"/>
  <c r="HI10" i="19"/>
  <c r="HH10" i="19"/>
  <c r="HG10" i="19"/>
  <c r="HM9" i="19"/>
  <c r="HL9" i="19"/>
  <c r="HJ9" i="19"/>
  <c r="HI9" i="19"/>
  <c r="HH9" i="19"/>
  <c r="HN9" i="19" s="1"/>
  <c r="HG9" i="19"/>
  <c r="HM8" i="19"/>
  <c r="HL8" i="19"/>
  <c r="HJ8" i="19"/>
  <c r="HI8" i="19"/>
  <c r="HH8" i="19"/>
  <c r="HG8" i="19"/>
  <c r="HM11" i="19"/>
  <c r="HL11" i="19"/>
  <c r="HJ11" i="19"/>
  <c r="HI11" i="19"/>
  <c r="HH11" i="19"/>
  <c r="HG11" i="19"/>
  <c r="HM7" i="19"/>
  <c r="HL7" i="19"/>
  <c r="HJ7" i="19"/>
  <c r="HI7" i="19"/>
  <c r="HH7" i="19"/>
  <c r="HG7" i="19"/>
  <c r="HM6" i="19"/>
  <c r="HL6" i="19"/>
  <c r="HJ6" i="19"/>
  <c r="HI6" i="19"/>
  <c r="HH6" i="19"/>
  <c r="HN6" i="19" s="1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8" i="19"/>
  <c r="GJ28" i="19"/>
  <c r="GH28" i="19"/>
  <c r="GG28" i="19"/>
  <c r="GF28" i="19"/>
  <c r="GE28" i="19"/>
  <c r="GK26" i="19"/>
  <c r="GJ26" i="19"/>
  <c r="GH26" i="19"/>
  <c r="GG26" i="19"/>
  <c r="GF26" i="19"/>
  <c r="GL26" i="19" s="1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7" i="19"/>
  <c r="GJ27" i="19"/>
  <c r="GH27" i="19"/>
  <c r="GG27" i="19"/>
  <c r="GF27" i="19"/>
  <c r="GE27" i="19"/>
  <c r="GK23" i="19"/>
  <c r="GJ23" i="19"/>
  <c r="GH23" i="19"/>
  <c r="GG23" i="19"/>
  <c r="GF23" i="19"/>
  <c r="GL23" i="19" s="1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L19" i="19" s="1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4" i="19"/>
  <c r="GJ14" i="19"/>
  <c r="GH14" i="19"/>
  <c r="GG14" i="19"/>
  <c r="GF14" i="19"/>
  <c r="GL14" i="19" s="1"/>
  <c r="GE14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0" i="19"/>
  <c r="GJ10" i="19"/>
  <c r="GH10" i="19"/>
  <c r="GG10" i="19"/>
  <c r="GF10" i="19"/>
  <c r="GL10" i="19" s="1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11" i="19"/>
  <c r="GJ11" i="19"/>
  <c r="GH11" i="19"/>
  <c r="GG11" i="19"/>
  <c r="GF11" i="19"/>
  <c r="GE11" i="19"/>
  <c r="GK7" i="19"/>
  <c r="GJ7" i="19"/>
  <c r="GH7" i="19"/>
  <c r="GG7" i="19"/>
  <c r="GF7" i="19"/>
  <c r="GL7" i="19" s="1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8" i="19"/>
  <c r="FH28" i="19"/>
  <c r="FF28" i="19"/>
  <c r="FE28" i="19"/>
  <c r="FD28" i="19"/>
  <c r="FJ28" i="19" s="1"/>
  <c r="FC28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7" i="19"/>
  <c r="FH27" i="19"/>
  <c r="FF27" i="19"/>
  <c r="FE27" i="19"/>
  <c r="FD27" i="19"/>
  <c r="FJ27" i="19" s="1"/>
  <c r="FC27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J20" i="19" s="1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J16" i="19" s="1"/>
  <c r="FC16" i="19"/>
  <c r="FI14" i="19"/>
  <c r="FH14" i="19"/>
  <c r="FF14" i="19"/>
  <c r="FE14" i="19"/>
  <c r="FD14" i="19"/>
  <c r="FC14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2" i="19"/>
  <c r="FH12" i="19"/>
  <c r="FF12" i="19"/>
  <c r="FE12" i="19"/>
  <c r="FD12" i="19"/>
  <c r="FJ12" i="19" s="1"/>
  <c r="FC12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11" i="19"/>
  <c r="FH11" i="19"/>
  <c r="FF11" i="19"/>
  <c r="FE11" i="19"/>
  <c r="FD11" i="19"/>
  <c r="FJ11" i="19" s="1"/>
  <c r="FC11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J4" i="19" s="1"/>
  <c r="FC4" i="19"/>
  <c r="EG28" i="19"/>
  <c r="EF28" i="19"/>
  <c r="ED28" i="19"/>
  <c r="EC28" i="19"/>
  <c r="EB28" i="19"/>
  <c r="EA28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H24" i="19" s="1"/>
  <c r="EA24" i="19"/>
  <c r="EG27" i="19"/>
  <c r="EF27" i="19"/>
  <c r="ED27" i="19"/>
  <c r="EC27" i="19"/>
  <c r="EB27" i="19"/>
  <c r="EA27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H21" i="19" s="1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H17" i="19" s="1"/>
  <c r="EA17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5" i="19"/>
  <c r="EF15" i="19"/>
  <c r="ED15" i="19"/>
  <c r="EC15" i="19"/>
  <c r="EB15" i="19"/>
  <c r="EA15" i="19"/>
  <c r="EG13" i="19"/>
  <c r="EF13" i="19"/>
  <c r="ED13" i="19"/>
  <c r="EC13" i="19"/>
  <c r="EB13" i="19"/>
  <c r="EH13" i="19" s="1"/>
  <c r="EA13" i="19"/>
  <c r="EG12" i="19"/>
  <c r="EF12" i="19"/>
  <c r="ED12" i="19"/>
  <c r="EC12" i="19"/>
  <c r="EB12" i="19"/>
  <c r="EA12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H8" i="19" s="1"/>
  <c r="EA8" i="19"/>
  <c r="EG11" i="19"/>
  <c r="EF11" i="19"/>
  <c r="ED11" i="19"/>
  <c r="EC11" i="19"/>
  <c r="EB11" i="19"/>
  <c r="EA11" i="19"/>
  <c r="EG7" i="19"/>
  <c r="EF7" i="19"/>
  <c r="ED7" i="19"/>
  <c r="EC7" i="19"/>
  <c r="EB7" i="19"/>
  <c r="EA7" i="19"/>
  <c r="EG6" i="19"/>
  <c r="EF6" i="19"/>
  <c r="ED6" i="19"/>
  <c r="EC6" i="19"/>
  <c r="EB6" i="19"/>
  <c r="EH6" i="19" s="1"/>
  <c r="EA6" i="19"/>
  <c r="EG5" i="19"/>
  <c r="EF5" i="19"/>
  <c r="ED5" i="19"/>
  <c r="EC5" i="19"/>
  <c r="EB5" i="19"/>
  <c r="EH5" i="19" s="1"/>
  <c r="EA5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PB10" i="27" s="1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Z5" i="27" s="1"/>
  <c r="NS5" i="27"/>
  <c r="NY4" i="27"/>
  <c r="NX4" i="27"/>
  <c r="NV4" i="27"/>
  <c r="NU4" i="27"/>
  <c r="NT4" i="27"/>
  <c r="NS4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X10" i="27" s="1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0" i="26"/>
  <c r="OZ10" i="26"/>
  <c r="OX10" i="26"/>
  <c r="OW10" i="26"/>
  <c r="OV10" i="26"/>
  <c r="PB10" i="26" s="1"/>
  <c r="OU10" i="26"/>
  <c r="PA9" i="26"/>
  <c r="OZ9" i="26"/>
  <c r="OX9" i="26"/>
  <c r="OW9" i="26"/>
  <c r="OV9" i="26"/>
  <c r="PB9" i="26" s="1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5" i="26"/>
  <c r="OZ5" i="26"/>
  <c r="OX5" i="26"/>
  <c r="OW5" i="26"/>
  <c r="OV5" i="26"/>
  <c r="PB5" i="26" s="1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9" i="26"/>
  <c r="NX9" i="26"/>
  <c r="NV9" i="26"/>
  <c r="NU9" i="26"/>
  <c r="NT9" i="26"/>
  <c r="NZ9" i="26" s="1"/>
  <c r="NS9" i="26"/>
  <c r="NY8" i="26"/>
  <c r="NX8" i="26"/>
  <c r="NV8" i="26"/>
  <c r="NU8" i="26"/>
  <c r="NT8" i="26"/>
  <c r="NZ8" i="26" s="1"/>
  <c r="NS8" i="26"/>
  <c r="NY7" i="26"/>
  <c r="NX7" i="26"/>
  <c r="NV7" i="26"/>
  <c r="NU7" i="26"/>
  <c r="NT7" i="26"/>
  <c r="NS7" i="26"/>
  <c r="NY6" i="26"/>
  <c r="NX6" i="26"/>
  <c r="NV6" i="26"/>
  <c r="NU6" i="26"/>
  <c r="NT6" i="26"/>
  <c r="NS6" i="26"/>
  <c r="NY5" i="26"/>
  <c r="NX5" i="26"/>
  <c r="NV5" i="26"/>
  <c r="NU5" i="26"/>
  <c r="NT5" i="26"/>
  <c r="NZ5" i="26" s="1"/>
  <c r="NS5" i="26"/>
  <c r="NY4" i="26"/>
  <c r="NX4" i="26"/>
  <c r="NV4" i="26"/>
  <c r="NU4" i="26"/>
  <c r="NT4" i="26"/>
  <c r="NZ4" i="26" s="1"/>
  <c r="NS4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7" i="26"/>
  <c r="MV7" i="26"/>
  <c r="MT7" i="26"/>
  <c r="MS7" i="26"/>
  <c r="MR7" i="26"/>
  <c r="MX7" i="26" s="1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X4" i="26" s="1"/>
  <c r="MQ4" i="26"/>
  <c r="LU10" i="26"/>
  <c r="LT10" i="26"/>
  <c r="LR10" i="26"/>
  <c r="LQ10" i="26"/>
  <c r="LP10" i="26"/>
  <c r="LV10" i="26" s="1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V7" i="26" s="1"/>
  <c r="LO7" i="26"/>
  <c r="LU6" i="26"/>
  <c r="LT6" i="26"/>
  <c r="LR6" i="26"/>
  <c r="LQ6" i="26"/>
  <c r="LP6" i="26"/>
  <c r="LV6" i="26" s="1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T10" i="26" s="1"/>
  <c r="KM10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T6" i="26" s="1"/>
  <c r="KM6" i="26"/>
  <c r="KS5" i="26"/>
  <c r="KR5" i="26"/>
  <c r="KP5" i="26"/>
  <c r="KO5" i="26"/>
  <c r="KN5" i="26"/>
  <c r="KT5" i="26" s="1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R8" i="26" s="1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N6" i="26" s="1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9" i="26"/>
  <c r="GJ9" i="26"/>
  <c r="GH9" i="26"/>
  <c r="GG9" i="26"/>
  <c r="GF9" i="26"/>
  <c r="GL9" i="26" s="1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J4" i="26" s="1"/>
  <c r="FC4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H7" i="26" s="1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G7" i="23"/>
  <c r="AH7" i="23"/>
  <c r="AI7" i="23"/>
  <c r="AJ7" i="23"/>
  <c r="AK7" i="23"/>
  <c r="AL7" i="23"/>
  <c r="AN7" i="23"/>
  <c r="AO7" i="23"/>
  <c r="AP7" i="23"/>
  <c r="BH7" i="23"/>
  <c r="BI7" i="23"/>
  <c r="BJ7" i="23"/>
  <c r="BN7" i="23" s="1"/>
  <c r="BR7" i="23" s="1"/>
  <c r="BK7" i="23"/>
  <c r="BL7" i="23"/>
  <c r="BM7" i="23"/>
  <c r="BO7" i="23"/>
  <c r="BP7" i="23"/>
  <c r="BQ7" i="23"/>
  <c r="CI7" i="23"/>
  <c r="CJ7" i="23"/>
  <c r="CK7" i="23"/>
  <c r="CL7" i="23"/>
  <c r="CM7" i="23"/>
  <c r="CN7" i="23"/>
  <c r="CP7" i="23"/>
  <c r="CQ7" i="23"/>
  <c r="CR7" i="23"/>
  <c r="DP7" i="23"/>
  <c r="DQ7" i="23"/>
  <c r="DR7" i="23"/>
  <c r="DS7" i="23"/>
  <c r="DT7" i="23"/>
  <c r="DU7" i="23"/>
  <c r="DW7" i="23"/>
  <c r="DX7" i="23"/>
  <c r="DY7" i="23"/>
  <c r="DZ7" i="23"/>
  <c r="EA7" i="23"/>
  <c r="EB7" i="23"/>
  <c r="EX7" i="23"/>
  <c r="EY7" i="23"/>
  <c r="EZ7" i="23"/>
  <c r="FA7" i="23"/>
  <c r="FB7" i="23"/>
  <c r="FC7" i="23"/>
  <c r="FE7" i="23"/>
  <c r="FF7" i="23"/>
  <c r="FG7" i="23"/>
  <c r="FH7" i="23"/>
  <c r="FI7" i="23"/>
  <c r="FJ7" i="23"/>
  <c r="GF7" i="23"/>
  <c r="GG7" i="23"/>
  <c r="GH7" i="23"/>
  <c r="GL7" i="23" s="1"/>
  <c r="GI7" i="23"/>
  <c r="GJ7" i="23"/>
  <c r="GK7" i="23"/>
  <c r="GM7" i="23"/>
  <c r="GN7" i="23"/>
  <c r="GO7" i="23"/>
  <c r="GP7" i="23"/>
  <c r="GQ7" i="23"/>
  <c r="GR7" i="23"/>
  <c r="HN7" i="23"/>
  <c r="HO7" i="23"/>
  <c r="HP7" i="23"/>
  <c r="HQ7" i="23"/>
  <c r="HR7" i="23"/>
  <c r="HS7" i="23"/>
  <c r="HU7" i="23"/>
  <c r="HV7" i="23"/>
  <c r="HW7" i="23"/>
  <c r="HX7" i="23"/>
  <c r="HY7" i="23"/>
  <c r="HZ7" i="23"/>
  <c r="IV7" i="23"/>
  <c r="IW7" i="23"/>
  <c r="IX7" i="23"/>
  <c r="IY7" i="23"/>
  <c r="IZ7" i="23"/>
  <c r="JA7" i="23"/>
  <c r="JC7" i="23"/>
  <c r="JD7" i="23"/>
  <c r="JE7" i="23"/>
  <c r="JF7" i="23"/>
  <c r="JG7" i="23"/>
  <c r="JH7" i="23"/>
  <c r="KD7" i="23"/>
  <c r="KE7" i="23"/>
  <c r="KF7" i="23"/>
  <c r="KG7" i="23"/>
  <c r="KH7" i="23"/>
  <c r="KI7" i="23"/>
  <c r="KK7" i="23"/>
  <c r="KL7" i="23"/>
  <c r="KM7" i="23"/>
  <c r="KN7" i="23"/>
  <c r="KO7" i="23"/>
  <c r="KP7" i="23"/>
  <c r="LL7" i="23"/>
  <c r="LM7" i="23"/>
  <c r="LN7" i="23"/>
  <c r="LO7" i="23"/>
  <c r="LP7" i="23"/>
  <c r="LQ7" i="23"/>
  <c r="LS7" i="23"/>
  <c r="LT7" i="23"/>
  <c r="LU7" i="23"/>
  <c r="LV7" i="23"/>
  <c r="LW7" i="23"/>
  <c r="LX7" i="23"/>
  <c r="MT7" i="23"/>
  <c r="MU7" i="23"/>
  <c r="MV7" i="23"/>
  <c r="MW7" i="23"/>
  <c r="MX7" i="23"/>
  <c r="MY7" i="23"/>
  <c r="NA7" i="23"/>
  <c r="NB7" i="23"/>
  <c r="NC7" i="23"/>
  <c r="ND7" i="23"/>
  <c r="NE7" i="23"/>
  <c r="NF7" i="23"/>
  <c r="OB7" i="23"/>
  <c r="OC7" i="23"/>
  <c r="OD7" i="23"/>
  <c r="OE7" i="23"/>
  <c r="OF7" i="23"/>
  <c r="OG7" i="23"/>
  <c r="OI7" i="23"/>
  <c r="OJ7" i="23"/>
  <c r="OK7" i="23"/>
  <c r="OL7" i="23"/>
  <c r="OM7" i="23"/>
  <c r="ON7" i="23"/>
  <c r="PJ7" i="23"/>
  <c r="PK7" i="23"/>
  <c r="PL7" i="23"/>
  <c r="PM7" i="23"/>
  <c r="PN7" i="23"/>
  <c r="PO7" i="23"/>
  <c r="PQ7" i="23"/>
  <c r="PR7" i="23"/>
  <c r="PS7" i="23"/>
  <c r="PT7" i="23"/>
  <c r="PU7" i="23"/>
  <c r="PV7" i="23"/>
  <c r="QR7" i="23"/>
  <c r="QS7" i="23"/>
  <c r="QT7" i="23"/>
  <c r="QU7" i="23"/>
  <c r="QV7" i="23"/>
  <c r="QW7" i="23"/>
  <c r="QY7" i="23"/>
  <c r="QZ7" i="23"/>
  <c r="RA7" i="23"/>
  <c r="RB7" i="23"/>
  <c r="RC7" i="23"/>
  <c r="RD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G7" i="23"/>
  <c r="AG9" i="24"/>
  <c r="AH9" i="24"/>
  <c r="AI9" i="24"/>
  <c r="AM9" i="24" s="1"/>
  <c r="AJ9" i="24"/>
  <c r="AK9" i="24"/>
  <c r="AL9" i="24"/>
  <c r="AN9" i="24"/>
  <c r="AO9" i="24"/>
  <c r="AP9" i="24"/>
  <c r="BH9" i="24"/>
  <c r="BI9" i="24"/>
  <c r="BJ9" i="24"/>
  <c r="BN9" i="24" s="1"/>
  <c r="BK9" i="24"/>
  <c r="BL9" i="24"/>
  <c r="BM9" i="24"/>
  <c r="BO9" i="24"/>
  <c r="BP9" i="24"/>
  <c r="BQ9" i="24"/>
  <c r="CI9" i="24"/>
  <c r="CJ9" i="24"/>
  <c r="CK9" i="24"/>
  <c r="CL9" i="24"/>
  <c r="CM9" i="24"/>
  <c r="CN9" i="24"/>
  <c r="CP9" i="24"/>
  <c r="CQ9" i="24"/>
  <c r="CR9" i="24"/>
  <c r="DP9" i="24"/>
  <c r="DQ9" i="24"/>
  <c r="DR9" i="24"/>
  <c r="DS9" i="24"/>
  <c r="DT9" i="24"/>
  <c r="DU9" i="24"/>
  <c r="DW9" i="24"/>
  <c r="DX9" i="24"/>
  <c r="DY9" i="24"/>
  <c r="DZ9" i="24"/>
  <c r="EA9" i="24"/>
  <c r="EB9" i="24"/>
  <c r="EX9" i="24"/>
  <c r="EY9" i="24"/>
  <c r="EZ9" i="24"/>
  <c r="FD9" i="24" s="1"/>
  <c r="FA9" i="24"/>
  <c r="FB9" i="24"/>
  <c r="FC9" i="24"/>
  <c r="FE9" i="24"/>
  <c r="FF9" i="24"/>
  <c r="FG9" i="24"/>
  <c r="FH9" i="24"/>
  <c r="FI9" i="24"/>
  <c r="FJ9" i="24"/>
  <c r="GF9" i="24"/>
  <c r="GG9" i="24"/>
  <c r="GH9" i="24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IY9" i="24"/>
  <c r="IZ9" i="24"/>
  <c r="JA9" i="24"/>
  <c r="JC9" i="24"/>
  <c r="JD9" i="24"/>
  <c r="JE9" i="24"/>
  <c r="JF9" i="24"/>
  <c r="JG9" i="24"/>
  <c r="JH9" i="24"/>
  <c r="KD9" i="24"/>
  <c r="KE9" i="24"/>
  <c r="KF9" i="24"/>
  <c r="KJ9" i="24" s="1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P9" i="24" s="1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F9" i="24" s="1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AG11" i="24"/>
  <c r="AH11" i="24"/>
  <c r="AI11" i="24"/>
  <c r="AM11" i="24" s="1"/>
  <c r="AJ11" i="24"/>
  <c r="AK11" i="24"/>
  <c r="AL11" i="24"/>
  <c r="AN11" i="24"/>
  <c r="AO11" i="24"/>
  <c r="AP11" i="24"/>
  <c r="BH11" i="24"/>
  <c r="BI11" i="24"/>
  <c r="BJ11" i="24"/>
  <c r="BN11" i="24" s="1"/>
  <c r="BK11" i="24"/>
  <c r="BL11" i="24"/>
  <c r="BM11" i="24"/>
  <c r="BO11" i="24"/>
  <c r="BP11" i="24"/>
  <c r="BQ11" i="24"/>
  <c r="CI11" i="24"/>
  <c r="CJ11" i="24"/>
  <c r="CK11" i="24"/>
  <c r="CL11" i="24"/>
  <c r="CM11" i="24"/>
  <c r="CN11" i="24"/>
  <c r="CP11" i="24"/>
  <c r="CQ11" i="24"/>
  <c r="CR11" i="24"/>
  <c r="DP11" i="24"/>
  <c r="DQ11" i="24"/>
  <c r="DR11" i="24"/>
  <c r="DS11" i="24"/>
  <c r="DT11" i="24"/>
  <c r="DU11" i="24"/>
  <c r="DW11" i="24"/>
  <c r="DX11" i="24"/>
  <c r="DY11" i="24"/>
  <c r="DZ11" i="24"/>
  <c r="EA11" i="24"/>
  <c r="EB11" i="24"/>
  <c r="EX11" i="24"/>
  <c r="EY11" i="24"/>
  <c r="EZ11" i="24"/>
  <c r="FA11" i="24"/>
  <c r="FB11" i="24"/>
  <c r="FC11" i="24"/>
  <c r="FE11" i="24"/>
  <c r="FF11" i="24"/>
  <c r="FG11" i="24"/>
  <c r="FH11" i="24"/>
  <c r="FI11" i="24"/>
  <c r="FJ11" i="24"/>
  <c r="GF11" i="24"/>
  <c r="GG11" i="24"/>
  <c r="GH11" i="24"/>
  <c r="GI11" i="24"/>
  <c r="GJ11" i="24"/>
  <c r="GK11" i="24"/>
  <c r="GM11" i="24"/>
  <c r="GN11" i="24"/>
  <c r="GO11" i="24"/>
  <c r="GP11" i="24"/>
  <c r="GQ11" i="24"/>
  <c r="GR11" i="24"/>
  <c r="HN11" i="24"/>
  <c r="HO11" i="24"/>
  <c r="HP11" i="24"/>
  <c r="HQ11" i="24"/>
  <c r="HR11" i="24"/>
  <c r="HS11" i="24"/>
  <c r="HU11" i="24"/>
  <c r="HV11" i="24"/>
  <c r="HW11" i="24"/>
  <c r="HX11" i="24"/>
  <c r="HY11" i="24"/>
  <c r="HZ11" i="24"/>
  <c r="IV11" i="24"/>
  <c r="IW11" i="24"/>
  <c r="IX11" i="24"/>
  <c r="IY11" i="24"/>
  <c r="IZ11" i="24"/>
  <c r="JA11" i="24"/>
  <c r="JC11" i="24"/>
  <c r="JD11" i="24"/>
  <c r="JE11" i="24"/>
  <c r="JF11" i="24"/>
  <c r="JG11" i="24"/>
  <c r="JH11" i="24"/>
  <c r="KD11" i="24"/>
  <c r="KE11" i="24"/>
  <c r="KF11" i="24"/>
  <c r="KG11" i="24"/>
  <c r="KH11" i="24"/>
  <c r="KI11" i="24"/>
  <c r="KK11" i="24"/>
  <c r="KL11" i="24"/>
  <c r="KM11" i="24"/>
  <c r="KN11" i="24"/>
  <c r="KO11" i="24"/>
  <c r="KP11" i="24"/>
  <c r="LL11" i="24"/>
  <c r="LM11" i="24"/>
  <c r="LN11" i="24"/>
  <c r="LO11" i="24"/>
  <c r="LP11" i="24"/>
  <c r="LQ11" i="24"/>
  <c r="LS11" i="24"/>
  <c r="LT11" i="24"/>
  <c r="LU11" i="24"/>
  <c r="LV11" i="24"/>
  <c r="LW11" i="24"/>
  <c r="LX11" i="24"/>
  <c r="MT11" i="24"/>
  <c r="MU11" i="24"/>
  <c r="MV11" i="24"/>
  <c r="MW11" i="24"/>
  <c r="MX11" i="24"/>
  <c r="MY11" i="24"/>
  <c r="NA11" i="24"/>
  <c r="NB11" i="24"/>
  <c r="NC11" i="24"/>
  <c r="ND11" i="24"/>
  <c r="NE11" i="24"/>
  <c r="NF11" i="24"/>
  <c r="OB11" i="24"/>
  <c r="OC11" i="24"/>
  <c r="OD11" i="24"/>
  <c r="OE11" i="24"/>
  <c r="OF11" i="24"/>
  <c r="OG11" i="24"/>
  <c r="OI11" i="24"/>
  <c r="OJ11" i="24"/>
  <c r="OK11" i="24"/>
  <c r="OL11" i="24"/>
  <c r="OM11" i="24"/>
  <c r="ON11" i="24"/>
  <c r="PJ11" i="24"/>
  <c r="PK11" i="24"/>
  <c r="PL11" i="24"/>
  <c r="PM11" i="24"/>
  <c r="PN11" i="24"/>
  <c r="PO11" i="24"/>
  <c r="PQ11" i="24"/>
  <c r="PR11" i="24"/>
  <c r="PS11" i="24"/>
  <c r="PT11" i="24"/>
  <c r="PU11" i="24"/>
  <c r="PV11" i="24"/>
  <c r="QR11" i="24"/>
  <c r="QS11" i="24"/>
  <c r="QT11" i="24"/>
  <c r="QU11" i="24"/>
  <c r="QV11" i="24"/>
  <c r="QW11" i="24"/>
  <c r="QY11" i="24"/>
  <c r="QZ11" i="24"/>
  <c r="RA11" i="24"/>
  <c r="RB11" i="24"/>
  <c r="RC11" i="24"/>
  <c r="RD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EH7" i="21" l="1"/>
  <c r="EH11" i="21"/>
  <c r="EH15" i="21"/>
  <c r="FJ5" i="21"/>
  <c r="FJ10" i="21"/>
  <c r="FJ13" i="21"/>
  <c r="FJ17" i="21"/>
  <c r="GL7" i="21"/>
  <c r="GL11" i="21"/>
  <c r="GL15" i="21"/>
  <c r="HN5" i="21"/>
  <c r="HN10" i="21"/>
  <c r="HN13" i="21"/>
  <c r="HN17" i="21"/>
  <c r="IP7" i="21"/>
  <c r="IP11" i="21"/>
  <c r="IP15" i="21"/>
  <c r="JR5" i="21"/>
  <c r="JR10" i="21"/>
  <c r="JR13" i="21"/>
  <c r="JR17" i="21"/>
  <c r="KT7" i="21"/>
  <c r="KT11" i="21"/>
  <c r="KT15" i="21"/>
  <c r="LV5" i="21"/>
  <c r="LV10" i="21"/>
  <c r="LV13" i="21"/>
  <c r="LV17" i="21"/>
  <c r="MX7" i="21"/>
  <c r="MX11" i="21"/>
  <c r="MX15" i="21"/>
  <c r="NZ5" i="21"/>
  <c r="NZ10" i="21"/>
  <c r="NZ13" i="21"/>
  <c r="NZ17" i="21"/>
  <c r="PB7" i="21"/>
  <c r="PB9" i="19"/>
  <c r="MX10" i="19"/>
  <c r="EH9" i="19"/>
  <c r="EH15" i="19"/>
  <c r="EH18" i="19"/>
  <c r="EH22" i="19"/>
  <c r="EH25" i="19"/>
  <c r="FJ5" i="19"/>
  <c r="FJ8" i="19"/>
  <c r="FJ13" i="19"/>
  <c r="FJ17" i="19"/>
  <c r="FJ21" i="19"/>
  <c r="FJ24" i="19"/>
  <c r="GL4" i="19"/>
  <c r="GL11" i="19"/>
  <c r="GL12" i="19"/>
  <c r="GL16" i="19"/>
  <c r="GL20" i="19"/>
  <c r="GL27" i="19"/>
  <c r="GL28" i="19"/>
  <c r="HN7" i="19"/>
  <c r="HN10" i="19"/>
  <c r="HN14" i="19"/>
  <c r="HN19" i="19"/>
  <c r="HN23" i="19"/>
  <c r="HN26" i="19"/>
  <c r="IP6" i="19"/>
  <c r="IP9" i="19"/>
  <c r="IP15" i="19"/>
  <c r="PB11" i="19"/>
  <c r="MX28" i="19"/>
  <c r="NZ7" i="19"/>
  <c r="MX14" i="19"/>
  <c r="MX19" i="19"/>
  <c r="MX23" i="19"/>
  <c r="MX26" i="19"/>
  <c r="NZ6" i="19"/>
  <c r="NZ9" i="19"/>
  <c r="NZ15" i="19"/>
  <c r="PB5" i="19"/>
  <c r="PB8" i="19"/>
  <c r="PB17" i="19"/>
  <c r="NZ24" i="19"/>
  <c r="PB4" i="19"/>
  <c r="PB16" i="19"/>
  <c r="GL10" i="27"/>
  <c r="HN5" i="27"/>
  <c r="HN9" i="27"/>
  <c r="IP4" i="27"/>
  <c r="KT10" i="27"/>
  <c r="LV5" i="27"/>
  <c r="LV9" i="27"/>
  <c r="EH4" i="27"/>
  <c r="JR5" i="27"/>
  <c r="NZ9" i="27"/>
  <c r="FJ8" i="27"/>
  <c r="FJ12" i="27"/>
  <c r="GL7" i="27"/>
  <c r="GL11" i="27"/>
  <c r="HN6" i="27"/>
  <c r="JR8" i="27"/>
  <c r="JR12" i="27"/>
  <c r="KT7" i="27"/>
  <c r="KT11" i="27"/>
  <c r="LV6" i="27"/>
  <c r="NZ8" i="27"/>
  <c r="NZ12" i="27"/>
  <c r="PB7" i="27"/>
  <c r="PB11" i="27"/>
  <c r="EH6" i="26"/>
  <c r="FJ7" i="26"/>
  <c r="KQ7" i="26"/>
  <c r="KQ9" i="26"/>
  <c r="EH10" i="26"/>
  <c r="GL4" i="26"/>
  <c r="GL8" i="26"/>
  <c r="HN5" i="26"/>
  <c r="HN9" i="26"/>
  <c r="IP6" i="26"/>
  <c r="IP10" i="26"/>
  <c r="JR7" i="26"/>
  <c r="FK9" i="24"/>
  <c r="LR11" i="24"/>
  <c r="OH9" i="24"/>
  <c r="OO9" i="24" s="1"/>
  <c r="MX4" i="27"/>
  <c r="EH7" i="27"/>
  <c r="EH11" i="27"/>
  <c r="FJ6" i="27"/>
  <c r="HN8" i="27"/>
  <c r="HN12" i="27"/>
  <c r="IP7" i="27"/>
  <c r="IP11" i="27"/>
  <c r="JR6" i="27"/>
  <c r="LV8" i="27"/>
  <c r="LV12" i="27"/>
  <c r="MX7" i="27"/>
  <c r="MX11" i="27"/>
  <c r="NZ6" i="27"/>
  <c r="EH10" i="27"/>
  <c r="FJ5" i="27"/>
  <c r="FJ9" i="27"/>
  <c r="GL4" i="27"/>
  <c r="IP10" i="27"/>
  <c r="JR9" i="27"/>
  <c r="KT4" i="27"/>
  <c r="PB4" i="27"/>
  <c r="EH6" i="21"/>
  <c r="EH9" i="21"/>
  <c r="EH14" i="21"/>
  <c r="FJ4" i="21"/>
  <c r="FJ8" i="21"/>
  <c r="FJ12" i="21"/>
  <c r="FJ16" i="21"/>
  <c r="GL6" i="21"/>
  <c r="GL9" i="21"/>
  <c r="GL14" i="21"/>
  <c r="HN4" i="21"/>
  <c r="HN8" i="21"/>
  <c r="HN12" i="21"/>
  <c r="HN16" i="21"/>
  <c r="IP6" i="21"/>
  <c r="IP9" i="21"/>
  <c r="IP14" i="21"/>
  <c r="JR4" i="21"/>
  <c r="JR8" i="21"/>
  <c r="JR12" i="21"/>
  <c r="JR16" i="21"/>
  <c r="KT6" i="21"/>
  <c r="KT9" i="21"/>
  <c r="KT14" i="21"/>
  <c r="LV4" i="21"/>
  <c r="LV8" i="21"/>
  <c r="LV12" i="21"/>
  <c r="LV16" i="21"/>
  <c r="MX6" i="21"/>
  <c r="MX9" i="21"/>
  <c r="MX14" i="21"/>
  <c r="NZ4" i="21"/>
  <c r="NZ8" i="21"/>
  <c r="NZ12" i="21"/>
  <c r="NZ16" i="21"/>
  <c r="PB6" i="21"/>
  <c r="PB9" i="21"/>
  <c r="PB14" i="21"/>
  <c r="PB17" i="21"/>
  <c r="PB11" i="21"/>
  <c r="PB15" i="21"/>
  <c r="EH5" i="21"/>
  <c r="EH10" i="21"/>
  <c r="EH13" i="21"/>
  <c r="EH17" i="21"/>
  <c r="FJ7" i="21"/>
  <c r="FJ11" i="21"/>
  <c r="FJ15" i="21"/>
  <c r="GL5" i="21"/>
  <c r="GL10" i="21"/>
  <c r="GL13" i="21"/>
  <c r="GL17" i="21"/>
  <c r="HN7" i="21"/>
  <c r="HN11" i="21"/>
  <c r="HN15" i="21"/>
  <c r="IP5" i="21"/>
  <c r="IP10" i="21"/>
  <c r="IP13" i="21"/>
  <c r="IP17" i="21"/>
  <c r="JR7" i="21"/>
  <c r="JR11" i="21"/>
  <c r="JR15" i="21"/>
  <c r="KT5" i="21"/>
  <c r="KT10" i="21"/>
  <c r="KT13" i="21"/>
  <c r="KT17" i="21"/>
  <c r="LV7" i="21"/>
  <c r="LV11" i="21"/>
  <c r="LV15" i="21"/>
  <c r="MX5" i="21"/>
  <c r="MX10" i="21"/>
  <c r="MX13" i="21"/>
  <c r="MX17" i="21"/>
  <c r="NZ7" i="21"/>
  <c r="NZ11" i="21"/>
  <c r="NZ15" i="21"/>
  <c r="PB5" i="21"/>
  <c r="PB10" i="21"/>
  <c r="PB13" i="21"/>
  <c r="EH4" i="21"/>
  <c r="EH8" i="21"/>
  <c r="EH12" i="21"/>
  <c r="EH16" i="21"/>
  <c r="FJ6" i="21"/>
  <c r="FJ9" i="21"/>
  <c r="FJ14" i="21"/>
  <c r="GL4" i="21"/>
  <c r="GL8" i="21"/>
  <c r="GL12" i="21"/>
  <c r="GL16" i="21"/>
  <c r="HN6" i="21"/>
  <c r="HN9" i="21"/>
  <c r="HN14" i="21"/>
  <c r="IP4" i="21"/>
  <c r="IP8" i="21"/>
  <c r="IP12" i="21"/>
  <c r="IP16" i="21"/>
  <c r="JR6" i="21"/>
  <c r="JR9" i="21"/>
  <c r="JR14" i="21"/>
  <c r="KT4" i="21"/>
  <c r="KT8" i="21"/>
  <c r="KT12" i="21"/>
  <c r="KT16" i="21"/>
  <c r="LV6" i="21"/>
  <c r="LV9" i="21"/>
  <c r="LV14" i="21"/>
  <c r="MX4" i="21"/>
  <c r="MX8" i="21"/>
  <c r="MX12" i="21"/>
  <c r="MX16" i="21"/>
  <c r="NZ6" i="21"/>
  <c r="NZ9" i="21"/>
  <c r="NZ14" i="21"/>
  <c r="PB4" i="21"/>
  <c r="PB8" i="21"/>
  <c r="PB12" i="21"/>
  <c r="PB16" i="21"/>
  <c r="LV9" i="19"/>
  <c r="LV15" i="19"/>
  <c r="LV18" i="19"/>
  <c r="LV22" i="19"/>
  <c r="LV25" i="19"/>
  <c r="MX5" i="19"/>
  <c r="MX8" i="19"/>
  <c r="MX13" i="19"/>
  <c r="MX24" i="19"/>
  <c r="NZ4" i="19"/>
  <c r="NZ11" i="19"/>
  <c r="NZ12" i="19"/>
  <c r="NZ10" i="19"/>
  <c r="NZ14" i="19"/>
  <c r="NZ19" i="19"/>
  <c r="NZ23" i="19"/>
  <c r="PB15" i="19"/>
  <c r="NZ18" i="19"/>
  <c r="NZ22" i="19"/>
  <c r="NZ25" i="19"/>
  <c r="PB21" i="19"/>
  <c r="MX25" i="19"/>
  <c r="PB20" i="19"/>
  <c r="MX17" i="19"/>
  <c r="MX21" i="19"/>
  <c r="EH4" i="19"/>
  <c r="EH16" i="19"/>
  <c r="EH20" i="19"/>
  <c r="EH28" i="19"/>
  <c r="FJ7" i="19"/>
  <c r="FJ10" i="19"/>
  <c r="FJ14" i="19"/>
  <c r="FJ19" i="19"/>
  <c r="GL6" i="19"/>
  <c r="GL9" i="19"/>
  <c r="GL15" i="19"/>
  <c r="GL18" i="19"/>
  <c r="GL22" i="19"/>
  <c r="GL25" i="19"/>
  <c r="HN5" i="19"/>
  <c r="HN8" i="19"/>
  <c r="HN13" i="19"/>
  <c r="HN17" i="19"/>
  <c r="HN21" i="19"/>
  <c r="HN24" i="19"/>
  <c r="IP4" i="19"/>
  <c r="IP11" i="19"/>
  <c r="IP12" i="19"/>
  <c r="IP16" i="19"/>
  <c r="IP20" i="19"/>
  <c r="IP27" i="19"/>
  <c r="IP28" i="19"/>
  <c r="JR7" i="19"/>
  <c r="JR10" i="19"/>
  <c r="JR14" i="19"/>
  <c r="JR19" i="19"/>
  <c r="JR23" i="19"/>
  <c r="JR26" i="19"/>
  <c r="KT6" i="19"/>
  <c r="KT9" i="19"/>
  <c r="KT15" i="19"/>
  <c r="KT18" i="19"/>
  <c r="KT22" i="19"/>
  <c r="KT25" i="19"/>
  <c r="LV5" i="19"/>
  <c r="LV8" i="19"/>
  <c r="LV13" i="19"/>
  <c r="LV17" i="19"/>
  <c r="LV21" i="19"/>
  <c r="LV24" i="19"/>
  <c r="MX4" i="19"/>
  <c r="MX11" i="19"/>
  <c r="MX12" i="19"/>
  <c r="MX16" i="19"/>
  <c r="MX20" i="19"/>
  <c r="MX27" i="19"/>
  <c r="EH11" i="19"/>
  <c r="EH12" i="19"/>
  <c r="EH27" i="19"/>
  <c r="FJ23" i="19"/>
  <c r="FJ26" i="19"/>
  <c r="EH10" i="19"/>
  <c r="EH19" i="19"/>
  <c r="EH23" i="19"/>
  <c r="EH26" i="19"/>
  <c r="FJ9" i="19"/>
  <c r="FJ15" i="19"/>
  <c r="FJ22" i="19"/>
  <c r="FJ25" i="19"/>
  <c r="GL5" i="19"/>
  <c r="GL8" i="19"/>
  <c r="GL13" i="19"/>
  <c r="GL17" i="19"/>
  <c r="GL21" i="19"/>
  <c r="GL24" i="19"/>
  <c r="HN4" i="19"/>
  <c r="HN11" i="19"/>
  <c r="HN12" i="19"/>
  <c r="HN16" i="19"/>
  <c r="HN20" i="19"/>
  <c r="HN27" i="19"/>
  <c r="HN28" i="19"/>
  <c r="IP7" i="19"/>
  <c r="IP10" i="19"/>
  <c r="IP14" i="19"/>
  <c r="IP19" i="19"/>
  <c r="IP23" i="19"/>
  <c r="IP26" i="19"/>
  <c r="JR6" i="19"/>
  <c r="JR9" i="19"/>
  <c r="JR15" i="19"/>
  <c r="JR18" i="19"/>
  <c r="JR22" i="19"/>
  <c r="JR25" i="19"/>
  <c r="KT5" i="19"/>
  <c r="KT8" i="19"/>
  <c r="KT13" i="19"/>
  <c r="KT17" i="19"/>
  <c r="KT21" i="19"/>
  <c r="KT24" i="19"/>
  <c r="LV4" i="19"/>
  <c r="LV11" i="19"/>
  <c r="LV12" i="19"/>
  <c r="LV16" i="19"/>
  <c r="LV20" i="19"/>
  <c r="LV27" i="19"/>
  <c r="LV28" i="19"/>
  <c r="MX7" i="19"/>
  <c r="PB13" i="19"/>
  <c r="PB24" i="19"/>
  <c r="EH7" i="19"/>
  <c r="EH14" i="19"/>
  <c r="FJ6" i="19"/>
  <c r="FJ18" i="19"/>
  <c r="NZ5" i="19"/>
  <c r="NZ8" i="19"/>
  <c r="PB27" i="19"/>
  <c r="EH6" i="27"/>
  <c r="EH9" i="27"/>
  <c r="FJ4" i="27"/>
  <c r="FJ11" i="27"/>
  <c r="GL6" i="27"/>
  <c r="GL9" i="27"/>
  <c r="HN4" i="27"/>
  <c r="HN11" i="27"/>
  <c r="IP6" i="27"/>
  <c r="IP9" i="27"/>
  <c r="JR4" i="27"/>
  <c r="JR11" i="27"/>
  <c r="KT6" i="27"/>
  <c r="KT9" i="27"/>
  <c r="LV4" i="27"/>
  <c r="LV11" i="27"/>
  <c r="MX6" i="27"/>
  <c r="MX9" i="27"/>
  <c r="NZ4" i="27"/>
  <c r="NZ11" i="27"/>
  <c r="PB6" i="27"/>
  <c r="PB9" i="27"/>
  <c r="EH12" i="27"/>
  <c r="FJ7" i="27"/>
  <c r="FJ10" i="27"/>
  <c r="GL5" i="27"/>
  <c r="GL12" i="27"/>
  <c r="HN7" i="27"/>
  <c r="HN10" i="27"/>
  <c r="IP5" i="27"/>
  <c r="IP8" i="27"/>
  <c r="IP12" i="27"/>
  <c r="JR7" i="27"/>
  <c r="JR10" i="27"/>
  <c r="KT5" i="27"/>
  <c r="KT8" i="27"/>
  <c r="KT12" i="27"/>
  <c r="LV7" i="27"/>
  <c r="LV10" i="27"/>
  <c r="MX5" i="27"/>
  <c r="MX8" i="27"/>
  <c r="MX12" i="27"/>
  <c r="NZ7" i="27"/>
  <c r="NZ10" i="27"/>
  <c r="PB5" i="27"/>
  <c r="PB8" i="27"/>
  <c r="PB12" i="27"/>
  <c r="EH8" i="27"/>
  <c r="GL8" i="27"/>
  <c r="EH5" i="27"/>
  <c r="KQ6" i="26"/>
  <c r="KT4" i="26"/>
  <c r="FJ6" i="26"/>
  <c r="FJ10" i="26"/>
  <c r="GL7" i="26"/>
  <c r="HN4" i="26"/>
  <c r="HN8" i="26"/>
  <c r="IP5" i="26"/>
  <c r="IP9" i="26"/>
  <c r="JR6" i="26"/>
  <c r="JR10" i="26"/>
  <c r="LV9" i="26"/>
  <c r="MX6" i="26"/>
  <c r="NZ7" i="26"/>
  <c r="PB4" i="26"/>
  <c r="LV4" i="26"/>
  <c r="LV8" i="26"/>
  <c r="MX9" i="26"/>
  <c r="NZ6" i="26"/>
  <c r="NZ10" i="26"/>
  <c r="PB6" i="26"/>
  <c r="KT9" i="26"/>
  <c r="EH5" i="26"/>
  <c r="KT8" i="26"/>
  <c r="EH9" i="26"/>
  <c r="KT7" i="26"/>
  <c r="EH4" i="26"/>
  <c r="FJ5" i="26"/>
  <c r="FJ9" i="26"/>
  <c r="GL6" i="26"/>
  <c r="GL10" i="26"/>
  <c r="HN7" i="26"/>
  <c r="IP4" i="26"/>
  <c r="IP8" i="26"/>
  <c r="JR5" i="26"/>
  <c r="JR9" i="26"/>
  <c r="LV5" i="26"/>
  <c r="MX10" i="26"/>
  <c r="PB8" i="26"/>
  <c r="EH8" i="26"/>
  <c r="KQ8" i="26"/>
  <c r="FJ8" i="26"/>
  <c r="GL5" i="26"/>
  <c r="HN10" i="26"/>
  <c r="IP7" i="26"/>
  <c r="JR4" i="26"/>
  <c r="MX5" i="26"/>
  <c r="PB7" i="26"/>
  <c r="MZ7" i="23"/>
  <c r="NG7" i="23" s="1"/>
  <c r="HT7" i="23"/>
  <c r="IA7" i="23" s="1"/>
  <c r="CO7" i="23"/>
  <c r="LR7" i="23"/>
  <c r="LY7" i="23" s="1"/>
  <c r="JB7" i="23"/>
  <c r="JI7" i="23" s="1"/>
  <c r="CS7" i="23"/>
  <c r="OY4" i="21"/>
  <c r="OY5" i="21"/>
  <c r="OY6" i="21"/>
  <c r="OY7" i="21"/>
  <c r="OY8" i="21"/>
  <c r="OY10" i="21"/>
  <c r="OY9" i="21"/>
  <c r="OY11" i="21"/>
  <c r="OY12" i="21"/>
  <c r="OY13" i="21"/>
  <c r="OY14" i="21"/>
  <c r="OY15" i="21"/>
  <c r="OY16" i="21"/>
  <c r="OY17" i="21"/>
  <c r="NW4" i="21"/>
  <c r="NW5" i="21"/>
  <c r="NW6" i="21"/>
  <c r="NW7" i="21"/>
  <c r="NW8" i="21"/>
  <c r="NW10" i="21"/>
  <c r="NW9" i="21"/>
  <c r="NW11" i="21"/>
  <c r="NW12" i="21"/>
  <c r="NW13" i="21"/>
  <c r="NW14" i="21"/>
  <c r="NW15" i="21"/>
  <c r="NW16" i="21"/>
  <c r="NW17" i="21"/>
  <c r="MU4" i="21"/>
  <c r="MU5" i="21"/>
  <c r="MU6" i="21"/>
  <c r="MU7" i="21"/>
  <c r="MU8" i="21"/>
  <c r="MU10" i="21"/>
  <c r="MU9" i="21"/>
  <c r="MU11" i="21"/>
  <c r="MU12" i="21"/>
  <c r="MU13" i="21"/>
  <c r="MU14" i="21"/>
  <c r="MU15" i="21"/>
  <c r="MU16" i="21"/>
  <c r="MU17" i="21"/>
  <c r="LS4" i="21"/>
  <c r="LS5" i="21"/>
  <c r="LS6" i="21"/>
  <c r="LS7" i="21"/>
  <c r="LS8" i="21"/>
  <c r="LS10" i="21"/>
  <c r="LS9" i="21"/>
  <c r="LS11" i="21"/>
  <c r="LS12" i="21"/>
  <c r="LS13" i="21"/>
  <c r="LS14" i="21"/>
  <c r="LS15" i="21"/>
  <c r="LS16" i="21"/>
  <c r="LS17" i="21"/>
  <c r="KQ4" i="21"/>
  <c r="KQ5" i="21"/>
  <c r="KQ6" i="21"/>
  <c r="KQ7" i="21"/>
  <c r="KQ8" i="21"/>
  <c r="KQ10" i="21"/>
  <c r="KQ9" i="21"/>
  <c r="KQ11" i="21"/>
  <c r="KQ12" i="21"/>
  <c r="KQ13" i="21"/>
  <c r="KQ14" i="21"/>
  <c r="KQ15" i="21"/>
  <c r="KQ16" i="21"/>
  <c r="KQ17" i="21"/>
  <c r="JO4" i="21"/>
  <c r="JO5" i="21"/>
  <c r="JO6" i="21"/>
  <c r="JO7" i="21"/>
  <c r="JO8" i="21"/>
  <c r="JO10" i="21"/>
  <c r="JO9" i="21"/>
  <c r="JO11" i="21"/>
  <c r="JO12" i="21"/>
  <c r="JO13" i="21"/>
  <c r="JO14" i="21"/>
  <c r="JO15" i="21"/>
  <c r="JO16" i="21"/>
  <c r="JO17" i="21"/>
  <c r="IM4" i="21"/>
  <c r="IM5" i="21"/>
  <c r="IM6" i="21"/>
  <c r="IM7" i="21"/>
  <c r="IM8" i="21"/>
  <c r="IM10" i="21"/>
  <c r="IM9" i="21"/>
  <c r="IM11" i="21"/>
  <c r="IM12" i="21"/>
  <c r="IM13" i="21"/>
  <c r="IM14" i="21"/>
  <c r="IM15" i="21"/>
  <c r="IM16" i="21"/>
  <c r="IM17" i="21"/>
  <c r="HK4" i="21"/>
  <c r="HK5" i="21"/>
  <c r="HK6" i="21"/>
  <c r="HK7" i="21"/>
  <c r="HK8" i="21"/>
  <c r="HK10" i="21"/>
  <c r="HK9" i="21"/>
  <c r="HK11" i="21"/>
  <c r="HK12" i="21"/>
  <c r="HK13" i="21"/>
  <c r="HK14" i="21"/>
  <c r="HK15" i="21"/>
  <c r="HK16" i="21"/>
  <c r="HK17" i="21"/>
  <c r="GI4" i="21"/>
  <c r="GI5" i="21"/>
  <c r="GI6" i="21"/>
  <c r="GI7" i="21"/>
  <c r="GI8" i="21"/>
  <c r="GI10" i="21"/>
  <c r="GI9" i="21"/>
  <c r="GI11" i="21"/>
  <c r="GI12" i="21"/>
  <c r="GI13" i="21"/>
  <c r="GI14" i="21"/>
  <c r="GI15" i="21"/>
  <c r="GI16" i="21"/>
  <c r="GI17" i="21"/>
  <c r="FG4" i="21"/>
  <c r="FG5" i="21"/>
  <c r="FG6" i="21"/>
  <c r="FG7" i="21"/>
  <c r="FG8" i="21"/>
  <c r="FG10" i="21"/>
  <c r="FG9" i="21"/>
  <c r="FG11" i="21"/>
  <c r="FG12" i="21"/>
  <c r="FG13" i="21"/>
  <c r="FG14" i="21"/>
  <c r="FG15" i="21"/>
  <c r="FG16" i="21"/>
  <c r="FG17" i="21"/>
  <c r="EE4" i="21"/>
  <c r="EE5" i="21"/>
  <c r="EE6" i="21"/>
  <c r="EE7" i="21"/>
  <c r="EE8" i="21"/>
  <c r="EE10" i="21"/>
  <c r="EE9" i="21"/>
  <c r="EE11" i="21"/>
  <c r="EE12" i="21"/>
  <c r="EE13" i="21"/>
  <c r="EE14" i="21"/>
  <c r="EE15" i="21"/>
  <c r="EE16" i="21"/>
  <c r="EE17" i="21"/>
  <c r="OY4" i="19"/>
  <c r="OY5" i="19"/>
  <c r="OY6" i="19"/>
  <c r="OY7" i="19"/>
  <c r="OY11" i="19"/>
  <c r="OY8" i="19"/>
  <c r="OY9" i="19"/>
  <c r="OY10" i="19"/>
  <c r="OY12" i="19"/>
  <c r="OY13" i="19"/>
  <c r="OY15" i="19"/>
  <c r="OY14" i="19"/>
  <c r="OY16" i="19"/>
  <c r="OY17" i="19"/>
  <c r="OY18" i="19"/>
  <c r="OY19" i="19"/>
  <c r="OY20" i="19"/>
  <c r="OY21" i="19"/>
  <c r="OY22" i="19"/>
  <c r="OY23" i="19"/>
  <c r="OY27" i="19"/>
  <c r="OY24" i="19"/>
  <c r="OY25" i="19"/>
  <c r="OY26" i="19"/>
  <c r="OY28" i="19"/>
  <c r="NW4" i="19"/>
  <c r="NW5" i="19"/>
  <c r="NW6" i="19"/>
  <c r="NW7" i="19"/>
  <c r="NW11" i="19"/>
  <c r="NW8" i="19"/>
  <c r="NW9" i="19"/>
  <c r="NW10" i="19"/>
  <c r="NW12" i="19"/>
  <c r="NW13" i="19"/>
  <c r="NW15" i="19"/>
  <c r="NW14" i="19"/>
  <c r="NW16" i="19"/>
  <c r="NW17" i="19"/>
  <c r="NW18" i="19"/>
  <c r="NW19" i="19"/>
  <c r="NW20" i="19"/>
  <c r="NW21" i="19"/>
  <c r="NW22" i="19"/>
  <c r="NW23" i="19"/>
  <c r="NW27" i="19"/>
  <c r="NW24" i="19"/>
  <c r="NW25" i="19"/>
  <c r="NW26" i="19"/>
  <c r="NW28" i="19"/>
  <c r="MU4" i="19"/>
  <c r="MU5" i="19"/>
  <c r="MU6" i="19"/>
  <c r="MU7" i="19"/>
  <c r="MU11" i="19"/>
  <c r="MU8" i="19"/>
  <c r="MU9" i="19"/>
  <c r="MU10" i="19"/>
  <c r="MU12" i="19"/>
  <c r="MU13" i="19"/>
  <c r="MU15" i="19"/>
  <c r="MU14" i="19"/>
  <c r="MU16" i="19"/>
  <c r="MU17" i="19"/>
  <c r="MU18" i="19"/>
  <c r="MU19" i="19"/>
  <c r="MU20" i="19"/>
  <c r="MU21" i="19"/>
  <c r="MU22" i="19"/>
  <c r="MU23" i="19"/>
  <c r="MU27" i="19"/>
  <c r="MU24" i="19"/>
  <c r="MU25" i="19"/>
  <c r="MU26" i="19"/>
  <c r="MU28" i="19"/>
  <c r="LS4" i="19"/>
  <c r="LS5" i="19"/>
  <c r="LS6" i="19"/>
  <c r="LS7" i="19"/>
  <c r="LS11" i="19"/>
  <c r="LS8" i="19"/>
  <c r="LS9" i="19"/>
  <c r="LS10" i="19"/>
  <c r="LS12" i="19"/>
  <c r="LS13" i="19"/>
  <c r="LS15" i="19"/>
  <c r="LS14" i="19"/>
  <c r="LS16" i="19"/>
  <c r="LS17" i="19"/>
  <c r="LS18" i="19"/>
  <c r="LS19" i="19"/>
  <c r="LS20" i="19"/>
  <c r="LS21" i="19"/>
  <c r="LS22" i="19"/>
  <c r="LS23" i="19"/>
  <c r="LS27" i="19"/>
  <c r="LS24" i="19"/>
  <c r="LS25" i="19"/>
  <c r="LS26" i="19"/>
  <c r="LS28" i="19"/>
  <c r="KQ4" i="19"/>
  <c r="KQ5" i="19"/>
  <c r="KQ6" i="19"/>
  <c r="KQ7" i="19"/>
  <c r="KQ11" i="19"/>
  <c r="KQ8" i="19"/>
  <c r="KQ9" i="19"/>
  <c r="KQ10" i="19"/>
  <c r="KQ12" i="19"/>
  <c r="KQ13" i="19"/>
  <c r="KQ15" i="19"/>
  <c r="KQ14" i="19"/>
  <c r="KQ16" i="19"/>
  <c r="KQ17" i="19"/>
  <c r="KQ18" i="19"/>
  <c r="KQ19" i="19"/>
  <c r="KQ20" i="19"/>
  <c r="KQ21" i="19"/>
  <c r="KQ22" i="19"/>
  <c r="KQ23" i="19"/>
  <c r="KQ27" i="19"/>
  <c r="KQ24" i="19"/>
  <c r="KQ25" i="19"/>
  <c r="KQ26" i="19"/>
  <c r="KQ28" i="19"/>
  <c r="JO4" i="19"/>
  <c r="JO5" i="19"/>
  <c r="JO6" i="19"/>
  <c r="JO7" i="19"/>
  <c r="JO11" i="19"/>
  <c r="JO8" i="19"/>
  <c r="JO9" i="19"/>
  <c r="JO10" i="19"/>
  <c r="JO12" i="19"/>
  <c r="JO13" i="19"/>
  <c r="JO15" i="19"/>
  <c r="JO14" i="19"/>
  <c r="JO16" i="19"/>
  <c r="JO17" i="19"/>
  <c r="JO18" i="19"/>
  <c r="JO19" i="19"/>
  <c r="JO20" i="19"/>
  <c r="JO21" i="19"/>
  <c r="JO22" i="19"/>
  <c r="JO23" i="19"/>
  <c r="JO27" i="19"/>
  <c r="JO24" i="19"/>
  <c r="JO25" i="19"/>
  <c r="JO26" i="19"/>
  <c r="JO28" i="19"/>
  <c r="IM4" i="19"/>
  <c r="IM5" i="19"/>
  <c r="IM6" i="19"/>
  <c r="IM7" i="19"/>
  <c r="IM11" i="19"/>
  <c r="IM8" i="19"/>
  <c r="IM9" i="19"/>
  <c r="IM10" i="19"/>
  <c r="IM12" i="19"/>
  <c r="IM13" i="19"/>
  <c r="IM15" i="19"/>
  <c r="IM14" i="19"/>
  <c r="IM16" i="19"/>
  <c r="IM17" i="19"/>
  <c r="IM18" i="19"/>
  <c r="IM19" i="19"/>
  <c r="IM20" i="19"/>
  <c r="IM21" i="19"/>
  <c r="IM22" i="19"/>
  <c r="IM23" i="19"/>
  <c r="IM27" i="19"/>
  <c r="IM24" i="19"/>
  <c r="IM25" i="19"/>
  <c r="IM26" i="19"/>
  <c r="IM28" i="19"/>
  <c r="HK4" i="19"/>
  <c r="HK5" i="19"/>
  <c r="HK6" i="19"/>
  <c r="HK7" i="19"/>
  <c r="HK11" i="19"/>
  <c r="HK8" i="19"/>
  <c r="HK9" i="19"/>
  <c r="HK10" i="19"/>
  <c r="HK12" i="19"/>
  <c r="HK13" i="19"/>
  <c r="HK15" i="19"/>
  <c r="HK14" i="19"/>
  <c r="HK16" i="19"/>
  <c r="HK17" i="19"/>
  <c r="HK18" i="19"/>
  <c r="HK19" i="19"/>
  <c r="HK20" i="19"/>
  <c r="HK21" i="19"/>
  <c r="HK22" i="19"/>
  <c r="HK23" i="19"/>
  <c r="HK27" i="19"/>
  <c r="HK24" i="19"/>
  <c r="HK25" i="19"/>
  <c r="HK26" i="19"/>
  <c r="HK28" i="19"/>
  <c r="GI4" i="19"/>
  <c r="GI5" i="19"/>
  <c r="GI6" i="19"/>
  <c r="GI7" i="19"/>
  <c r="GI11" i="19"/>
  <c r="GI8" i="19"/>
  <c r="GI9" i="19"/>
  <c r="GI10" i="19"/>
  <c r="GI12" i="19"/>
  <c r="GI13" i="19"/>
  <c r="GI15" i="19"/>
  <c r="GI14" i="19"/>
  <c r="GI16" i="19"/>
  <c r="GI17" i="19"/>
  <c r="GI18" i="19"/>
  <c r="GI19" i="19"/>
  <c r="GI20" i="19"/>
  <c r="GI21" i="19"/>
  <c r="GI22" i="19"/>
  <c r="GI23" i="19"/>
  <c r="GI27" i="19"/>
  <c r="GI24" i="19"/>
  <c r="GI25" i="19"/>
  <c r="GI26" i="19"/>
  <c r="GI28" i="19"/>
  <c r="FG4" i="19"/>
  <c r="FG5" i="19"/>
  <c r="FG6" i="19"/>
  <c r="FG7" i="19"/>
  <c r="FG11" i="19"/>
  <c r="FG8" i="19"/>
  <c r="FG9" i="19"/>
  <c r="FG10" i="19"/>
  <c r="FG12" i="19"/>
  <c r="FG13" i="19"/>
  <c r="FG15" i="19"/>
  <c r="FG14" i="19"/>
  <c r="FG16" i="19"/>
  <c r="FG17" i="19"/>
  <c r="FG18" i="19"/>
  <c r="FG19" i="19"/>
  <c r="FG20" i="19"/>
  <c r="FG21" i="19"/>
  <c r="FG22" i="19"/>
  <c r="FG23" i="19"/>
  <c r="FG27" i="19"/>
  <c r="FG24" i="19"/>
  <c r="FG25" i="19"/>
  <c r="FG26" i="19"/>
  <c r="FG28" i="19"/>
  <c r="EE4" i="19"/>
  <c r="EE5" i="19"/>
  <c r="EE6" i="19"/>
  <c r="EE7" i="19"/>
  <c r="EE11" i="19"/>
  <c r="EE8" i="19"/>
  <c r="EE9" i="19"/>
  <c r="EE10" i="19"/>
  <c r="EE12" i="19"/>
  <c r="EE13" i="19"/>
  <c r="EE15" i="19"/>
  <c r="EE14" i="19"/>
  <c r="EE16" i="19"/>
  <c r="EE17" i="19"/>
  <c r="EE18" i="19"/>
  <c r="EE19" i="19"/>
  <c r="EE20" i="19"/>
  <c r="EE21" i="19"/>
  <c r="EE22" i="19"/>
  <c r="EE23" i="19"/>
  <c r="EE27" i="19"/>
  <c r="EE24" i="19"/>
  <c r="EE25" i="19"/>
  <c r="EE26" i="19"/>
  <c r="EE28" i="19"/>
  <c r="OY4" i="27"/>
  <c r="OY5" i="27"/>
  <c r="OY6" i="27"/>
  <c r="OY7" i="27"/>
  <c r="OY8" i="27"/>
  <c r="OY9" i="27"/>
  <c r="OY10" i="27"/>
  <c r="OY11" i="27"/>
  <c r="OY12" i="27"/>
  <c r="NW4" i="27"/>
  <c r="NW5" i="27"/>
  <c r="NW6" i="27"/>
  <c r="NW7" i="27"/>
  <c r="NW8" i="27"/>
  <c r="NW9" i="27"/>
  <c r="NW10" i="27"/>
  <c r="NW11" i="27"/>
  <c r="NW12" i="27"/>
  <c r="MU4" i="27"/>
  <c r="MU5" i="27"/>
  <c r="MU6" i="27"/>
  <c r="MU7" i="27"/>
  <c r="MU8" i="27"/>
  <c r="MU9" i="27"/>
  <c r="MU10" i="27"/>
  <c r="MU11" i="27"/>
  <c r="MU12" i="27"/>
  <c r="LS4" i="27"/>
  <c r="LS5" i="27"/>
  <c r="LS6" i="27"/>
  <c r="LS7" i="27"/>
  <c r="LS8" i="27"/>
  <c r="LS9" i="27"/>
  <c r="LS10" i="27"/>
  <c r="LS11" i="27"/>
  <c r="LS12" i="27"/>
  <c r="KQ4" i="27"/>
  <c r="KQ5" i="27"/>
  <c r="KQ6" i="27"/>
  <c r="KQ7" i="27"/>
  <c r="KQ8" i="27"/>
  <c r="KQ9" i="27"/>
  <c r="KQ10" i="27"/>
  <c r="KQ11" i="27"/>
  <c r="KQ12" i="27"/>
  <c r="JO4" i="27"/>
  <c r="JO5" i="27"/>
  <c r="JO6" i="27"/>
  <c r="JO7" i="27"/>
  <c r="JO8" i="27"/>
  <c r="JO9" i="27"/>
  <c r="JO10" i="27"/>
  <c r="JO11" i="27"/>
  <c r="JO12" i="27"/>
  <c r="IM4" i="27"/>
  <c r="IM5" i="27"/>
  <c r="IM6" i="27"/>
  <c r="IM7" i="27"/>
  <c r="IM8" i="27"/>
  <c r="IM9" i="27"/>
  <c r="IM10" i="27"/>
  <c r="IM11" i="27"/>
  <c r="IM12" i="27"/>
  <c r="HK4" i="27"/>
  <c r="HK5" i="27"/>
  <c r="HK6" i="27"/>
  <c r="HK7" i="27"/>
  <c r="HK8" i="27"/>
  <c r="HK9" i="27"/>
  <c r="HK10" i="27"/>
  <c r="HK11" i="27"/>
  <c r="HK12" i="27"/>
  <c r="GI4" i="27"/>
  <c r="GI5" i="27"/>
  <c r="GI6" i="27"/>
  <c r="GI7" i="27"/>
  <c r="GI8" i="27"/>
  <c r="GI9" i="27"/>
  <c r="GI10" i="27"/>
  <c r="GI11" i="27"/>
  <c r="GI12" i="27"/>
  <c r="FG4" i="27"/>
  <c r="FG5" i="27"/>
  <c r="FG6" i="27"/>
  <c r="FG7" i="27"/>
  <c r="FG8" i="27"/>
  <c r="FG9" i="27"/>
  <c r="FG10" i="27"/>
  <c r="FG11" i="27"/>
  <c r="FG12" i="27"/>
  <c r="EE6" i="27"/>
  <c r="EE8" i="27"/>
  <c r="EE9" i="27"/>
  <c r="EE10" i="27"/>
  <c r="EE11" i="27"/>
  <c r="EE12" i="27"/>
  <c r="EE7" i="27"/>
  <c r="EE5" i="27"/>
  <c r="EE4" i="27"/>
  <c r="OY4" i="26"/>
  <c r="OY5" i="26"/>
  <c r="OY6" i="26"/>
  <c r="OY7" i="26"/>
  <c r="OY8" i="26"/>
  <c r="OY9" i="26"/>
  <c r="OY10" i="26"/>
  <c r="NW4" i="26"/>
  <c r="NW5" i="26"/>
  <c r="NW6" i="26"/>
  <c r="NW7" i="26"/>
  <c r="NW8" i="26"/>
  <c r="NW9" i="26"/>
  <c r="NW10" i="26"/>
  <c r="MU4" i="26"/>
  <c r="MU5" i="26"/>
  <c r="MU6" i="26"/>
  <c r="MU7" i="26"/>
  <c r="MU8" i="26"/>
  <c r="MU9" i="26"/>
  <c r="MU10" i="26"/>
  <c r="LS4" i="26"/>
  <c r="LS5" i="26"/>
  <c r="LS6" i="26"/>
  <c r="LS7" i="26"/>
  <c r="LS8" i="26"/>
  <c r="LS9" i="26"/>
  <c r="LS10" i="26"/>
  <c r="KQ4" i="26"/>
  <c r="KQ5" i="26"/>
  <c r="KQ10" i="26"/>
  <c r="JO4" i="26"/>
  <c r="JO5" i="26"/>
  <c r="JO6" i="26"/>
  <c r="JO7" i="26"/>
  <c r="JO8" i="26"/>
  <c r="JO9" i="26"/>
  <c r="JO10" i="26"/>
  <c r="IM4" i="26"/>
  <c r="IM5" i="26"/>
  <c r="IM6" i="26"/>
  <c r="IM7" i="26"/>
  <c r="IM8" i="26"/>
  <c r="IM9" i="26"/>
  <c r="IM10" i="26"/>
  <c r="HK4" i="26"/>
  <c r="HK5" i="26"/>
  <c r="HK6" i="26"/>
  <c r="HK7" i="26"/>
  <c r="HK8" i="26"/>
  <c r="HK9" i="26"/>
  <c r="HK10" i="26"/>
  <c r="GI4" i="26"/>
  <c r="GI5" i="26"/>
  <c r="GI6" i="26"/>
  <c r="GI7" i="26"/>
  <c r="GI8" i="26"/>
  <c r="GI9" i="26"/>
  <c r="GI10" i="26"/>
  <c r="FG4" i="26"/>
  <c r="FG5" i="26"/>
  <c r="FG9" i="26"/>
  <c r="FG10" i="26"/>
  <c r="FG7" i="26"/>
  <c r="FG6" i="26"/>
  <c r="FG8" i="26"/>
  <c r="EE7" i="26"/>
  <c r="EE8" i="26"/>
  <c r="EE4" i="26"/>
  <c r="EE9" i="26"/>
  <c r="EE5" i="26"/>
  <c r="EE6" i="26"/>
  <c r="EE10" i="26"/>
  <c r="JB9" i="24"/>
  <c r="JI9" i="24" s="1"/>
  <c r="GL9" i="24"/>
  <c r="GS9" i="24" s="1"/>
  <c r="MZ11" i="24"/>
  <c r="NG11" i="24" s="1"/>
  <c r="HT11" i="24"/>
  <c r="IA11" i="24" s="1"/>
  <c r="BR9" i="24"/>
  <c r="KQ9" i="24"/>
  <c r="AQ9" i="24"/>
  <c r="DV9" i="24"/>
  <c r="DV7" i="23"/>
  <c r="EC7" i="23" s="1"/>
  <c r="SF7" i="23"/>
  <c r="SM7" i="23" s="1"/>
  <c r="OH7" i="23"/>
  <c r="OO7" i="23" s="1"/>
  <c r="CO9" i="24"/>
  <c r="CS9" i="24" s="1"/>
  <c r="CO11" i="24"/>
  <c r="CS11" i="24" s="1"/>
  <c r="TF7" i="23"/>
  <c r="TI7" i="23"/>
  <c r="QX7" i="23"/>
  <c r="RE7" i="23" s="1"/>
  <c r="PP7" i="23"/>
  <c r="PW7" i="23" s="1"/>
  <c r="KJ7" i="23"/>
  <c r="KQ7" i="23" s="1"/>
  <c r="GS7" i="23"/>
  <c r="FD7" i="23"/>
  <c r="FK7" i="23" s="1"/>
  <c r="TM7" i="23"/>
  <c r="G7" i="23"/>
  <c r="L7" i="23"/>
  <c r="CU7" i="23" s="1"/>
  <c r="F7" i="23"/>
  <c r="J7" i="23"/>
  <c r="K7" i="23" s="1"/>
  <c r="AM7" i="23"/>
  <c r="AQ7" i="23" s="1"/>
  <c r="I7" i="23"/>
  <c r="BR11" i="24"/>
  <c r="GL11" i="24"/>
  <c r="AQ11" i="24"/>
  <c r="SM9" i="24"/>
  <c r="EC9" i="24"/>
  <c r="PW9" i="24"/>
  <c r="LY11" i="24"/>
  <c r="TM11" i="24"/>
  <c r="TF9" i="24"/>
  <c r="OH11" i="24"/>
  <c r="OO11" i="24" s="1"/>
  <c r="QX9" i="24"/>
  <c r="RE9" i="24" s="1"/>
  <c r="MZ9" i="24"/>
  <c r="NG9" i="24" s="1"/>
  <c r="LR9" i="24"/>
  <c r="LY9" i="24" s="1"/>
  <c r="HT9" i="24"/>
  <c r="IA9" i="24" s="1"/>
  <c r="J9" i="24"/>
  <c r="K9" i="24" s="1"/>
  <c r="L9" i="24"/>
  <c r="M9" i="24" s="1"/>
  <c r="TM9" i="24"/>
  <c r="TI9" i="24"/>
  <c r="G9" i="24"/>
  <c r="F9" i="24"/>
  <c r="I9" i="24"/>
  <c r="SF11" i="24"/>
  <c r="SM11" i="24" s="1"/>
  <c r="QX11" i="24"/>
  <c r="RE11" i="24" s="1"/>
  <c r="PP11" i="24"/>
  <c r="PW11" i="24" s="1"/>
  <c r="KJ11" i="24"/>
  <c r="KQ11" i="24" s="1"/>
  <c r="JB11" i="24"/>
  <c r="JI11" i="24" s="1"/>
  <c r="GS11" i="24"/>
  <c r="FD11" i="24"/>
  <c r="FK11" i="24" s="1"/>
  <c r="G11" i="24"/>
  <c r="DV11" i="24"/>
  <c r="EC11" i="24" s="1"/>
  <c r="TF11" i="24"/>
  <c r="TI11" i="24"/>
  <c r="L11" i="24"/>
  <c r="CU11" i="24" s="1"/>
  <c r="F11" i="24"/>
  <c r="J11" i="24"/>
  <c r="I11" i="24"/>
  <c r="TJ11" i="24" l="1"/>
  <c r="TN11" i="24" s="1"/>
  <c r="TJ7" i="23"/>
  <c r="TN7" i="23" s="1"/>
  <c r="A7" i="23" a="1"/>
  <c r="A7" i="23" s="1"/>
  <c r="CT7" i="23"/>
  <c r="N7" i="23" s="1"/>
  <c r="H7" i="23"/>
  <c r="M7" i="23"/>
  <c r="TJ9" i="24"/>
  <c r="TN9" i="24" s="1"/>
  <c r="CT11" i="24"/>
  <c r="N11" i="24" s="1"/>
  <c r="O11" i="24" s="1"/>
  <c r="M11" i="24"/>
  <c r="CT9" i="24"/>
  <c r="CU9" i="24"/>
  <c r="H9" i="24"/>
  <c r="H11" i="24"/>
  <c r="A11" i="24" a="1"/>
  <c r="A11" i="24" s="1"/>
  <c r="K11" i="24"/>
  <c r="AP15" i="21"/>
  <c r="AQ15" i="21"/>
  <c r="AR15" i="21"/>
  <c r="AS15" i="21"/>
  <c r="AU15" i="21"/>
  <c r="AV15" i="21"/>
  <c r="BS15" i="21"/>
  <c r="BT15" i="21"/>
  <c r="BU15" i="21"/>
  <c r="BV15" i="21"/>
  <c r="BX15" i="21"/>
  <c r="BY15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AP16" i="21"/>
  <c r="AQ16" i="21"/>
  <c r="AR16" i="21"/>
  <c r="AS16" i="21"/>
  <c r="AU16" i="21"/>
  <c r="AV16" i="21"/>
  <c r="BS16" i="21"/>
  <c r="BT16" i="21"/>
  <c r="BU16" i="21"/>
  <c r="BV16" i="21"/>
  <c r="BX16" i="21"/>
  <c r="BY16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1" i="19"/>
  <c r="AQ21" i="19"/>
  <c r="AR21" i="19"/>
  <c r="AS21" i="19"/>
  <c r="AU21" i="19"/>
  <c r="AV21" i="19"/>
  <c r="BS21" i="19"/>
  <c r="BT21" i="19"/>
  <c r="BU21" i="19"/>
  <c r="BV21" i="19"/>
  <c r="BX21" i="19"/>
  <c r="BY21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AP19" i="19"/>
  <c r="AQ19" i="19"/>
  <c r="AR19" i="19"/>
  <c r="AS19" i="19"/>
  <c r="AU19" i="19"/>
  <c r="AV19" i="19"/>
  <c r="BS19" i="19"/>
  <c r="BT19" i="19"/>
  <c r="BU19" i="19"/>
  <c r="BV19" i="19"/>
  <c r="BX19" i="19"/>
  <c r="BY19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AP9" i="26"/>
  <c r="AQ9" i="26"/>
  <c r="AR9" i="26"/>
  <c r="AS9" i="26"/>
  <c r="AU9" i="26"/>
  <c r="AV9" i="26"/>
  <c r="BS9" i="26"/>
  <c r="BT9" i="26"/>
  <c r="BU9" i="26"/>
  <c r="BV9" i="26"/>
  <c r="BX9" i="26"/>
  <c r="BY9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AO16" i="22"/>
  <c r="AP16" i="22"/>
  <c r="AQ16" i="22"/>
  <c r="AU16" i="22" s="1"/>
  <c r="AR16" i="22"/>
  <c r="AS16" i="22"/>
  <c r="AT16" i="22"/>
  <c r="AV16" i="22"/>
  <c r="AW16" i="22"/>
  <c r="AX16" i="22"/>
  <c r="BP16" i="22"/>
  <c r="BQ16" i="22"/>
  <c r="BR16" i="22"/>
  <c r="BV16" i="22" s="1"/>
  <c r="BS16" i="22"/>
  <c r="BT16" i="22"/>
  <c r="BU16" i="22"/>
  <c r="BW16" i="22"/>
  <c r="BX16" i="22"/>
  <c r="BY16" i="22"/>
  <c r="CQ16" i="22"/>
  <c r="CR16" i="22"/>
  <c r="CS16" i="22"/>
  <c r="CT16" i="22"/>
  <c r="CU16" i="22"/>
  <c r="CV16" i="22"/>
  <c r="CX16" i="22"/>
  <c r="CY16" i="22"/>
  <c r="CZ16" i="22"/>
  <c r="DX16" i="22"/>
  <c r="DY16" i="22"/>
  <c r="DZ16" i="22"/>
  <c r="EA16" i="22"/>
  <c r="EB16" i="22"/>
  <c r="EC16" i="22"/>
  <c r="EE16" i="22"/>
  <c r="EF16" i="22"/>
  <c r="EG16" i="22"/>
  <c r="EH16" i="22"/>
  <c r="EI16" i="22"/>
  <c r="EJ16" i="22"/>
  <c r="FF16" i="22"/>
  <c r="FG16" i="22"/>
  <c r="FH16" i="22"/>
  <c r="FI16" i="22"/>
  <c r="FJ16" i="22"/>
  <c r="FK16" i="22"/>
  <c r="FM16" i="22"/>
  <c r="FN16" i="22"/>
  <c r="FO16" i="22"/>
  <c r="FP16" i="22"/>
  <c r="FQ16" i="22"/>
  <c r="FR16" i="22"/>
  <c r="GN16" i="22"/>
  <c r="GO16" i="22"/>
  <c r="GP16" i="22"/>
  <c r="GQ16" i="22"/>
  <c r="GR16" i="22"/>
  <c r="GS16" i="22"/>
  <c r="GU16" i="22"/>
  <c r="GV16" i="22"/>
  <c r="GW16" i="22"/>
  <c r="GX16" i="22"/>
  <c r="GY16" i="22"/>
  <c r="GZ16" i="22"/>
  <c r="HV16" i="22"/>
  <c r="HW16" i="22"/>
  <c r="HX16" i="22"/>
  <c r="HY16" i="22"/>
  <c r="HZ16" i="22"/>
  <c r="IA16" i="22"/>
  <c r="IC16" i="22"/>
  <c r="ID16" i="22"/>
  <c r="IE16" i="22"/>
  <c r="IF16" i="22"/>
  <c r="IG16" i="22"/>
  <c r="IH16" i="22"/>
  <c r="JD16" i="22"/>
  <c r="JE16" i="22"/>
  <c r="JF16" i="22"/>
  <c r="JG16" i="22"/>
  <c r="JH16" i="22"/>
  <c r="JI16" i="22"/>
  <c r="JK16" i="22"/>
  <c r="JL16" i="22"/>
  <c r="JM16" i="22"/>
  <c r="JN16" i="22"/>
  <c r="JO16" i="22"/>
  <c r="JP16" i="22"/>
  <c r="KL16" i="22"/>
  <c r="KM16" i="22"/>
  <c r="KN16" i="22"/>
  <c r="KO16" i="22"/>
  <c r="KP16" i="22"/>
  <c r="KQ16" i="22"/>
  <c r="KS16" i="22"/>
  <c r="KT16" i="22"/>
  <c r="KU16" i="22"/>
  <c r="KV16" i="22"/>
  <c r="KW16" i="22"/>
  <c r="KX16" i="22"/>
  <c r="LT16" i="22"/>
  <c r="LU16" i="22"/>
  <c r="LV16" i="22"/>
  <c r="LW16" i="22"/>
  <c r="LX16" i="22"/>
  <c r="LY16" i="22"/>
  <c r="MA16" i="22"/>
  <c r="MB16" i="22"/>
  <c r="MC16" i="22"/>
  <c r="MD16" i="22"/>
  <c r="ME16" i="22"/>
  <c r="MF16" i="22"/>
  <c r="NB16" i="22"/>
  <c r="NC16" i="22"/>
  <c r="ND16" i="22"/>
  <c r="NE16" i="22"/>
  <c r="NF16" i="22"/>
  <c r="NG16" i="22"/>
  <c r="NI16" i="22"/>
  <c r="NJ16" i="22"/>
  <c r="NK16" i="22"/>
  <c r="NL16" i="22"/>
  <c r="NM16" i="22"/>
  <c r="NN16" i="22"/>
  <c r="OJ16" i="22"/>
  <c r="OK16" i="22"/>
  <c r="OL16" i="22"/>
  <c r="OM16" i="22"/>
  <c r="ON16" i="22"/>
  <c r="OO16" i="22"/>
  <c r="OQ16" i="22"/>
  <c r="OR16" i="22"/>
  <c r="OS16" i="22"/>
  <c r="OT16" i="22"/>
  <c r="OU16" i="22"/>
  <c r="OV16" i="22"/>
  <c r="PR16" i="22"/>
  <c r="PS16" i="22"/>
  <c r="PT16" i="22"/>
  <c r="PU16" i="22"/>
  <c r="PV16" i="22"/>
  <c r="PW16" i="22"/>
  <c r="PY16" i="22"/>
  <c r="PZ16" i="22"/>
  <c r="QA16" i="22"/>
  <c r="QB16" i="22"/>
  <c r="QC16" i="22"/>
  <c r="QD16" i="22"/>
  <c r="QZ16" i="22"/>
  <c r="RA16" i="22"/>
  <c r="RB16" i="22"/>
  <c r="RC16" i="22"/>
  <c r="RD16" i="22"/>
  <c r="RE16" i="22"/>
  <c r="RG16" i="22"/>
  <c r="RH16" i="22"/>
  <c r="RI16" i="22"/>
  <c r="RJ16" i="22"/>
  <c r="RK16" i="22"/>
  <c r="RL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RE12" i="27" l="1"/>
  <c r="AT9" i="26"/>
  <c r="AT5" i="26"/>
  <c r="N9" i="24"/>
  <c r="E9" i="24" s="1"/>
  <c r="DC26" i="19"/>
  <c r="OP16" i="22"/>
  <c r="KR16" i="22"/>
  <c r="KY16" i="22" s="1"/>
  <c r="FL16" i="22"/>
  <c r="FS16" i="22" s="1"/>
  <c r="DC16" i="21"/>
  <c r="RE26" i="19"/>
  <c r="O7" i="23"/>
  <c r="P7" i="23"/>
  <c r="E7" i="23"/>
  <c r="DC15" i="21"/>
  <c r="BZ26" i="19"/>
  <c r="BW21" i="19"/>
  <c r="AT21" i="19"/>
  <c r="AT12" i="27"/>
  <c r="QZ5" i="26"/>
  <c r="RE5" i="26"/>
  <c r="BW5" i="26"/>
  <c r="SN16" i="22"/>
  <c r="PX16" i="22"/>
  <c r="QE16" i="22" s="1"/>
  <c r="AY16" i="22"/>
  <c r="CW16" i="22"/>
  <c r="DA16" i="22" s="1"/>
  <c r="QA16" i="21"/>
  <c r="AT16" i="21"/>
  <c r="P15" i="21"/>
  <c r="Q15" i="21" s="1"/>
  <c r="QZ15" i="21"/>
  <c r="AT15" i="21"/>
  <c r="BW15" i="21"/>
  <c r="RE21" i="19"/>
  <c r="QZ21" i="19"/>
  <c r="CZ26" i="19"/>
  <c r="BZ24" i="19"/>
  <c r="DC21" i="19"/>
  <c r="CZ24" i="19"/>
  <c r="BW12" i="27"/>
  <c r="AT9" i="27"/>
  <c r="DC12" i="27"/>
  <c r="QA12" i="27"/>
  <c r="RB12" i="27"/>
  <c r="RA12" i="27"/>
  <c r="RD12" i="27" s="1"/>
  <c r="QA9" i="27"/>
  <c r="DC9" i="27"/>
  <c r="BW9" i="27"/>
  <c r="P9" i="27"/>
  <c r="DF9" i="27" s="1"/>
  <c r="DC9" i="26"/>
  <c r="P9" i="26"/>
  <c r="Q9" i="26" s="1"/>
  <c r="DC5" i="26"/>
  <c r="T16" i="22"/>
  <c r="U16" i="22" s="1"/>
  <c r="JJ16" i="22"/>
  <c r="JQ16" i="22" s="1"/>
  <c r="GT16" i="22"/>
  <c r="HA16" i="22" s="1"/>
  <c r="ED16" i="22"/>
  <c r="EK16" i="22" s="1"/>
  <c r="OW16" i="22"/>
  <c r="BZ16" i="22"/>
  <c r="O9" i="24"/>
  <c r="P9" i="24"/>
  <c r="E11" i="24"/>
  <c r="P11" i="24"/>
  <c r="QA15" i="21"/>
  <c r="RB15" i="21"/>
  <c r="RA15" i="21"/>
  <c r="QZ16" i="21"/>
  <c r="N16" i="21"/>
  <c r="DE16" i="21" s="1"/>
  <c r="BW16" i="21"/>
  <c r="RE15" i="21"/>
  <c r="CZ15" i="21"/>
  <c r="N15" i="21"/>
  <c r="DE15" i="21" s="1"/>
  <c r="L15" i="21"/>
  <c r="M15" i="21" s="1"/>
  <c r="RF15" i="21"/>
  <c r="BZ15" i="21"/>
  <c r="J15" i="21"/>
  <c r="K15" i="21" s="1"/>
  <c r="RC15" i="21"/>
  <c r="QD15" i="21"/>
  <c r="G15" i="21"/>
  <c r="F15" i="21"/>
  <c r="AW15" i="21"/>
  <c r="RB16" i="21"/>
  <c r="RA16" i="21"/>
  <c r="P16" i="21"/>
  <c r="DF16" i="21" s="1"/>
  <c r="CZ16" i="21"/>
  <c r="L16" i="21"/>
  <c r="M16" i="21" s="1"/>
  <c r="RE16" i="21"/>
  <c r="RF16" i="21"/>
  <c r="BZ16" i="21"/>
  <c r="F16" i="21"/>
  <c r="J16" i="21"/>
  <c r="K16" i="21" s="1"/>
  <c r="RC16" i="21"/>
  <c r="QD16" i="21"/>
  <c r="G16" i="21"/>
  <c r="AW16" i="21"/>
  <c r="QA26" i="19"/>
  <c r="N26" i="19"/>
  <c r="DE26" i="19" s="1"/>
  <c r="QZ26" i="19"/>
  <c r="G26" i="19"/>
  <c r="RF26" i="19"/>
  <c r="RB26" i="19"/>
  <c r="L26" i="19"/>
  <c r="M26" i="19" s="1"/>
  <c r="RA26" i="19"/>
  <c r="BW26" i="19"/>
  <c r="F26" i="19"/>
  <c r="J26" i="19"/>
  <c r="K26" i="19" s="1"/>
  <c r="AT26" i="19"/>
  <c r="P26" i="19"/>
  <c r="RC26" i="19"/>
  <c r="QD26" i="19"/>
  <c r="AW26" i="19"/>
  <c r="BW17" i="19"/>
  <c r="DC24" i="19"/>
  <c r="BW19" i="19"/>
  <c r="QA17" i="19"/>
  <c r="DC17" i="19"/>
  <c r="AT17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BZ21" i="19"/>
  <c r="J21" i="19"/>
  <c r="K21" i="19" s="1"/>
  <c r="RC21" i="19"/>
  <c r="QD21" i="19"/>
  <c r="G21" i="19"/>
  <c r="F21" i="19"/>
  <c r="AW21" i="19"/>
  <c r="RF24" i="19"/>
  <c r="DC19" i="19"/>
  <c r="QZ17" i="19"/>
  <c r="QZ24" i="19"/>
  <c r="QA24" i="19"/>
  <c r="N24" i="19"/>
  <c r="DE24" i="19" s="1"/>
  <c r="RE24" i="19"/>
  <c r="G24" i="19"/>
  <c r="RB24" i="19"/>
  <c r="RA24" i="19"/>
  <c r="L24" i="19"/>
  <c r="M24" i="19" s="1"/>
  <c r="BW24" i="19"/>
  <c r="F24" i="19"/>
  <c r="J24" i="19"/>
  <c r="K24" i="19" s="1"/>
  <c r="AT24" i="19"/>
  <c r="P24" i="19"/>
  <c r="RC24" i="19"/>
  <c r="QD24" i="19"/>
  <c r="AW24" i="19"/>
  <c r="QZ19" i="19"/>
  <c r="RB17" i="19"/>
  <c r="RA17" i="19"/>
  <c r="P17" i="19"/>
  <c r="Q17" i="19" s="1"/>
  <c r="N17" i="19"/>
  <c r="O17" i="19" s="1"/>
  <c r="RE17" i="19"/>
  <c r="CZ17" i="19"/>
  <c r="L17" i="19"/>
  <c r="M17" i="19" s="1"/>
  <c r="RF17" i="19"/>
  <c r="BZ17" i="19"/>
  <c r="J17" i="19"/>
  <c r="K17" i="19" s="1"/>
  <c r="RC17" i="19"/>
  <c r="QD17" i="19"/>
  <c r="G17" i="19"/>
  <c r="F17" i="19"/>
  <c r="AW17" i="19"/>
  <c r="QA19" i="19"/>
  <c r="RB19" i="19"/>
  <c r="RA19" i="19"/>
  <c r="P19" i="19"/>
  <c r="DF19" i="19" s="1"/>
  <c r="N19" i="19"/>
  <c r="O19" i="19" s="1"/>
  <c r="AT19" i="19"/>
  <c r="RE19" i="19"/>
  <c r="CZ19" i="19"/>
  <c r="L19" i="19"/>
  <c r="M19" i="19" s="1"/>
  <c r="RF19" i="19"/>
  <c r="BZ19" i="19"/>
  <c r="J19" i="19"/>
  <c r="K19" i="19" s="1"/>
  <c r="RC19" i="19"/>
  <c r="QD19" i="19"/>
  <c r="G19" i="19"/>
  <c r="F19" i="19"/>
  <c r="AW19" i="19"/>
  <c r="QZ12" i="27"/>
  <c r="CZ12" i="27"/>
  <c r="N12" i="27"/>
  <c r="DE12" i="27" s="1"/>
  <c r="L12" i="27"/>
  <c r="M12" i="27" s="1"/>
  <c r="RF12" i="27"/>
  <c r="BZ12" i="27"/>
  <c r="F12" i="27"/>
  <c r="G12" i="27"/>
  <c r="J12" i="27"/>
  <c r="K12" i="27" s="1"/>
  <c r="P12" i="27"/>
  <c r="RC12" i="27"/>
  <c r="QD12" i="27"/>
  <c r="AW12" i="27"/>
  <c r="RE9" i="27"/>
  <c r="QZ9" i="27"/>
  <c r="RA9" i="27"/>
  <c r="RB9" i="27"/>
  <c r="CZ9" i="27"/>
  <c r="N9" i="27"/>
  <c r="DE9" i="27" s="1"/>
  <c r="L9" i="27"/>
  <c r="DD9" i="27" s="1"/>
  <c r="RF9" i="27"/>
  <c r="BZ9" i="27"/>
  <c r="F9" i="27"/>
  <c r="J9" i="27"/>
  <c r="K9" i="27" s="1"/>
  <c r="RC9" i="27"/>
  <c r="QD9" i="27"/>
  <c r="G9" i="27"/>
  <c r="AW9" i="27"/>
  <c r="RE9" i="26"/>
  <c r="QZ9" i="26"/>
  <c r="BW9" i="26"/>
  <c r="QA9" i="26"/>
  <c r="CZ9" i="26"/>
  <c r="L9" i="26"/>
  <c r="M9" i="26" s="1"/>
  <c r="RB9" i="26"/>
  <c r="N9" i="26"/>
  <c r="DE9" i="26" s="1"/>
  <c r="RF9" i="26"/>
  <c r="BZ9" i="26"/>
  <c r="F9" i="26"/>
  <c r="J9" i="26"/>
  <c r="RC9" i="26"/>
  <c r="QD9" i="26"/>
  <c r="G9" i="26"/>
  <c r="RA9" i="26"/>
  <c r="AW9" i="26"/>
  <c r="QA5" i="26"/>
  <c r="RB5" i="26"/>
  <c r="RA5" i="26"/>
  <c r="CZ5" i="26"/>
  <c r="L5" i="26"/>
  <c r="M5" i="26" s="1"/>
  <c r="N5" i="26"/>
  <c r="DE5" i="26" s="1"/>
  <c r="RF5" i="26"/>
  <c r="BZ5" i="26"/>
  <c r="F5" i="26"/>
  <c r="G5" i="26"/>
  <c r="J5" i="26"/>
  <c r="K5" i="26" s="1"/>
  <c r="P5" i="26"/>
  <c r="RC5" i="26"/>
  <c r="QD5" i="26"/>
  <c r="AW5" i="26"/>
  <c r="SU16" i="22"/>
  <c r="RF16" i="22"/>
  <c r="RM16" i="22" s="1"/>
  <c r="NH16" i="22"/>
  <c r="NO16" i="22" s="1"/>
  <c r="LZ16" i="22"/>
  <c r="MG16" i="22" s="1"/>
  <c r="IB16" i="22"/>
  <c r="II16" i="22" s="1"/>
  <c r="TN16" i="22"/>
  <c r="N16" i="22"/>
  <c r="O16" i="22" s="1"/>
  <c r="TU16" i="22"/>
  <c r="TQ16" i="22"/>
  <c r="L16" i="22"/>
  <c r="M16" i="22" s="1"/>
  <c r="G16" i="22"/>
  <c r="R16" i="22"/>
  <c r="S16" i="22" s="1"/>
  <c r="J16" i="22"/>
  <c r="K16" i="22" s="1"/>
  <c r="P16" i="22"/>
  <c r="I16" i="22"/>
  <c r="F16" i="22"/>
  <c r="RD15" i="21" l="1"/>
  <c r="RG19" i="19"/>
  <c r="RD26" i="19"/>
  <c r="RG12" i="27"/>
  <c r="RG16" i="21"/>
  <c r="RD9" i="27"/>
  <c r="O26" i="19"/>
  <c r="RD21" i="19"/>
  <c r="DD5" i="26"/>
  <c r="DF9" i="26"/>
  <c r="DD16" i="21"/>
  <c r="R16" i="21" s="1"/>
  <c r="T16" i="21" s="1"/>
  <c r="DF15" i="21"/>
  <c r="RD16" i="21"/>
  <c r="RG15" i="21"/>
  <c r="O16" i="21"/>
  <c r="RG24" i="19"/>
  <c r="DF17" i="19"/>
  <c r="DD26" i="19"/>
  <c r="M21" i="19"/>
  <c r="RG17" i="19"/>
  <c r="RD24" i="19"/>
  <c r="O24" i="19"/>
  <c r="RD17" i="19"/>
  <c r="I12" i="27"/>
  <c r="H12" i="27" s="1"/>
  <c r="RG9" i="27"/>
  <c r="M9" i="27"/>
  <c r="DD12" i="27"/>
  <c r="O9" i="27"/>
  <c r="I9" i="27"/>
  <c r="H9" i="27" s="1"/>
  <c r="Q9" i="27"/>
  <c r="O12" i="27"/>
  <c r="I9" i="26"/>
  <c r="H9" i="26" s="1"/>
  <c r="I5" i="26"/>
  <c r="Q16" i="21"/>
  <c r="I15" i="21"/>
  <c r="H15" i="21" s="1"/>
  <c r="O15" i="21"/>
  <c r="A15" i="21"/>
  <c r="DD15" i="21"/>
  <c r="I16" i="21"/>
  <c r="H16" i="21" s="1"/>
  <c r="A16" i="21"/>
  <c r="A26" i="19"/>
  <c r="RG26" i="19"/>
  <c r="I26" i="19"/>
  <c r="H26" i="19" s="1"/>
  <c r="DF26" i="19"/>
  <c r="Q26" i="19"/>
  <c r="RD19" i="19"/>
  <c r="I21" i="19"/>
  <c r="H21" i="19" s="1"/>
  <c r="RG21" i="19"/>
  <c r="O21" i="19"/>
  <c r="DF21" i="19"/>
  <c r="R21" i="19" s="1"/>
  <c r="A21" i="19"/>
  <c r="DD24" i="19"/>
  <c r="I19" i="19"/>
  <c r="H19" i="19" s="1"/>
  <c r="Q19" i="19"/>
  <c r="I17" i="19"/>
  <c r="H17" i="19" s="1"/>
  <c r="I24" i="19"/>
  <c r="H24" i="19" s="1"/>
  <c r="A24" i="19"/>
  <c r="DF24" i="19"/>
  <c r="Q24" i="19"/>
  <c r="DE19" i="19"/>
  <c r="DE17" i="19"/>
  <c r="DD17" i="19"/>
  <c r="A17" i="19"/>
  <c r="DD19" i="19"/>
  <c r="A19" i="19"/>
  <c r="A12" i="27"/>
  <c r="Q12" i="27"/>
  <c r="DF12" i="27"/>
  <c r="R9" i="27"/>
  <c r="O9" i="26"/>
  <c r="DD9" i="26"/>
  <c r="RD9" i="26"/>
  <c r="RG9" i="26"/>
  <c r="K9" i="26"/>
  <c r="RD5" i="26"/>
  <c r="RG5" i="26"/>
  <c r="O5" i="26"/>
  <c r="H5" i="26"/>
  <c r="DF5" i="26"/>
  <c r="Q5" i="26"/>
  <c r="A16" i="22" a="1"/>
  <c r="A16" i="22" s="1"/>
  <c r="DB16" i="22"/>
  <c r="TR16" i="22"/>
  <c r="TV16" i="22" s="1"/>
  <c r="DC16" i="22"/>
  <c r="Q16" i="22"/>
  <c r="H16" i="22"/>
  <c r="R5" i="26" l="1"/>
  <c r="T5" i="26" s="1"/>
  <c r="R26" i="19"/>
  <c r="E26" i="19" s="1"/>
  <c r="R9" i="26"/>
  <c r="S9" i="26" s="1"/>
  <c r="R15" i="21"/>
  <c r="T15" i="21" s="1"/>
  <c r="R12" i="27"/>
  <c r="S12" i="27" s="1"/>
  <c r="E16" i="21"/>
  <c r="S16" i="21"/>
  <c r="R24" i="19"/>
  <c r="T24" i="19" s="1"/>
  <c r="E21" i="19"/>
  <c r="S21" i="19"/>
  <c r="T21" i="19"/>
  <c r="R19" i="19"/>
  <c r="S19" i="19" s="1"/>
  <c r="R17" i="19"/>
  <c r="T17" i="19" s="1"/>
  <c r="T9" i="27"/>
  <c r="S9" i="27"/>
  <c r="E9" i="27"/>
  <c r="A9" i="27" s="1"/>
  <c r="V16" i="22"/>
  <c r="W16" i="22" s="1"/>
  <c r="E5" i="26" l="1"/>
  <c r="S5" i="26"/>
  <c r="S15" i="21"/>
  <c r="E15" i="21"/>
  <c r="S26" i="19"/>
  <c r="T26" i="19"/>
  <c r="T9" i="26"/>
  <c r="E9" i="26"/>
  <c r="A9" i="26" s="1"/>
  <c r="S24" i="19"/>
  <c r="T12" i="27"/>
  <c r="E12" i="27"/>
  <c r="E24" i="19"/>
  <c r="E17" i="19"/>
  <c r="S17" i="19"/>
  <c r="E19" i="19"/>
  <c r="T19" i="19"/>
  <c r="E16" i="22"/>
  <c r="X16" i="22"/>
  <c r="AO13" i="22" l="1"/>
  <c r="AP13" i="22"/>
  <c r="AQ13" i="22"/>
  <c r="AR13" i="22"/>
  <c r="AS13" i="22"/>
  <c r="AT13" i="22"/>
  <c r="AU13" i="22"/>
  <c r="AV13" i="22"/>
  <c r="AW13" i="22"/>
  <c r="AX13" i="22"/>
  <c r="BP13" i="22"/>
  <c r="BQ13" i="22"/>
  <c r="BR13" i="22"/>
  <c r="BV13" i="22" s="1"/>
  <c r="BS13" i="22"/>
  <c r="BT13" i="22"/>
  <c r="BU13" i="22"/>
  <c r="BW13" i="22"/>
  <c r="BX13" i="22"/>
  <c r="BY13" i="22"/>
  <c r="CQ13" i="22"/>
  <c r="CR13" i="22"/>
  <c r="CS13" i="22"/>
  <c r="CW13" i="22" s="1"/>
  <c r="CT13" i="22"/>
  <c r="CU13" i="22"/>
  <c r="CV13" i="22"/>
  <c r="CX13" i="22"/>
  <c r="CY13" i="22"/>
  <c r="CZ13" i="22"/>
  <c r="DX13" i="22"/>
  <c r="DY13" i="22"/>
  <c r="DZ13" i="22"/>
  <c r="ED13" i="22" s="1"/>
  <c r="EA13" i="22"/>
  <c r="EB13" i="22"/>
  <c r="EC13" i="22"/>
  <c r="EE13" i="22"/>
  <c r="EF13" i="22"/>
  <c r="EG13" i="22"/>
  <c r="EH13" i="22"/>
  <c r="EI13" i="22"/>
  <c r="EJ13" i="22"/>
  <c r="FF13" i="22"/>
  <c r="FG13" i="22"/>
  <c r="FH13" i="22"/>
  <c r="FI13" i="22"/>
  <c r="FJ13" i="22"/>
  <c r="FK13" i="22"/>
  <c r="FM13" i="22"/>
  <c r="FN13" i="22"/>
  <c r="FO13" i="22"/>
  <c r="FP13" i="22"/>
  <c r="FQ13" i="22"/>
  <c r="FR13" i="22"/>
  <c r="GN13" i="22"/>
  <c r="GO13" i="22"/>
  <c r="GP13" i="22"/>
  <c r="GT13" i="22" s="1"/>
  <c r="GQ13" i="22"/>
  <c r="GR13" i="22"/>
  <c r="GS13" i="22"/>
  <c r="GU13" i="22"/>
  <c r="GV13" i="22"/>
  <c r="GW13" i="22"/>
  <c r="GX13" i="22"/>
  <c r="GY13" i="22"/>
  <c r="GZ13" i="22"/>
  <c r="HV13" i="22"/>
  <c r="HW13" i="22"/>
  <c r="HX13" i="22"/>
  <c r="HY13" i="22"/>
  <c r="HZ13" i="22"/>
  <c r="IA13" i="22"/>
  <c r="IC13" i="22"/>
  <c r="ID13" i="22"/>
  <c r="IE13" i="22"/>
  <c r="IF13" i="22"/>
  <c r="IG13" i="22"/>
  <c r="IH13" i="22"/>
  <c r="JD13" i="22"/>
  <c r="JE13" i="22"/>
  <c r="JF13" i="22"/>
  <c r="JJ13" i="22" s="1"/>
  <c r="JG13" i="22"/>
  <c r="JH13" i="22"/>
  <c r="JI13" i="22"/>
  <c r="JK13" i="22"/>
  <c r="JL13" i="22"/>
  <c r="JM13" i="22"/>
  <c r="JN13" i="22"/>
  <c r="JO13" i="22"/>
  <c r="JP13" i="22"/>
  <c r="KL13" i="22"/>
  <c r="KM13" i="22"/>
  <c r="KN13" i="22"/>
  <c r="KO13" i="22"/>
  <c r="KP13" i="22"/>
  <c r="KQ13" i="22"/>
  <c r="KS13" i="22"/>
  <c r="KT13" i="22"/>
  <c r="KU13" i="22"/>
  <c r="KV13" i="22"/>
  <c r="KW13" i="22"/>
  <c r="KX13" i="22"/>
  <c r="LT13" i="22"/>
  <c r="LU13" i="22"/>
  <c r="LV13" i="22"/>
  <c r="LZ13" i="22" s="1"/>
  <c r="LW13" i="22"/>
  <c r="LX13" i="22"/>
  <c r="LY13" i="22"/>
  <c r="MA13" i="22"/>
  <c r="MB13" i="22"/>
  <c r="MC13" i="22"/>
  <c r="MD13" i="22"/>
  <c r="ME13" i="22"/>
  <c r="MF13" i="22"/>
  <c r="NB13" i="22"/>
  <c r="NC13" i="22"/>
  <c r="ND13" i="22"/>
  <c r="NE13" i="22"/>
  <c r="NF13" i="22"/>
  <c r="NG13" i="22"/>
  <c r="NI13" i="22"/>
  <c r="NJ13" i="22"/>
  <c r="NK13" i="22"/>
  <c r="NL13" i="22"/>
  <c r="NM13" i="22"/>
  <c r="NN13" i="22"/>
  <c r="OJ13" i="22"/>
  <c r="OK13" i="22"/>
  <c r="OL13" i="22"/>
  <c r="OP13" i="22" s="1"/>
  <c r="OM13" i="22"/>
  <c r="ON13" i="22"/>
  <c r="OO13" i="22"/>
  <c r="OQ13" i="22"/>
  <c r="OR13" i="22"/>
  <c r="OS13" i="22"/>
  <c r="OT13" i="22"/>
  <c r="OU13" i="22"/>
  <c r="OV13" i="22"/>
  <c r="PR13" i="22"/>
  <c r="PS13" i="22"/>
  <c r="PT13" i="22"/>
  <c r="PU13" i="22"/>
  <c r="PV13" i="22"/>
  <c r="PW13" i="22"/>
  <c r="PX13" i="22" s="1"/>
  <c r="PY13" i="22"/>
  <c r="PZ13" i="22"/>
  <c r="QA13" i="22"/>
  <c r="QB13" i="22"/>
  <c r="QC13" i="22"/>
  <c r="QD13" i="22"/>
  <c r="QZ13" i="22"/>
  <c r="RA13" i="22"/>
  <c r="RB13" i="22"/>
  <c r="RF13" i="22" s="1"/>
  <c r="RC13" i="22"/>
  <c r="RD13" i="22"/>
  <c r="RE13" i="22"/>
  <c r="RG13" i="22"/>
  <c r="RH13" i="22"/>
  <c r="RI13" i="22"/>
  <c r="RJ13" i="22"/>
  <c r="RK13" i="22"/>
  <c r="RL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AO14" i="22"/>
  <c r="AP14" i="22"/>
  <c r="AQ14" i="22"/>
  <c r="AR14" i="22"/>
  <c r="AS14" i="22"/>
  <c r="AT14" i="22"/>
  <c r="AV14" i="22"/>
  <c r="AW14" i="22"/>
  <c r="AX14" i="22"/>
  <c r="BP14" i="22"/>
  <c r="BQ14" i="22"/>
  <c r="BR14" i="22"/>
  <c r="BV14" i="22" s="1"/>
  <c r="BS14" i="22"/>
  <c r="BT14" i="22"/>
  <c r="BU14" i="22"/>
  <c r="BW14" i="22"/>
  <c r="BX14" i="22"/>
  <c r="BY14" i="22"/>
  <c r="CQ14" i="22"/>
  <c r="CR14" i="22"/>
  <c r="CS14" i="22"/>
  <c r="CW14" i="22" s="1"/>
  <c r="CT14" i="22"/>
  <c r="CU14" i="22"/>
  <c r="CV14" i="22"/>
  <c r="CX14" i="22"/>
  <c r="CY14" i="22"/>
  <c r="CZ14" i="22"/>
  <c r="DX14" i="22"/>
  <c r="DY14" i="22"/>
  <c r="DZ14" i="22"/>
  <c r="EA14" i="22"/>
  <c r="EB14" i="22"/>
  <c r="EC14" i="22"/>
  <c r="EE14" i="22"/>
  <c r="EF14" i="22"/>
  <c r="EG14" i="22"/>
  <c r="EH14" i="22"/>
  <c r="EI14" i="22"/>
  <c r="EJ14" i="22"/>
  <c r="FF14" i="22"/>
  <c r="FG14" i="22"/>
  <c r="FH14" i="22"/>
  <c r="FI14" i="22"/>
  <c r="FJ14" i="22"/>
  <c r="FK14" i="22"/>
  <c r="FM14" i="22"/>
  <c r="FN14" i="22"/>
  <c r="FO14" i="22"/>
  <c r="FP14" i="22"/>
  <c r="FQ14" i="22"/>
  <c r="FR14" i="22"/>
  <c r="GN14" i="22"/>
  <c r="GO14" i="22"/>
  <c r="GP14" i="22"/>
  <c r="GQ14" i="22"/>
  <c r="GR14" i="22"/>
  <c r="GS14" i="22"/>
  <c r="GU14" i="22"/>
  <c r="GV14" i="22"/>
  <c r="GW14" i="22"/>
  <c r="GX14" i="22"/>
  <c r="GY14" i="22"/>
  <c r="GZ14" i="22"/>
  <c r="HV14" i="22"/>
  <c r="HW14" i="22"/>
  <c r="HX14" i="22"/>
  <c r="HY14" i="22"/>
  <c r="HZ14" i="22"/>
  <c r="IA14" i="22"/>
  <c r="IC14" i="22"/>
  <c r="ID14" i="22"/>
  <c r="IE14" i="22"/>
  <c r="IF14" i="22"/>
  <c r="IG14" i="22"/>
  <c r="IH14" i="22"/>
  <c r="JD14" i="22"/>
  <c r="JE14" i="22"/>
  <c r="JF14" i="22"/>
  <c r="JG14" i="22"/>
  <c r="JH14" i="22"/>
  <c r="JI14" i="22"/>
  <c r="JK14" i="22"/>
  <c r="JL14" i="22"/>
  <c r="JM14" i="22"/>
  <c r="JN14" i="22"/>
  <c r="JO14" i="22"/>
  <c r="JP14" i="22"/>
  <c r="KL14" i="22"/>
  <c r="KM14" i="22"/>
  <c r="KN14" i="22"/>
  <c r="KO14" i="22"/>
  <c r="KP14" i="22"/>
  <c r="KQ14" i="22"/>
  <c r="KS14" i="22"/>
  <c r="KT14" i="22"/>
  <c r="KU14" i="22"/>
  <c r="KV14" i="22"/>
  <c r="KW14" i="22"/>
  <c r="KX14" i="22"/>
  <c r="LT14" i="22"/>
  <c r="LU14" i="22"/>
  <c r="LV14" i="22"/>
  <c r="LW14" i="22"/>
  <c r="LX14" i="22"/>
  <c r="LY14" i="22"/>
  <c r="MA14" i="22"/>
  <c r="MB14" i="22"/>
  <c r="MC14" i="22"/>
  <c r="MD14" i="22"/>
  <c r="ME14" i="22"/>
  <c r="MF14" i="22"/>
  <c r="NB14" i="22"/>
  <c r="NC14" i="22"/>
  <c r="ND14" i="22"/>
  <c r="NE14" i="22"/>
  <c r="NF14" i="22"/>
  <c r="NG14" i="22"/>
  <c r="NI14" i="22"/>
  <c r="NJ14" i="22"/>
  <c r="NK14" i="22"/>
  <c r="NL14" i="22"/>
  <c r="NM14" i="22"/>
  <c r="NN14" i="22"/>
  <c r="OJ14" i="22"/>
  <c r="OK14" i="22"/>
  <c r="OL14" i="22"/>
  <c r="OM14" i="22"/>
  <c r="ON14" i="22"/>
  <c r="OO14" i="22"/>
  <c r="OQ14" i="22"/>
  <c r="OR14" i="22"/>
  <c r="OS14" i="22"/>
  <c r="OT14" i="22"/>
  <c r="OU14" i="22"/>
  <c r="OV14" i="22"/>
  <c r="PR14" i="22"/>
  <c r="PS14" i="22"/>
  <c r="PT14" i="22"/>
  <c r="PU14" i="22"/>
  <c r="PV14" i="22"/>
  <c r="PW14" i="22"/>
  <c r="PY14" i="22"/>
  <c r="PZ14" i="22"/>
  <c r="QA14" i="22"/>
  <c r="QB14" i="22"/>
  <c r="QC14" i="22"/>
  <c r="QD14" i="22"/>
  <c r="QZ14" i="22"/>
  <c r="RA14" i="22"/>
  <c r="RB14" i="22"/>
  <c r="RC14" i="22"/>
  <c r="RD14" i="22"/>
  <c r="RE14" i="22"/>
  <c r="RG14" i="22"/>
  <c r="RH14" i="22"/>
  <c r="RI14" i="22"/>
  <c r="RJ14" i="22"/>
  <c r="RK14" i="22"/>
  <c r="RL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KR13" i="22" l="1"/>
  <c r="QE13" i="22"/>
  <c r="KY13" i="22"/>
  <c r="DA13" i="22"/>
  <c r="SN14" i="22"/>
  <c r="SU14" i="22" s="1"/>
  <c r="PX14" i="22"/>
  <c r="QE14" i="22" s="1"/>
  <c r="MG13" i="22"/>
  <c r="OW13" i="22"/>
  <c r="EK13" i="22"/>
  <c r="RM13" i="22"/>
  <c r="TN13" i="22"/>
  <c r="LZ14" i="22"/>
  <c r="JQ13" i="22"/>
  <c r="T14" i="22"/>
  <c r="U14" i="22" s="1"/>
  <c r="OP14" i="22"/>
  <c r="OW14" i="22" s="1"/>
  <c r="KR14" i="22"/>
  <c r="KY14" i="22" s="1"/>
  <c r="T13" i="22"/>
  <c r="U13" i="22" s="1"/>
  <c r="ED14" i="22"/>
  <c r="EK14" i="22" s="1"/>
  <c r="DA14" i="22"/>
  <c r="FL14" i="22"/>
  <c r="FS14" i="22" s="1"/>
  <c r="BZ13" i="22"/>
  <c r="SN13" i="22"/>
  <c r="SU13" i="22" s="1"/>
  <c r="NH13" i="22"/>
  <c r="NO13" i="22" s="1"/>
  <c r="IB13" i="22"/>
  <c r="II13" i="22" s="1"/>
  <c r="HA13" i="22"/>
  <c r="FL13" i="22"/>
  <c r="FS13" i="22" s="1"/>
  <c r="G13" i="22"/>
  <c r="TU13" i="22"/>
  <c r="R13" i="22"/>
  <c r="S13" i="22" s="1"/>
  <c r="TQ13" i="22"/>
  <c r="AY13" i="22"/>
  <c r="L13" i="22"/>
  <c r="M13" i="22" s="1"/>
  <c r="J13" i="22"/>
  <c r="K13" i="22" s="1"/>
  <c r="I13" i="22"/>
  <c r="P13" i="22"/>
  <c r="N13" i="22"/>
  <c r="F13" i="22"/>
  <c r="JJ14" i="22"/>
  <c r="JQ14" i="22" s="1"/>
  <c r="GT14" i="22"/>
  <c r="HA14" i="22" s="1"/>
  <c r="BZ14" i="22"/>
  <c r="TQ14" i="22"/>
  <c r="TN14" i="22"/>
  <c r="RF14" i="22"/>
  <c r="RM14" i="22" s="1"/>
  <c r="NH14" i="22"/>
  <c r="NO14" i="22" s="1"/>
  <c r="MG14" i="22"/>
  <c r="IB14" i="22"/>
  <c r="II14" i="22" s="1"/>
  <c r="L14" i="22"/>
  <c r="M14" i="22" s="1"/>
  <c r="J14" i="22"/>
  <c r="K14" i="22" s="1"/>
  <c r="TU14" i="22"/>
  <c r="P14" i="22"/>
  <c r="Q14" i="22" s="1"/>
  <c r="R14" i="22"/>
  <c r="S14" i="22" s="1"/>
  <c r="I14" i="22"/>
  <c r="AU14" i="22"/>
  <c r="AY14" i="22" s="1"/>
  <c r="G14" i="22"/>
  <c r="N14" i="22"/>
  <c r="F14" i="22"/>
  <c r="TR13" i="22" l="1"/>
  <c r="TV13" i="22" s="1"/>
  <c r="TR14" i="22"/>
  <c r="TV14" i="22" s="1"/>
  <c r="DC13" i="22"/>
  <c r="Q13" i="22"/>
  <c r="O13" i="22"/>
  <c r="DB13" i="22"/>
  <c r="H13" i="22"/>
  <c r="DC14" i="22"/>
  <c r="H14" i="22"/>
  <c r="O14" i="22"/>
  <c r="DB14" i="22"/>
  <c r="V13" i="22" l="1"/>
  <c r="W13" i="22" s="1"/>
  <c r="V14" i="22"/>
  <c r="X14" i="22" s="1"/>
  <c r="E13" i="22" l="1"/>
  <c r="X13" i="22"/>
  <c r="E14" i="22"/>
  <c r="W14" i="22"/>
  <c r="AO15" i="4" l="1"/>
  <c r="AP15" i="4"/>
  <c r="AQ15" i="4"/>
  <c r="AU15" i="4" s="1"/>
  <c r="AR15" i="4"/>
  <c r="AS15" i="4"/>
  <c r="AT15" i="4"/>
  <c r="AV15" i="4"/>
  <c r="AW15" i="4"/>
  <c r="AX15" i="4"/>
  <c r="BP15" i="4"/>
  <c r="BQ15" i="4"/>
  <c r="BR15" i="4"/>
  <c r="BV15" i="4" s="1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L15" i="4" s="1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O15" i="4"/>
  <c r="KP15" i="4"/>
  <c r="KQ15" i="4"/>
  <c r="KR15" i="4" s="1"/>
  <c r="KY15" i="4" s="1"/>
  <c r="KS15" i="4"/>
  <c r="KT15" i="4"/>
  <c r="KU15" i="4"/>
  <c r="KV15" i="4"/>
  <c r="KW15" i="4"/>
  <c r="KX15" i="4"/>
  <c r="LT15" i="4"/>
  <c r="LU15" i="4"/>
  <c r="LV15" i="4"/>
  <c r="LZ15" i="4" s="1"/>
  <c r="LW15" i="4"/>
  <c r="LX15" i="4"/>
  <c r="LY15" i="4"/>
  <c r="MA15" i="4"/>
  <c r="MB15" i="4"/>
  <c r="MC15" i="4"/>
  <c r="MD15" i="4"/>
  <c r="ME15" i="4"/>
  <c r="MF15" i="4"/>
  <c r="NB15" i="4"/>
  <c r="NC15" i="4"/>
  <c r="ND15" i="4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X15" i="4" s="1"/>
  <c r="PY15" i="4"/>
  <c r="PZ15" i="4"/>
  <c r="QA15" i="4"/>
  <c r="QB15" i="4"/>
  <c r="QC15" i="4"/>
  <c r="QD15" i="4"/>
  <c r="QZ15" i="4"/>
  <c r="RA15" i="4"/>
  <c r="RB15" i="4"/>
  <c r="RF15" i="4" s="1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BY17" i="21"/>
  <c r="BX17" i="21"/>
  <c r="BV17" i="21"/>
  <c r="BU17" i="21"/>
  <c r="BT17" i="21"/>
  <c r="BS17" i="21"/>
  <c r="BY13" i="21"/>
  <c r="BX13" i="21"/>
  <c r="BV13" i="21"/>
  <c r="BU13" i="21"/>
  <c r="BT13" i="21"/>
  <c r="BZ13" i="21" s="1"/>
  <c r="BS13" i="21"/>
  <c r="BY11" i="21"/>
  <c r="BX11" i="21"/>
  <c r="BV11" i="21"/>
  <c r="BU11" i="21"/>
  <c r="BT11" i="21"/>
  <c r="BS11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9" i="21"/>
  <c r="BX9" i="21"/>
  <c r="BV9" i="21"/>
  <c r="BU9" i="21"/>
  <c r="BT9" i="21"/>
  <c r="BZ9" i="21" s="1"/>
  <c r="BS9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7" i="21"/>
  <c r="BX7" i="21"/>
  <c r="BV7" i="21"/>
  <c r="BU7" i="21"/>
  <c r="BT7" i="21"/>
  <c r="BZ7" i="21" s="1"/>
  <c r="BS7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7" i="21"/>
  <c r="AU17" i="21"/>
  <c r="AS17" i="21"/>
  <c r="AR17" i="21"/>
  <c r="AQ17" i="21"/>
  <c r="AP17" i="21"/>
  <c r="AV13" i="21"/>
  <c r="AU13" i="21"/>
  <c r="AS13" i="21"/>
  <c r="AR13" i="21"/>
  <c r="AQ13" i="21"/>
  <c r="AP13" i="21"/>
  <c r="AV11" i="21"/>
  <c r="AU11" i="21"/>
  <c r="AS11" i="21"/>
  <c r="AR11" i="21"/>
  <c r="AQ11" i="21"/>
  <c r="AP11" i="21"/>
  <c r="AV14" i="21"/>
  <c r="AU14" i="21"/>
  <c r="AS14" i="21"/>
  <c r="AR14" i="21"/>
  <c r="AQ14" i="21"/>
  <c r="AP14" i="21"/>
  <c r="AV12" i="21"/>
  <c r="AU12" i="21"/>
  <c r="AS12" i="21"/>
  <c r="AR12" i="21"/>
  <c r="AQ12" i="21"/>
  <c r="AP12" i="21"/>
  <c r="AV9" i="21"/>
  <c r="AU9" i="21"/>
  <c r="AS9" i="21"/>
  <c r="AR9" i="21"/>
  <c r="AQ9" i="21"/>
  <c r="AP9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6" i="21"/>
  <c r="AU6" i="21"/>
  <c r="AS6" i="21"/>
  <c r="AR6" i="21"/>
  <c r="AQ6" i="21"/>
  <c r="AP6" i="21"/>
  <c r="AV7" i="21"/>
  <c r="AU7" i="21"/>
  <c r="AS7" i="21"/>
  <c r="AR7" i="21"/>
  <c r="AQ7" i="21"/>
  <c r="AP7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18" i="19"/>
  <c r="BX18" i="19"/>
  <c r="BV18" i="19"/>
  <c r="BU18" i="19"/>
  <c r="BT18" i="19"/>
  <c r="BS18" i="19"/>
  <c r="BY28" i="19"/>
  <c r="BX28" i="19"/>
  <c r="BV28" i="19"/>
  <c r="BU28" i="19"/>
  <c r="BT28" i="19"/>
  <c r="BS28" i="19"/>
  <c r="BY27" i="19"/>
  <c r="BX27" i="19"/>
  <c r="BV27" i="19"/>
  <c r="BU27" i="19"/>
  <c r="BT27" i="19"/>
  <c r="BS27" i="19"/>
  <c r="BY25" i="19"/>
  <c r="BX25" i="19"/>
  <c r="BV25" i="19"/>
  <c r="BU25" i="19"/>
  <c r="BT25" i="19"/>
  <c r="BS25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6" i="19"/>
  <c r="BX16" i="19"/>
  <c r="BV16" i="19"/>
  <c r="BU16" i="19"/>
  <c r="BT16" i="19"/>
  <c r="BS16" i="19"/>
  <c r="BY23" i="19"/>
  <c r="BX23" i="19"/>
  <c r="BV23" i="19"/>
  <c r="BU23" i="19"/>
  <c r="BT23" i="19"/>
  <c r="BS23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8" i="19"/>
  <c r="BX8" i="19"/>
  <c r="BV8" i="19"/>
  <c r="BU8" i="19"/>
  <c r="BT8" i="19"/>
  <c r="BS8" i="19"/>
  <c r="BY11" i="19"/>
  <c r="BX11" i="19"/>
  <c r="BV11" i="19"/>
  <c r="BU11" i="19"/>
  <c r="BT11" i="19"/>
  <c r="BS11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18" i="19"/>
  <c r="AU18" i="19"/>
  <c r="AS18" i="19"/>
  <c r="AR18" i="19"/>
  <c r="AQ18" i="19"/>
  <c r="AP18" i="19"/>
  <c r="AV28" i="19"/>
  <c r="AU28" i="19"/>
  <c r="AS28" i="19"/>
  <c r="AR28" i="19"/>
  <c r="AQ28" i="19"/>
  <c r="AP28" i="19"/>
  <c r="AV27" i="19"/>
  <c r="AU27" i="19"/>
  <c r="AS27" i="19"/>
  <c r="AR27" i="19"/>
  <c r="AQ27" i="19"/>
  <c r="AP27" i="19"/>
  <c r="AV25" i="19"/>
  <c r="AU25" i="19"/>
  <c r="AS25" i="19"/>
  <c r="AR25" i="19"/>
  <c r="AQ25" i="19"/>
  <c r="AP25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6" i="19"/>
  <c r="AU16" i="19"/>
  <c r="AS16" i="19"/>
  <c r="AR16" i="19"/>
  <c r="AQ16" i="19"/>
  <c r="AP16" i="19"/>
  <c r="AV23" i="19"/>
  <c r="AU23" i="19"/>
  <c r="AS23" i="19"/>
  <c r="AR23" i="19"/>
  <c r="AQ23" i="19"/>
  <c r="AP23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8" i="19"/>
  <c r="AU8" i="19"/>
  <c r="AS8" i="19"/>
  <c r="AR8" i="19"/>
  <c r="AQ8" i="19"/>
  <c r="AP8" i="19"/>
  <c r="AV11" i="19"/>
  <c r="AU11" i="19"/>
  <c r="AS11" i="19"/>
  <c r="AR11" i="19"/>
  <c r="AQ11" i="19"/>
  <c r="AP11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1" i="27"/>
  <c r="BX11" i="27"/>
  <c r="BV11" i="27"/>
  <c r="BU11" i="27"/>
  <c r="BT11" i="27"/>
  <c r="BS11" i="27"/>
  <c r="BY8" i="27"/>
  <c r="BX8" i="27"/>
  <c r="BV8" i="27"/>
  <c r="BU8" i="27"/>
  <c r="BT8" i="27"/>
  <c r="BS8" i="27"/>
  <c r="BY10" i="27"/>
  <c r="BX10" i="27"/>
  <c r="BV10" i="27"/>
  <c r="BU10" i="27"/>
  <c r="BT10" i="27"/>
  <c r="BS10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7" i="27"/>
  <c r="BX7" i="27"/>
  <c r="BV7" i="27"/>
  <c r="BU7" i="27"/>
  <c r="BT7" i="27"/>
  <c r="BS7" i="27"/>
  <c r="AV11" i="27"/>
  <c r="AU11" i="27"/>
  <c r="AS11" i="27"/>
  <c r="AR11" i="27"/>
  <c r="AQ11" i="27"/>
  <c r="AP11" i="27"/>
  <c r="AV8" i="27"/>
  <c r="AU8" i="27"/>
  <c r="AS8" i="27"/>
  <c r="AR8" i="27"/>
  <c r="AQ8" i="27"/>
  <c r="AP8" i="27"/>
  <c r="AV10" i="27"/>
  <c r="AU10" i="27"/>
  <c r="AS10" i="27"/>
  <c r="AR10" i="27"/>
  <c r="AQ10" i="27"/>
  <c r="AP10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7" i="27"/>
  <c r="AU7" i="27"/>
  <c r="AS7" i="27"/>
  <c r="AR7" i="27"/>
  <c r="AQ7" i="27"/>
  <c r="AP7" i="27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4" i="26"/>
  <c r="AU4" i="26"/>
  <c r="AS4" i="26"/>
  <c r="AR4" i="26"/>
  <c r="AQ4" i="26"/>
  <c r="AP4" i="26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N5" i="24" s="1"/>
  <c r="BI5" i="24"/>
  <c r="BH5" i="24"/>
  <c r="BQ6" i="24"/>
  <c r="BP6" i="24"/>
  <c r="BO6" i="24"/>
  <c r="BM6" i="24"/>
  <c r="BL6" i="24"/>
  <c r="BK6" i="24"/>
  <c r="BJ6" i="24"/>
  <c r="BN6" i="24" s="1"/>
  <c r="BR6" i="24" s="1"/>
  <c r="BI6" i="24"/>
  <c r="BH6" i="24"/>
  <c r="BQ7" i="24"/>
  <c r="BP7" i="24"/>
  <c r="BO7" i="24"/>
  <c r="BM7" i="24"/>
  <c r="BL7" i="24"/>
  <c r="BK7" i="24"/>
  <c r="BJ7" i="24"/>
  <c r="BN7" i="24" s="1"/>
  <c r="BI7" i="24"/>
  <c r="BH7" i="24"/>
  <c r="BQ4" i="24"/>
  <c r="BP4" i="24"/>
  <c r="BO4" i="24"/>
  <c r="BM4" i="24"/>
  <c r="BL4" i="24"/>
  <c r="BK4" i="24"/>
  <c r="BJ4" i="24"/>
  <c r="BN4" i="24" s="1"/>
  <c r="BI4" i="24"/>
  <c r="BH4" i="24"/>
  <c r="AP10" i="24"/>
  <c r="AO10" i="24"/>
  <c r="AN10" i="24"/>
  <c r="AL10" i="24"/>
  <c r="AK10" i="24"/>
  <c r="AJ10" i="24"/>
  <c r="AI10" i="24"/>
  <c r="AH10" i="24"/>
  <c r="AG10" i="24"/>
  <c r="AP8" i="24"/>
  <c r="AO8" i="24"/>
  <c r="AN8" i="24"/>
  <c r="AL8" i="24"/>
  <c r="AK8" i="24"/>
  <c r="AJ8" i="24"/>
  <c r="AI8" i="24"/>
  <c r="AH8" i="24"/>
  <c r="AG8" i="24"/>
  <c r="AP5" i="24"/>
  <c r="AO5" i="24"/>
  <c r="AN5" i="24"/>
  <c r="AL5" i="24"/>
  <c r="AK5" i="24"/>
  <c r="AJ5" i="24"/>
  <c r="AI5" i="24"/>
  <c r="AH5" i="24"/>
  <c r="AG5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4" i="24"/>
  <c r="AO4" i="24"/>
  <c r="AN4" i="24"/>
  <c r="AL4" i="24"/>
  <c r="AK4" i="24"/>
  <c r="AJ4" i="24"/>
  <c r="AI4" i="24"/>
  <c r="AH4" i="24"/>
  <c r="AG4" i="24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8" i="23"/>
  <c r="BP8" i="23"/>
  <c r="BO8" i="23"/>
  <c r="BM8" i="23"/>
  <c r="BL8" i="23"/>
  <c r="BK8" i="23"/>
  <c r="BJ8" i="23"/>
  <c r="BN8" i="23" s="1"/>
  <c r="BI8" i="23"/>
  <c r="BH8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H9" i="23"/>
  <c r="AG9" i="23"/>
  <c r="AP8" i="23"/>
  <c r="AO8" i="23"/>
  <c r="AN8" i="23"/>
  <c r="AL8" i="23"/>
  <c r="AK8" i="23"/>
  <c r="AJ8" i="23"/>
  <c r="AI8" i="23"/>
  <c r="AH8" i="23"/>
  <c r="AG8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H4" i="23"/>
  <c r="AG4" i="23"/>
  <c r="BY17" i="22"/>
  <c r="BX17" i="22"/>
  <c r="BW17" i="22"/>
  <c r="BU17" i="22"/>
  <c r="BT17" i="22"/>
  <c r="BS17" i="22"/>
  <c r="BR17" i="22"/>
  <c r="BQ17" i="22"/>
  <c r="BP17" i="22"/>
  <c r="BY15" i="22"/>
  <c r="BX15" i="22"/>
  <c r="BW15" i="22"/>
  <c r="BU15" i="22"/>
  <c r="BT15" i="22"/>
  <c r="BS15" i="22"/>
  <c r="BR15" i="22"/>
  <c r="BQ15" i="22"/>
  <c r="BP15" i="22"/>
  <c r="BY8" i="22"/>
  <c r="BX8" i="22"/>
  <c r="BW8" i="22"/>
  <c r="BU8" i="22"/>
  <c r="BT8" i="22"/>
  <c r="BS8" i="22"/>
  <c r="BR8" i="22"/>
  <c r="BV8" i="22" s="1"/>
  <c r="BQ8" i="22"/>
  <c r="BP8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BY5" i="22"/>
  <c r="BX5" i="22"/>
  <c r="BW5" i="22"/>
  <c r="BU5" i="22"/>
  <c r="BT5" i="22"/>
  <c r="BS5" i="22"/>
  <c r="BR5" i="22"/>
  <c r="BQ5" i="22"/>
  <c r="BP5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P15" i="22"/>
  <c r="AO15" i="22"/>
  <c r="AX8" i="22"/>
  <c r="AW8" i="22"/>
  <c r="AV8" i="22"/>
  <c r="AT8" i="22"/>
  <c r="AS8" i="22"/>
  <c r="AR8" i="22"/>
  <c r="AQ8" i="22"/>
  <c r="AP8" i="22"/>
  <c r="AO8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AX5" i="22"/>
  <c r="AW5" i="22"/>
  <c r="AV5" i="22"/>
  <c r="AT5" i="22"/>
  <c r="AS5" i="22"/>
  <c r="AR5" i="22"/>
  <c r="AQ5" i="22"/>
  <c r="AP5" i="22"/>
  <c r="AO5" i="22"/>
  <c r="BY22" i="4"/>
  <c r="BX22" i="4"/>
  <c r="BW22" i="4"/>
  <c r="BU22" i="4"/>
  <c r="BT22" i="4"/>
  <c r="BS22" i="4"/>
  <c r="BR22" i="4"/>
  <c r="BV22" i="4" s="1"/>
  <c r="BQ22" i="4"/>
  <c r="BP22" i="4"/>
  <c r="BY19" i="4"/>
  <c r="BX19" i="4"/>
  <c r="BW19" i="4"/>
  <c r="BU19" i="4"/>
  <c r="BT19" i="4"/>
  <c r="BS19" i="4"/>
  <c r="BR19" i="4"/>
  <c r="BV19" i="4" s="1"/>
  <c r="BQ19" i="4"/>
  <c r="BP19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V21" i="4" s="1"/>
  <c r="BQ21" i="4"/>
  <c r="BP21" i="4"/>
  <c r="BY16" i="4"/>
  <c r="BX16" i="4"/>
  <c r="BW16" i="4"/>
  <c r="BU16" i="4"/>
  <c r="BT16" i="4"/>
  <c r="BS16" i="4"/>
  <c r="BR16" i="4"/>
  <c r="BQ16" i="4"/>
  <c r="BP16" i="4"/>
  <c r="BY18" i="4"/>
  <c r="BX18" i="4"/>
  <c r="BW18" i="4"/>
  <c r="BU18" i="4"/>
  <c r="BT18" i="4"/>
  <c r="BS18" i="4"/>
  <c r="BR18" i="4"/>
  <c r="BV18" i="4" s="1"/>
  <c r="BQ18" i="4"/>
  <c r="BP18" i="4"/>
  <c r="BY12" i="4"/>
  <c r="BX12" i="4"/>
  <c r="BW12" i="4"/>
  <c r="BU12" i="4"/>
  <c r="BT12" i="4"/>
  <c r="BS12" i="4"/>
  <c r="BR12" i="4"/>
  <c r="BQ12" i="4"/>
  <c r="BP12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Q11" i="4"/>
  <c r="BP11" i="4"/>
  <c r="BY17" i="4"/>
  <c r="BX17" i="4"/>
  <c r="BW17" i="4"/>
  <c r="BU17" i="4"/>
  <c r="BT17" i="4"/>
  <c r="BS17" i="4"/>
  <c r="BR17" i="4"/>
  <c r="BQ17" i="4"/>
  <c r="BP17" i="4"/>
  <c r="BY10" i="4"/>
  <c r="BX10" i="4"/>
  <c r="BW10" i="4"/>
  <c r="BU10" i="4"/>
  <c r="BT10" i="4"/>
  <c r="BS10" i="4"/>
  <c r="BR10" i="4"/>
  <c r="BQ10" i="4"/>
  <c r="BP10" i="4"/>
  <c r="BY20" i="4"/>
  <c r="BX20" i="4"/>
  <c r="BW20" i="4"/>
  <c r="BU20" i="4"/>
  <c r="BT20" i="4"/>
  <c r="BS20" i="4"/>
  <c r="BR20" i="4"/>
  <c r="BV20" i="4" s="1"/>
  <c r="BQ20" i="4"/>
  <c r="BP20" i="4"/>
  <c r="BY8" i="4"/>
  <c r="BX8" i="4"/>
  <c r="BW8" i="4"/>
  <c r="BU8" i="4"/>
  <c r="BT8" i="4"/>
  <c r="BS8" i="4"/>
  <c r="BR8" i="4"/>
  <c r="BQ8" i="4"/>
  <c r="BP8" i="4"/>
  <c r="BY9" i="4"/>
  <c r="BX9" i="4"/>
  <c r="BW9" i="4"/>
  <c r="BU9" i="4"/>
  <c r="BT9" i="4"/>
  <c r="BS9" i="4"/>
  <c r="BR9" i="4"/>
  <c r="BV9" i="4" s="1"/>
  <c r="BQ9" i="4"/>
  <c r="BP9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2" i="4"/>
  <c r="AW22" i="4"/>
  <c r="AV22" i="4"/>
  <c r="AT22" i="4"/>
  <c r="AS22" i="4"/>
  <c r="AR22" i="4"/>
  <c r="AQ22" i="4"/>
  <c r="AP22" i="4"/>
  <c r="AO22" i="4"/>
  <c r="AX19" i="4"/>
  <c r="AW19" i="4"/>
  <c r="AV19" i="4"/>
  <c r="AT19" i="4"/>
  <c r="AS19" i="4"/>
  <c r="AR19" i="4"/>
  <c r="AQ19" i="4"/>
  <c r="AP19" i="4"/>
  <c r="AO19" i="4"/>
  <c r="AX14" i="4"/>
  <c r="AW14" i="4"/>
  <c r="AV14" i="4"/>
  <c r="AT14" i="4"/>
  <c r="AS14" i="4"/>
  <c r="AR14" i="4"/>
  <c r="AQ14" i="4"/>
  <c r="AU14" i="4" s="1"/>
  <c r="AP14" i="4"/>
  <c r="AO14" i="4"/>
  <c r="AX21" i="4"/>
  <c r="AW21" i="4"/>
  <c r="AV21" i="4"/>
  <c r="AT21" i="4"/>
  <c r="AS21" i="4"/>
  <c r="AR21" i="4"/>
  <c r="AQ21" i="4"/>
  <c r="AP21" i="4"/>
  <c r="AO21" i="4"/>
  <c r="AX16" i="4"/>
  <c r="AW16" i="4"/>
  <c r="AV16" i="4"/>
  <c r="AT16" i="4"/>
  <c r="AS16" i="4"/>
  <c r="AR16" i="4"/>
  <c r="AQ16" i="4"/>
  <c r="AP16" i="4"/>
  <c r="AO16" i="4"/>
  <c r="AX18" i="4"/>
  <c r="AW18" i="4"/>
  <c r="AV18" i="4"/>
  <c r="AT18" i="4"/>
  <c r="AS18" i="4"/>
  <c r="AR18" i="4"/>
  <c r="AQ18" i="4"/>
  <c r="AP18" i="4"/>
  <c r="AO18" i="4"/>
  <c r="AX12" i="4"/>
  <c r="AW12" i="4"/>
  <c r="AV12" i="4"/>
  <c r="AT12" i="4"/>
  <c r="AS12" i="4"/>
  <c r="AR12" i="4"/>
  <c r="AQ12" i="4"/>
  <c r="AP12" i="4"/>
  <c r="AO12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7" i="4"/>
  <c r="AW17" i="4"/>
  <c r="AV17" i="4"/>
  <c r="AT17" i="4"/>
  <c r="AS17" i="4"/>
  <c r="AR17" i="4"/>
  <c r="AQ17" i="4"/>
  <c r="AP17" i="4"/>
  <c r="AO17" i="4"/>
  <c r="AX10" i="4"/>
  <c r="AW10" i="4"/>
  <c r="AV10" i="4"/>
  <c r="AT10" i="4"/>
  <c r="AS10" i="4"/>
  <c r="AR10" i="4"/>
  <c r="AQ10" i="4"/>
  <c r="AP10" i="4"/>
  <c r="AO10" i="4"/>
  <c r="AX20" i="4"/>
  <c r="AW20" i="4"/>
  <c r="AV20" i="4"/>
  <c r="AT20" i="4"/>
  <c r="AS20" i="4"/>
  <c r="AR20" i="4"/>
  <c r="AQ20" i="4"/>
  <c r="AP20" i="4"/>
  <c r="AO20" i="4"/>
  <c r="AX8" i="4"/>
  <c r="AW8" i="4"/>
  <c r="AV8" i="4"/>
  <c r="AT8" i="4"/>
  <c r="AS8" i="4"/>
  <c r="AR8" i="4"/>
  <c r="AQ8" i="4"/>
  <c r="AP8" i="4"/>
  <c r="AO8" i="4"/>
  <c r="AX9" i="4"/>
  <c r="AW9" i="4"/>
  <c r="AV9" i="4"/>
  <c r="AT9" i="4"/>
  <c r="AS9" i="4"/>
  <c r="AR9" i="4"/>
  <c r="AQ9" i="4"/>
  <c r="AU9" i="4" s="1"/>
  <c r="AP9" i="4"/>
  <c r="AO9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I7" i="26"/>
  <c r="H7" i="26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D6" i="24"/>
  <c r="RC6" i="24"/>
  <c r="RB6" i="24"/>
  <c r="RA6" i="24"/>
  <c r="QZ6" i="24"/>
  <c r="QY6" i="24"/>
  <c r="QW6" i="24"/>
  <c r="QV6" i="24"/>
  <c r="QU6" i="24"/>
  <c r="QT6" i="24"/>
  <c r="QS6" i="24"/>
  <c r="QR6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RL22" i="4"/>
  <c r="RK22" i="4"/>
  <c r="RJ22" i="4"/>
  <c r="RI22" i="4"/>
  <c r="RH22" i="4"/>
  <c r="RG22" i="4"/>
  <c r="RE22" i="4"/>
  <c r="RD22" i="4"/>
  <c r="RC22" i="4"/>
  <c r="RB22" i="4"/>
  <c r="RA22" i="4"/>
  <c r="QZ22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I10" i="23"/>
  <c r="CJ10" i="23"/>
  <c r="CK10" i="23"/>
  <c r="CO10" i="23" s="1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QE4" i="19"/>
  <c r="FS15" i="4" l="1"/>
  <c r="AW7" i="19"/>
  <c r="AW10" i="19"/>
  <c r="AW13" i="19"/>
  <c r="AW20" i="19"/>
  <c r="AW18" i="19"/>
  <c r="BZ7" i="19"/>
  <c r="BZ10" i="19"/>
  <c r="BZ13" i="19"/>
  <c r="BZ20" i="19"/>
  <c r="BZ18" i="19"/>
  <c r="P6" i="26"/>
  <c r="Q6" i="26" s="1"/>
  <c r="DV7" i="24"/>
  <c r="EC7" i="24" s="1"/>
  <c r="FD5" i="24"/>
  <c r="FK5" i="24" s="1"/>
  <c r="FD7" i="24"/>
  <c r="FK7" i="24" s="1"/>
  <c r="FD10" i="24"/>
  <c r="FK10" i="24" s="1"/>
  <c r="AM10" i="24"/>
  <c r="AQ10" i="24" s="1"/>
  <c r="AM9" i="23"/>
  <c r="QE15" i="4"/>
  <c r="BV11" i="4"/>
  <c r="BR8" i="24"/>
  <c r="BR5" i="23"/>
  <c r="GL6" i="23"/>
  <c r="GS6" i="23" s="1"/>
  <c r="AM6" i="23"/>
  <c r="AQ6" i="23" s="1"/>
  <c r="GL4" i="23"/>
  <c r="GS4" i="23" s="1"/>
  <c r="AY15" i="4"/>
  <c r="GT15" i="4"/>
  <c r="CW15" i="4"/>
  <c r="DA15" i="4" s="1"/>
  <c r="RF19" i="4"/>
  <c r="BZ15" i="4"/>
  <c r="BV6" i="4"/>
  <c r="BZ6" i="4" s="1"/>
  <c r="BV13" i="4"/>
  <c r="BZ13" i="4" s="1"/>
  <c r="BV7" i="4"/>
  <c r="BZ7" i="4" s="1"/>
  <c r="QX8" i="23"/>
  <c r="GL9" i="23"/>
  <c r="GS9" i="23" s="1"/>
  <c r="AW5" i="27"/>
  <c r="AW11" i="27"/>
  <c r="BZ5" i="27"/>
  <c r="BZ11" i="27"/>
  <c r="DV6" i="24"/>
  <c r="EC6" i="24" s="1"/>
  <c r="AM8" i="23"/>
  <c r="AQ8" i="23" s="1"/>
  <c r="AQ5" i="23"/>
  <c r="BR6" i="23"/>
  <c r="BR9" i="23"/>
  <c r="BR10" i="23"/>
  <c r="BV12" i="22"/>
  <c r="BV5" i="22"/>
  <c r="BZ5" i="22" s="1"/>
  <c r="LZ17" i="22"/>
  <c r="MG17" i="22" s="1"/>
  <c r="NH7" i="22"/>
  <c r="NO7" i="22" s="1"/>
  <c r="OP5" i="22"/>
  <c r="OP6" i="22"/>
  <c r="OW6" i="22" s="1"/>
  <c r="OP11" i="22"/>
  <c r="OW11" i="22" s="1"/>
  <c r="OP10" i="22"/>
  <c r="OW10" i="22" s="1"/>
  <c r="OP8" i="22"/>
  <c r="OP17" i="22"/>
  <c r="PX12" i="22"/>
  <c r="QE12" i="22" s="1"/>
  <c r="RF6" i="22"/>
  <c r="RM6" i="22" s="1"/>
  <c r="BV4" i="22"/>
  <c r="BZ4" i="22" s="1"/>
  <c r="BV15" i="22"/>
  <c r="BZ15" i="22" s="1"/>
  <c r="RM15" i="4"/>
  <c r="BZ18" i="4"/>
  <c r="RM19" i="4"/>
  <c r="BZ20" i="4"/>
  <c r="AW4" i="19"/>
  <c r="AW11" i="19"/>
  <c r="AW15" i="19"/>
  <c r="AW23" i="19"/>
  <c r="AW25" i="19"/>
  <c r="BZ4" i="19"/>
  <c r="BZ11" i="19"/>
  <c r="BZ15" i="19"/>
  <c r="BZ23" i="19"/>
  <c r="BZ25" i="19"/>
  <c r="QD7" i="27"/>
  <c r="QD8" i="27"/>
  <c r="AW4" i="27"/>
  <c r="BZ4" i="27"/>
  <c r="AW8" i="26"/>
  <c r="BZ7" i="26"/>
  <c r="AM6" i="24"/>
  <c r="AQ6" i="24" s="1"/>
  <c r="BR10" i="24"/>
  <c r="AM4" i="24"/>
  <c r="BR8" i="23"/>
  <c r="AQ10" i="23"/>
  <c r="AM4" i="23"/>
  <c r="AQ4" i="23" s="1"/>
  <c r="AQ9" i="23"/>
  <c r="BR4" i="23"/>
  <c r="AU4" i="22"/>
  <c r="AY4" i="22" s="1"/>
  <c r="FL5" i="22"/>
  <c r="FS5" i="22" s="1"/>
  <c r="FL6" i="22"/>
  <c r="FS6" i="22" s="1"/>
  <c r="FL11" i="22"/>
  <c r="FS11" i="22" s="1"/>
  <c r="FL10" i="22"/>
  <c r="FS10" i="22" s="1"/>
  <c r="FL8" i="22"/>
  <c r="FS8" i="22" s="1"/>
  <c r="FL17" i="22"/>
  <c r="FS17" i="22" s="1"/>
  <c r="AU15" i="22"/>
  <c r="AY15" i="22" s="1"/>
  <c r="AU10" i="22"/>
  <c r="AY10" i="22" s="1"/>
  <c r="IB6" i="22"/>
  <c r="II6" i="22" s="1"/>
  <c r="IB11" i="22"/>
  <c r="II11" i="22" s="1"/>
  <c r="IB10" i="22"/>
  <c r="II10" i="22" s="1"/>
  <c r="IB17" i="22"/>
  <c r="II17" i="22" s="1"/>
  <c r="JJ7" i="22"/>
  <c r="JQ7" i="22" s="1"/>
  <c r="JJ12" i="22"/>
  <c r="JQ12" i="22" s="1"/>
  <c r="NH6" i="22"/>
  <c r="NO6" i="22" s="1"/>
  <c r="NH11" i="22"/>
  <c r="NO11" i="22" s="1"/>
  <c r="NH10" i="22"/>
  <c r="NO10" i="22" s="1"/>
  <c r="OP12" i="22"/>
  <c r="OW12" i="22" s="1"/>
  <c r="PX6" i="22"/>
  <c r="QE6" i="22" s="1"/>
  <c r="PX11" i="22"/>
  <c r="QE11" i="22" s="1"/>
  <c r="PX10" i="22"/>
  <c r="QE10" i="22" s="1"/>
  <c r="PX8" i="22"/>
  <c r="QE8" i="22" s="1"/>
  <c r="PX17" i="22"/>
  <c r="QE17" i="22" s="1"/>
  <c r="BV17" i="22"/>
  <c r="BZ17" i="22" s="1"/>
  <c r="J15" i="4"/>
  <c r="K15" i="4" s="1"/>
  <c r="AU17" i="4"/>
  <c r="AY17" i="4" s="1"/>
  <c r="BZ11" i="4"/>
  <c r="BZ19" i="4"/>
  <c r="BV10" i="4"/>
  <c r="BZ10" i="4" s="1"/>
  <c r="AU21" i="4"/>
  <c r="AY21" i="4" s="1"/>
  <c r="BV12" i="4"/>
  <c r="BZ12" i="4" s="1"/>
  <c r="GT4" i="4"/>
  <c r="HA4" i="4" s="1"/>
  <c r="GT6" i="4"/>
  <c r="HA6" i="4" s="1"/>
  <c r="GT8" i="4"/>
  <c r="GT9" i="4"/>
  <c r="HA9" i="4" s="1"/>
  <c r="GT13" i="4"/>
  <c r="HA13" i="4" s="1"/>
  <c r="GT18" i="4"/>
  <c r="HA18" i="4" s="1"/>
  <c r="GT21" i="4"/>
  <c r="HA21" i="4" s="1"/>
  <c r="IB4" i="4"/>
  <c r="II4" i="4" s="1"/>
  <c r="IB6" i="4"/>
  <c r="II6" i="4" s="1"/>
  <c r="IB9" i="4"/>
  <c r="II9" i="4" s="1"/>
  <c r="IB17" i="4"/>
  <c r="IB13" i="4"/>
  <c r="II13" i="4" s="1"/>
  <c r="IB21" i="4"/>
  <c r="II21" i="4" s="1"/>
  <c r="JJ9" i="4"/>
  <c r="JQ9" i="4" s="1"/>
  <c r="KR6" i="4"/>
  <c r="KY6" i="4" s="1"/>
  <c r="KR9" i="4"/>
  <c r="KY9" i="4" s="1"/>
  <c r="KR17" i="4"/>
  <c r="KY17" i="4" s="1"/>
  <c r="KR13" i="4"/>
  <c r="KY13" i="4" s="1"/>
  <c r="LZ6" i="4"/>
  <c r="NH4" i="4"/>
  <c r="NO4" i="4" s="1"/>
  <c r="NH6" i="4"/>
  <c r="NO6" i="4" s="1"/>
  <c r="NH8" i="4"/>
  <c r="NH9" i="4"/>
  <c r="NO9" i="4" s="1"/>
  <c r="NH13" i="4"/>
  <c r="NO13" i="4" s="1"/>
  <c r="NH18" i="4"/>
  <c r="NO18" i="4" s="1"/>
  <c r="NH21" i="4"/>
  <c r="NO21" i="4" s="1"/>
  <c r="OP4" i="4"/>
  <c r="OP21" i="4"/>
  <c r="OW21" i="4" s="1"/>
  <c r="BV8" i="4"/>
  <c r="BZ8" i="4" s="1"/>
  <c r="T15" i="4"/>
  <c r="U15" i="4" s="1"/>
  <c r="AM8" i="24"/>
  <c r="AQ8" i="24" s="1"/>
  <c r="AM7" i="24"/>
  <c r="AQ7" i="24" s="1"/>
  <c r="BR5" i="24"/>
  <c r="BR4" i="24"/>
  <c r="AQ4" i="24"/>
  <c r="BR7" i="24"/>
  <c r="JB4" i="24"/>
  <c r="JI4" i="24" s="1"/>
  <c r="KJ6" i="24"/>
  <c r="KQ6" i="24" s="1"/>
  <c r="LR4" i="24"/>
  <c r="LY4" i="24" s="1"/>
  <c r="LR8" i="24"/>
  <c r="LY8" i="24" s="1"/>
  <c r="LR6" i="24"/>
  <c r="LY6" i="24" s="1"/>
  <c r="MZ4" i="24"/>
  <c r="NG4" i="24" s="1"/>
  <c r="MZ8" i="24"/>
  <c r="NG8" i="24" s="1"/>
  <c r="MZ6" i="24"/>
  <c r="NG6" i="24" s="1"/>
  <c r="OH4" i="24"/>
  <c r="OO4" i="24" s="1"/>
  <c r="PP6" i="24"/>
  <c r="QX4" i="24"/>
  <c r="RE4" i="24" s="1"/>
  <c r="QX8" i="24"/>
  <c r="RE8" i="24" s="1"/>
  <c r="QX6" i="24"/>
  <c r="RE6" i="24" s="1"/>
  <c r="AM5" i="24"/>
  <c r="AQ5" i="24" s="1"/>
  <c r="BZ22" i="4"/>
  <c r="MG6" i="4"/>
  <c r="RF9" i="4"/>
  <c r="RM9" i="4" s="1"/>
  <c r="RF13" i="4"/>
  <c r="RM13" i="4" s="1"/>
  <c r="RF18" i="4"/>
  <c r="RM18" i="4" s="1"/>
  <c r="BV5" i="4"/>
  <c r="BZ5" i="4" s="1"/>
  <c r="BZ9" i="4"/>
  <c r="AY14" i="4"/>
  <c r="GT7" i="4"/>
  <c r="HA7" i="4" s="1"/>
  <c r="GT12" i="4"/>
  <c r="HA12" i="4" s="1"/>
  <c r="GT22" i="4"/>
  <c r="HA22" i="4" s="1"/>
  <c r="IB5" i="4"/>
  <c r="II5" i="4" s="1"/>
  <c r="IB10" i="4"/>
  <c r="II10" i="4" s="1"/>
  <c r="IB14" i="4"/>
  <c r="II14" i="4" s="1"/>
  <c r="IB22" i="4"/>
  <c r="II22" i="4" s="1"/>
  <c r="JJ7" i="4"/>
  <c r="JQ7" i="4" s="1"/>
  <c r="AU5" i="4"/>
  <c r="AY5" i="4" s="1"/>
  <c r="AU16" i="4"/>
  <c r="AY16" i="4" s="1"/>
  <c r="AU19" i="4"/>
  <c r="AY19" i="4" s="1"/>
  <c r="JJ10" i="4"/>
  <c r="JQ10" i="4" s="1"/>
  <c r="AU6" i="4"/>
  <c r="AY6" i="4" s="1"/>
  <c r="AU11" i="4"/>
  <c r="AY11" i="4" s="1"/>
  <c r="AU22" i="4"/>
  <c r="AY22" i="4" s="1"/>
  <c r="NH7" i="4"/>
  <c r="NO7" i="4" s="1"/>
  <c r="NH12" i="4"/>
  <c r="NO12" i="4" s="1"/>
  <c r="OP5" i="4"/>
  <c r="OW5" i="4" s="1"/>
  <c r="OP11" i="4"/>
  <c r="OW11" i="4" s="1"/>
  <c r="OP16" i="4"/>
  <c r="OW16" i="4" s="1"/>
  <c r="OP22" i="4"/>
  <c r="OW22" i="4" s="1"/>
  <c r="PX7" i="4"/>
  <c r="QE7" i="4" s="1"/>
  <c r="PX20" i="4"/>
  <c r="QE20" i="4" s="1"/>
  <c r="PX10" i="4"/>
  <c r="QE10" i="4" s="1"/>
  <c r="RF14" i="4"/>
  <c r="RM14" i="4" s="1"/>
  <c r="RF22" i="4"/>
  <c r="RM22" i="4" s="1"/>
  <c r="AU4" i="4"/>
  <c r="AY4" i="4" s="1"/>
  <c r="AU13" i="4"/>
  <c r="AY13" i="4" s="1"/>
  <c r="BV4" i="4"/>
  <c r="BZ4" i="4" s="1"/>
  <c r="BZ21" i="4"/>
  <c r="AW4" i="21"/>
  <c r="AW8" i="21"/>
  <c r="AW14" i="21"/>
  <c r="AW6" i="21"/>
  <c r="AW12" i="21"/>
  <c r="AW17" i="21"/>
  <c r="BZ6" i="21"/>
  <c r="BZ12" i="21"/>
  <c r="AW7" i="21"/>
  <c r="AW9" i="21"/>
  <c r="AW13" i="21"/>
  <c r="BZ5" i="21"/>
  <c r="BZ10" i="21"/>
  <c r="BZ11" i="21"/>
  <c r="AW5" i="21"/>
  <c r="AW10" i="21"/>
  <c r="AW11" i="21"/>
  <c r="BZ4" i="21"/>
  <c r="BZ8" i="21"/>
  <c r="BZ14" i="21"/>
  <c r="BZ17" i="21"/>
  <c r="BZ28" i="19"/>
  <c r="AW6" i="19"/>
  <c r="AW9" i="19"/>
  <c r="AW14" i="19"/>
  <c r="AW22" i="19"/>
  <c r="AW28" i="19"/>
  <c r="BZ6" i="19"/>
  <c r="BZ9" i="19"/>
  <c r="BZ14" i="19"/>
  <c r="BZ22" i="19"/>
  <c r="AW5" i="19"/>
  <c r="AW8" i="19"/>
  <c r="AW12" i="19"/>
  <c r="AW16" i="19"/>
  <c r="AW27" i="19"/>
  <c r="BZ5" i="19"/>
  <c r="BZ8" i="19"/>
  <c r="BZ12" i="19"/>
  <c r="BZ16" i="19"/>
  <c r="BZ27" i="19"/>
  <c r="RC8" i="27"/>
  <c r="RE8" i="27"/>
  <c r="QA5" i="27"/>
  <c r="CZ8" i="27"/>
  <c r="QA11" i="27"/>
  <c r="AW6" i="27"/>
  <c r="AW8" i="27"/>
  <c r="BZ6" i="27"/>
  <c r="BZ8" i="27"/>
  <c r="AW7" i="27"/>
  <c r="AW10" i="27"/>
  <c r="BZ7" i="27"/>
  <c r="BZ10" i="27"/>
  <c r="AW6" i="26"/>
  <c r="BZ4" i="26"/>
  <c r="AW4" i="26"/>
  <c r="AW10" i="26"/>
  <c r="BZ8" i="26"/>
  <c r="AW7" i="26"/>
  <c r="BZ6" i="26"/>
  <c r="BZ10" i="26"/>
  <c r="QA7" i="26"/>
  <c r="BV7" i="22"/>
  <c r="BZ7" i="22" s="1"/>
  <c r="ED17" i="22"/>
  <c r="EK17" i="22" s="1"/>
  <c r="GT6" i="22"/>
  <c r="HA6" i="22" s="1"/>
  <c r="IB15" i="22"/>
  <c r="II15" i="22" s="1"/>
  <c r="AU9" i="22"/>
  <c r="AY9" i="22" s="1"/>
  <c r="BV10" i="22"/>
  <c r="BZ10" i="22" s="1"/>
  <c r="BZ12" i="22"/>
  <c r="AU6" i="22"/>
  <c r="AY6" i="22" s="1"/>
  <c r="AU5" i="22"/>
  <c r="AY5" i="22" s="1"/>
  <c r="AU12" i="22"/>
  <c r="AY12" i="22" s="1"/>
  <c r="BV6" i="22"/>
  <c r="BZ6" i="22" s="1"/>
  <c r="ED6" i="22"/>
  <c r="EK6" i="22" s="1"/>
  <c r="ED10" i="22"/>
  <c r="EK10" i="22" s="1"/>
  <c r="ED8" i="22"/>
  <c r="EK8" i="22" s="1"/>
  <c r="KR6" i="22"/>
  <c r="KY6" i="22" s="1"/>
  <c r="KR10" i="22"/>
  <c r="KY10" i="22" s="1"/>
  <c r="FL4" i="22"/>
  <c r="FS4" i="22" s="1"/>
  <c r="JJ6" i="22"/>
  <c r="JQ6" i="22" s="1"/>
  <c r="JJ10" i="22"/>
  <c r="JQ10" i="22" s="1"/>
  <c r="JJ8" i="22"/>
  <c r="JQ8" i="22" s="1"/>
  <c r="JJ17" i="22"/>
  <c r="JQ17" i="22" s="1"/>
  <c r="KR7" i="22"/>
  <c r="KY7" i="22" s="1"/>
  <c r="KR12" i="22"/>
  <c r="KY12" i="22" s="1"/>
  <c r="LZ5" i="22"/>
  <c r="MG5" i="22" s="1"/>
  <c r="LZ6" i="22"/>
  <c r="MG6" i="22" s="1"/>
  <c r="AU11" i="22"/>
  <c r="AY11" i="22" s="1"/>
  <c r="AU17" i="22"/>
  <c r="AY17" i="22" s="1"/>
  <c r="BZ8" i="22"/>
  <c r="OW5" i="22"/>
  <c r="OW8" i="22"/>
  <c r="OW17" i="22"/>
  <c r="AU8" i="22"/>
  <c r="AY8" i="22" s="1"/>
  <c r="AU7" i="22"/>
  <c r="AY7" i="22" s="1"/>
  <c r="NH5" i="22"/>
  <c r="NO5" i="22" s="1"/>
  <c r="BV11" i="22"/>
  <c r="BZ11" i="22" s="1"/>
  <c r="ED4" i="22"/>
  <c r="EK4" i="22" s="1"/>
  <c r="BV9" i="22"/>
  <c r="BZ9" i="22" s="1"/>
  <c r="TU15" i="4"/>
  <c r="SN15" i="4"/>
  <c r="SU15" i="4" s="1"/>
  <c r="OP15" i="4"/>
  <c r="OW15" i="4" s="1"/>
  <c r="NH15" i="4"/>
  <c r="NO15" i="4" s="1"/>
  <c r="MG15" i="4"/>
  <c r="JJ15" i="4"/>
  <c r="JQ15" i="4" s="1"/>
  <c r="IB15" i="4"/>
  <c r="II15" i="4" s="1"/>
  <c r="HA15" i="4"/>
  <c r="ED15" i="4"/>
  <c r="EK15" i="4" s="1"/>
  <c r="TQ15" i="4"/>
  <c r="TN15" i="4"/>
  <c r="N15" i="4"/>
  <c r="P15" i="4"/>
  <c r="DC15" i="4" s="1"/>
  <c r="L15" i="4"/>
  <c r="M15" i="4" s="1"/>
  <c r="R15" i="4"/>
  <c r="S15" i="4" s="1"/>
  <c r="I15" i="4"/>
  <c r="G15" i="4"/>
  <c r="F15" i="4"/>
  <c r="BV14" i="4"/>
  <c r="BZ14" i="4" s="1"/>
  <c r="ED5" i="4"/>
  <c r="EK5" i="4" s="1"/>
  <c r="ED20" i="4"/>
  <c r="EK20" i="4" s="1"/>
  <c r="ED11" i="4"/>
  <c r="EK11" i="4" s="1"/>
  <c r="ED16" i="4"/>
  <c r="EK16" i="4" s="1"/>
  <c r="ED19" i="4"/>
  <c r="EK19" i="4" s="1"/>
  <c r="FL22" i="4"/>
  <c r="FS22" i="4" s="1"/>
  <c r="KR14" i="4"/>
  <c r="KY14" i="4" s="1"/>
  <c r="KR22" i="4"/>
  <c r="KY22" i="4" s="1"/>
  <c r="LZ5" i="4"/>
  <c r="MG5" i="4" s="1"/>
  <c r="LZ22" i="4"/>
  <c r="MG22" i="4" s="1"/>
  <c r="AY9" i="4"/>
  <c r="PX16" i="4"/>
  <c r="QE16" i="4" s="1"/>
  <c r="PX19" i="4"/>
  <c r="QE19" i="4" s="1"/>
  <c r="JJ17" i="4"/>
  <c r="JJ13" i="4"/>
  <c r="JQ13" i="4" s="1"/>
  <c r="JJ22" i="4"/>
  <c r="JQ22" i="4" s="1"/>
  <c r="PX6" i="4"/>
  <c r="QE6" i="4" s="1"/>
  <c r="PX8" i="4"/>
  <c r="QE8" i="4" s="1"/>
  <c r="PX9" i="4"/>
  <c r="QE9" i="4" s="1"/>
  <c r="PX17" i="4"/>
  <c r="QE17" i="4" s="1"/>
  <c r="PX13" i="4"/>
  <c r="QE13" i="4" s="1"/>
  <c r="PX14" i="4"/>
  <c r="QE14" i="4" s="1"/>
  <c r="PX22" i="4"/>
  <c r="QE22" i="4" s="1"/>
  <c r="RF7" i="4"/>
  <c r="RM7" i="4" s="1"/>
  <c r="RF12" i="4"/>
  <c r="RM12" i="4" s="1"/>
  <c r="AU7" i="4"/>
  <c r="AY7" i="4" s="1"/>
  <c r="AU20" i="4"/>
  <c r="AY20" i="4" s="1"/>
  <c r="AU18" i="4"/>
  <c r="AY18" i="4" s="1"/>
  <c r="KR7" i="4"/>
  <c r="KY7" i="4" s="1"/>
  <c r="KR10" i="4"/>
  <c r="KY10" i="4" s="1"/>
  <c r="AU10" i="4"/>
  <c r="AY10" i="4" s="1"/>
  <c r="BV16" i="4"/>
  <c r="BZ16" i="4" s="1"/>
  <c r="ED22" i="4"/>
  <c r="EK22" i="4" s="1"/>
  <c r="FL5" i="4"/>
  <c r="FS5" i="4" s="1"/>
  <c r="FL20" i="4"/>
  <c r="FS20" i="4" s="1"/>
  <c r="FL11" i="4"/>
  <c r="FS11" i="4" s="1"/>
  <c r="FL16" i="4"/>
  <c r="FS16" i="4" s="1"/>
  <c r="LZ20" i="4"/>
  <c r="MG20" i="4" s="1"/>
  <c r="LZ11" i="4"/>
  <c r="MG11" i="4" s="1"/>
  <c r="AU8" i="4"/>
  <c r="AY8" i="4" s="1"/>
  <c r="AU12" i="4"/>
  <c r="AY12" i="4" s="1"/>
  <c r="BV17" i="4"/>
  <c r="BZ17" i="4" s="1"/>
  <c r="BW4" i="21"/>
  <c r="BW5" i="21"/>
  <c r="BW7" i="21"/>
  <c r="BW6" i="21"/>
  <c r="BW8" i="21"/>
  <c r="BW10" i="21"/>
  <c r="BW9" i="21"/>
  <c r="BW12" i="21"/>
  <c r="BW14" i="21"/>
  <c r="BW11" i="21"/>
  <c r="BW13" i="21"/>
  <c r="BW17" i="21"/>
  <c r="AT4" i="21"/>
  <c r="AT5" i="21"/>
  <c r="AT7" i="21"/>
  <c r="AT6" i="21"/>
  <c r="AT8" i="21"/>
  <c r="AT10" i="21"/>
  <c r="AT9" i="21"/>
  <c r="AT12" i="21"/>
  <c r="AT14" i="21"/>
  <c r="AT11" i="21"/>
  <c r="AT13" i="21"/>
  <c r="AT17" i="21"/>
  <c r="BW4" i="19"/>
  <c r="BW5" i="19"/>
  <c r="BW6" i="19"/>
  <c r="BW7" i="19"/>
  <c r="BW11" i="19"/>
  <c r="BW8" i="19"/>
  <c r="BW9" i="19"/>
  <c r="BW10" i="19"/>
  <c r="BW15" i="19"/>
  <c r="BW12" i="19"/>
  <c r="BW14" i="19"/>
  <c r="BW13" i="19"/>
  <c r="BW23" i="19"/>
  <c r="BW16" i="19"/>
  <c r="BW22" i="19"/>
  <c r="BW20" i="19"/>
  <c r="BW25" i="19"/>
  <c r="BW27" i="19"/>
  <c r="BW28" i="19"/>
  <c r="BW18" i="19"/>
  <c r="AT4" i="19"/>
  <c r="AT5" i="19"/>
  <c r="AT6" i="19"/>
  <c r="AT7" i="19"/>
  <c r="AT11" i="19"/>
  <c r="AT8" i="19"/>
  <c r="AT9" i="19"/>
  <c r="AT10" i="19"/>
  <c r="AT15" i="19"/>
  <c r="AT12" i="19"/>
  <c r="AT14" i="19"/>
  <c r="AT13" i="19"/>
  <c r="AT23" i="19"/>
  <c r="AT16" i="19"/>
  <c r="AT22" i="19"/>
  <c r="AT20" i="19"/>
  <c r="AT25" i="19"/>
  <c r="AT27" i="19"/>
  <c r="AT28" i="19"/>
  <c r="AT18" i="19"/>
  <c r="BW7" i="27"/>
  <c r="BW6" i="27"/>
  <c r="BW5" i="27"/>
  <c r="BW4" i="27"/>
  <c r="BW10" i="27"/>
  <c r="BW8" i="27"/>
  <c r="BW11" i="27"/>
  <c r="AT7" i="27"/>
  <c r="AT6" i="27"/>
  <c r="AT5" i="27"/>
  <c r="AT4" i="27"/>
  <c r="AT10" i="27"/>
  <c r="AT8" i="27"/>
  <c r="AT11" i="27"/>
  <c r="QZ4" i="26"/>
  <c r="BW4" i="26"/>
  <c r="BW6" i="26"/>
  <c r="BW7" i="26"/>
  <c r="BW8" i="26"/>
  <c r="BW10" i="26"/>
  <c r="QZ10" i="26"/>
  <c r="AT4" i="26"/>
  <c r="AT6" i="26"/>
  <c r="AT7" i="26"/>
  <c r="AT8" i="26"/>
  <c r="AT10" i="26"/>
  <c r="P8" i="27"/>
  <c r="Q8" i="27" s="1"/>
  <c r="QD5" i="27"/>
  <c r="QD6" i="27"/>
  <c r="QD10" i="27"/>
  <c r="P4" i="27"/>
  <c r="Q4" i="27" s="1"/>
  <c r="DC4" i="27"/>
  <c r="QD4" i="27"/>
  <c r="QA8" i="27"/>
  <c r="RB8" i="27"/>
  <c r="RB11" i="27"/>
  <c r="QZ6" i="27"/>
  <c r="RE6" i="27"/>
  <c r="RB10" i="26"/>
  <c r="N7" i="26"/>
  <c r="O7" i="26" s="1"/>
  <c r="QA4" i="26"/>
  <c r="QD6" i="26"/>
  <c r="QZ8" i="26"/>
  <c r="QA10" i="26"/>
  <c r="QD4" i="26"/>
  <c r="CZ8" i="26"/>
  <c r="QA8" i="26"/>
  <c r="DV4" i="24"/>
  <c r="EC4" i="24" s="1"/>
  <c r="LR5" i="24"/>
  <c r="LY5" i="24" s="1"/>
  <c r="LR10" i="24"/>
  <c r="LY10" i="24" s="1"/>
  <c r="QX5" i="24"/>
  <c r="RE5" i="24" s="1"/>
  <c r="QX10" i="24"/>
  <c r="RE10" i="24" s="1"/>
  <c r="FD4" i="24"/>
  <c r="FK4" i="24" s="1"/>
  <c r="FD6" i="24"/>
  <c r="FK6" i="24" s="1"/>
  <c r="JB6" i="24"/>
  <c r="JI6" i="24" s="1"/>
  <c r="KJ4" i="24"/>
  <c r="KQ4" i="24" s="1"/>
  <c r="JB9" i="23"/>
  <c r="JI9" i="23" s="1"/>
  <c r="KJ5" i="23"/>
  <c r="KQ5" i="23" s="1"/>
  <c r="LR4" i="23"/>
  <c r="LY4" i="23" s="1"/>
  <c r="LR9" i="23"/>
  <c r="LY9" i="23" s="1"/>
  <c r="MZ5" i="23"/>
  <c r="NG5" i="23" s="1"/>
  <c r="OH4" i="23"/>
  <c r="OO4" i="23" s="1"/>
  <c r="PP5" i="23"/>
  <c r="PW5" i="23" s="1"/>
  <c r="PP8" i="23"/>
  <c r="PW8" i="23" s="1"/>
  <c r="QX4" i="23"/>
  <c r="RE4" i="23" s="1"/>
  <c r="L10" i="23"/>
  <c r="M10" i="23" s="1"/>
  <c r="ED9" i="22"/>
  <c r="EK9" i="22" s="1"/>
  <c r="ED15" i="22"/>
  <c r="EK15" i="22" s="1"/>
  <c r="NH17" i="22"/>
  <c r="NO17" i="22" s="1"/>
  <c r="OP4" i="22"/>
  <c r="OW4" i="22" s="1"/>
  <c r="OP9" i="22"/>
  <c r="OW9" i="22" s="1"/>
  <c r="KR4" i="22"/>
  <c r="KY4" i="22" s="1"/>
  <c r="RF9" i="22"/>
  <c r="RM9" i="22" s="1"/>
  <c r="RF15" i="22"/>
  <c r="RM15" i="22" s="1"/>
  <c r="GT5" i="22"/>
  <c r="HA5" i="22" s="1"/>
  <c r="GT9" i="22"/>
  <c r="HA9" i="22" s="1"/>
  <c r="GT15" i="22"/>
  <c r="HA15" i="22" s="1"/>
  <c r="LZ10" i="22"/>
  <c r="MG10" i="22" s="1"/>
  <c r="RF10" i="22"/>
  <c r="RM10" i="22" s="1"/>
  <c r="RF8" i="22"/>
  <c r="RM8" i="22" s="1"/>
  <c r="RF17" i="22"/>
  <c r="RM17" i="22" s="1"/>
  <c r="GT10" i="22"/>
  <c r="HA10" i="22" s="1"/>
  <c r="GT8" i="22"/>
  <c r="HA8" i="22" s="1"/>
  <c r="GT17" i="22"/>
  <c r="HA17" i="22" s="1"/>
  <c r="IB7" i="22"/>
  <c r="II7" i="22" s="1"/>
  <c r="KR17" i="22"/>
  <c r="KY17" i="22" s="1"/>
  <c r="LZ4" i="22"/>
  <c r="MG4" i="22" s="1"/>
  <c r="LZ12" i="22"/>
  <c r="MG12" i="22" s="1"/>
  <c r="LZ15" i="22"/>
  <c r="MG15" i="22" s="1"/>
  <c r="NH4" i="22"/>
  <c r="NO4" i="22" s="1"/>
  <c r="FL9" i="22"/>
  <c r="FS9" i="22" s="1"/>
  <c r="FL15" i="22"/>
  <c r="FS15" i="22" s="1"/>
  <c r="NH15" i="22"/>
  <c r="NO15" i="22" s="1"/>
  <c r="PX4" i="22"/>
  <c r="QE4" i="22" s="1"/>
  <c r="PX9" i="22"/>
  <c r="PX15" i="22"/>
  <c r="QE15" i="22" s="1"/>
  <c r="ED7" i="22"/>
  <c r="EK7" i="22" s="1"/>
  <c r="GT7" i="22"/>
  <c r="HA7" i="22" s="1"/>
  <c r="IB12" i="22"/>
  <c r="II12" i="22" s="1"/>
  <c r="JJ4" i="22"/>
  <c r="JQ4" i="22" s="1"/>
  <c r="KR5" i="22"/>
  <c r="KY5" i="22" s="1"/>
  <c r="KR9" i="22"/>
  <c r="KY9" i="22" s="1"/>
  <c r="LZ11" i="22"/>
  <c r="MG11" i="22" s="1"/>
  <c r="NH8" i="22"/>
  <c r="NO8" i="22" s="1"/>
  <c r="RF7" i="22"/>
  <c r="RM7" i="22" s="1"/>
  <c r="FL7" i="22"/>
  <c r="FS7" i="22" s="1"/>
  <c r="GT12" i="22"/>
  <c r="HA12" i="22" s="1"/>
  <c r="IB4" i="22"/>
  <c r="II4" i="22" s="1"/>
  <c r="JJ5" i="22"/>
  <c r="JQ5" i="22" s="1"/>
  <c r="JJ9" i="22"/>
  <c r="JQ9" i="22" s="1"/>
  <c r="KR11" i="22"/>
  <c r="KY11" i="22" s="1"/>
  <c r="KR15" i="22"/>
  <c r="KY15" i="22" s="1"/>
  <c r="LZ8" i="22"/>
  <c r="MG8" i="22" s="1"/>
  <c r="PX7" i="22"/>
  <c r="QE7" i="22" s="1"/>
  <c r="RF12" i="22"/>
  <c r="RM12" i="22" s="1"/>
  <c r="ED5" i="22"/>
  <c r="EK5" i="22" s="1"/>
  <c r="ED12" i="22"/>
  <c r="EK12" i="22" s="1"/>
  <c r="FL12" i="22"/>
  <c r="FS12" i="22" s="1"/>
  <c r="GT4" i="22"/>
  <c r="HA4" i="22" s="1"/>
  <c r="IB5" i="22"/>
  <c r="II5" i="22" s="1"/>
  <c r="IB9" i="22"/>
  <c r="II9" i="22" s="1"/>
  <c r="JJ11" i="22"/>
  <c r="JQ11" i="22" s="1"/>
  <c r="JJ15" i="22"/>
  <c r="JQ15" i="22" s="1"/>
  <c r="KR8" i="22"/>
  <c r="KY8" i="22" s="1"/>
  <c r="OP7" i="22"/>
  <c r="OW7" i="22" s="1"/>
  <c r="RF4" i="22"/>
  <c r="RM4" i="22" s="1"/>
  <c r="RF5" i="22"/>
  <c r="RM5" i="22" s="1"/>
  <c r="ED11" i="22"/>
  <c r="EK11" i="22" s="1"/>
  <c r="GT11" i="22"/>
  <c r="HA11" i="22" s="1"/>
  <c r="IB8" i="22"/>
  <c r="II8" i="22" s="1"/>
  <c r="LZ7" i="22"/>
  <c r="MG7" i="22" s="1"/>
  <c r="LZ9" i="22"/>
  <c r="MG9" i="22" s="1"/>
  <c r="NH12" i="22"/>
  <c r="NO12" i="22" s="1"/>
  <c r="PX5" i="22"/>
  <c r="QE5" i="22" s="1"/>
  <c r="QE9" i="22"/>
  <c r="RF11" i="22"/>
  <c r="RM11" i="22" s="1"/>
  <c r="NH9" i="22"/>
  <c r="NO9" i="22" s="1"/>
  <c r="OP15" i="22"/>
  <c r="OW15" i="22" s="1"/>
  <c r="FL4" i="4"/>
  <c r="FS4" i="4" s="1"/>
  <c r="FL6" i="4"/>
  <c r="FS6" i="4" s="1"/>
  <c r="FL8" i="4"/>
  <c r="FS8" i="4" s="1"/>
  <c r="FL9" i="4"/>
  <c r="FS9" i="4" s="1"/>
  <c r="FL17" i="4"/>
  <c r="FS17" i="4" s="1"/>
  <c r="FL13" i="4"/>
  <c r="FS13" i="4" s="1"/>
  <c r="FL14" i="4"/>
  <c r="FS14" i="4" s="1"/>
  <c r="IB12" i="4"/>
  <c r="II12" i="4" s="1"/>
  <c r="JJ12" i="4"/>
  <c r="JQ12" i="4" s="1"/>
  <c r="LZ9" i="4"/>
  <c r="MG9" i="4" s="1"/>
  <c r="LZ17" i="4"/>
  <c r="MG17" i="4" s="1"/>
  <c r="LZ13" i="4"/>
  <c r="MG13" i="4" s="1"/>
  <c r="LZ14" i="4"/>
  <c r="MG14" i="4" s="1"/>
  <c r="JJ5" i="4"/>
  <c r="JQ5" i="4" s="1"/>
  <c r="NH22" i="4"/>
  <c r="NO22" i="4" s="1"/>
  <c r="OP7" i="4"/>
  <c r="OW7" i="4" s="1"/>
  <c r="KR16" i="4"/>
  <c r="KY16" i="4" s="1"/>
  <c r="KR19" i="4"/>
  <c r="KY19" i="4" s="1"/>
  <c r="OW4" i="4"/>
  <c r="OP6" i="4"/>
  <c r="OW6" i="4" s="1"/>
  <c r="OP9" i="4"/>
  <c r="OW9" i="4" s="1"/>
  <c r="OP17" i="4"/>
  <c r="OW17" i="4" s="1"/>
  <c r="OP13" i="4"/>
  <c r="OW13" i="4" s="1"/>
  <c r="OP18" i="4"/>
  <c r="OW18" i="4" s="1"/>
  <c r="OP14" i="4"/>
  <c r="OW14" i="4" s="1"/>
  <c r="PX11" i="4"/>
  <c r="QE11" i="4" s="1"/>
  <c r="ED6" i="4"/>
  <c r="EK6" i="4" s="1"/>
  <c r="ED8" i="4"/>
  <c r="EK8" i="4" s="1"/>
  <c r="ED9" i="4"/>
  <c r="EK9" i="4" s="1"/>
  <c r="ED17" i="4"/>
  <c r="EK17" i="4" s="1"/>
  <c r="ED13" i="4"/>
  <c r="EK13" i="4" s="1"/>
  <c r="ED18" i="4"/>
  <c r="EK18" i="4" s="1"/>
  <c r="FL21" i="4"/>
  <c r="FS21" i="4" s="1"/>
  <c r="GT5" i="4"/>
  <c r="HA5" i="4" s="1"/>
  <c r="GT11" i="4"/>
  <c r="HA11" i="4" s="1"/>
  <c r="JJ18" i="4"/>
  <c r="JQ18" i="4" s="1"/>
  <c r="JJ19" i="4"/>
  <c r="JQ19" i="4" s="1"/>
  <c r="LZ21" i="4"/>
  <c r="MG21" i="4" s="1"/>
  <c r="LZ19" i="4"/>
  <c r="MG19" i="4" s="1"/>
  <c r="NH5" i="4"/>
  <c r="NO5" i="4" s="1"/>
  <c r="NH11" i="4"/>
  <c r="NO11" i="4" s="1"/>
  <c r="RF4" i="4"/>
  <c r="RM4" i="4" s="1"/>
  <c r="RF6" i="4"/>
  <c r="RM6" i="4" s="1"/>
  <c r="RF8" i="4"/>
  <c r="RM8" i="4" s="1"/>
  <c r="RF11" i="4"/>
  <c r="RM11" i="4" s="1"/>
  <c r="HA8" i="4"/>
  <c r="JJ6" i="4"/>
  <c r="JQ6" i="4" s="1"/>
  <c r="NO8" i="4"/>
  <c r="ED14" i="4"/>
  <c r="EK14" i="4" s="1"/>
  <c r="FL18" i="4"/>
  <c r="FS18" i="4" s="1"/>
  <c r="FL19" i="4"/>
  <c r="FS19" i="4" s="1"/>
  <c r="GT17" i="4"/>
  <c r="HA17" i="4" s="1"/>
  <c r="GT16" i="4"/>
  <c r="HA16" i="4" s="1"/>
  <c r="IB8" i="4"/>
  <c r="II8" i="4" s="1"/>
  <c r="IB11" i="4"/>
  <c r="II11" i="4" s="1"/>
  <c r="JJ4" i="4"/>
  <c r="JQ4" i="4" s="1"/>
  <c r="JJ20" i="4"/>
  <c r="JQ20" i="4" s="1"/>
  <c r="JJ21" i="4"/>
  <c r="JQ21" i="4" s="1"/>
  <c r="KR5" i="4"/>
  <c r="KY5" i="4" s="1"/>
  <c r="KR12" i="4"/>
  <c r="KY12" i="4" s="1"/>
  <c r="LZ7" i="4"/>
  <c r="MG7" i="4" s="1"/>
  <c r="LZ18" i="4"/>
  <c r="MG18" i="4" s="1"/>
  <c r="NH17" i="4"/>
  <c r="NO17" i="4" s="1"/>
  <c r="NH16" i="4"/>
  <c r="NO16" i="4" s="1"/>
  <c r="OP8" i="4"/>
  <c r="OW8" i="4" s="1"/>
  <c r="OP10" i="4"/>
  <c r="OW10" i="4" s="1"/>
  <c r="PX4" i="4"/>
  <c r="QE4" i="4" s="1"/>
  <c r="PX12" i="4"/>
  <c r="QE12" i="4" s="1"/>
  <c r="RF10" i="4"/>
  <c r="RM10" i="4" s="1"/>
  <c r="ED7" i="4"/>
  <c r="EK7" i="4" s="1"/>
  <c r="GT19" i="4"/>
  <c r="HA19" i="4" s="1"/>
  <c r="II17" i="4"/>
  <c r="IB16" i="4"/>
  <c r="II16" i="4" s="1"/>
  <c r="JJ8" i="4"/>
  <c r="JQ8" i="4" s="1"/>
  <c r="JJ11" i="4"/>
  <c r="JQ11" i="4" s="1"/>
  <c r="KR4" i="4"/>
  <c r="KY4" i="4" s="1"/>
  <c r="KR20" i="4"/>
  <c r="KY20" i="4" s="1"/>
  <c r="KR21" i="4"/>
  <c r="KY21" i="4" s="1"/>
  <c r="NH19" i="4"/>
  <c r="NO19" i="4" s="1"/>
  <c r="OP12" i="4"/>
  <c r="OW12" i="4" s="1"/>
  <c r="PX21" i="4"/>
  <c r="QE21" i="4" s="1"/>
  <c r="RF5" i="4"/>
  <c r="RM5" i="4" s="1"/>
  <c r="ED10" i="4"/>
  <c r="EK10" i="4" s="1"/>
  <c r="FL7" i="4"/>
  <c r="FS7" i="4" s="1"/>
  <c r="GT14" i="4"/>
  <c r="HA14" i="4" s="1"/>
  <c r="IB18" i="4"/>
  <c r="II18" i="4" s="1"/>
  <c r="IB19" i="4"/>
  <c r="II19" i="4" s="1"/>
  <c r="JQ17" i="4"/>
  <c r="JJ16" i="4"/>
  <c r="JQ16" i="4" s="1"/>
  <c r="KR8" i="4"/>
  <c r="KY8" i="4" s="1"/>
  <c r="KR11" i="4"/>
  <c r="KY11" i="4" s="1"/>
  <c r="LZ4" i="4"/>
  <c r="MG4" i="4" s="1"/>
  <c r="LZ10" i="4"/>
  <c r="MG10" i="4" s="1"/>
  <c r="NH14" i="4"/>
  <c r="NO14" i="4" s="1"/>
  <c r="OP19" i="4"/>
  <c r="OW19" i="4" s="1"/>
  <c r="RF20" i="4"/>
  <c r="RM20" i="4" s="1"/>
  <c r="RF21" i="4"/>
  <c r="RM21" i="4" s="1"/>
  <c r="ED12" i="4"/>
  <c r="EK12" i="4" s="1"/>
  <c r="FL10" i="4"/>
  <c r="FS10" i="4" s="1"/>
  <c r="ED4" i="4"/>
  <c r="EK4" i="4" s="1"/>
  <c r="ED21" i="4"/>
  <c r="EK21" i="4" s="1"/>
  <c r="FL12" i="4"/>
  <c r="FS12" i="4" s="1"/>
  <c r="GT10" i="4"/>
  <c r="HA10" i="4" s="1"/>
  <c r="IB7" i="4"/>
  <c r="II7" i="4" s="1"/>
  <c r="IB20" i="4"/>
  <c r="II20" i="4" s="1"/>
  <c r="JJ14" i="4"/>
  <c r="JQ14" i="4" s="1"/>
  <c r="KR18" i="4"/>
  <c r="KY18" i="4" s="1"/>
  <c r="LZ8" i="4"/>
  <c r="MG8" i="4" s="1"/>
  <c r="LZ12" i="4"/>
  <c r="MG12" i="4" s="1"/>
  <c r="LZ16" i="4"/>
  <c r="MG16" i="4" s="1"/>
  <c r="NH10" i="4"/>
  <c r="NO10" i="4" s="1"/>
  <c r="OP20" i="4"/>
  <c r="OW20" i="4" s="1"/>
  <c r="PX5" i="4"/>
  <c r="QE5" i="4" s="1"/>
  <c r="PX18" i="4"/>
  <c r="QE18" i="4" s="1"/>
  <c r="RF17" i="4"/>
  <c r="RM17" i="4" s="1"/>
  <c r="RF16" i="4"/>
  <c r="RM16" i="4" s="1"/>
  <c r="GT20" i="4"/>
  <c r="HA20" i="4" s="1"/>
  <c r="NH20" i="4"/>
  <c r="NO20" i="4" s="1"/>
  <c r="RB10" i="27"/>
  <c r="QZ8" i="27"/>
  <c r="CZ11" i="27"/>
  <c r="RA6" i="27"/>
  <c r="RB6" i="27"/>
  <c r="DC5" i="27"/>
  <c r="N5" i="27"/>
  <c r="O5" i="27" s="1"/>
  <c r="P10" i="27"/>
  <c r="DF10" i="27" s="1"/>
  <c r="QZ11" i="27"/>
  <c r="P7" i="27"/>
  <c r="Q7" i="27" s="1"/>
  <c r="QZ5" i="27"/>
  <c r="RE5" i="27"/>
  <c r="P5" i="27"/>
  <c r="Q5" i="27" s="1"/>
  <c r="RF8" i="27"/>
  <c r="RB5" i="27"/>
  <c r="RA4" i="27"/>
  <c r="RB4" i="27"/>
  <c r="N7" i="27"/>
  <c r="DE7" i="27" s="1"/>
  <c r="G8" i="27"/>
  <c r="F11" i="27"/>
  <c r="L4" i="27"/>
  <c r="M4" i="27" s="1"/>
  <c r="G5" i="27"/>
  <c r="CZ10" i="27"/>
  <c r="N8" i="27"/>
  <c r="DE8" i="27" s="1"/>
  <c r="J7" i="27"/>
  <c r="K7" i="27" s="1"/>
  <c r="P6" i="27"/>
  <c r="Q6" i="27" s="1"/>
  <c r="RA8" i="27"/>
  <c r="RA11" i="27"/>
  <c r="RF11" i="27"/>
  <c r="F4" i="27"/>
  <c r="G10" i="27"/>
  <c r="QA10" i="27"/>
  <c r="RC11" i="27"/>
  <c r="RE11" i="27"/>
  <c r="RA7" i="27"/>
  <c r="RB7" i="27"/>
  <c r="F5" i="27"/>
  <c r="J4" i="27"/>
  <c r="K4" i="27" s="1"/>
  <c r="QA4" i="27"/>
  <c r="N10" i="27"/>
  <c r="O10" i="27" s="1"/>
  <c r="F10" i="27"/>
  <c r="QZ10" i="27"/>
  <c r="RE10" i="27"/>
  <c r="F8" i="27"/>
  <c r="P11" i="27"/>
  <c r="Q11" i="27" s="1"/>
  <c r="F7" i="27"/>
  <c r="J5" i="27"/>
  <c r="K5" i="27" s="1"/>
  <c r="N4" i="27"/>
  <c r="DE4" i="27" s="1"/>
  <c r="QZ4" i="27"/>
  <c r="RE4" i="27"/>
  <c r="QD11" i="27"/>
  <c r="G7" i="27"/>
  <c r="RC7" i="27"/>
  <c r="RE7" i="27"/>
  <c r="J6" i="27"/>
  <c r="K6" i="27" s="1"/>
  <c r="N6" i="27"/>
  <c r="O6" i="27" s="1"/>
  <c r="QA6" i="27"/>
  <c r="N11" i="27"/>
  <c r="DE11" i="27" s="1"/>
  <c r="DC8" i="26"/>
  <c r="DC10" i="26"/>
  <c r="RB4" i="26"/>
  <c r="N10" i="26"/>
  <c r="DE10" i="26" s="1"/>
  <c r="RB7" i="26"/>
  <c r="P4" i="26"/>
  <c r="Q4" i="26" s="1"/>
  <c r="F7" i="26"/>
  <c r="RB8" i="26"/>
  <c r="RA6" i="26"/>
  <c r="N6" i="26"/>
  <c r="DE6" i="26" s="1"/>
  <c r="RC6" i="26"/>
  <c r="N8" i="26"/>
  <c r="DE8" i="26" s="1"/>
  <c r="RA4" i="26"/>
  <c r="RB6" i="26"/>
  <c r="P8" i="26"/>
  <c r="Q8" i="26" s="1"/>
  <c r="RA8" i="26"/>
  <c r="RF8" i="26"/>
  <c r="F4" i="26"/>
  <c r="RC8" i="26"/>
  <c r="RE8" i="26"/>
  <c r="P10" i="26"/>
  <c r="Q10" i="26" s="1"/>
  <c r="RA10" i="26"/>
  <c r="RF10" i="26"/>
  <c r="P7" i="26"/>
  <c r="Q7" i="26" s="1"/>
  <c r="QZ7" i="26"/>
  <c r="RE7" i="26"/>
  <c r="F8" i="26"/>
  <c r="L10" i="26"/>
  <c r="M10" i="26" s="1"/>
  <c r="RC10" i="26"/>
  <c r="RE10" i="26"/>
  <c r="N4" i="26"/>
  <c r="O4" i="26" s="1"/>
  <c r="RC4" i="26"/>
  <c r="F6" i="26"/>
  <c r="QA6" i="26"/>
  <c r="QD8" i="26"/>
  <c r="G6" i="26"/>
  <c r="QZ6" i="26"/>
  <c r="CZ7" i="26"/>
  <c r="QD7" i="26"/>
  <c r="F10" i="26"/>
  <c r="QD10" i="26"/>
  <c r="RA10" i="27"/>
  <c r="DC7" i="27"/>
  <c r="CZ7" i="27"/>
  <c r="G6" i="27"/>
  <c r="G11" i="27"/>
  <c r="RA5" i="27"/>
  <c r="RC6" i="27"/>
  <c r="L5" i="27"/>
  <c r="RC5" i="27"/>
  <c r="RC4" i="27"/>
  <c r="RC10" i="27"/>
  <c r="DC8" i="27"/>
  <c r="L11" i="27"/>
  <c r="J11" i="27"/>
  <c r="F6" i="27"/>
  <c r="DC6" i="27"/>
  <c r="CZ6" i="27"/>
  <c r="L6" i="27"/>
  <c r="RF6" i="27"/>
  <c r="CZ5" i="27"/>
  <c r="CZ4" i="27"/>
  <c r="L10" i="27"/>
  <c r="J10" i="27"/>
  <c r="L7" i="27"/>
  <c r="RF7" i="27"/>
  <c r="DC11" i="27"/>
  <c r="QZ7" i="27"/>
  <c r="QA7" i="27"/>
  <c r="RF5" i="27"/>
  <c r="G4" i="27"/>
  <c r="RF4" i="27"/>
  <c r="DC10" i="27"/>
  <c r="RF10" i="27"/>
  <c r="L8" i="27"/>
  <c r="J8" i="27"/>
  <c r="RA7" i="26"/>
  <c r="L4" i="26"/>
  <c r="J4" i="26"/>
  <c r="G4" i="26"/>
  <c r="L6" i="26"/>
  <c r="J6" i="26"/>
  <c r="J7" i="26"/>
  <c r="CZ10" i="26"/>
  <c r="DC4" i="26"/>
  <c r="CZ4" i="26"/>
  <c r="DF6" i="26"/>
  <c r="G7" i="26"/>
  <c r="J8" i="26"/>
  <c r="RF4" i="26"/>
  <c r="RE4" i="26"/>
  <c r="DC6" i="26"/>
  <c r="CZ6" i="26"/>
  <c r="L7" i="26"/>
  <c r="G8" i="26"/>
  <c r="J10" i="26"/>
  <c r="RC7" i="26"/>
  <c r="RF6" i="26"/>
  <c r="RE6" i="26"/>
  <c r="DC7" i="26"/>
  <c r="RF7" i="26"/>
  <c r="L8" i="26"/>
  <c r="G10" i="26"/>
  <c r="DV5" i="24"/>
  <c r="EC5" i="24" s="1"/>
  <c r="JB7" i="24"/>
  <c r="JI7" i="24" s="1"/>
  <c r="KJ7" i="24"/>
  <c r="KQ7" i="24" s="1"/>
  <c r="OH6" i="24"/>
  <c r="OO6" i="24" s="1"/>
  <c r="PP4" i="24"/>
  <c r="PW4" i="24" s="1"/>
  <c r="GL5" i="24"/>
  <c r="GS5" i="24" s="1"/>
  <c r="GL10" i="24"/>
  <c r="GS10" i="24" s="1"/>
  <c r="HT5" i="24"/>
  <c r="IA5" i="24" s="1"/>
  <c r="HT10" i="24"/>
  <c r="IA10" i="24" s="1"/>
  <c r="OH7" i="24"/>
  <c r="OO7" i="24" s="1"/>
  <c r="PP7" i="24"/>
  <c r="PW7" i="24" s="1"/>
  <c r="GL4" i="24"/>
  <c r="GS4" i="24" s="1"/>
  <c r="GL8" i="24"/>
  <c r="GS8" i="24" s="1"/>
  <c r="GL6" i="24"/>
  <c r="GS6" i="24" s="1"/>
  <c r="HT4" i="24"/>
  <c r="IA4" i="24" s="1"/>
  <c r="HT8" i="24"/>
  <c r="IA8" i="24" s="1"/>
  <c r="HT6" i="24"/>
  <c r="IA6" i="24" s="1"/>
  <c r="MZ5" i="24"/>
  <c r="NG5" i="24" s="1"/>
  <c r="MZ10" i="24"/>
  <c r="NG10" i="24" s="1"/>
  <c r="DV10" i="24"/>
  <c r="EC10" i="24" s="1"/>
  <c r="JB5" i="24"/>
  <c r="JI5" i="24" s="1"/>
  <c r="OH5" i="24"/>
  <c r="OO5" i="24" s="1"/>
  <c r="PW6" i="24"/>
  <c r="DV8" i="24"/>
  <c r="EC8" i="24" s="1"/>
  <c r="JB10" i="24"/>
  <c r="JI10" i="24" s="1"/>
  <c r="OH10" i="24"/>
  <c r="OO10" i="24" s="1"/>
  <c r="GL7" i="24"/>
  <c r="GS7" i="24" s="1"/>
  <c r="JB8" i="24"/>
  <c r="JI8" i="24" s="1"/>
  <c r="KJ5" i="24"/>
  <c r="KQ5" i="24" s="1"/>
  <c r="LR7" i="24"/>
  <c r="LY7" i="24" s="1"/>
  <c r="OH8" i="24"/>
  <c r="OO8" i="24" s="1"/>
  <c r="PP5" i="24"/>
  <c r="PW5" i="24" s="1"/>
  <c r="QX7" i="24"/>
  <c r="RE7" i="24" s="1"/>
  <c r="KJ10" i="24"/>
  <c r="KQ10" i="24" s="1"/>
  <c r="PP10" i="24"/>
  <c r="PW10" i="24" s="1"/>
  <c r="FD8" i="24"/>
  <c r="FK8" i="24" s="1"/>
  <c r="HT7" i="24"/>
  <c r="IA7" i="24" s="1"/>
  <c r="KJ8" i="24"/>
  <c r="KQ8" i="24" s="1"/>
  <c r="MZ7" i="24"/>
  <c r="NG7" i="24" s="1"/>
  <c r="PP8" i="24"/>
  <c r="PW8" i="24" s="1"/>
  <c r="FD9" i="23"/>
  <c r="FK9" i="23" s="1"/>
  <c r="MZ10" i="23"/>
  <c r="NG10" i="23" s="1"/>
  <c r="QX10" i="23"/>
  <c r="RE10" i="23" s="1"/>
  <c r="OH10" i="23"/>
  <c r="OO10" i="23" s="1"/>
  <c r="LR10" i="23"/>
  <c r="LY10" i="23" s="1"/>
  <c r="JB10" i="23"/>
  <c r="JI10" i="23" s="1"/>
  <c r="DV10" i="23"/>
  <c r="EC10" i="23" s="1"/>
  <c r="HT10" i="23"/>
  <c r="IA10" i="23" s="1"/>
  <c r="QX6" i="23"/>
  <c r="RE6" i="23" s="1"/>
  <c r="QX9" i="23"/>
  <c r="RE9" i="23" s="1"/>
  <c r="DV5" i="23"/>
  <c r="EC5" i="23" s="1"/>
  <c r="FD4" i="23"/>
  <c r="FK4" i="23" s="1"/>
  <c r="DV4" i="23"/>
  <c r="EC4" i="23" s="1"/>
  <c r="KJ4" i="23"/>
  <c r="KQ4" i="23" s="1"/>
  <c r="KJ6" i="23"/>
  <c r="KQ6" i="23" s="1"/>
  <c r="KJ9" i="23"/>
  <c r="KQ9" i="23" s="1"/>
  <c r="MZ4" i="23"/>
  <c r="NG4" i="23" s="1"/>
  <c r="MZ6" i="23"/>
  <c r="NG6" i="23" s="1"/>
  <c r="FD10" i="23"/>
  <c r="FK10" i="23" s="1"/>
  <c r="SF10" i="23"/>
  <c r="SM10" i="23" s="1"/>
  <c r="PP10" i="23"/>
  <c r="PW10" i="23" s="1"/>
  <c r="KJ10" i="23"/>
  <c r="KQ10" i="23" s="1"/>
  <c r="GL10" i="23"/>
  <c r="GS10" i="23" s="1"/>
  <c r="CS10" i="23"/>
  <c r="TM10" i="23"/>
  <c r="TI10" i="23"/>
  <c r="TF10" i="23"/>
  <c r="F10" i="23"/>
  <c r="J10" i="23"/>
  <c r="I10" i="23"/>
  <c r="G10" i="23"/>
  <c r="MZ9" i="23"/>
  <c r="NG9" i="23" s="1"/>
  <c r="FD5" i="23"/>
  <c r="FK5" i="23" s="1"/>
  <c r="LR6" i="23"/>
  <c r="LY6" i="23" s="1"/>
  <c r="LR8" i="23"/>
  <c r="LY8" i="23" s="1"/>
  <c r="RE8" i="23"/>
  <c r="HT4" i="23"/>
  <c r="IA4" i="23" s="1"/>
  <c r="HT6" i="23"/>
  <c r="IA6" i="23" s="1"/>
  <c r="HT9" i="23"/>
  <c r="IA9" i="23" s="1"/>
  <c r="JB5" i="23"/>
  <c r="JI5" i="23" s="1"/>
  <c r="OH9" i="23"/>
  <c r="OO9" i="23" s="1"/>
  <c r="DV6" i="23"/>
  <c r="EC6" i="23" s="1"/>
  <c r="DV9" i="23"/>
  <c r="EC9" i="23" s="1"/>
  <c r="OH5" i="23"/>
  <c r="OO5" i="23" s="1"/>
  <c r="PP4" i="23"/>
  <c r="PW4" i="23" s="1"/>
  <c r="PP6" i="23"/>
  <c r="PW6" i="23" s="1"/>
  <c r="PP9" i="23"/>
  <c r="PW9" i="23" s="1"/>
  <c r="DV8" i="23"/>
  <c r="EC8" i="23" s="1"/>
  <c r="GL5" i="23"/>
  <c r="GS5" i="23" s="1"/>
  <c r="MZ8" i="23"/>
  <c r="NG8" i="23" s="1"/>
  <c r="GL8" i="23"/>
  <c r="GS8" i="23" s="1"/>
  <c r="KJ8" i="23"/>
  <c r="KQ8" i="23" s="1"/>
  <c r="FD8" i="23"/>
  <c r="FK8" i="23" s="1"/>
  <c r="HT5" i="23"/>
  <c r="IA5" i="23" s="1"/>
  <c r="HT8" i="23"/>
  <c r="IA8" i="23" s="1"/>
  <c r="JB8" i="23"/>
  <c r="JI8" i="23" s="1"/>
  <c r="OH8" i="23"/>
  <c r="OO8" i="23" s="1"/>
  <c r="QX5" i="23"/>
  <c r="RE5" i="23" s="1"/>
  <c r="FD6" i="23"/>
  <c r="FK6" i="23" s="1"/>
  <c r="JB6" i="23"/>
  <c r="JI6" i="23" s="1"/>
  <c r="LR5" i="23"/>
  <c r="LY5" i="23" s="1"/>
  <c r="OH6" i="23"/>
  <c r="OO6" i="23" s="1"/>
  <c r="JB4" i="23"/>
  <c r="JI4" i="23" s="1"/>
  <c r="DF4" i="27" l="1"/>
  <c r="RG11" i="27"/>
  <c r="I11" i="27"/>
  <c r="RG6" i="27"/>
  <c r="CU10" i="23"/>
  <c r="DB15" i="4"/>
  <c r="V15" i="4" s="1"/>
  <c r="TR15" i="4"/>
  <c r="TV15" i="4" s="1"/>
  <c r="O7" i="27"/>
  <c r="O6" i="26"/>
  <c r="O15" i="4"/>
  <c r="Q15" i="4"/>
  <c r="H15" i="4"/>
  <c r="RD11" i="27"/>
  <c r="RD6" i="27"/>
  <c r="DF8" i="27"/>
  <c r="RG4" i="27"/>
  <c r="RD4" i="26"/>
  <c r="RD10" i="26"/>
  <c r="RG10" i="26"/>
  <c r="O8" i="26"/>
  <c r="DE7" i="26"/>
  <c r="RG8" i="27"/>
  <c r="RD4" i="27"/>
  <c r="Q10" i="27"/>
  <c r="DF10" i="26"/>
  <c r="RG6" i="26"/>
  <c r="DF4" i="26"/>
  <c r="RD6" i="26"/>
  <c r="RG8" i="26"/>
  <c r="O10" i="26"/>
  <c r="CT10" i="23"/>
  <c r="RD8" i="27"/>
  <c r="DE5" i="27"/>
  <c r="RG7" i="27"/>
  <c r="DF6" i="27"/>
  <c r="O11" i="27"/>
  <c r="DF5" i="27"/>
  <c r="RD7" i="27"/>
  <c r="I6" i="27"/>
  <c r="H6" i="27" s="1"/>
  <c r="O4" i="27"/>
  <c r="DF7" i="27"/>
  <c r="O8" i="27"/>
  <c r="DE6" i="27"/>
  <c r="I10" i="27"/>
  <c r="H10" i="27" s="1"/>
  <c r="I5" i="27"/>
  <c r="H5" i="27" s="1"/>
  <c r="DE10" i="27"/>
  <c r="DF11" i="27"/>
  <c r="I7" i="27"/>
  <c r="H7" i="27" s="1"/>
  <c r="DD4" i="27"/>
  <c r="R4" i="27" s="1"/>
  <c r="RG4" i="26"/>
  <c r="RD8" i="26"/>
  <c r="DE4" i="26"/>
  <c r="DF7" i="26"/>
  <c r="I4" i="26"/>
  <c r="H4" i="26" s="1"/>
  <c r="DF8" i="26"/>
  <c r="DD10" i="26"/>
  <c r="I6" i="26"/>
  <c r="H6" i="26" s="1"/>
  <c r="DD5" i="27"/>
  <c r="M5" i="27"/>
  <c r="DD6" i="27"/>
  <c r="M6" i="27"/>
  <c r="K11" i="27"/>
  <c r="RG5" i="27"/>
  <c r="RD5" i="27"/>
  <c r="I4" i="27"/>
  <c r="H4" i="27" s="1"/>
  <c r="DD7" i="27"/>
  <c r="M7" i="27"/>
  <c r="K10" i="27"/>
  <c r="DD11" i="27"/>
  <c r="M11" i="27"/>
  <c r="RG10" i="27"/>
  <c r="RD10" i="27"/>
  <c r="DD10" i="27"/>
  <c r="M10" i="27"/>
  <c r="H11" i="27"/>
  <c r="K8" i="27"/>
  <c r="DD8" i="27"/>
  <c r="M8" i="27"/>
  <c r="I8" i="27"/>
  <c r="H8" i="27" s="1"/>
  <c r="M8" i="26"/>
  <c r="DD8" i="26"/>
  <c r="M7" i="26"/>
  <c r="DD7" i="26"/>
  <c r="M6" i="26"/>
  <c r="DD6" i="26"/>
  <c r="R6" i="26" s="1"/>
  <c r="K7" i="26"/>
  <c r="RG7" i="26"/>
  <c r="RD7" i="26"/>
  <c r="K8" i="26"/>
  <c r="K10" i="26"/>
  <c r="DD4" i="26"/>
  <c r="M4" i="26"/>
  <c r="K6" i="26"/>
  <c r="I10" i="26"/>
  <c r="H10" i="26" s="1"/>
  <c r="I8" i="26"/>
  <c r="H8" i="26" s="1"/>
  <c r="K4" i="26"/>
  <c r="TJ10" i="23"/>
  <c r="TN10" i="23" s="1"/>
  <c r="H10" i="23"/>
  <c r="K10" i="23"/>
  <c r="A10" i="23" a="1"/>
  <c r="A10" i="23" s="1"/>
  <c r="E15" i="4" l="1"/>
  <c r="R8" i="27"/>
  <c r="E8" i="27" s="1"/>
  <c r="W15" i="4"/>
  <c r="X15" i="4"/>
  <c r="E4" i="27"/>
  <c r="S4" i="27"/>
  <c r="T4" i="27"/>
  <c r="S8" i="27"/>
  <c r="R10" i="26"/>
  <c r="S10" i="26" s="1"/>
  <c r="T6" i="26"/>
  <c r="S6" i="26"/>
  <c r="R10" i="27"/>
  <c r="R7" i="27"/>
  <c r="R11" i="27"/>
  <c r="R5" i="27"/>
  <c r="R6" i="27"/>
  <c r="R4" i="26"/>
  <c r="R7" i="26"/>
  <c r="R8" i="26"/>
  <c r="E6" i="26"/>
  <c r="E10" i="27"/>
  <c r="N10" i="23"/>
  <c r="T8" i="27" l="1"/>
  <c r="E10" i="26"/>
  <c r="E6" i="27"/>
  <c r="S6" i="27"/>
  <c r="T6" i="27"/>
  <c r="T11" i="27"/>
  <c r="S11" i="27"/>
  <c r="E5" i="27"/>
  <c r="T5" i="27"/>
  <c r="S5" i="27"/>
  <c r="E7" i="27"/>
  <c r="S7" i="27"/>
  <c r="T7" i="27"/>
  <c r="S10" i="27"/>
  <c r="T10" i="27"/>
  <c r="T10" i="26"/>
  <c r="S8" i="26"/>
  <c r="T8" i="26"/>
  <c r="S4" i="26"/>
  <c r="T4" i="26"/>
  <c r="E7" i="26"/>
  <c r="S7" i="26"/>
  <c r="T7" i="26"/>
  <c r="E4" i="26"/>
  <c r="E10" i="23"/>
  <c r="O10" i="23"/>
  <c r="P10" i="23"/>
  <c r="E11" i="27"/>
  <c r="E8" i="26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A8" i="27" l="1"/>
  <c r="A5" i="26"/>
  <c r="A6" i="26"/>
  <c r="A6" i="27"/>
  <c r="A7" i="27"/>
  <c r="A10" i="27"/>
  <c r="A11" i="27"/>
  <c r="A5" i="27" a="1"/>
  <c r="A5" i="27" s="1"/>
  <c r="A4" i="27"/>
  <c r="A4" i="26"/>
  <c r="A7" i="26" a="1"/>
  <c r="A7" i="26" s="1"/>
  <c r="A8" i="26"/>
  <c r="A10" i="26"/>
  <c r="QA9" i="19"/>
  <c r="QZ9" i="19"/>
  <c r="DC9" i="19"/>
  <c r="P9" i="19"/>
  <c r="N9" i="19"/>
  <c r="DE9" i="19" s="1"/>
  <c r="RE9" i="19"/>
  <c r="CZ9" i="19"/>
  <c r="RB9" i="19"/>
  <c r="RF9" i="19"/>
  <c r="RA9" i="19"/>
  <c r="L9" i="19"/>
  <c r="J9" i="19"/>
  <c r="RC9" i="19"/>
  <c r="QD9" i="19"/>
  <c r="G9" i="19"/>
  <c r="F9" i="19"/>
  <c r="M9" i="19" l="1"/>
  <c r="DD9" i="19"/>
  <c r="Q9" i="19"/>
  <c r="DF9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9" i="19"/>
  <c r="RG9" i="19"/>
  <c r="I9" i="19"/>
  <c r="H9" i="19" s="1"/>
  <c r="RD9" i="19"/>
  <c r="K9" i="19"/>
  <c r="R9" i="19" l="1"/>
  <c r="S9" i="19" l="1"/>
  <c r="T9" i="19"/>
  <c r="E9" i="19"/>
  <c r="CV16" i="19" l="1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DC16" i="19" l="1"/>
  <c r="CZ7" i="19"/>
  <c r="RE16" i="19"/>
  <c r="QZ16" i="19"/>
  <c r="P16" i="19"/>
  <c r="QA16" i="19"/>
  <c r="CZ16" i="19"/>
  <c r="N16" i="19"/>
  <c r="DE16" i="19" s="1"/>
  <c r="RB16" i="19"/>
  <c r="RA16" i="19"/>
  <c r="RF16" i="19"/>
  <c r="L16" i="19"/>
  <c r="F16" i="19"/>
  <c r="J16" i="19"/>
  <c r="RC16" i="19"/>
  <c r="QD16" i="19"/>
  <c r="G16" i="19"/>
  <c r="QZ7" i="19"/>
  <c r="DC23" i="19"/>
  <c r="RE20" i="19"/>
  <c r="QA7" i="19"/>
  <c r="RB7" i="19"/>
  <c r="RA7" i="19"/>
  <c r="P7" i="19"/>
  <c r="DF7" i="19" s="1"/>
  <c r="RF7" i="19"/>
  <c r="N7" i="19"/>
  <c r="DE7" i="19" s="1"/>
  <c r="RE7" i="19"/>
  <c r="F7" i="19"/>
  <c r="L7" i="19"/>
  <c r="DD7" i="19" s="1"/>
  <c r="J7" i="19"/>
  <c r="RC7" i="19"/>
  <c r="QD7" i="19"/>
  <c r="G7" i="19"/>
  <c r="DC7" i="19"/>
  <c r="DC20" i="19"/>
  <c r="QZ20" i="19"/>
  <c r="QA20" i="19"/>
  <c r="P20" i="19"/>
  <c r="DF20" i="19" s="1"/>
  <c r="N20" i="19"/>
  <c r="DE20" i="19" s="1"/>
  <c r="CZ20" i="19"/>
  <c r="RA20" i="19"/>
  <c r="RB20" i="19"/>
  <c r="RF20" i="19"/>
  <c r="L20" i="19"/>
  <c r="DD20" i="19" s="1"/>
  <c r="F20" i="19"/>
  <c r="J20" i="19"/>
  <c r="K20" i="19" s="1"/>
  <c r="QD20" i="19"/>
  <c r="G20" i="19"/>
  <c r="RC20" i="19"/>
  <c r="RE23" i="19"/>
  <c r="QA23" i="19"/>
  <c r="RA23" i="19"/>
  <c r="N23" i="19"/>
  <c r="DE23" i="19" s="1"/>
  <c r="CZ23" i="19"/>
  <c r="QZ23" i="19"/>
  <c r="P23" i="19"/>
  <c r="DF23" i="19" s="1"/>
  <c r="RB23" i="19"/>
  <c r="RF23" i="19"/>
  <c r="L23" i="19"/>
  <c r="DD23" i="19" s="1"/>
  <c r="F23" i="19"/>
  <c r="J23" i="19"/>
  <c r="RC23" i="19"/>
  <c r="QD23" i="19"/>
  <c r="G23" i="19"/>
  <c r="Q16" i="19" l="1"/>
  <c r="DF16" i="19"/>
  <c r="M16" i="19"/>
  <c r="DD16" i="19"/>
  <c r="O7" i="19"/>
  <c r="O16" i="19"/>
  <c r="O23" i="19"/>
  <c r="R23" i="19"/>
  <c r="O20" i="19"/>
  <c r="R20" i="19"/>
  <c r="RD7" i="19"/>
  <c r="I7" i="19"/>
  <c r="H7" i="19" s="1"/>
  <c r="I16" i="19"/>
  <c r="H16" i="19" s="1"/>
  <c r="RG7" i="19"/>
  <c r="Q20" i="19"/>
  <c r="RG20" i="19"/>
  <c r="RG16" i="19"/>
  <c r="RD23" i="19"/>
  <c r="RD16" i="19"/>
  <c r="K16" i="19"/>
  <c r="Q7" i="19"/>
  <c r="M7" i="19"/>
  <c r="R7" i="19"/>
  <c r="K7" i="19"/>
  <c r="Q23" i="19"/>
  <c r="I20" i="19"/>
  <c r="H20" i="19" s="1"/>
  <c r="RD20" i="19"/>
  <c r="RG23" i="19"/>
  <c r="M20" i="19"/>
  <c r="I23" i="19"/>
  <c r="H23" i="19" s="1"/>
  <c r="M23" i="19"/>
  <c r="K23" i="19"/>
  <c r="S23" i="19" l="1"/>
  <c r="T23" i="19"/>
  <c r="T7" i="19"/>
  <c r="S7" i="19"/>
  <c r="T20" i="19"/>
  <c r="S20" i="19"/>
  <c r="R16" i="19"/>
  <c r="E7" i="19"/>
  <c r="E20" i="19"/>
  <c r="E23" i="19"/>
  <c r="S16" i="19" l="1"/>
  <c r="T16" i="19"/>
  <c r="E16" i="19"/>
  <c r="CI10" i="24"/>
  <c r="CJ10" i="24"/>
  <c r="CK10" i="24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3" i="4"/>
  <c r="T13" i="4" s="1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8" i="22" l="1"/>
  <c r="T17" i="22"/>
  <c r="U17" i="22" s="1"/>
  <c r="T10" i="22"/>
  <c r="U10" i="22" s="1"/>
  <c r="T19" i="4"/>
  <c r="U19" i="4" s="1"/>
  <c r="L10" i="24"/>
  <c r="L7" i="24"/>
  <c r="L9" i="23"/>
  <c r="SF10" i="24"/>
  <c r="SM10" i="24" s="1"/>
  <c r="CO9" i="23"/>
  <c r="CS9" i="23" s="1"/>
  <c r="CW10" i="22"/>
  <c r="DA10" i="22" s="1"/>
  <c r="SN19" i="4"/>
  <c r="SU19" i="4" s="1"/>
  <c r="SF7" i="24"/>
  <c r="SM7" i="24" s="1"/>
  <c r="SF9" i="23"/>
  <c r="SM9" i="23" s="1"/>
  <c r="CW8" i="22"/>
  <c r="DA8" i="22" s="1"/>
  <c r="CO10" i="24"/>
  <c r="CS10" i="24" s="1"/>
  <c r="CO7" i="24"/>
  <c r="CS7" i="24" s="1"/>
  <c r="TM10" i="24"/>
  <c r="TI10" i="24"/>
  <c r="TF10" i="24"/>
  <c r="F10" i="24"/>
  <c r="J10" i="24"/>
  <c r="I10" i="24"/>
  <c r="G10" i="24"/>
  <c r="TI7" i="24"/>
  <c r="TF7" i="24"/>
  <c r="TM7" i="24"/>
  <c r="F7" i="24"/>
  <c r="J7" i="24"/>
  <c r="I7" i="24"/>
  <c r="G7" i="24"/>
  <c r="TM9" i="23"/>
  <c r="TI9" i="23"/>
  <c r="TF9" i="23"/>
  <c r="F9" i="23"/>
  <c r="J9" i="23"/>
  <c r="I9" i="23"/>
  <c r="G9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G10" i="22"/>
  <c r="I10" i="22"/>
  <c r="P10" i="22"/>
  <c r="DC10" i="22" s="1"/>
  <c r="N10" i="22"/>
  <c r="F10" i="22"/>
  <c r="CW17" i="22"/>
  <c r="DA17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G8" i="22"/>
  <c r="U8" i="22"/>
  <c r="I8" i="22"/>
  <c r="P8" i="22"/>
  <c r="DC8" i="22" s="1"/>
  <c r="N8" i="22"/>
  <c r="DB8" i="22" s="1"/>
  <c r="F8" i="22"/>
  <c r="TN17" i="22"/>
  <c r="J17" i="22"/>
  <c r="K17" i="22" s="1"/>
  <c r="SN17" i="22"/>
  <c r="SU17" i="22" s="1"/>
  <c r="TQ17" i="22"/>
  <c r="TU17" i="22"/>
  <c r="R17" i="22"/>
  <c r="S17" i="22" s="1"/>
  <c r="L17" i="22"/>
  <c r="M17" i="22" s="1"/>
  <c r="G17" i="22"/>
  <c r="I17" i="22"/>
  <c r="P17" i="22"/>
  <c r="DC17" i="22" s="1"/>
  <c r="N17" i="22"/>
  <c r="F17" i="22"/>
  <c r="CW19" i="4"/>
  <c r="DA19" i="4" s="1"/>
  <c r="TQ19" i="4"/>
  <c r="J19" i="4"/>
  <c r="K19" i="4" s="1"/>
  <c r="TN19" i="4"/>
  <c r="CW13" i="4"/>
  <c r="DA13" i="4" s="1"/>
  <c r="R19" i="4"/>
  <c r="S19" i="4" s="1"/>
  <c r="TU19" i="4"/>
  <c r="L19" i="4"/>
  <c r="M19" i="4" s="1"/>
  <c r="G19" i="4"/>
  <c r="I19" i="4"/>
  <c r="P19" i="4"/>
  <c r="DC19" i="4" s="1"/>
  <c r="N19" i="4"/>
  <c r="F19" i="4"/>
  <c r="SN13" i="4"/>
  <c r="SU13" i="4" s="1"/>
  <c r="TN13" i="4"/>
  <c r="L13" i="4"/>
  <c r="M13" i="4" s="1"/>
  <c r="TU13" i="4"/>
  <c r="TQ13" i="4"/>
  <c r="P13" i="4"/>
  <c r="DC13" i="4" s="1"/>
  <c r="N13" i="4"/>
  <c r="U13" i="4"/>
  <c r="R13" i="4"/>
  <c r="S13" i="4" s="1"/>
  <c r="J13" i="4"/>
  <c r="K13" i="4" s="1"/>
  <c r="I13" i="4"/>
  <c r="G13" i="4"/>
  <c r="F13" i="4"/>
  <c r="CT7" i="24" l="1"/>
  <c r="M7" i="24"/>
  <c r="CU7" i="24"/>
  <c r="CT10" i="24"/>
  <c r="M10" i="24"/>
  <c r="CU10" i="24"/>
  <c r="M9" i="23"/>
  <c r="CT9" i="23"/>
  <c r="CU9" i="23"/>
  <c r="DB17" i="22"/>
  <c r="DB10" i="22"/>
  <c r="DB13" i="4"/>
  <c r="V13" i="4" s="1"/>
  <c r="DB19" i="4"/>
  <c r="TR10" i="22"/>
  <c r="TV10" i="22" s="1"/>
  <c r="TR8" i="22"/>
  <c r="TV8" i="22" s="1"/>
  <c r="TJ10" i="24"/>
  <c r="TN10" i="24" s="1"/>
  <c r="TJ7" i="24"/>
  <c r="TN7" i="24" s="1"/>
  <c r="H10" i="24"/>
  <c r="K10" i="24"/>
  <c r="A10" i="24" a="1"/>
  <c r="A10" i="24" s="1"/>
  <c r="H7" i="24"/>
  <c r="K7" i="24"/>
  <c r="TJ9" i="23"/>
  <c r="TN9" i="23" s="1"/>
  <c r="H9" i="23"/>
  <c r="K9" i="23"/>
  <c r="A9" i="23" a="1"/>
  <c r="A9" i="23" s="1"/>
  <c r="O10" i="22"/>
  <c r="Q10" i="22"/>
  <c r="H10" i="22"/>
  <c r="TR17" i="22"/>
  <c r="TV17" i="22" s="1"/>
  <c r="Q8" i="22"/>
  <c r="H8" i="22"/>
  <c r="O8" i="22"/>
  <c r="A17" i="22" a="1"/>
  <c r="A17" i="22" s="1"/>
  <c r="O17" i="22"/>
  <c r="Q17" i="22"/>
  <c r="H17" i="22"/>
  <c r="TR19" i="4"/>
  <c r="TV19" i="4" s="1"/>
  <c r="A19" i="4" a="1"/>
  <c r="A19" i="4" s="1"/>
  <c r="O19" i="4"/>
  <c r="Q19" i="4"/>
  <c r="H19" i="4"/>
  <c r="TR13" i="4"/>
  <c r="TV13" i="4" s="1"/>
  <c r="O13" i="4"/>
  <c r="Q13" i="4"/>
  <c r="H13" i="4"/>
  <c r="N10" i="24" l="1"/>
  <c r="P10" i="24" s="1"/>
  <c r="N7" i="24"/>
  <c r="N9" i="23"/>
  <c r="V10" i="22"/>
  <c r="W10" i="22" s="1"/>
  <c r="V8" i="22"/>
  <c r="W8" i="22" s="1"/>
  <c r="V17" i="22"/>
  <c r="W17" i="22" s="1"/>
  <c r="E13" i="4"/>
  <c r="V19" i="4"/>
  <c r="X13" i="4"/>
  <c r="W13" i="4"/>
  <c r="E7" i="24" l="1"/>
  <c r="P7" i="24"/>
  <c r="O9" i="23"/>
  <c r="P9" i="23"/>
  <c r="E9" i="23"/>
  <c r="O10" i="24"/>
  <c r="E10" i="24"/>
  <c r="O7" i="24"/>
  <c r="X10" i="22"/>
  <c r="E10" i="22"/>
  <c r="E8" i="22"/>
  <c r="X8" i="22"/>
  <c r="X17" i="22"/>
  <c r="E17" i="22"/>
  <c r="W19" i="4"/>
  <c r="X19" i="4"/>
  <c r="E19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T8" i="4" l="1"/>
  <c r="U8" i="4" s="1"/>
  <c r="L6" i="24"/>
  <c r="CO6" i="24"/>
  <c r="CS6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G8" i="4"/>
  <c r="I8" i="4"/>
  <c r="P8" i="4"/>
  <c r="DC8" i="4" s="1"/>
  <c r="N8" i="4"/>
  <c r="F8" i="4"/>
  <c r="SF6" i="24"/>
  <c r="SM6" i="24" s="1"/>
  <c r="TF6" i="24"/>
  <c r="TM6" i="24"/>
  <c r="TI6" i="24"/>
  <c r="F6" i="24"/>
  <c r="J6" i="24"/>
  <c r="I6" i="24"/>
  <c r="G6" i="24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DB8" i="4" l="1"/>
  <c r="CU6" i="24"/>
  <c r="CT6" i="24"/>
  <c r="M6" i="24"/>
  <c r="TR8" i="4"/>
  <c r="TV8" i="4" s="1"/>
  <c r="O8" i="4"/>
  <c r="Q8" i="4"/>
  <c r="H8" i="4"/>
  <c r="TJ6" i="24"/>
  <c r="TN6" i="24" s="1"/>
  <c r="DC13" i="21"/>
  <c r="QA11" i="21"/>
  <c r="H6" i="24"/>
  <c r="K6" i="24"/>
  <c r="P13" i="21"/>
  <c r="DF13" i="21" s="1"/>
  <c r="DC10" i="19"/>
  <c r="QA10" i="19"/>
  <c r="RE13" i="21"/>
  <c r="QZ13" i="21"/>
  <c r="QA13" i="21"/>
  <c r="CZ13" i="21"/>
  <c r="RB13" i="21"/>
  <c r="RA13" i="21"/>
  <c r="N13" i="21"/>
  <c r="DE13" i="21" s="1"/>
  <c r="RF13" i="21"/>
  <c r="L13" i="21"/>
  <c r="F13" i="21"/>
  <c r="J13" i="21"/>
  <c r="QD13" i="21"/>
  <c r="G13" i="21"/>
  <c r="RC13" i="21"/>
  <c r="QZ11" i="21"/>
  <c r="RE11" i="21"/>
  <c r="N11" i="21"/>
  <c r="DE11" i="21" s="1"/>
  <c r="DC11" i="21"/>
  <c r="CZ11" i="21"/>
  <c r="P11" i="21"/>
  <c r="DF11" i="21" s="1"/>
  <c r="RB11" i="21"/>
  <c r="RA11" i="21"/>
  <c r="RF11" i="21"/>
  <c r="L11" i="21"/>
  <c r="F11" i="21"/>
  <c r="J11" i="21"/>
  <c r="QD11" i="21"/>
  <c r="G11" i="21"/>
  <c r="RC11" i="21"/>
  <c r="QZ10" i="19"/>
  <c r="RE10" i="19"/>
  <c r="P10" i="19"/>
  <c r="CZ10" i="19"/>
  <c r="RB10" i="19"/>
  <c r="RA10" i="19"/>
  <c r="RF10" i="19"/>
  <c r="N10" i="19"/>
  <c r="DE10" i="19" s="1"/>
  <c r="L10" i="19"/>
  <c r="J10" i="19"/>
  <c r="K10" i="19" s="1"/>
  <c r="QD10" i="19"/>
  <c r="RC10" i="19"/>
  <c r="G10" i="19"/>
  <c r="F10" i="19"/>
  <c r="M11" i="21" l="1"/>
  <c r="DD11" i="21"/>
  <c r="M13" i="21"/>
  <c r="DD13" i="21"/>
  <c r="Q10" i="19"/>
  <c r="DF10" i="19"/>
  <c r="M10" i="19"/>
  <c r="DD10" i="19"/>
  <c r="O11" i="21"/>
  <c r="K13" i="21"/>
  <c r="O13" i="21"/>
  <c r="K11" i="21"/>
  <c r="O10" i="19"/>
  <c r="RD10" i="19"/>
  <c r="V8" i="4"/>
  <c r="E8" i="4" s="1"/>
  <c r="N6" i="24"/>
  <c r="RG13" i="21"/>
  <c r="I13" i="21"/>
  <c r="H13" i="21" s="1"/>
  <c r="Q13" i="21"/>
  <c r="RG11" i="21"/>
  <c r="RD13" i="21"/>
  <c r="RD11" i="21"/>
  <c r="I11" i="21"/>
  <c r="H11" i="21" s="1"/>
  <c r="Q11" i="21"/>
  <c r="RG10" i="19"/>
  <c r="I10" i="19"/>
  <c r="H10" i="19" s="1"/>
  <c r="E6" i="24" l="1"/>
  <c r="P6" i="24"/>
  <c r="W8" i="4"/>
  <c r="X8" i="4"/>
  <c r="R13" i="21"/>
  <c r="R11" i="21"/>
  <c r="O6" i="24"/>
  <c r="R10" i="19"/>
  <c r="S11" i="21" l="1"/>
  <c r="T11" i="21"/>
  <c r="S13" i="21"/>
  <c r="T13" i="21"/>
  <c r="T10" i="19"/>
  <c r="S10" i="19"/>
  <c r="E11" i="21"/>
  <c r="E13" i="21"/>
  <c r="E10" i="19"/>
  <c r="CI4" i="23" l="1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4" i="24"/>
  <c r="CJ4" i="24"/>
  <c r="CK4" i="24"/>
  <c r="CL4" i="24"/>
  <c r="CM4" i="24"/>
  <c r="CN4" i="24"/>
  <c r="CP4" i="24"/>
  <c r="CQ4" i="24"/>
  <c r="CR4" i="24"/>
  <c r="RZ4" i="24"/>
  <c r="SA4" i="24"/>
  <c r="SB4" i="24"/>
  <c r="SC4" i="24"/>
  <c r="SD4" i="24"/>
  <c r="SE4" i="24"/>
  <c r="SG4" i="24"/>
  <c r="SH4" i="24"/>
  <c r="SI4" i="24"/>
  <c r="SJ4" i="24"/>
  <c r="SK4" i="24"/>
  <c r="SL4" i="24"/>
  <c r="SN4" i="24"/>
  <c r="SO4" i="24"/>
  <c r="SP4" i="24"/>
  <c r="TD4" i="24" s="1"/>
  <c r="SQ4" i="24"/>
  <c r="TE4" i="24" s="1"/>
  <c r="SR4" i="24"/>
  <c r="SS4" i="24"/>
  <c r="ST4" i="24"/>
  <c r="SU4" i="24"/>
  <c r="TG4" i="24" s="1"/>
  <c r="SV4" i="24"/>
  <c r="TH4" i="24" s="1"/>
  <c r="SW4" i="24"/>
  <c r="SX4" i="24"/>
  <c r="SY4" i="24"/>
  <c r="SZ4" i="24"/>
  <c r="TK4" i="24" s="1"/>
  <c r="TA4" i="24"/>
  <c r="TL4" i="24" s="1"/>
  <c r="TB4" i="24"/>
  <c r="TB8" i="24"/>
  <c r="TA8" i="24"/>
  <c r="TL8" i="24" s="1"/>
  <c r="SZ8" i="24"/>
  <c r="TK8" i="24" s="1"/>
  <c r="SY8" i="24"/>
  <c r="SX8" i="24"/>
  <c r="SW8" i="24"/>
  <c r="SV8" i="24"/>
  <c r="TH8" i="24" s="1"/>
  <c r="SU8" i="24"/>
  <c r="TG8" i="24" s="1"/>
  <c r="ST8" i="24"/>
  <c r="SS8" i="24"/>
  <c r="SR8" i="24"/>
  <c r="SQ8" i="24"/>
  <c r="TE8" i="24" s="1"/>
  <c r="SP8" i="24"/>
  <c r="TD8" i="24" s="1"/>
  <c r="SO8" i="24"/>
  <c r="SN8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CR8" i="24"/>
  <c r="CQ8" i="24"/>
  <c r="CP8" i="24"/>
  <c r="CN8" i="24"/>
  <c r="CM8" i="24"/>
  <c r="CL8" i="24"/>
  <c r="CK8" i="24"/>
  <c r="CJ8" i="24"/>
  <c r="CI8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SV6" i="23"/>
  <c r="TH6" i="23" s="1"/>
  <c r="SW6" i="23"/>
  <c r="SX6" i="23"/>
  <c r="SY6" i="23"/>
  <c r="SZ6" i="23"/>
  <c r="TK6" i="23" s="1"/>
  <c r="TA6" i="23"/>
  <c r="TL6" i="23" s="1"/>
  <c r="TB6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TJ15" i="22"/>
  <c r="TI15" i="22"/>
  <c r="TT15" i="22" s="1"/>
  <c r="TH15" i="22"/>
  <c r="TS15" i="22" s="1"/>
  <c r="TG15" i="22"/>
  <c r="TF15" i="22"/>
  <c r="TE15" i="22"/>
  <c r="TD15" i="22"/>
  <c r="TP15" i="22" s="1"/>
  <c r="TC15" i="22"/>
  <c r="TO15" i="22" s="1"/>
  <c r="TB15" i="22"/>
  <c r="TA15" i="22"/>
  <c r="SZ15" i="22"/>
  <c r="SY15" i="22"/>
  <c r="TM15" i="22" s="1"/>
  <c r="SX15" i="22"/>
  <c r="TL15" i="22" s="1"/>
  <c r="SW15" i="22"/>
  <c r="SV15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CZ15" i="22"/>
  <c r="CY15" i="22"/>
  <c r="CX15" i="22"/>
  <c r="CV15" i="22"/>
  <c r="CU15" i="22"/>
  <c r="CT15" i="22"/>
  <c r="CS15" i="22"/>
  <c r="CR15" i="22"/>
  <c r="CQ15" i="22"/>
  <c r="TJ12" i="22"/>
  <c r="TI12" i="22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6" i="22" s="1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T7" i="22" l="1"/>
  <c r="T11" i="22"/>
  <c r="T15" i="22"/>
  <c r="U15" i="22" s="1"/>
  <c r="T5" i="22"/>
  <c r="T9" i="22"/>
  <c r="U9" i="22" s="1"/>
  <c r="T12" i="22"/>
  <c r="U12" i="22" s="1"/>
  <c r="T4" i="22"/>
  <c r="U4" i="22" s="1"/>
  <c r="L6" i="23"/>
  <c r="CU6" i="23" s="1"/>
  <c r="L8" i="24"/>
  <c r="L5" i="24"/>
  <c r="L4" i="24"/>
  <c r="L8" i="23"/>
  <c r="L4" i="23"/>
  <c r="CO5" i="23"/>
  <c r="CS5" i="23" s="1"/>
  <c r="L5" i="23"/>
  <c r="CO8" i="24"/>
  <c r="CS8" i="24" s="1"/>
  <c r="CO5" i="24"/>
  <c r="CS5" i="24" s="1"/>
  <c r="CO4" i="24"/>
  <c r="CS4" i="24" s="1"/>
  <c r="CO8" i="23"/>
  <c r="CS8" i="23" s="1"/>
  <c r="CO6" i="23"/>
  <c r="CS6" i="23" s="1"/>
  <c r="CO4" i="23"/>
  <c r="CS4" i="23" s="1"/>
  <c r="CW7" i="22"/>
  <c r="DA7" i="22" s="1"/>
  <c r="SF4" i="24"/>
  <c r="SM4" i="24" s="1"/>
  <c r="CW15" i="22"/>
  <c r="DA15" i="22" s="1"/>
  <c r="TU15" i="22"/>
  <c r="SF4" i="23"/>
  <c r="SM4" i="23" s="1"/>
  <c r="P5" i="22"/>
  <c r="DC5" i="22" s="1"/>
  <c r="TM4" i="23"/>
  <c r="TI4" i="23"/>
  <c r="TF4" i="23"/>
  <c r="J4" i="23"/>
  <c r="K4" i="23" s="1"/>
  <c r="F4" i="23"/>
  <c r="I4" i="23"/>
  <c r="G4" i="23"/>
  <c r="SF5" i="23"/>
  <c r="SM5" i="23" s="1"/>
  <c r="TM5" i="23"/>
  <c r="TI5" i="23"/>
  <c r="TF5" i="23"/>
  <c r="F5" i="23"/>
  <c r="J5" i="23"/>
  <c r="I5" i="23"/>
  <c r="G5" i="23"/>
  <c r="TM4" i="24"/>
  <c r="TF4" i="24"/>
  <c r="F4" i="24"/>
  <c r="J4" i="24"/>
  <c r="I4" i="24"/>
  <c r="G4" i="24"/>
  <c r="TI4" i="24"/>
  <c r="SN4" i="22"/>
  <c r="SU4" i="22" s="1"/>
  <c r="SN12" i="22"/>
  <c r="SU12" i="22" s="1"/>
  <c r="P15" i="22"/>
  <c r="F5" i="24"/>
  <c r="I8" i="24"/>
  <c r="I5" i="24"/>
  <c r="J5" i="24"/>
  <c r="TI8" i="24"/>
  <c r="F8" i="24"/>
  <c r="G8" i="24"/>
  <c r="G5" i="24"/>
  <c r="J8" i="24"/>
  <c r="K8" i="24" s="1"/>
  <c r="P9" i="22"/>
  <c r="SN11" i="22"/>
  <c r="SU11" i="22" s="1"/>
  <c r="SN9" i="22"/>
  <c r="SU9" i="22" s="1"/>
  <c r="CW5" i="22"/>
  <c r="DA5" i="22" s="1"/>
  <c r="SN5" i="22"/>
  <c r="SU5" i="22" s="1"/>
  <c r="P11" i="22"/>
  <c r="DC11" i="22" s="1"/>
  <c r="TF5" i="24"/>
  <c r="TI5" i="24"/>
  <c r="TM5" i="24"/>
  <c r="TF8" i="24"/>
  <c r="SF8" i="24"/>
  <c r="SM8" i="24" s="1"/>
  <c r="TM8" i="24"/>
  <c r="SF5" i="24"/>
  <c r="SM5" i="24" s="1"/>
  <c r="J8" i="23"/>
  <c r="J6" i="23"/>
  <c r="K6" i="23" s="1"/>
  <c r="SF6" i="23"/>
  <c r="SM6" i="23" s="1"/>
  <c r="TI8" i="23"/>
  <c r="TF6" i="23"/>
  <c r="TI6" i="23"/>
  <c r="SF8" i="23"/>
  <c r="SM8" i="23" s="1"/>
  <c r="F8" i="23"/>
  <c r="TF8" i="23"/>
  <c r="TM6" i="23"/>
  <c r="I6" i="23"/>
  <c r="TM8" i="23"/>
  <c r="G6" i="23"/>
  <c r="TG6" i="23"/>
  <c r="F6" i="23"/>
  <c r="I8" i="23"/>
  <c r="G8" i="23"/>
  <c r="J4" i="22"/>
  <c r="K4" i="22" s="1"/>
  <c r="TU11" i="22"/>
  <c r="CW4" i="22"/>
  <c r="DA4" i="22" s="1"/>
  <c r="L7" i="22"/>
  <c r="M7" i="22" s="1"/>
  <c r="TQ5" i="22"/>
  <c r="TN7" i="22"/>
  <c r="TU4" i="22"/>
  <c r="TN11" i="22"/>
  <c r="L9" i="22"/>
  <c r="M9" i="22" s="1"/>
  <c r="R5" i="22"/>
  <c r="S5" i="22" s="1"/>
  <c r="L11" i="22"/>
  <c r="M11" i="22" s="1"/>
  <c r="U11" i="22"/>
  <c r="I6" i="22"/>
  <c r="TU5" i="22"/>
  <c r="TQ7" i="22"/>
  <c r="TN9" i="22"/>
  <c r="N11" i="22"/>
  <c r="TQ9" i="22"/>
  <c r="F4" i="22"/>
  <c r="P6" i="22"/>
  <c r="TN6" i="22"/>
  <c r="TQ6" i="22"/>
  <c r="N9" i="22"/>
  <c r="P12" i="22"/>
  <c r="DC12" i="22" s="1"/>
  <c r="L4" i="22"/>
  <c r="M4" i="22" s="1"/>
  <c r="J5" i="22"/>
  <c r="K5" i="22" s="1"/>
  <c r="TU9" i="22"/>
  <c r="TQ11" i="22"/>
  <c r="TN12" i="22"/>
  <c r="N4" i="22"/>
  <c r="DB4" i="22" s="1"/>
  <c r="TQ4" i="22"/>
  <c r="U6" i="22"/>
  <c r="CW6" i="22"/>
  <c r="DA6" i="22" s="1"/>
  <c r="N5" i="22"/>
  <c r="J7" i="22"/>
  <c r="K7" i="22" s="1"/>
  <c r="G9" i="22"/>
  <c r="TQ12" i="22"/>
  <c r="P4" i="22"/>
  <c r="DC4" i="22" s="1"/>
  <c r="I4" i="22"/>
  <c r="SN7" i="22"/>
  <c r="SU7" i="22" s="1"/>
  <c r="TU7" i="22"/>
  <c r="CW9" i="22"/>
  <c r="DA9" i="22" s="1"/>
  <c r="CW12" i="22"/>
  <c r="DA12" i="22" s="1"/>
  <c r="TN15" i="22"/>
  <c r="TN5" i="22"/>
  <c r="SN15" i="22"/>
  <c r="SU15" i="22" s="1"/>
  <c r="TQ15" i="22"/>
  <c r="G4" i="22"/>
  <c r="U5" i="22"/>
  <c r="I9" i="22"/>
  <c r="R11" i="22"/>
  <c r="S11" i="22" s="1"/>
  <c r="R7" i="22"/>
  <c r="S7" i="22" s="1"/>
  <c r="R4" i="22"/>
  <c r="S4" i="22" s="1"/>
  <c r="TN4" i="22"/>
  <c r="L6" i="22"/>
  <c r="U7" i="22"/>
  <c r="F5" i="22"/>
  <c r="I5" i="22"/>
  <c r="R6" i="22"/>
  <c r="S6" i="22" s="1"/>
  <c r="F6" i="22"/>
  <c r="SN6" i="22"/>
  <c r="SU6" i="22" s="1"/>
  <c r="P7" i="22"/>
  <c r="DC7" i="22" s="1"/>
  <c r="F9" i="22"/>
  <c r="I11" i="22"/>
  <c r="F11" i="22"/>
  <c r="I12" i="22"/>
  <c r="J6" i="22"/>
  <c r="G6" i="22"/>
  <c r="N6" i="22"/>
  <c r="DB6" i="22" s="1"/>
  <c r="CW11" i="22"/>
  <c r="DA11" i="22" s="1"/>
  <c r="I15" i="22"/>
  <c r="N15" i="22"/>
  <c r="F15" i="22"/>
  <c r="G7" i="22"/>
  <c r="J11" i="22"/>
  <c r="TU6" i="22"/>
  <c r="F7" i="22"/>
  <c r="N7" i="22"/>
  <c r="J12" i="22"/>
  <c r="TU12" i="22"/>
  <c r="TT12" i="22"/>
  <c r="J9" i="22"/>
  <c r="R9" i="22"/>
  <c r="S9" i="22" s="1"/>
  <c r="G11" i="22"/>
  <c r="L5" i="22"/>
  <c r="I7" i="22"/>
  <c r="N12" i="22"/>
  <c r="L12" i="22"/>
  <c r="L15" i="22"/>
  <c r="G5" i="22"/>
  <c r="F12" i="22"/>
  <c r="R12" i="22"/>
  <c r="S12" i="22" s="1"/>
  <c r="G15" i="22"/>
  <c r="J15" i="22"/>
  <c r="R15" i="22"/>
  <c r="S15" i="22" s="1"/>
  <c r="G12" i="22"/>
  <c r="QA14" i="19"/>
  <c r="CZ14" i="19"/>
  <c r="P14" i="19"/>
  <c r="DF14" i="19" s="1"/>
  <c r="RB14" i="19"/>
  <c r="RF14" i="19"/>
  <c r="RE14" i="19"/>
  <c r="N14" i="19"/>
  <c r="DE14" i="19" s="1"/>
  <c r="L14" i="19"/>
  <c r="DD14" i="19" s="1"/>
  <c r="RA14" i="19"/>
  <c r="DC14" i="19"/>
  <c r="QZ14" i="19"/>
  <c r="J14" i="19"/>
  <c r="K14" i="19" s="1"/>
  <c r="F14" i="19"/>
  <c r="RC14" i="19"/>
  <c r="QD14" i="19"/>
  <c r="G14" i="19"/>
  <c r="DB5" i="22" l="1"/>
  <c r="DB12" i="22"/>
  <c r="V12" i="22" s="1"/>
  <c r="X12" i="22" s="1"/>
  <c r="M6" i="23"/>
  <c r="DB9" i="22"/>
  <c r="DB11" i="22"/>
  <c r="DB15" i="22"/>
  <c r="CU4" i="24"/>
  <c r="CT4" i="24"/>
  <c r="M4" i="24"/>
  <c r="CU5" i="24"/>
  <c r="M5" i="24"/>
  <c r="CT5" i="24"/>
  <c r="CT8" i="24"/>
  <c r="M8" i="24"/>
  <c r="CU8" i="24"/>
  <c r="CU5" i="23"/>
  <c r="M5" i="23"/>
  <c r="CT5" i="23"/>
  <c r="M4" i="23"/>
  <c r="CT4" i="23"/>
  <c r="CU4" i="23"/>
  <c r="CT6" i="23"/>
  <c r="CT8" i="23"/>
  <c r="CU8" i="23"/>
  <c r="M8" i="23"/>
  <c r="DB7" i="22"/>
  <c r="Q15" i="22"/>
  <c r="DC15" i="22"/>
  <c r="Q6" i="22"/>
  <c r="DC6" i="22"/>
  <c r="Q9" i="22"/>
  <c r="DC9" i="22"/>
  <c r="O14" i="19"/>
  <c r="V5" i="22"/>
  <c r="X5" i="22" s="1"/>
  <c r="TR9" i="22"/>
  <c r="TV9" i="22" s="1"/>
  <c r="TR7" i="22"/>
  <c r="TV7" i="22" s="1"/>
  <c r="Q5" i="22"/>
  <c r="TR4" i="22"/>
  <c r="TV4" i="22" s="1"/>
  <c r="Q12" i="22"/>
  <c r="Q11" i="22"/>
  <c r="O9" i="22"/>
  <c r="O12" i="22"/>
  <c r="O7" i="22"/>
  <c r="O4" i="22"/>
  <c r="O11" i="22"/>
  <c r="V11" i="22"/>
  <c r="X11" i="22" s="1"/>
  <c r="O6" i="22"/>
  <c r="O15" i="22"/>
  <c r="Q4" i="22"/>
  <c r="O5" i="22"/>
  <c r="TR11" i="22"/>
  <c r="TV11" i="22" s="1"/>
  <c r="TR5" i="22"/>
  <c r="TV5" i="22" s="1"/>
  <c r="H9" i="22"/>
  <c r="TR15" i="22"/>
  <c r="TV15" i="22" s="1"/>
  <c r="TR12" i="22"/>
  <c r="TV12" i="22" s="1"/>
  <c r="TJ4" i="24"/>
  <c r="TN4" i="24" s="1"/>
  <c r="K4" i="24"/>
  <c r="TJ4" i="23"/>
  <c r="TN4" i="23" s="1"/>
  <c r="H4" i="23"/>
  <c r="H5" i="23"/>
  <c r="TJ5" i="23"/>
  <c r="TN5" i="23" s="1"/>
  <c r="K5" i="23"/>
  <c r="TJ8" i="23"/>
  <c r="TN8" i="23" s="1"/>
  <c r="H4" i="24"/>
  <c r="H5" i="22"/>
  <c r="H5" i="24"/>
  <c r="TJ8" i="24"/>
  <c r="TN8" i="24" s="1"/>
  <c r="K5" i="24"/>
  <c r="H8" i="24"/>
  <c r="K8" i="23"/>
  <c r="TJ5" i="24"/>
  <c r="TN5" i="24" s="1"/>
  <c r="TJ6" i="23"/>
  <c r="TN6" i="23" s="1"/>
  <c r="H8" i="23"/>
  <c r="H6" i="23"/>
  <c r="H4" i="22"/>
  <c r="H11" i="22"/>
  <c r="H12" i="22"/>
  <c r="H15" i="22"/>
  <c r="TR6" i="22"/>
  <c r="TV6" i="22" s="1"/>
  <c r="K9" i="22"/>
  <c r="M15" i="22"/>
  <c r="M5" i="22"/>
  <c r="A15" i="22" a="1"/>
  <c r="A15" i="22" s="1"/>
  <c r="K6" i="22"/>
  <c r="K15" i="22"/>
  <c r="K11" i="22"/>
  <c r="M6" i="22"/>
  <c r="M12" i="22"/>
  <c r="H7" i="22"/>
  <c r="Q7" i="22"/>
  <c r="K12" i="22"/>
  <c r="H6" i="22"/>
  <c r="Q14" i="19"/>
  <c r="M14" i="19"/>
  <c r="RD14" i="19"/>
  <c r="I14" i="19"/>
  <c r="H14" i="19" s="1"/>
  <c r="RG14" i="19"/>
  <c r="V15" i="22" l="1"/>
  <c r="X15" i="22" s="1"/>
  <c r="N4" i="23"/>
  <c r="V9" i="22"/>
  <c r="X9" i="22" s="1"/>
  <c r="V7" i="22"/>
  <c r="X7" i="22" s="1"/>
  <c r="R14" i="19"/>
  <c r="N4" i="24"/>
  <c r="P4" i="24" s="1"/>
  <c r="N5" i="23"/>
  <c r="N5" i="24"/>
  <c r="N6" i="23"/>
  <c r="N8" i="24"/>
  <c r="P8" i="24" s="1"/>
  <c r="N8" i="23"/>
  <c r="V6" i="22"/>
  <c r="X6" i="22" s="1"/>
  <c r="V4" i="22"/>
  <c r="X4" i="22" s="1"/>
  <c r="E5" i="22"/>
  <c r="E15" i="22"/>
  <c r="E11" i="22"/>
  <c r="E12" i="22"/>
  <c r="W11" i="22"/>
  <c r="W12" i="22"/>
  <c r="W5" i="22"/>
  <c r="W15" i="22" l="1"/>
  <c r="S14" i="19"/>
  <c r="T14" i="19"/>
  <c r="E5" i="24"/>
  <c r="P5" i="24"/>
  <c r="E6" i="23"/>
  <c r="O6" i="23"/>
  <c r="P6" i="23"/>
  <c r="O8" i="23"/>
  <c r="P8" i="23"/>
  <c r="E5" i="23"/>
  <c r="O5" i="23"/>
  <c r="P5" i="23"/>
  <c r="P4" i="23"/>
  <c r="O4" i="23"/>
  <c r="E4" i="24"/>
  <c r="E8" i="23"/>
  <c r="E4" i="23"/>
  <c r="E8" i="24"/>
  <c r="W9" i="22"/>
  <c r="E9" i="22"/>
  <c r="W6" i="22"/>
  <c r="E4" i="22"/>
  <c r="E14" i="19"/>
  <c r="O4" i="24"/>
  <c r="E7" i="22"/>
  <c r="W7" i="22"/>
  <c r="O5" i="24"/>
  <c r="O8" i="24"/>
  <c r="A8" i="23" a="1"/>
  <c r="A8" i="23" s="1"/>
  <c r="W4" i="22"/>
  <c r="E6" i="22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A9" i="24" l="1" a="1"/>
  <c r="A9" i="24" s="1"/>
  <c r="A8" i="24" a="1"/>
  <c r="A8" i="24" s="1"/>
  <c r="A14" i="22" a="1"/>
  <c r="A14" i="22" s="1"/>
  <c r="A13" i="22" a="1"/>
  <c r="A13" i="22" s="1"/>
  <c r="A6" i="24" a="1"/>
  <c r="A6" i="24" s="1"/>
  <c r="A10" i="22" a="1"/>
  <c r="A10" i="22" s="1"/>
  <c r="A8" i="22" a="1"/>
  <c r="A8" i="22" s="1"/>
  <c r="A7" i="24" a="1"/>
  <c r="A7" i="24" s="1"/>
  <c r="A6" i="23" a="1"/>
  <c r="A6" i="23" s="1"/>
  <c r="A4" i="24" a="1"/>
  <c r="A4" i="24" s="1"/>
  <c r="A4" i="23" a="1"/>
  <c r="A4" i="23" s="1"/>
  <c r="A5" i="23" a="1"/>
  <c r="A5" i="23" s="1"/>
  <c r="A5" i="24" a="1"/>
  <c r="A5" i="24" s="1"/>
  <c r="A11" i="22" a="1"/>
  <c r="A11" i="22" s="1"/>
  <c r="A7" i="22" a="1"/>
  <c r="A7" i="22" s="1"/>
  <c r="A12" i="22" a="1"/>
  <c r="A12" i="22" s="1"/>
  <c r="A6" i="22" a="1"/>
  <c r="A6" i="22" s="1"/>
  <c r="A9" i="22" a="1"/>
  <c r="A9" i="22" s="1"/>
  <c r="A4" i="22" a="1"/>
  <c r="A4" i="22" s="1"/>
  <c r="A5" i="22" a="1"/>
  <c r="A5" i="22" s="1"/>
  <c r="DC18" i="19"/>
  <c r="QA18" i="19"/>
  <c r="N18" i="19"/>
  <c r="DE18" i="19" s="1"/>
  <c r="RE18" i="19"/>
  <c r="CZ18" i="19"/>
  <c r="L18" i="19"/>
  <c r="DD18" i="19" s="1"/>
  <c r="RF18" i="19"/>
  <c r="RB18" i="19"/>
  <c r="RA18" i="19"/>
  <c r="QZ18" i="19"/>
  <c r="P18" i="19"/>
  <c r="DF18" i="19" s="1"/>
  <c r="F18" i="19"/>
  <c r="J18" i="19"/>
  <c r="K18" i="19" s="1"/>
  <c r="RC18" i="19"/>
  <c r="QD18" i="19"/>
  <c r="G18" i="19"/>
  <c r="O18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18" i="19"/>
  <c r="Q18" i="19"/>
  <c r="I18" i="19"/>
  <c r="H18" i="19" s="1"/>
  <c r="RG18" i="19"/>
  <c r="RD18" i="19"/>
  <c r="A18" i="19"/>
  <c r="R18" i="19" l="1"/>
  <c r="T18" i="19" l="1"/>
  <c r="S18" i="19"/>
  <c r="E18" i="19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T11" i="4" l="1"/>
  <c r="U11" i="4" s="1"/>
  <c r="R11" i="4"/>
  <c r="S11" i="4" s="1"/>
  <c r="SN11" i="4"/>
  <c r="SU11" i="4" s="1"/>
  <c r="CW11" i="4"/>
  <c r="DA11" i="4" s="1"/>
  <c r="TQ11" i="4"/>
  <c r="TU11" i="4"/>
  <c r="P11" i="4"/>
  <c r="DC11" i="4" s="1"/>
  <c r="L11" i="4"/>
  <c r="F11" i="4"/>
  <c r="J11" i="4"/>
  <c r="I11" i="4"/>
  <c r="TN11" i="4"/>
  <c r="G11" i="4"/>
  <c r="N11" i="4"/>
  <c r="DB11" i="4" l="1"/>
  <c r="V11" i="4" s="1"/>
  <c r="X11" i="4" s="1"/>
  <c r="O11" i="4"/>
  <c r="M11" i="4"/>
  <c r="TR11" i="4"/>
  <c r="TV11" i="4" s="1"/>
  <c r="Q11" i="4"/>
  <c r="H11" i="4"/>
  <c r="K11" i="4"/>
  <c r="A11" i="4" a="1"/>
  <c r="A11" i="4" s="1"/>
  <c r="W11" i="4" l="1"/>
  <c r="E11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PZ13" i="19"/>
  <c r="PZ12" i="19"/>
  <c r="PZ25" i="19"/>
  <c r="PZ27" i="19"/>
  <c r="PZ11" i="19"/>
  <c r="PZ22" i="19"/>
  <c r="PZ15" i="19"/>
  <c r="PZ28" i="19"/>
  <c r="PZ6" i="19"/>
  <c r="PZ8" i="19"/>
  <c r="PZ4" i="19"/>
  <c r="PZ5" i="19"/>
  <c r="CY13" i="19"/>
  <c r="CY12" i="19"/>
  <c r="CY25" i="19"/>
  <c r="CY27" i="19"/>
  <c r="CY11" i="19"/>
  <c r="CY22" i="19"/>
  <c r="CY15" i="19"/>
  <c r="CY28" i="19"/>
  <c r="CY6" i="19"/>
  <c r="CY8" i="19"/>
  <c r="CY4" i="19"/>
  <c r="CY5" i="19"/>
  <c r="PY4" i="19"/>
  <c r="PY8" i="19"/>
  <c r="PY6" i="19"/>
  <c r="PY28" i="19"/>
  <c r="PY15" i="19"/>
  <c r="PY22" i="19"/>
  <c r="PY11" i="19"/>
  <c r="PY27" i="19"/>
  <c r="PY25" i="19"/>
  <c r="PY12" i="19"/>
  <c r="PY13" i="19"/>
  <c r="PY5" i="19"/>
  <c r="CX5" i="19"/>
  <c r="CX4" i="19"/>
  <c r="CX8" i="19"/>
  <c r="CX6" i="19"/>
  <c r="CX28" i="19"/>
  <c r="CX15" i="19"/>
  <c r="CX22" i="19"/>
  <c r="CX11" i="19"/>
  <c r="CX27" i="19"/>
  <c r="CX25" i="19"/>
  <c r="CX12" i="19"/>
  <c r="CX13" i="19"/>
  <c r="CV28" i="19"/>
  <c r="CW28" i="19"/>
  <c r="DA28" i="19"/>
  <c r="DB28" i="19"/>
  <c r="PW28" i="19"/>
  <c r="PX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22" i="19"/>
  <c r="CW22" i="19"/>
  <c r="DA22" i="19"/>
  <c r="DB22" i="19"/>
  <c r="PW22" i="19"/>
  <c r="PX22" i="19"/>
  <c r="QA22" i="19" s="1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3" i="19"/>
  <c r="CW13" i="19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8" i="19"/>
  <c r="QW8" i="19"/>
  <c r="QV8" i="19"/>
  <c r="QU8" i="19"/>
  <c r="QT8" i="19"/>
  <c r="QS8" i="19"/>
  <c r="QR8" i="19"/>
  <c r="QQ8" i="19"/>
  <c r="QP8" i="19"/>
  <c r="QO8" i="19"/>
  <c r="QN8" i="19"/>
  <c r="QM8" i="19"/>
  <c r="QL8" i="19"/>
  <c r="QK8" i="19"/>
  <c r="QJ8" i="19"/>
  <c r="QI8" i="19"/>
  <c r="QH8" i="19"/>
  <c r="QG8" i="19"/>
  <c r="QF8" i="19"/>
  <c r="QE8" i="19"/>
  <c r="QC8" i="19"/>
  <c r="QB8" i="19"/>
  <c r="PX8" i="19"/>
  <c r="PW8" i="19"/>
  <c r="DB8" i="19"/>
  <c r="DA8" i="19"/>
  <c r="CW8" i="19"/>
  <c r="CV8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27" i="19" l="1"/>
  <c r="CZ6" i="19"/>
  <c r="CZ15" i="19"/>
  <c r="QA15" i="19"/>
  <c r="QA11" i="19"/>
  <c r="QA12" i="19"/>
  <c r="CZ25" i="19"/>
  <c r="CZ4" i="19"/>
  <c r="QA4" i="19"/>
  <c r="QA8" i="19"/>
  <c r="N13" i="19"/>
  <c r="DE13" i="19" s="1"/>
  <c r="CZ13" i="19"/>
  <c r="QA28" i="19"/>
  <c r="QA5" i="19"/>
  <c r="CZ28" i="19"/>
  <c r="QZ12" i="21"/>
  <c r="P10" i="21"/>
  <c r="DF10" i="21" s="1"/>
  <c r="QZ9" i="21"/>
  <c r="RE9" i="21"/>
  <c r="QA25" i="19"/>
  <c r="QD7" i="21"/>
  <c r="QD10" i="21"/>
  <c r="CZ10" i="21"/>
  <c r="RE12" i="21"/>
  <c r="RF9" i="21"/>
  <c r="CZ22" i="19"/>
  <c r="QA5" i="21"/>
  <c r="QA10" i="21"/>
  <c r="L9" i="21"/>
  <c r="DD9" i="21" s="1"/>
  <c r="RB6" i="21"/>
  <c r="QZ5" i="21"/>
  <c r="RE5" i="21"/>
  <c r="P4" i="21"/>
  <c r="DF4" i="21" s="1"/>
  <c r="QA4" i="21"/>
  <c r="DC14" i="21"/>
  <c r="RC17" i="21"/>
  <c r="P12" i="21"/>
  <c r="DF12" i="21" s="1"/>
  <c r="DC12" i="21"/>
  <c r="L10" i="21"/>
  <c r="DD10" i="21" s="1"/>
  <c r="P17" i="21"/>
  <c r="DF17" i="21" s="1"/>
  <c r="DC17" i="21"/>
  <c r="QD17" i="21"/>
  <c r="P9" i="21"/>
  <c r="DF9" i="21" s="1"/>
  <c r="RB9" i="21"/>
  <c r="N7" i="21"/>
  <c r="DE7" i="21" s="1"/>
  <c r="QZ4" i="21"/>
  <c r="RC6" i="21"/>
  <c r="QA13" i="19"/>
  <c r="CZ12" i="19"/>
  <c r="CZ8" i="19"/>
  <c r="QA6" i="19"/>
  <c r="QD6" i="21"/>
  <c r="QZ8" i="21"/>
  <c r="P14" i="21"/>
  <c r="DF14" i="21" s="1"/>
  <c r="CZ14" i="21"/>
  <c r="P7" i="21"/>
  <c r="DF7" i="21" s="1"/>
  <c r="QD8" i="21"/>
  <c r="N12" i="21"/>
  <c r="DE12" i="21" s="1"/>
  <c r="QZ7" i="21"/>
  <c r="CZ5" i="21"/>
  <c r="RC10" i="21"/>
  <c r="CZ9" i="21"/>
  <c r="RE17" i="21"/>
  <c r="RA12" i="21"/>
  <c r="RB12" i="21"/>
  <c r="CZ4" i="21"/>
  <c r="RA17" i="21"/>
  <c r="RB17" i="21"/>
  <c r="RF17" i="21"/>
  <c r="QA12" i="21"/>
  <c r="QA9" i="21"/>
  <c r="RB8" i="21"/>
  <c r="G17" i="21"/>
  <c r="RF10" i="21"/>
  <c r="RB5" i="21"/>
  <c r="N6" i="21"/>
  <c r="DE6" i="21" s="1"/>
  <c r="P6" i="21"/>
  <c r="DF6" i="21" s="1"/>
  <c r="QA6" i="21"/>
  <c r="N8" i="21"/>
  <c r="DE8" i="21" s="1"/>
  <c r="N10" i="21"/>
  <c r="DE10" i="21" s="1"/>
  <c r="QZ10" i="21"/>
  <c r="RE10" i="21"/>
  <c r="G9" i="21"/>
  <c r="DC7" i="21"/>
  <c r="RE6" i="21"/>
  <c r="L8" i="21"/>
  <c r="DD8" i="21" s="1"/>
  <c r="QA8" i="21"/>
  <c r="RF8" i="21"/>
  <c r="L14" i="21"/>
  <c r="DD14" i="21" s="1"/>
  <c r="RC14" i="21"/>
  <c r="RE14" i="21"/>
  <c r="CZ17" i="21"/>
  <c r="N9" i="21"/>
  <c r="DE9" i="21" s="1"/>
  <c r="QD9" i="21"/>
  <c r="RF7" i="21"/>
  <c r="N5" i="21"/>
  <c r="DE5" i="21" s="1"/>
  <c r="RE8" i="21"/>
  <c r="N14" i="21"/>
  <c r="DE14" i="21" s="1"/>
  <c r="RB14" i="21"/>
  <c r="QD4" i="21"/>
  <c r="QD14" i="21"/>
  <c r="RF12" i="21"/>
  <c r="RB10" i="21"/>
  <c r="RC9" i="21"/>
  <c r="RE7" i="21"/>
  <c r="QD5" i="21"/>
  <c r="RA4" i="21"/>
  <c r="RB4" i="21"/>
  <c r="CZ8" i="21"/>
  <c r="RF14" i="21"/>
  <c r="QA7" i="21"/>
  <c r="RB7" i="21"/>
  <c r="RC5" i="19"/>
  <c r="RC6" i="19"/>
  <c r="CZ27" i="19"/>
  <c r="RC28" i="19"/>
  <c r="CZ11" i="19"/>
  <c r="RC15" i="19"/>
  <c r="RC13" i="19"/>
  <c r="RC4" i="19"/>
  <c r="RC12" i="19"/>
  <c r="RC25" i="19"/>
  <c r="RC8" i="19"/>
  <c r="RC27" i="19"/>
  <c r="F5" i="19"/>
  <c r="RC11" i="19"/>
  <c r="G5" i="19"/>
  <c r="CZ5" i="19"/>
  <c r="RC22" i="19"/>
  <c r="G14" i="21"/>
  <c r="DC8" i="21"/>
  <c r="F4" i="21"/>
  <c r="L5" i="21"/>
  <c r="DD5" i="21" s="1"/>
  <c r="RA14" i="21"/>
  <c r="F7" i="21"/>
  <c r="RC5" i="21"/>
  <c r="RA8" i="21"/>
  <c r="F12" i="21"/>
  <c r="G7" i="21"/>
  <c r="RA7" i="21"/>
  <c r="RC4" i="21"/>
  <c r="QZ6" i="21"/>
  <c r="G12" i="21"/>
  <c r="J8" i="21"/>
  <c r="RC7" i="21"/>
  <c r="RC8" i="21"/>
  <c r="J14" i="21"/>
  <c r="F9" i="21"/>
  <c r="RA9" i="21"/>
  <c r="F14" i="21"/>
  <c r="L7" i="21"/>
  <c r="DD7" i="21" s="1"/>
  <c r="J5" i="21"/>
  <c r="F5" i="21"/>
  <c r="J17" i="21"/>
  <c r="G5" i="21"/>
  <c r="J12" i="21"/>
  <c r="L17" i="21"/>
  <c r="DD17" i="21" s="1"/>
  <c r="F17" i="21"/>
  <c r="RF5" i="21"/>
  <c r="DC4" i="21"/>
  <c r="RA6" i="21"/>
  <c r="J7" i="21"/>
  <c r="P5" i="21"/>
  <c r="DF5" i="21" s="1"/>
  <c r="CZ7" i="21"/>
  <c r="N4" i="21"/>
  <c r="DE4" i="21" s="1"/>
  <c r="L4" i="21"/>
  <c r="DD4" i="21" s="1"/>
  <c r="J4" i="21"/>
  <c r="F8" i="21"/>
  <c r="CZ6" i="21"/>
  <c r="DC6" i="21"/>
  <c r="P8" i="21"/>
  <c r="DF8" i="21" s="1"/>
  <c r="DC5" i="21"/>
  <c r="RF4" i="21"/>
  <c r="RE4" i="21"/>
  <c r="RA5" i="21"/>
  <c r="G4" i="21"/>
  <c r="F6" i="21"/>
  <c r="RF6" i="21"/>
  <c r="G6" i="21"/>
  <c r="L6" i="21"/>
  <c r="DD6" i="21" s="1"/>
  <c r="J6" i="21"/>
  <c r="QD12" i="21"/>
  <c r="RC12" i="21"/>
  <c r="F10" i="21"/>
  <c r="DC10" i="21"/>
  <c r="RA10" i="21"/>
  <c r="G10" i="21"/>
  <c r="DC9" i="21"/>
  <c r="QA14" i="21"/>
  <c r="QZ14" i="21"/>
  <c r="CZ12" i="21"/>
  <c r="G8" i="21"/>
  <c r="QA17" i="21"/>
  <c r="QZ17" i="21"/>
  <c r="L12" i="21"/>
  <c r="DD12" i="21" s="1"/>
  <c r="J10" i="21"/>
  <c r="N17" i="21"/>
  <c r="DE17" i="21" s="1"/>
  <c r="J9" i="21"/>
  <c r="J5" i="19"/>
  <c r="N12" i="19"/>
  <c r="DE12" i="19" s="1"/>
  <c r="N5" i="19"/>
  <c r="DE5" i="19" s="1"/>
  <c r="DC13" i="19"/>
  <c r="QD13" i="19"/>
  <c r="QD25" i="19"/>
  <c r="N25" i="19"/>
  <c r="DE25" i="19" s="1"/>
  <c r="N8" i="19"/>
  <c r="DE8" i="19" s="1"/>
  <c r="N28" i="19"/>
  <c r="DE28" i="19" s="1"/>
  <c r="N22" i="19"/>
  <c r="DE22" i="19" s="1"/>
  <c r="N15" i="19"/>
  <c r="DE15" i="19" s="1"/>
  <c r="N6" i="19"/>
  <c r="DE6" i="19" s="1"/>
  <c r="N27" i="19"/>
  <c r="DE27" i="19" s="1"/>
  <c r="N11" i="19"/>
  <c r="DE11" i="19" s="1"/>
  <c r="DC28" i="19"/>
  <c r="QD15" i="19"/>
  <c r="QD12" i="19"/>
  <c r="RE25" i="19"/>
  <c r="DC11" i="19"/>
  <c r="RB25" i="19"/>
  <c r="J12" i="19"/>
  <c r="K12" i="19" s="1"/>
  <c r="DC15" i="19"/>
  <c r="QZ25" i="19"/>
  <c r="QD28" i="19"/>
  <c r="P11" i="19"/>
  <c r="DF11" i="19" s="1"/>
  <c r="RE13" i="19"/>
  <c r="QZ13" i="19"/>
  <c r="RA11" i="19"/>
  <c r="P22" i="19"/>
  <c r="DF22" i="19" s="1"/>
  <c r="DC22" i="19"/>
  <c r="P28" i="19"/>
  <c r="DF28" i="19" s="1"/>
  <c r="RE12" i="19"/>
  <c r="P25" i="19"/>
  <c r="DF25" i="19" s="1"/>
  <c r="RB27" i="19"/>
  <c r="RB28" i="19"/>
  <c r="RA28" i="19"/>
  <c r="DC25" i="19"/>
  <c r="RE28" i="19"/>
  <c r="QZ28" i="19"/>
  <c r="RB11" i="19"/>
  <c r="QZ22" i="19"/>
  <c r="QD22" i="19"/>
  <c r="RA25" i="19"/>
  <c r="F25" i="19"/>
  <c r="G27" i="19"/>
  <c r="RF13" i="19"/>
  <c r="RB13" i="19"/>
  <c r="P13" i="19"/>
  <c r="DF13" i="19" s="1"/>
  <c r="RF22" i="19"/>
  <c r="P15" i="19"/>
  <c r="DF15" i="19" s="1"/>
  <c r="F13" i="19"/>
  <c r="RF12" i="19"/>
  <c r="RB12" i="19"/>
  <c r="RA12" i="19"/>
  <c r="RF25" i="19"/>
  <c r="J25" i="19"/>
  <c r="RA27" i="19"/>
  <c r="DC27" i="19"/>
  <c r="G22" i="19"/>
  <c r="RA13" i="19"/>
  <c r="RE27" i="19"/>
  <c r="QZ27" i="19"/>
  <c r="QD27" i="19"/>
  <c r="RB22" i="19"/>
  <c r="RA22" i="19"/>
  <c r="L13" i="19"/>
  <c r="DD13" i="19" s="1"/>
  <c r="P12" i="19"/>
  <c r="DF12" i="19" s="1"/>
  <c r="RF27" i="19"/>
  <c r="RE11" i="19"/>
  <c r="QZ11" i="19"/>
  <c r="QD11" i="19"/>
  <c r="RE22" i="19"/>
  <c r="G15" i="19"/>
  <c r="QZ12" i="19"/>
  <c r="DC12" i="19"/>
  <c r="RF11" i="19"/>
  <c r="RB15" i="19"/>
  <c r="RA15" i="19"/>
  <c r="F15" i="19"/>
  <c r="L28" i="19"/>
  <c r="DD28" i="19" s="1"/>
  <c r="RE15" i="19"/>
  <c r="QZ15" i="19"/>
  <c r="F28" i="19"/>
  <c r="G11" i="19"/>
  <c r="F27" i="19"/>
  <c r="F22" i="19"/>
  <c r="F12" i="19"/>
  <c r="F11" i="19"/>
  <c r="L15" i="19"/>
  <c r="DD15" i="19" s="1"/>
  <c r="G25" i="19"/>
  <c r="P27" i="19"/>
  <c r="DF27" i="19" s="1"/>
  <c r="L22" i="19"/>
  <c r="DD22" i="19" s="1"/>
  <c r="J28" i="19"/>
  <c r="J13" i="19"/>
  <c r="G12" i="19"/>
  <c r="L11" i="19"/>
  <c r="DD11" i="19" s="1"/>
  <c r="J15" i="19"/>
  <c r="RF28" i="19"/>
  <c r="G13" i="19"/>
  <c r="L27" i="19"/>
  <c r="DD27" i="19" s="1"/>
  <c r="J22" i="19"/>
  <c r="RF15" i="19"/>
  <c r="L25" i="19"/>
  <c r="DD25" i="19" s="1"/>
  <c r="J11" i="19"/>
  <c r="G28" i="19"/>
  <c r="L12" i="19"/>
  <c r="DD12" i="19" s="1"/>
  <c r="J27" i="19"/>
  <c r="QD6" i="19"/>
  <c r="DC8" i="19"/>
  <c r="QD8" i="19"/>
  <c r="RF6" i="19"/>
  <c r="RE6" i="19"/>
  <c r="P8" i="19"/>
  <c r="DF8" i="19" s="1"/>
  <c r="QZ4" i="19"/>
  <c r="QD5" i="19"/>
  <c r="RE5" i="19"/>
  <c r="L5" i="19"/>
  <c r="DD5" i="19" s="1"/>
  <c r="QZ8" i="19"/>
  <c r="RF4" i="19"/>
  <c r="P5" i="19"/>
  <c r="DF5" i="19" s="1"/>
  <c r="DC5" i="19"/>
  <c r="RA8" i="19"/>
  <c r="RF5" i="19"/>
  <c r="RF8" i="19"/>
  <c r="L6" i="19"/>
  <c r="DD6" i="19" s="1"/>
  <c r="RA4" i="19"/>
  <c r="RB4" i="19"/>
  <c r="RE8" i="19"/>
  <c r="P6" i="19"/>
  <c r="DF6" i="19" s="1"/>
  <c r="QZ5" i="19"/>
  <c r="J6" i="19"/>
  <c r="QZ6" i="19"/>
  <c r="RA5" i="19"/>
  <c r="RB5" i="19"/>
  <c r="J8" i="19"/>
  <c r="DC6" i="19"/>
  <c r="RA6" i="19"/>
  <c r="RB6" i="19"/>
  <c r="RB8" i="19"/>
  <c r="DC4" i="19"/>
  <c r="QD4" i="19"/>
  <c r="RE4" i="19"/>
  <c r="L8" i="19"/>
  <c r="DD8" i="19" s="1"/>
  <c r="F6" i="19"/>
  <c r="F8" i="19"/>
  <c r="G6" i="19"/>
  <c r="G8" i="19"/>
  <c r="O17" i="21" l="1"/>
  <c r="O4" i="21"/>
  <c r="O5" i="21"/>
  <c r="O10" i="21"/>
  <c r="O8" i="21"/>
  <c r="K14" i="21"/>
  <c r="O9" i="21"/>
  <c r="O7" i="21"/>
  <c r="O6" i="21"/>
  <c r="O14" i="21"/>
  <c r="O12" i="21"/>
  <c r="O27" i="19"/>
  <c r="O6" i="19"/>
  <c r="O15" i="19"/>
  <c r="R15" i="19"/>
  <c r="O5" i="19"/>
  <c r="O22" i="19"/>
  <c r="O12" i="19"/>
  <c r="O28" i="19"/>
  <c r="O8" i="19"/>
  <c r="O25" i="19"/>
  <c r="O11" i="19"/>
  <c r="O13" i="19"/>
  <c r="RG17" i="21"/>
  <c r="RD9" i="21"/>
  <c r="Q14" i="21"/>
  <c r="Q9" i="21"/>
  <c r="Q4" i="21"/>
  <c r="M9" i="21"/>
  <c r="Q10" i="21"/>
  <c r="R8" i="21"/>
  <c r="M5" i="21"/>
  <c r="R17" i="21"/>
  <c r="Q6" i="21"/>
  <c r="Q7" i="21"/>
  <c r="R14" i="21"/>
  <c r="Q12" i="21"/>
  <c r="Q8" i="19"/>
  <c r="Q28" i="19"/>
  <c r="M5" i="19"/>
  <c r="R13" i="19"/>
  <c r="M6" i="19"/>
  <c r="M28" i="19"/>
  <c r="Q25" i="19"/>
  <c r="Q12" i="19"/>
  <c r="Q11" i="19"/>
  <c r="Q6" i="19"/>
  <c r="Q22" i="19"/>
  <c r="M10" i="21"/>
  <c r="M14" i="21"/>
  <c r="I9" i="21"/>
  <c r="H9" i="21" s="1"/>
  <c r="RD14" i="21"/>
  <c r="RD17" i="21"/>
  <c r="I28" i="19"/>
  <c r="H28" i="19" s="1"/>
  <c r="I10" i="21"/>
  <c r="H10" i="21" s="1"/>
  <c r="RG7" i="21"/>
  <c r="RG12" i="21"/>
  <c r="I12" i="19"/>
  <c r="H12" i="19" s="1"/>
  <c r="I25" i="19"/>
  <c r="H25" i="19" s="1"/>
  <c r="I15" i="19"/>
  <c r="H15" i="19" s="1"/>
  <c r="RD12" i="21"/>
  <c r="RD12" i="19"/>
  <c r="RD6" i="19"/>
  <c r="I22" i="19"/>
  <c r="H22" i="19" s="1"/>
  <c r="A17" i="21"/>
  <c r="RG4" i="21"/>
  <c r="RG14" i="21"/>
  <c r="RD4" i="21"/>
  <c r="RG8" i="21"/>
  <c r="RD7" i="21"/>
  <c r="Q17" i="21"/>
  <c r="K5" i="21"/>
  <c r="K8" i="21"/>
  <c r="K12" i="21"/>
  <c r="K17" i="21"/>
  <c r="I11" i="19"/>
  <c r="H11" i="19" s="1"/>
  <c r="K6" i="19"/>
  <c r="K8" i="19"/>
  <c r="K25" i="19"/>
  <c r="I13" i="19"/>
  <c r="H13" i="19" s="1"/>
  <c r="RD8" i="21"/>
  <c r="M17" i="21"/>
  <c r="RD15" i="19"/>
  <c r="I8" i="19"/>
  <c r="H8" i="19" s="1"/>
  <c r="I27" i="19"/>
  <c r="H27" i="19" s="1"/>
  <c r="I6" i="19"/>
  <c r="H6" i="19" s="1"/>
  <c r="M8" i="21"/>
  <c r="I8" i="21"/>
  <c r="H8" i="21" s="1"/>
  <c r="I4" i="21"/>
  <c r="H4" i="21" s="1"/>
  <c r="I14" i="21"/>
  <c r="H14" i="21" s="1"/>
  <c r="I17" i="21"/>
  <c r="H17" i="21" s="1"/>
  <c r="RG9" i="21"/>
  <c r="RD28" i="19"/>
  <c r="RD4" i="19"/>
  <c r="H5" i="19"/>
  <c r="RD27" i="19"/>
  <c r="RD8" i="19"/>
  <c r="I5" i="19"/>
  <c r="RD11" i="19"/>
  <c r="RG5" i="19"/>
  <c r="RD5" i="19"/>
  <c r="RD22" i="19"/>
  <c r="RG13" i="19"/>
  <c r="RD13" i="19"/>
  <c r="RD25" i="19"/>
  <c r="I7" i="21"/>
  <c r="H7" i="21" s="1"/>
  <c r="I6" i="21"/>
  <c r="H6" i="21" s="1"/>
  <c r="M7" i="21"/>
  <c r="M4" i="21"/>
  <c r="I5" i="21"/>
  <c r="H5" i="21" s="1"/>
  <c r="K4" i="21"/>
  <c r="RG5" i="21"/>
  <c r="RD5" i="21"/>
  <c r="I12" i="21"/>
  <c r="H12" i="21" s="1"/>
  <c r="RG10" i="21"/>
  <c r="RD10" i="21"/>
  <c r="K6" i="21"/>
  <c r="Q8" i="21"/>
  <c r="RG6" i="21"/>
  <c r="RD6" i="21"/>
  <c r="K9" i="21"/>
  <c r="M6" i="21"/>
  <c r="Q5" i="21"/>
  <c r="M12" i="21"/>
  <c r="K10" i="21"/>
  <c r="K7" i="21"/>
  <c r="Q15" i="19"/>
  <c r="RG12" i="19"/>
  <c r="RG15" i="19"/>
  <c r="RG22" i="19"/>
  <c r="M13" i="19"/>
  <c r="RG27" i="19"/>
  <c r="Q13" i="19"/>
  <c r="RG11" i="19"/>
  <c r="RG28" i="19"/>
  <c r="RG25" i="19"/>
  <c r="M11" i="19"/>
  <c r="M12" i="19"/>
  <c r="M15" i="19"/>
  <c r="M25" i="19"/>
  <c r="K15" i="19"/>
  <c r="Q27" i="19"/>
  <c r="K22" i="19"/>
  <c r="M27" i="19"/>
  <c r="K27" i="19"/>
  <c r="K13" i="19"/>
  <c r="K28" i="19"/>
  <c r="K11" i="19"/>
  <c r="M22" i="19"/>
  <c r="Q5" i="19"/>
  <c r="RG6" i="19"/>
  <c r="RG4" i="19"/>
  <c r="RG8" i="19"/>
  <c r="M8" i="19"/>
  <c r="K5" i="19"/>
  <c r="T8" i="21" l="1"/>
  <c r="S8" i="21"/>
  <c r="T14" i="21"/>
  <c r="S14" i="21"/>
  <c r="T17" i="21"/>
  <c r="S17" i="21"/>
  <c r="S15" i="19"/>
  <c r="T15" i="19"/>
  <c r="T13" i="19"/>
  <c r="S13" i="19"/>
  <c r="E14" i="21"/>
  <c r="E17" i="21"/>
  <c r="E8" i="21"/>
  <c r="R5" i="21"/>
  <c r="R10" i="21"/>
  <c r="R7" i="21"/>
  <c r="R12" i="21"/>
  <c r="R5" i="19"/>
  <c r="R9" i="21"/>
  <c r="R6" i="21"/>
  <c r="R4" i="21"/>
  <c r="R28" i="19"/>
  <c r="E13" i="19"/>
  <c r="E15" i="19"/>
  <c r="R22" i="19"/>
  <c r="R11" i="19"/>
  <c r="R25" i="19"/>
  <c r="R12" i="19"/>
  <c r="R27" i="19"/>
  <c r="R8" i="19"/>
  <c r="R6" i="19"/>
  <c r="S7" i="21" l="1"/>
  <c r="T7" i="21"/>
  <c r="S5" i="21"/>
  <c r="T5" i="21"/>
  <c r="E4" i="21"/>
  <c r="T4" i="21"/>
  <c r="S4" i="21"/>
  <c r="S6" i="21"/>
  <c r="T6" i="21"/>
  <c r="S10" i="21"/>
  <c r="T10" i="21"/>
  <c r="S9" i="21"/>
  <c r="T9" i="21"/>
  <c r="E12" i="21"/>
  <c r="S12" i="21"/>
  <c r="T12" i="21"/>
  <c r="E22" i="19"/>
  <c r="S22" i="19"/>
  <c r="T22" i="19"/>
  <c r="S28" i="19"/>
  <c r="T28" i="19"/>
  <c r="S12" i="19"/>
  <c r="T12" i="19"/>
  <c r="S8" i="19"/>
  <c r="T8" i="19"/>
  <c r="E27" i="19"/>
  <c r="S27" i="19"/>
  <c r="T27" i="19"/>
  <c r="E25" i="19"/>
  <c r="S25" i="19"/>
  <c r="T25" i="19"/>
  <c r="S11" i="19"/>
  <c r="T11" i="19"/>
  <c r="S5" i="19"/>
  <c r="T5" i="19"/>
  <c r="E6" i="19"/>
  <c r="S6" i="19"/>
  <c r="T6" i="19"/>
  <c r="E7" i="21"/>
  <c r="E10" i="21"/>
  <c r="E5" i="21"/>
  <c r="E9" i="21"/>
  <c r="E6" i="21"/>
  <c r="E5" i="19"/>
  <c r="E28" i="19"/>
  <c r="E11" i="19"/>
  <c r="E8" i="19"/>
  <c r="E12" i="19"/>
  <c r="A22" i="19"/>
  <c r="A9" i="21" l="1"/>
  <c r="A14" i="21"/>
  <c r="A23" i="19"/>
  <c r="A16" i="19"/>
  <c r="A20" i="19"/>
  <c r="A5" i="21"/>
  <c r="A7" i="21" a="1"/>
  <c r="A7" i="21" s="1"/>
  <c r="A13" i="21"/>
  <c r="A11" i="21"/>
  <c r="A8" i="21"/>
  <c r="A4" i="21"/>
  <c r="A6" i="21"/>
  <c r="A12" i="21"/>
  <c r="A10" i="21"/>
  <c r="A27" i="19"/>
  <c r="A25" i="19"/>
  <c r="A28" i="19"/>
  <c r="C50" i="11" l="1"/>
  <c r="C51" i="11"/>
  <c r="C52" i="11"/>
  <c r="C53" i="11"/>
  <c r="C54" i="11"/>
  <c r="C57" i="11"/>
  <c r="C55" i="11"/>
  <c r="C56" i="11"/>
  <c r="D53" i="11"/>
  <c r="D54" i="11"/>
  <c r="D55" i="11"/>
  <c r="D56" i="11"/>
  <c r="D57" i="11"/>
  <c r="D50" i="11"/>
  <c r="D51" i="11"/>
  <c r="D52" i="11"/>
  <c r="ST14" i="4"/>
  <c r="SS14" i="4"/>
  <c r="SR14" i="4"/>
  <c r="SQ14" i="4"/>
  <c r="SP14" i="4"/>
  <c r="SO14" i="4"/>
  <c r="SM14" i="4"/>
  <c r="SL14" i="4"/>
  <c r="SK14" i="4"/>
  <c r="SJ14" i="4"/>
  <c r="SI14" i="4"/>
  <c r="SH14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9" i="4"/>
  <c r="SS9" i="4"/>
  <c r="SR9" i="4"/>
  <c r="SQ9" i="4"/>
  <c r="SP9" i="4"/>
  <c r="SO9" i="4"/>
  <c r="SM9" i="4"/>
  <c r="SL9" i="4"/>
  <c r="SK9" i="4"/>
  <c r="SJ9" i="4"/>
  <c r="SI9" i="4"/>
  <c r="SH9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9" i="4"/>
  <c r="CY20" i="4"/>
  <c r="CY10" i="4"/>
  <c r="CY21" i="4"/>
  <c r="CY22" i="4"/>
  <c r="CY17" i="4"/>
  <c r="CY18" i="4"/>
  <c r="CY16" i="4"/>
  <c r="CY12" i="4"/>
  <c r="CY14" i="4"/>
  <c r="CY6" i="4"/>
  <c r="CX6" i="4"/>
  <c r="CU6" i="4"/>
  <c r="CU5" i="4"/>
  <c r="CU7" i="4"/>
  <c r="CU9" i="4"/>
  <c r="CU20" i="4"/>
  <c r="CU10" i="4"/>
  <c r="CU21" i="4"/>
  <c r="CU22" i="4"/>
  <c r="CU17" i="4"/>
  <c r="CU18" i="4"/>
  <c r="CU16" i="4"/>
  <c r="CU12" i="4"/>
  <c r="CU14" i="4"/>
  <c r="CU4" i="4"/>
  <c r="CT4" i="4"/>
  <c r="CR6" i="4"/>
  <c r="CR5" i="4"/>
  <c r="CR7" i="4"/>
  <c r="CR9" i="4"/>
  <c r="CR20" i="4"/>
  <c r="CR10" i="4"/>
  <c r="CR21" i="4"/>
  <c r="CR22" i="4"/>
  <c r="CR17" i="4"/>
  <c r="CR18" i="4"/>
  <c r="CR16" i="4"/>
  <c r="CR12" i="4"/>
  <c r="CR14" i="4"/>
  <c r="CR4" i="4"/>
  <c r="CQ4" i="4"/>
  <c r="CQ6" i="4"/>
  <c r="CQ5" i="4"/>
  <c r="CQ7" i="4"/>
  <c r="CQ9" i="4"/>
  <c r="CQ20" i="4"/>
  <c r="CQ10" i="4"/>
  <c r="CQ21" i="4"/>
  <c r="CQ22" i="4"/>
  <c r="CQ17" i="4"/>
  <c r="CQ18" i="4"/>
  <c r="CQ16" i="4"/>
  <c r="CQ12" i="4"/>
  <c r="CQ14" i="4"/>
  <c r="SN12" i="4" l="1"/>
  <c r="SU12" i="4" s="1"/>
  <c r="SN22" i="4"/>
  <c r="SU22" i="4" s="1"/>
  <c r="SN4" i="4"/>
  <c r="SU4" i="4" s="1"/>
  <c r="SN6" i="4"/>
  <c r="SU6" i="4" s="1"/>
  <c r="SN5" i="4"/>
  <c r="SU5" i="4" s="1"/>
  <c r="SN9" i="4"/>
  <c r="SU9" i="4" s="1"/>
  <c r="SN20" i="4"/>
  <c r="SU20" i="4" s="1"/>
  <c r="SN10" i="4"/>
  <c r="SU10" i="4" s="1"/>
  <c r="SN17" i="4"/>
  <c r="SU17" i="4" s="1"/>
  <c r="SN18" i="4"/>
  <c r="SU18" i="4" s="1"/>
  <c r="SN16" i="4"/>
  <c r="SU16" i="4" s="1"/>
  <c r="SN7" i="4"/>
  <c r="SU7" i="4" s="1"/>
  <c r="SN21" i="4"/>
  <c r="SU21" i="4" s="1"/>
  <c r="SN14" i="4"/>
  <c r="SU14" i="4" s="1"/>
  <c r="CS14" i="4" l="1"/>
  <c r="CT14" i="4"/>
  <c r="CV14" i="4"/>
  <c r="CX14" i="4"/>
  <c r="CZ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T14" i="4" l="1"/>
  <c r="U14" i="4" s="1"/>
  <c r="R14" i="4"/>
  <c r="S14" i="4" s="1"/>
  <c r="N14" i="4"/>
  <c r="DB14" i="4" s="1"/>
  <c r="L14" i="4"/>
  <c r="J14" i="4"/>
  <c r="TU14" i="4"/>
  <c r="G14" i="4"/>
  <c r="I14" i="4"/>
  <c r="F14" i="4"/>
  <c r="TQ14" i="4"/>
  <c r="TN14" i="4"/>
  <c r="CW14" i="4"/>
  <c r="DA14" i="4" s="1"/>
  <c r="P14" i="4"/>
  <c r="DC14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20" i="4"/>
  <c r="CT20" i="4"/>
  <c r="CV20" i="4"/>
  <c r="CX20" i="4"/>
  <c r="CZ20" i="4"/>
  <c r="P20" i="4" s="1"/>
  <c r="DC20" i="4" s="1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T20" i="4" l="1"/>
  <c r="T12" i="4"/>
  <c r="U12" i="4" s="1"/>
  <c r="T16" i="4"/>
  <c r="U16" i="4" s="1"/>
  <c r="O14" i="4"/>
  <c r="V14" i="4"/>
  <c r="X14" i="4" s="1"/>
  <c r="R16" i="4"/>
  <c r="S16" i="4" s="1"/>
  <c r="R12" i="4"/>
  <c r="S12" i="4" s="1"/>
  <c r="R20" i="4"/>
  <c r="S20" i="4" s="1"/>
  <c r="U20" i="4"/>
  <c r="N12" i="4"/>
  <c r="DB12" i="4" s="1"/>
  <c r="N20" i="4"/>
  <c r="DB20" i="4" s="1"/>
  <c r="N16" i="4"/>
  <c r="DB16" i="4" s="1"/>
  <c r="K14" i="4"/>
  <c r="L20" i="4"/>
  <c r="G16" i="4"/>
  <c r="J16" i="4"/>
  <c r="K16" i="4" s="1"/>
  <c r="I20" i="4"/>
  <c r="F12" i="4"/>
  <c r="J20" i="4"/>
  <c r="I16" i="4"/>
  <c r="L12" i="4"/>
  <c r="L16" i="4"/>
  <c r="J12" i="4"/>
  <c r="F20" i="4"/>
  <c r="G12" i="4"/>
  <c r="TR14" i="4"/>
  <c r="TV14" i="4" s="1"/>
  <c r="G20" i="4"/>
  <c r="I12" i="4"/>
  <c r="F16" i="4"/>
  <c r="TU20" i="4"/>
  <c r="TN20" i="4"/>
  <c r="H14" i="4"/>
  <c r="Q12" i="4"/>
  <c r="Q16" i="4"/>
  <c r="TQ12" i="4"/>
  <c r="TQ16" i="4"/>
  <c r="Q20" i="4"/>
  <c r="M14" i="4"/>
  <c r="TU12" i="4"/>
  <c r="TU16" i="4"/>
  <c r="TQ20" i="4"/>
  <c r="TN12" i="4"/>
  <c r="TN16" i="4"/>
  <c r="Q14" i="4"/>
  <c r="CW20" i="4"/>
  <c r="DA20" i="4" s="1"/>
  <c r="CW12" i="4"/>
  <c r="DA12" i="4" s="1"/>
  <c r="CW16" i="4"/>
  <c r="DA16" i="4" s="1"/>
  <c r="O16" i="4" l="1"/>
  <c r="V16" i="4"/>
  <c r="X16" i="4" s="1"/>
  <c r="O20" i="4"/>
  <c r="V20" i="4"/>
  <c r="O12" i="4"/>
  <c r="V12" i="4"/>
  <c r="W14" i="4"/>
  <c r="H16" i="4"/>
  <c r="TR16" i="4"/>
  <c r="TV16" i="4" s="1"/>
  <c r="K20" i="4"/>
  <c r="K12" i="4"/>
  <c r="H12" i="4"/>
  <c r="H20" i="4"/>
  <c r="TR12" i="4"/>
  <c r="TV12" i="4" s="1"/>
  <c r="TR20" i="4"/>
  <c r="TV20" i="4" s="1"/>
  <c r="M12" i="4"/>
  <c r="M16" i="4"/>
  <c r="M20" i="4"/>
  <c r="X12" i="4" l="1"/>
  <c r="W12" i="4"/>
  <c r="X20" i="4"/>
  <c r="W20" i="4"/>
  <c r="W16" i="4"/>
  <c r="E12" i="4" l="1"/>
  <c r="E14" i="4"/>
  <c r="E16" i="4"/>
  <c r="E20" i="4" l="1"/>
  <c r="CS21" i="4"/>
  <c r="CT21" i="4"/>
  <c r="CV21" i="4"/>
  <c r="CX21" i="4"/>
  <c r="CZ21" i="4"/>
  <c r="P21" i="4" s="1"/>
  <c r="DC21" i="4" s="1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10" i="4"/>
  <c r="CT10" i="4"/>
  <c r="CV10" i="4"/>
  <c r="CX10" i="4"/>
  <c r="CZ10" i="4"/>
  <c r="P10" i="4" s="1"/>
  <c r="DC10" i="4" s="1"/>
  <c r="CS9" i="4"/>
  <c r="CT9" i="4"/>
  <c r="T9" i="4" s="1"/>
  <c r="CV9" i="4"/>
  <c r="CX9" i="4"/>
  <c r="CZ9" i="4"/>
  <c r="P9" i="4" s="1"/>
  <c r="DC9" i="4" s="1"/>
  <c r="CS6" i="4"/>
  <c r="CT6" i="4"/>
  <c r="T6" i="4" s="1"/>
  <c r="CV6" i="4"/>
  <c r="CZ6" i="4"/>
  <c r="P6" i="4" s="1"/>
  <c r="DC6" i="4" s="1"/>
  <c r="CS22" i="4"/>
  <c r="CT22" i="4"/>
  <c r="CV22" i="4"/>
  <c r="CX22" i="4"/>
  <c r="CZ22" i="4"/>
  <c r="P22" i="4" s="1"/>
  <c r="DC22" i="4" s="1"/>
  <c r="CS18" i="4"/>
  <c r="CT18" i="4"/>
  <c r="CV18" i="4"/>
  <c r="CX18" i="4"/>
  <c r="CZ18" i="4"/>
  <c r="P18" i="4" s="1"/>
  <c r="DC18" i="4" s="1"/>
  <c r="CS17" i="4"/>
  <c r="CT17" i="4"/>
  <c r="CV17" i="4"/>
  <c r="CX17" i="4"/>
  <c r="CZ17" i="4"/>
  <c r="P17" i="4" s="1"/>
  <c r="DC17" i="4" s="1"/>
  <c r="CV4" i="4"/>
  <c r="CS4" i="4"/>
  <c r="T22" i="4" l="1"/>
  <c r="U22" i="4" s="1"/>
  <c r="T7" i="4"/>
  <c r="U7" i="4" s="1"/>
  <c r="T18" i="4"/>
  <c r="T10" i="4"/>
  <c r="U10" i="4" s="1"/>
  <c r="T21" i="4"/>
  <c r="U21" i="4" s="1"/>
  <c r="T17" i="4"/>
  <c r="U17" i="4" s="1"/>
  <c r="T5" i="4"/>
  <c r="U5" i="4" s="1"/>
  <c r="L4" i="4"/>
  <c r="R5" i="4"/>
  <c r="S5" i="4" s="1"/>
  <c r="R10" i="4"/>
  <c r="S10" i="4" s="1"/>
  <c r="U18" i="4"/>
  <c r="R18" i="4"/>
  <c r="S18" i="4" s="1"/>
  <c r="R17" i="4"/>
  <c r="S17" i="4" s="1"/>
  <c r="R21" i="4"/>
  <c r="S21" i="4" s="1"/>
  <c r="R7" i="4"/>
  <c r="S7" i="4" s="1"/>
  <c r="R22" i="4"/>
  <c r="S22" i="4" s="1"/>
  <c r="U9" i="4"/>
  <c r="R9" i="4"/>
  <c r="S9" i="4" s="1"/>
  <c r="N10" i="4"/>
  <c r="DB10" i="4" s="1"/>
  <c r="N18" i="4"/>
  <c r="DB18" i="4" s="1"/>
  <c r="N5" i="4"/>
  <c r="DB5" i="4" s="1"/>
  <c r="N17" i="4"/>
  <c r="DB17" i="4" s="1"/>
  <c r="N21" i="4"/>
  <c r="DB21" i="4" s="1"/>
  <c r="N4" i="4"/>
  <c r="DB4" i="4" s="1"/>
  <c r="N22" i="4"/>
  <c r="DB22" i="4" s="1"/>
  <c r="N7" i="4"/>
  <c r="DB7" i="4" s="1"/>
  <c r="N9" i="4"/>
  <c r="DB9" i="4" s="1"/>
  <c r="L6" i="4"/>
  <c r="M6" i="4" s="1"/>
  <c r="N6" i="4"/>
  <c r="DB6" i="4" s="1"/>
  <c r="J17" i="4"/>
  <c r="K17" i="4" s="1"/>
  <c r="L17" i="4"/>
  <c r="L21" i="4"/>
  <c r="J21" i="4"/>
  <c r="K21" i="4" s="1"/>
  <c r="J4" i="4"/>
  <c r="L22" i="4"/>
  <c r="J22" i="4"/>
  <c r="K22" i="4" s="1"/>
  <c r="L7" i="4"/>
  <c r="J7" i="4"/>
  <c r="J9" i="4"/>
  <c r="K9" i="4" s="1"/>
  <c r="L9" i="4"/>
  <c r="L5" i="4"/>
  <c r="J5" i="4"/>
  <c r="K5" i="4" s="1"/>
  <c r="J18" i="4"/>
  <c r="K18" i="4" s="1"/>
  <c r="L18" i="4"/>
  <c r="J10" i="4"/>
  <c r="K10" i="4" s="1"/>
  <c r="L10" i="4"/>
  <c r="J6" i="4"/>
  <c r="K6" i="4" s="1"/>
  <c r="F22" i="4"/>
  <c r="G22" i="4"/>
  <c r="I22" i="4"/>
  <c r="I7" i="4"/>
  <c r="G7" i="4"/>
  <c r="F7" i="4"/>
  <c r="I9" i="4"/>
  <c r="F9" i="4"/>
  <c r="G9" i="4"/>
  <c r="G5" i="4"/>
  <c r="I5" i="4"/>
  <c r="F5" i="4"/>
  <c r="G18" i="4"/>
  <c r="I18" i="4"/>
  <c r="F18" i="4"/>
  <c r="F10" i="4"/>
  <c r="G10" i="4"/>
  <c r="I10" i="4"/>
  <c r="I17" i="4"/>
  <c r="G17" i="4"/>
  <c r="F17" i="4"/>
  <c r="F21" i="4"/>
  <c r="G21" i="4"/>
  <c r="I21" i="4"/>
  <c r="TQ10" i="4"/>
  <c r="TU6" i="4"/>
  <c r="TQ9" i="4"/>
  <c r="TU17" i="4"/>
  <c r="TQ18" i="4"/>
  <c r="TQ5" i="4"/>
  <c r="TN21" i="4"/>
  <c r="Q21" i="4"/>
  <c r="Q17" i="4"/>
  <c r="TU10" i="4"/>
  <c r="TQ7" i="4"/>
  <c r="TQ22" i="4"/>
  <c r="TU5" i="4"/>
  <c r="TQ21" i="4"/>
  <c r="Q22" i="4"/>
  <c r="TQ4" i="4"/>
  <c r="TU9" i="4"/>
  <c r="Q6" i="4"/>
  <c r="TU18" i="4"/>
  <c r="Q5" i="4"/>
  <c r="TQ17" i="4"/>
  <c r="TU7" i="4"/>
  <c r="Q7" i="4"/>
  <c r="Q9" i="4"/>
  <c r="Q18" i="4"/>
  <c r="Q10" i="4"/>
  <c r="TU4" i="4"/>
  <c r="TU22" i="4"/>
  <c r="TQ6" i="4"/>
  <c r="TU21" i="4"/>
  <c r="CW22" i="4"/>
  <c r="DA22" i="4" s="1"/>
  <c r="CW21" i="4"/>
  <c r="DA21" i="4" s="1"/>
  <c r="CW7" i="4"/>
  <c r="DA7" i="4" s="1"/>
  <c r="CW5" i="4"/>
  <c r="DA5" i="4" s="1"/>
  <c r="CW4" i="4"/>
  <c r="CW6" i="4"/>
  <c r="DA6" i="4" s="1"/>
  <c r="CW9" i="4"/>
  <c r="DA9" i="4" s="1"/>
  <c r="CW18" i="4"/>
  <c r="DA18" i="4" s="1"/>
  <c r="CW10" i="4"/>
  <c r="DA10" i="4" s="1"/>
  <c r="CW17" i="4"/>
  <c r="DA17" i="4" s="1"/>
  <c r="SV4" i="4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10" i="4"/>
  <c r="SX10" i="4"/>
  <c r="TL10" i="4" s="1"/>
  <c r="SY10" i="4"/>
  <c r="TM10" i="4" s="1"/>
  <c r="SW9" i="4"/>
  <c r="SX9" i="4"/>
  <c r="TL9" i="4" s="1"/>
  <c r="SY9" i="4"/>
  <c r="TM9" i="4" s="1"/>
  <c r="SW6" i="4"/>
  <c r="SX6" i="4"/>
  <c r="TL6" i="4" s="1"/>
  <c r="SY6" i="4"/>
  <c r="TM6" i="4" s="1"/>
  <c r="SW22" i="4"/>
  <c r="SX22" i="4"/>
  <c r="TL22" i="4" s="1"/>
  <c r="SY22" i="4"/>
  <c r="TM22" i="4" s="1"/>
  <c r="SW18" i="4"/>
  <c r="SX18" i="4"/>
  <c r="TL18" i="4" s="1"/>
  <c r="SY18" i="4"/>
  <c r="TM18" i="4" s="1"/>
  <c r="SW17" i="4"/>
  <c r="SX17" i="4"/>
  <c r="TL17" i="4" s="1"/>
  <c r="SY17" i="4"/>
  <c r="TM17" i="4" s="1"/>
  <c r="SV5" i="4"/>
  <c r="SV7" i="4"/>
  <c r="SV10" i="4"/>
  <c r="SV9" i="4"/>
  <c r="SV6" i="4"/>
  <c r="SV22" i="4"/>
  <c r="SV18" i="4"/>
  <c r="SV17" i="4"/>
  <c r="O6" i="4" l="1"/>
  <c r="O17" i="4"/>
  <c r="V17" i="4"/>
  <c r="O5" i="4"/>
  <c r="V5" i="4"/>
  <c r="O9" i="4"/>
  <c r="V9" i="4"/>
  <c r="X9" i="4" s="1"/>
  <c r="O18" i="4"/>
  <c r="V18" i="4"/>
  <c r="X18" i="4" s="1"/>
  <c r="O7" i="4"/>
  <c r="V7" i="4"/>
  <c r="X7" i="4" s="1"/>
  <c r="O10" i="4"/>
  <c r="V10" i="4"/>
  <c r="X10" i="4" s="1"/>
  <c r="O22" i="4"/>
  <c r="V22" i="4"/>
  <c r="O4" i="4"/>
  <c r="O21" i="4"/>
  <c r="V21" i="4"/>
  <c r="K7" i="4"/>
  <c r="H18" i="4"/>
  <c r="H10" i="4"/>
  <c r="H7" i="4"/>
  <c r="H9" i="4"/>
  <c r="H17" i="4"/>
  <c r="H5" i="4"/>
  <c r="H22" i="4"/>
  <c r="TN7" i="4"/>
  <c r="TR7" i="4" s="1"/>
  <c r="TV7" i="4" s="1"/>
  <c r="H21" i="4"/>
  <c r="TN9" i="4"/>
  <c r="TR9" i="4" s="1"/>
  <c r="TV9" i="4" s="1"/>
  <c r="M17" i="4"/>
  <c r="M4" i="4"/>
  <c r="M7" i="4"/>
  <c r="TN10" i="4"/>
  <c r="TR10" i="4" s="1"/>
  <c r="TV10" i="4" s="1"/>
  <c r="M10" i="4"/>
  <c r="M21" i="4"/>
  <c r="TN6" i="4"/>
  <c r="TR6" i="4" s="1"/>
  <c r="TV6" i="4" s="1"/>
  <c r="M9" i="4"/>
  <c r="TN17" i="4"/>
  <c r="TR17" i="4" s="1"/>
  <c r="TV17" i="4" s="1"/>
  <c r="TN5" i="4"/>
  <c r="TR5" i="4" s="1"/>
  <c r="TV5" i="4" s="1"/>
  <c r="M18" i="4"/>
  <c r="M5" i="4"/>
  <c r="M22" i="4"/>
  <c r="TN18" i="4"/>
  <c r="TR18" i="4" s="1"/>
  <c r="TV18" i="4" s="1"/>
  <c r="TN4" i="4"/>
  <c r="TR4" i="4" s="1"/>
  <c r="TV4" i="4" s="1"/>
  <c r="TN22" i="4"/>
  <c r="TR22" i="4" s="1"/>
  <c r="TV22" i="4" s="1"/>
  <c r="TR21" i="4"/>
  <c r="TV21" i="4" s="1"/>
  <c r="K4" i="4"/>
  <c r="CZ4" i="4"/>
  <c r="G4" i="4" s="1"/>
  <c r="CX4" i="4"/>
  <c r="T4" i="4" s="1"/>
  <c r="X17" i="4" l="1"/>
  <c r="W17" i="4"/>
  <c r="X5" i="4"/>
  <c r="W5" i="4"/>
  <c r="X22" i="4"/>
  <c r="W22" i="4"/>
  <c r="X21" i="4"/>
  <c r="W21" i="4"/>
  <c r="W9" i="4"/>
  <c r="W10" i="4"/>
  <c r="W18" i="4"/>
  <c r="W7" i="4"/>
  <c r="R4" i="4"/>
  <c r="S4" i="4" s="1"/>
  <c r="U4" i="4"/>
  <c r="F4" i="4"/>
  <c r="I4" i="4"/>
  <c r="P4" i="4"/>
  <c r="DA4" i="4"/>
  <c r="DC4" i="4" l="1"/>
  <c r="V4" i="4" s="1"/>
  <c r="H4" i="4"/>
  <c r="Q4" i="4"/>
  <c r="E21" i="4"/>
  <c r="X4" i="4" l="1"/>
  <c r="W4" i="4"/>
  <c r="E17" i="4"/>
  <c r="E22" i="4" l="1"/>
  <c r="E4" i="4" l="1"/>
  <c r="A14" i="4" l="1" a="1"/>
  <c r="A14" i="4" s="1"/>
  <c r="A16" i="4" a="1"/>
  <c r="A16" i="4" s="1"/>
  <c r="A21" i="4" a="1"/>
  <c r="A21" i="4" s="1"/>
  <c r="E18" i="4" l="1"/>
  <c r="A18" i="4" a="1"/>
  <c r="A18" i="4" s="1"/>
  <c r="E10" i="4" l="1"/>
  <c r="E7" i="4" l="1"/>
  <c r="E9" i="4" l="1"/>
  <c r="E5" i="4"/>
  <c r="A17" i="4" l="1" a="1"/>
  <c r="A17" i="4" s="1"/>
  <c r="A22" i="4" a="1"/>
  <c r="A22" i="4" s="1"/>
  <c r="U6" i="4" l="1"/>
  <c r="R6" i="4"/>
  <c r="S6" i="4" s="1"/>
  <c r="F6" i="4"/>
  <c r="G6" i="4"/>
  <c r="I6" i="4"/>
  <c r="H6" i="4" l="1"/>
  <c r="V6" i="4"/>
  <c r="X6" i="4" s="1"/>
  <c r="W6" i="4" l="1"/>
  <c r="E6" i="4"/>
  <c r="A8" i="4" s="1" a="1"/>
  <c r="A8" i="4" s="1"/>
  <c r="A15" i="4" l="1" a="1"/>
  <c r="A15" i="4" s="1"/>
  <c r="A13" i="4" a="1"/>
  <c r="A13" i="4" s="1"/>
  <c r="A12" i="4" a="1"/>
  <c r="A12" i="4" s="1"/>
  <c r="A4" i="4" a="1"/>
  <c r="A4" i="4" s="1"/>
  <c r="A10" i="4" a="1"/>
  <c r="A10" i="4" s="1"/>
  <c r="A20" i="4" a="1"/>
  <c r="A20" i="4" s="1"/>
  <c r="A6" i="4" a="1"/>
  <c r="A6" i="4" s="1"/>
  <c r="A9" i="4" a="1"/>
  <c r="A9" i="4" s="1"/>
  <c r="A5" i="4" a="1"/>
  <c r="A5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F4" i="19" l="1"/>
  <c r="N4" i="19"/>
  <c r="P4" i="19"/>
  <c r="J4" i="19"/>
  <c r="K4" i="19" l="1"/>
  <c r="DF4" i="19"/>
  <c r="Q4" i="19"/>
  <c r="DE4" i="19"/>
  <c r="O4" i="19"/>
  <c r="I4" i="19"/>
  <c r="G4" i="19"/>
  <c r="H4" i="19" s="1"/>
  <c r="L4" i="19"/>
  <c r="DD4" i="19" l="1"/>
  <c r="R4" i="19" s="1"/>
  <c r="M4" i="19"/>
  <c r="E4" i="19" l="1"/>
  <c r="A13" i="19" s="1"/>
  <c r="T4" i="19"/>
  <c r="S4" i="19"/>
  <c r="A10" i="19"/>
  <c r="A9" i="19"/>
  <c r="A5" i="19" a="1"/>
  <c r="A5" i="19" s="1"/>
  <c r="A4" i="19"/>
  <c r="A15" i="19"/>
  <c r="A6" i="19"/>
  <c r="A11" i="19"/>
  <c r="A14" i="19"/>
  <c r="A12" i="19"/>
  <c r="A7" i="19"/>
  <c r="A8" i="19"/>
  <c r="C49" i="11" l="1"/>
  <c r="C45" i="11"/>
  <c r="C42" i="11"/>
  <c r="D49" i="11"/>
  <c r="D45" i="11"/>
  <c r="C48" i="11"/>
  <c r="D48" i="11"/>
  <c r="D44" i="11"/>
  <c r="C47" i="11"/>
  <c r="C43" i="11"/>
  <c r="D47" i="11"/>
  <c r="D42" i="11"/>
  <c r="C46" i="11"/>
  <c r="D43" i="11"/>
  <c r="D46" i="11"/>
  <c r="C4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<sst xmlns="http://schemas.openxmlformats.org/spreadsheetml/2006/main" count="5146" uniqueCount="235">
  <si>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</si>
  <si>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</si>
  <si>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</si>
  <si>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</si>
  <si>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</si>
  <si>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</si>
  <si>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</si>
  <si>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</si>
  <si>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</si>
  <si>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</si>
  <si>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</si>
  <si>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</si>
  <si>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</si>
  <si>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</si>
  <si>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</si>
  <si>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</si>
  <si>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</si>
  <si>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</si>
  <si>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</si>
  <si>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</si>
  <si>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</si>
  <si>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</si>
  <si>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</si>
  <si>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</si>
  <si>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</si>
  <si>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</si>
  <si>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</si>
  <si>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</si>
  <si>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</si>
  <si>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</si>
  <si>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</si>
  <si>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</si>
  <si>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</si>
  <si>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</si>
  <si>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</si>
  <si>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</si>
  <si>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</si>
  <si>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</si>
  <si>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</si>
  <si>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</si>
  <si>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</si>
  <si>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</si>
  <si>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</si>
  <si>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</si>
  <si>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</si>
  <si>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</si>
  <si>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</si>
  <si>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</si>
  <si>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</si>
  <si>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</si>
  <si>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</si>
  <si>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</si>
  <si>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</si>
  <si>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</si>
  <si>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</si>
  <si>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</si>
  <si>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</si>
  <si>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</si>
  <si>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</si>
  <si>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</si>
  <si>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</si>
  <si>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</si>
  <si>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</si>
  <si>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</si>
  <si>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</si>
  <si>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</si>
  <si>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</si>
  <si>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</si>
  <si>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</si>
  <si>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</si>
  <si>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</si>
  <si>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</si>
  <si>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</si>
  <si>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</si>
  <si>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</si>
  <si>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</si>
  <si>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</si>
  <si>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</si>
  <si>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</si>
  <si>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</si>
  <si>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</si>
  <si>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</si>
  <si>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</si>
  <si>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</si>
  <si>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</si>
  <si>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</si>
  <si>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</si>
  <si>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</si>
  <si>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</si>
  <si>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</si>
  <si>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</si>
  <si>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</si>
  <si>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</si>
  <si>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MASSON, Félix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</si>
  <si>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</si>
  <si>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</si>
  <si>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</si>
  <si>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</si>
  <si>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</si>
  <si>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</si>
  <si>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</si>
  <si>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</si>
  <si>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</si>
  <si>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</si>
  <si>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</si>
  <si>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</si>
  <si>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</si>
  <si>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</si>
  <si>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</si>
  <si>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</si>
  <si>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</si>
  <si>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</si>
  <si>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</si>
  <si>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</si>
  <si>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</si>
  <si>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</si>
  <si>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</si>
  <si>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</si>
  <si>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</si>
  <si>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</si>
  <si>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</si>
  <si>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</si>
  <si>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</si>
  <si>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</si>
  <si>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</si>
  <si>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</si>
  <si>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</si>
  <si>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</si>
  <si>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</si>
  <si>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</si>
  <si>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</si>
  <si>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</si>
  <si>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</si>
  <si>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</si>
  <si>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</si>
  <si>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</si>
  <si>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</si>
  <si>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</si>
  <si>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</si>
  <si>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</si>
  <si>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</si>
  <si>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BRENNER, Adin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</si>
  <si>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</si>
  <si>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</si>
  <si>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</si>
  <si>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</si>
  <si>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</si>
  <si>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</si>
  <si>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</si>
  <si>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</si>
  <si>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</si>
  <si>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</si>
  <si>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</si>
  <si>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</si>
  <si>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</si>
  <si>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</si>
  <si>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</si>
  <si>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</si>
  <si>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</si>
  <si>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2022 World Cup POR (June 26)</t>
  </si>
  <si>
    <t>2022 Pan Am Championships (June 28)</t>
  </si>
  <si>
    <t>2022 World Cup SUI (July 2)</t>
  </si>
  <si>
    <t>2002/2001</t>
  </si>
  <si>
    <t>BONHAM &amp; FLYNN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</si>
  <si>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</si>
  <si>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</si>
  <si>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</si>
  <si>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</si>
  <si>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</si>
  <si>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</si>
  <si>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</si>
  <si>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</si>
  <si>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</si>
  <si>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</si>
  <si>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</si>
  <si>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</si>
  <si>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</si>
  <si>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</si>
  <si>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</si>
  <si>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</si>
  <si>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</si>
  <si>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</si>
  <si>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</si>
  <si>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</si>
  <si>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</si>
  <si>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</si>
  <si>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</si>
  <si>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</si>
  <si>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</si>
  <si>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</si>
  <si>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</si>
  <si>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</si>
  <si>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</si>
  <si>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</si>
  <si>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</si>
  <si>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</si>
  <si>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</si>
  <si>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</si>
  <si>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</si>
  <si>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</si>
  <si>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</si>
  <si>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</si>
  <si>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</si>
  <si>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</si>
  <si>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</si>
  <si>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</si>
  <si>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</si>
  <si>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</si>
  <si>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</si>
  <si>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</si>
  <si>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</si>
  <si>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</si>
  <si>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*Scores adjusted for 2023 rules</t>
  </si>
  <si>
    <t>*Scores adjusted for 2023 rules (score hit in Nationals 2022 finals)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</si>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</sst>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41</v>
      </c>
      <c r="B1" t="s">
        <v>1</v>
      </c>
      <c r="C1" t="s">
        <v>43</v>
      </c>
      <c r="D1" s="37" t="s">
        <v>12</v>
      </c>
    </row>
    <row r="2" spans="1:6" x14ac:dyDescent="0.2">
      <c r="A2" s="6" t="s">
        <v>42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AUBIN, Rémi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STIRLING, Trevor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BLAKELY, Zachary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45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SMITH, Samantha</v>
      </c>
      <c r="D13" s="13" t="str">
        <f>IF(B5&gt;MAX('TRA-W'!A:A),"",INDEX('TRA-W'!H:H,MATCH(B5,'TRA-W'!A:A,0)))</f>
        <v>Merit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National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No DD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No DD</v>
      </c>
    </row>
    <row r="18" spans="1:4" x14ac:dyDescent="0.2">
      <c r="A18" s="6" t="s">
        <v>46</v>
      </c>
      <c r="B18" s="6">
        <v>1</v>
      </c>
      <c r="C18" s="6" t="str">
        <f>IF(B2&gt;MAX('SYN-M'!A:A),"",INDEX('SYN-M'!B:B,MATCH(B2,'SYN-M'!A:A,0)))</f>
        <v>CHARTIER &amp; AUBIN</v>
      </c>
      <c r="D18" s="14" t="str">
        <f>IF(B2&gt;MAX('SYN-M'!A:A),"",INDEX('SYN-M'!H:H,MATCH(B2,'SYN-M'!A:A,0)))</f>
        <v>National Team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LEVASSEUR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47</v>
      </c>
      <c r="B22" s="7">
        <v>1</v>
      </c>
      <c r="C22" s="7" t="str">
        <f>IF(B2&gt;MAX('SYN-W'!A:A),"",INDEX('SYN-W'!B:B,MATCH(B2,'SYN-W'!A:A,0)))</f>
        <v>SMITH &amp; TAM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MÉTHOT &amp; MILETTE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NOSSACK &amp; SOEHN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48</v>
      </c>
      <c r="B26" s="6">
        <v>1</v>
      </c>
      <c r="C26" s="6" t="str">
        <f>IF(B2&gt;MAX('TUM-M'!A:A),"",INDEX('TUM-M'!B:B,MATCH(B2,'TUM-M'!A:A,0)))</f>
        <v>THOMPSON, Justin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MATTHEWS, Jared</v>
      </c>
      <c r="D27" s="14" t="str">
        <f>IF(B3&gt;MAX('TUM-M'!A:A),"",INDEX('TUM-M'!H:H,MATCH(B3,'TUM-M'!A:A,0)))</f>
        <v>Excellence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PEDERSEN, Mitchel</v>
      </c>
      <c r="D28" s="14" t="str">
        <f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MALEK, Philo</v>
      </c>
      <c r="D29" s="14" t="str">
        <f ca="1">IF(B5&gt;MAX('TUM-M'!A:A),"",INDEX('TUM-M'!H:H,MATCH(B5,'TUM-M'!A:A,0)))</f>
        <v>Excellence</v>
      </c>
    </row>
    <row r="30" spans="1:4" hidden="1" x14ac:dyDescent="0.2">
      <c r="A30" s="6"/>
      <c r="B30" s="6">
        <v>5</v>
      </c>
      <c r="C30" s="6" t="str">
        <f>IF(B6&gt;MAX('TUM-M'!A:A),"",INDEX('TUM-M'!B:B,MATCH(B6,'TUM-M'!A:A,0)))</f>
        <v/>
      </c>
      <c r="D30" s="14" t="str">
        <f>IF(B6&gt;MAX('TUM-M'!A:A),"",INDEX('TUM-M'!H:H,MATCH(B6,'TUM-M'!A:A,0)))</f>
        <v/>
      </c>
    </row>
    <row r="31" spans="1:4" hidden="1" x14ac:dyDescent="0.2">
      <c r="A31" s="6"/>
      <c r="B31" s="6">
        <v>6</v>
      </c>
      <c r="C31" s="6" t="str">
        <f>IF(B7&gt;MAX('TUM-M'!A:A),"",INDEX('TUM-M'!B:B,MATCH(B7,'TUM-M'!A:A,0)))</f>
        <v/>
      </c>
      <c r="D31" s="14" t="str">
        <f>IF(B7&gt;MAX('TUM-M'!A:A),"",INDEX('TUM-M'!H:H,MATCH(B7,'TUM-M'!A:A,0)))</f>
        <v/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49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IBACH, Sam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Excellence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SIMINIUC, Alexandra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SCHOLES, Hannah</v>
      </c>
      <c r="D39" s="13" t="str">
        <f>IF(B7&gt;MAX('TUM-W'!A:A),"",INDEX('TUM-W'!H:H,MATCH(B7,'TUM-W'!A:A,0)))</f>
        <v>No DD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DONG, Helen</v>
      </c>
      <c r="D40" s="13" t="str">
        <f>IF(B8&gt;MAX('TUM-W'!A:A),"",INDEX('TUM-W'!H:H,MATCH(B8,'TUM-W'!A:A,0)))</f>
        <v>No DD</v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50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Merit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BLAKELY, Zach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PEDERSEN, Mitchel</v>
      </c>
      <c r="D46" s="14" t="str">
        <f>IF(B6&gt;MAX('DMT-M'!A:A),"",INDEX('DMT-M'!H:H,MATCH(B6,'DMT-M'!A:A,0)))</f>
        <v>National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BIANCHET, Anthony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MEYER, Jeremy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ARMSTRONG, Mark</v>
      </c>
      <c r="D49" s="14" t="str">
        <f>IF(B9&gt;MAX('DMT-M'!A:A),"",INDEX('DMT-M'!H:H,MATCH(B9,'DMT-M'!A:A,0)))</f>
        <v>Worlds Team</v>
      </c>
    </row>
    <row r="50" spans="1:5" x14ac:dyDescent="0.2">
      <c r="A50" s="7" t="s">
        <v>51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METHERAL, Hannah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PHANEUF, Zoe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BROWN, Hannah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HOWELL, Kayla</v>
      </c>
      <c r="D54" s="13" t="str">
        <f>IF(B6&gt;MAX('DMT-W'!A:A),"",INDEX('DMT-W'!H:H,MATCH(B6,'DMT-W'!A:A,0)))</f>
        <v>Worlds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SOEHN, Kalena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39</v>
      </c>
    </row>
    <row r="60" spans="1:5" x14ac:dyDescent="0.2">
      <c r="B60" t="s">
        <v>37</v>
      </c>
    </row>
    <row r="61" spans="1:5" x14ac:dyDescent="0.2">
      <c r="B61" t="s">
        <v>38</v>
      </c>
    </row>
    <row r="62" spans="1:5" x14ac:dyDescent="0.2">
      <c r="B62" s="12" t="s">
        <v>63</v>
      </c>
      <c r="D62" t="s">
        <v>61</v>
      </c>
    </row>
    <row r="63" spans="1:5" x14ac:dyDescent="0.2">
      <c r="B63" s="12" t="s">
        <v>72</v>
      </c>
      <c r="D63" t="s">
        <v>61</v>
      </c>
      <c r="E63" t="s">
        <v>61</v>
      </c>
    </row>
    <row r="64" spans="1:5" x14ac:dyDescent="0.2">
      <c r="B64" t="s">
        <v>62</v>
      </c>
    </row>
    <row r="65" spans="1:3" x14ac:dyDescent="0.2">
      <c r="B65" t="s">
        <v>73</v>
      </c>
    </row>
    <row r="66" spans="1:3" x14ac:dyDescent="0.2">
      <c r="A66" t="s">
        <v>44</v>
      </c>
      <c r="B66" s="62">
        <v>45005</v>
      </c>
      <c r="C66" s="62"/>
    </row>
    <row r="67" spans="1:3" x14ac:dyDescent="0.2">
      <c r="B67" t="s">
        <v>214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105</v>
      </c>
      <c r="K1" s="68" t="s">
        <v>34</v>
      </c>
      <c r="L1" s="70" t="s">
        <v>106</v>
      </c>
      <c r="M1" s="68" t="s">
        <v>34</v>
      </c>
      <c r="N1" s="70" t="s">
        <v>130</v>
      </c>
      <c r="O1" s="68" t="s">
        <v>34</v>
      </c>
      <c r="P1" s="68" t="s">
        <v>13</v>
      </c>
      <c r="Q1" s="68" t="s">
        <v>34</v>
      </c>
      <c r="R1" s="68" t="s">
        <v>107</v>
      </c>
      <c r="S1" s="68" t="s">
        <v>34</v>
      </c>
      <c r="T1" s="70" t="s">
        <v>108</v>
      </c>
      <c r="U1" s="68" t="s">
        <v>34</v>
      </c>
      <c r="V1" s="72" t="s">
        <v>14</v>
      </c>
      <c r="W1" s="68" t="s">
        <v>35</v>
      </c>
      <c r="X1" s="68" t="s">
        <v>34</v>
      </c>
      <c r="Y1" s="65" t="s">
        <v>168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194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143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159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160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161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197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198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205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69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109</v>
      </c>
      <c r="AP2" s="14" t="s">
        <v>110</v>
      </c>
      <c r="AQ2" s="14" t="s">
        <v>21</v>
      </c>
      <c r="AR2" s="14" t="s">
        <v>82</v>
      </c>
      <c r="AS2" s="14" t="s">
        <v>111</v>
      </c>
      <c r="AT2" s="14" t="s">
        <v>22</v>
      </c>
      <c r="AU2" s="14" t="s">
        <v>24</v>
      </c>
      <c r="AV2" s="14" t="s">
        <v>112</v>
      </c>
      <c r="AW2" s="14" t="s">
        <v>113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109</v>
      </c>
      <c r="BQ2" s="13" t="s">
        <v>110</v>
      </c>
      <c r="BR2" s="13" t="s">
        <v>21</v>
      </c>
      <c r="BS2" s="13" t="s">
        <v>82</v>
      </c>
      <c r="BT2" s="13" t="s">
        <v>111</v>
      </c>
      <c r="BU2" s="13" t="s">
        <v>22</v>
      </c>
      <c r="BV2" s="13" t="s">
        <v>24</v>
      </c>
      <c r="BW2" s="13" t="s">
        <v>112</v>
      </c>
      <c r="BX2" s="13" t="s">
        <v>113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109</v>
      </c>
      <c r="CR2" s="14" t="s">
        <v>110</v>
      </c>
      <c r="CS2" s="14" t="s">
        <v>21</v>
      </c>
      <c r="CT2" s="14" t="s">
        <v>82</v>
      </c>
      <c r="CU2" s="14" t="s">
        <v>111</v>
      </c>
      <c r="CV2" s="14" t="s">
        <v>22</v>
      </c>
      <c r="CW2" s="14" t="s">
        <v>24</v>
      </c>
      <c r="CX2" s="14" t="s">
        <v>112</v>
      </c>
      <c r="CY2" s="14" t="s">
        <v>113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114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109</v>
      </c>
      <c r="DY2" s="14" t="s">
        <v>110</v>
      </c>
      <c r="DZ2" s="14" t="s">
        <v>21</v>
      </c>
      <c r="EA2" s="14" t="s">
        <v>82</v>
      </c>
      <c r="EB2" s="14" t="s">
        <v>111</v>
      </c>
      <c r="EC2" s="14" t="s">
        <v>22</v>
      </c>
      <c r="ED2" s="14" t="s">
        <v>24</v>
      </c>
      <c r="EE2" s="14" t="s">
        <v>115</v>
      </c>
      <c r="EF2" s="14" t="s">
        <v>116</v>
      </c>
      <c r="EG2" s="14" t="s">
        <v>114</v>
      </c>
      <c r="EH2" s="14" t="s">
        <v>112</v>
      </c>
      <c r="EI2" s="14" t="s">
        <v>113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114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109</v>
      </c>
      <c r="FG2" s="13" t="s">
        <v>110</v>
      </c>
      <c r="FH2" s="13" t="s">
        <v>21</v>
      </c>
      <c r="FI2" s="13" t="s">
        <v>82</v>
      </c>
      <c r="FJ2" s="13" t="s">
        <v>111</v>
      </c>
      <c r="FK2" s="13" t="s">
        <v>22</v>
      </c>
      <c r="FL2" s="13" t="s">
        <v>24</v>
      </c>
      <c r="FM2" s="13" t="s">
        <v>115</v>
      </c>
      <c r="FN2" s="13" t="s">
        <v>116</v>
      </c>
      <c r="FO2" s="13" t="s">
        <v>114</v>
      </c>
      <c r="FP2" s="13" t="s">
        <v>112</v>
      </c>
      <c r="FQ2" s="13" t="s">
        <v>113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114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109</v>
      </c>
      <c r="GO2" s="14" t="s">
        <v>110</v>
      </c>
      <c r="GP2" s="14" t="s">
        <v>21</v>
      </c>
      <c r="GQ2" s="14" t="s">
        <v>82</v>
      </c>
      <c r="GR2" s="14" t="s">
        <v>111</v>
      </c>
      <c r="GS2" s="14" t="s">
        <v>22</v>
      </c>
      <c r="GT2" s="14" t="s">
        <v>24</v>
      </c>
      <c r="GU2" s="14" t="s">
        <v>115</v>
      </c>
      <c r="GV2" s="14" t="s">
        <v>116</v>
      </c>
      <c r="GW2" s="14" t="s">
        <v>114</v>
      </c>
      <c r="GX2" s="14" t="s">
        <v>112</v>
      </c>
      <c r="GY2" s="14" t="s">
        <v>113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114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109</v>
      </c>
      <c r="HW2" s="13" t="s">
        <v>110</v>
      </c>
      <c r="HX2" s="13" t="s">
        <v>21</v>
      </c>
      <c r="HY2" s="13" t="s">
        <v>82</v>
      </c>
      <c r="HZ2" s="13" t="s">
        <v>111</v>
      </c>
      <c r="IA2" s="13" t="s">
        <v>22</v>
      </c>
      <c r="IB2" s="13" t="s">
        <v>24</v>
      </c>
      <c r="IC2" s="13" t="s">
        <v>115</v>
      </c>
      <c r="ID2" s="13" t="s">
        <v>116</v>
      </c>
      <c r="IE2" s="13" t="s">
        <v>114</v>
      </c>
      <c r="IF2" s="13" t="s">
        <v>112</v>
      </c>
      <c r="IG2" s="13" t="s">
        <v>113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114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109</v>
      </c>
      <c r="JE2" s="14" t="s">
        <v>110</v>
      </c>
      <c r="JF2" s="14" t="s">
        <v>21</v>
      </c>
      <c r="JG2" s="14" t="s">
        <v>82</v>
      </c>
      <c r="JH2" s="14" t="s">
        <v>111</v>
      </c>
      <c r="JI2" s="14" t="s">
        <v>22</v>
      </c>
      <c r="JJ2" s="14" t="s">
        <v>24</v>
      </c>
      <c r="JK2" s="14" t="s">
        <v>115</v>
      </c>
      <c r="JL2" s="14" t="s">
        <v>116</v>
      </c>
      <c r="JM2" s="14" t="s">
        <v>114</v>
      </c>
      <c r="JN2" s="14" t="s">
        <v>112</v>
      </c>
      <c r="JO2" s="14" t="s">
        <v>113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114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109</v>
      </c>
      <c r="KM2" s="13" t="s">
        <v>110</v>
      </c>
      <c r="KN2" s="13" t="s">
        <v>21</v>
      </c>
      <c r="KO2" s="13" t="s">
        <v>82</v>
      </c>
      <c r="KP2" s="13" t="s">
        <v>111</v>
      </c>
      <c r="KQ2" s="13" t="s">
        <v>22</v>
      </c>
      <c r="KR2" s="13" t="s">
        <v>24</v>
      </c>
      <c r="KS2" s="13" t="s">
        <v>115</v>
      </c>
      <c r="KT2" s="13" t="s">
        <v>116</v>
      </c>
      <c r="KU2" s="13" t="s">
        <v>114</v>
      </c>
      <c r="KV2" s="13" t="s">
        <v>112</v>
      </c>
      <c r="KW2" s="13" t="s">
        <v>113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114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109</v>
      </c>
      <c r="LU2" s="14" t="s">
        <v>110</v>
      </c>
      <c r="LV2" s="14" t="s">
        <v>21</v>
      </c>
      <c r="LW2" s="14" t="s">
        <v>82</v>
      </c>
      <c r="LX2" s="14" t="s">
        <v>111</v>
      </c>
      <c r="LY2" s="14" t="s">
        <v>22</v>
      </c>
      <c r="LZ2" s="14" t="s">
        <v>24</v>
      </c>
      <c r="MA2" s="14" t="s">
        <v>115</v>
      </c>
      <c r="MB2" s="14" t="s">
        <v>116</v>
      </c>
      <c r="MC2" s="14" t="s">
        <v>114</v>
      </c>
      <c r="MD2" s="14" t="s">
        <v>112</v>
      </c>
      <c r="ME2" s="14" t="s">
        <v>113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114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109</v>
      </c>
      <c r="NC2" s="13" t="s">
        <v>110</v>
      </c>
      <c r="ND2" s="13" t="s">
        <v>21</v>
      </c>
      <c r="NE2" s="13" t="s">
        <v>82</v>
      </c>
      <c r="NF2" s="13" t="s">
        <v>111</v>
      </c>
      <c r="NG2" s="13" t="s">
        <v>22</v>
      </c>
      <c r="NH2" s="13" t="s">
        <v>24</v>
      </c>
      <c r="NI2" s="13" t="s">
        <v>115</v>
      </c>
      <c r="NJ2" s="13" t="s">
        <v>116</v>
      </c>
      <c r="NK2" s="13" t="s">
        <v>114</v>
      </c>
      <c r="NL2" s="13" t="s">
        <v>112</v>
      </c>
      <c r="NM2" s="13" t="s">
        <v>113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114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109</v>
      </c>
      <c r="OK2" s="14" t="s">
        <v>110</v>
      </c>
      <c r="OL2" s="14" t="s">
        <v>21</v>
      </c>
      <c r="OM2" s="14" t="s">
        <v>82</v>
      </c>
      <c r="ON2" s="14" t="s">
        <v>111</v>
      </c>
      <c r="OO2" s="14" t="s">
        <v>22</v>
      </c>
      <c r="OP2" s="14" t="s">
        <v>24</v>
      </c>
      <c r="OQ2" s="14" t="s">
        <v>115</v>
      </c>
      <c r="OR2" s="14" t="s">
        <v>116</v>
      </c>
      <c r="OS2" s="14" t="s">
        <v>114</v>
      </c>
      <c r="OT2" s="14" t="s">
        <v>112</v>
      </c>
      <c r="OU2" s="14" t="s">
        <v>113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114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109</v>
      </c>
      <c r="PS2" s="13" t="s">
        <v>110</v>
      </c>
      <c r="PT2" s="13" t="s">
        <v>21</v>
      </c>
      <c r="PU2" s="13" t="s">
        <v>82</v>
      </c>
      <c r="PV2" s="13" t="s">
        <v>111</v>
      </c>
      <c r="PW2" s="13" t="s">
        <v>22</v>
      </c>
      <c r="PX2" s="13" t="s">
        <v>24</v>
      </c>
      <c r="PY2" s="13" t="s">
        <v>115</v>
      </c>
      <c r="PZ2" s="13" t="s">
        <v>116</v>
      </c>
      <c r="QA2" s="13" t="s">
        <v>114</v>
      </c>
      <c r="QB2" s="13" t="s">
        <v>112</v>
      </c>
      <c r="QC2" s="13" t="s">
        <v>113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114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109</v>
      </c>
      <c r="RA2" s="14" t="s">
        <v>110</v>
      </c>
      <c r="RB2" s="14" t="s">
        <v>21</v>
      </c>
      <c r="RC2" s="14" t="s">
        <v>82</v>
      </c>
      <c r="RD2" s="14" t="s">
        <v>111</v>
      </c>
      <c r="RE2" s="14" t="s">
        <v>22</v>
      </c>
      <c r="RF2" s="14" t="s">
        <v>24</v>
      </c>
      <c r="RG2" s="14" t="s">
        <v>115</v>
      </c>
      <c r="RH2" s="14" t="s">
        <v>116</v>
      </c>
      <c r="RI2" s="14" t="s">
        <v>114</v>
      </c>
      <c r="RJ2" s="14" t="s">
        <v>112</v>
      </c>
      <c r="RK2" s="14" t="s">
        <v>113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114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109</v>
      </c>
      <c r="SI2" s="13" t="s">
        <v>110</v>
      </c>
      <c r="SJ2" s="13" t="s">
        <v>21</v>
      </c>
      <c r="SK2" s="13" t="s">
        <v>82</v>
      </c>
      <c r="SL2" s="13" t="s">
        <v>111</v>
      </c>
      <c r="SM2" s="13" t="s">
        <v>22</v>
      </c>
      <c r="SN2" s="13" t="s">
        <v>24</v>
      </c>
      <c r="SO2" s="13" t="s">
        <v>115</v>
      </c>
      <c r="SP2" s="13" t="s">
        <v>116</v>
      </c>
      <c r="SQ2" s="13" t="s">
        <v>114</v>
      </c>
      <c r="SR2" s="13" t="s">
        <v>112</v>
      </c>
      <c r="SS2" s="13" t="s">
        <v>113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109</v>
      </c>
      <c r="TM2" s="14" t="s">
        <v>110</v>
      </c>
      <c r="TN2" s="14" t="s">
        <v>21</v>
      </c>
      <c r="TO2" s="14" t="s">
        <v>82</v>
      </c>
      <c r="TP2" s="14" t="s">
        <v>111</v>
      </c>
      <c r="TQ2" s="14" t="s">
        <v>22</v>
      </c>
      <c r="TR2" s="14" t="s">
        <v>24</v>
      </c>
      <c r="TS2" s="14" t="s">
        <v>112</v>
      </c>
      <c r="TT2" s="14" t="s">
        <v>113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31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31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31</v>
      </c>
      <c r="AN3" s="14" t="s">
        <v>57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31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31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31</v>
      </c>
      <c r="BO3" s="13" t="s">
        <v>57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31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31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31</v>
      </c>
      <c r="CP3" s="14" t="s">
        <v>57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31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31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31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31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31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31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31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31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31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31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31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31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31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31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31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31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31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31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31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31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31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31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31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31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31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31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31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31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31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31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31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31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31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31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31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31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31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31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31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31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31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31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31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31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31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31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31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31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31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31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31</v>
      </c>
      <c r="TK3" s="14" t="s">
        <v>57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5" t="s">
        <v>64</v>
      </c>
      <c r="C4" s="4" t="s">
        <v>8</v>
      </c>
      <c r="D4" s="4">
        <v>2001</v>
      </c>
      <c r="E4" s="9">
        <f t="shared" ref="E4:E22" si="0">SUM(J4:V4)+SUM(J4:T4)*0.0000001+SUM(J4)*0.0000000000001</f>
        <v>275.26002731500603</v>
      </c>
      <c r="F4" s="3" t="str">
        <f t="shared" ref="F4:F22" si="1"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 t="shared" ref="G4:G22" si="2"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37" t="str">
        <f t="shared" ref="H4:H22" si="3"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Merit</v>
      </c>
      <c r="I4" s="3" t="str">
        <f t="shared" ref="I4:I22" si="4"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8">
        <f>IF(COUNT(AQ4,AT4,BR4,BU4,CS4,CV4)&gt;0,LARGE((AQ4,AT4,BR4,BU4,CS4,CV4),1),0)</f>
        <v>59.88000000000001</v>
      </c>
      <c r="K4" s="8" t="str">
        <f t="shared" ref="K4:K22" si="5">IF(J4="","",IF(OR(J4=CS4,J4=CV4),$CA$1,IF(OR(J4=BR4,J4=BU4),$AZ$1,IF(OR(J4=AQ4,J4=AT4),$Y$1,""))))</f>
        <v>2022 Nationals</v>
      </c>
      <c r="L4" s="8">
        <f>IF(COUNT(AQ4,AT4,BR4,BU4,CS4,CV4)&gt;1,LARGE((AQ4,AT4,BR4,BU4,CS4,CV4),2),0)</f>
        <v>59.84</v>
      </c>
      <c r="M4" s="8" t="str">
        <f t="shared" ref="M4:M22" si="6">IF(L4="","",IF(OR(L4=CS4,L4=CV4),$CA$1,IF(OR(L4=BR4,L4=BU4),$AZ$1,IF(OR(L4=AQ4,L4=AT4),$Y$1,""))))</f>
        <v>2023 Elite Canada</v>
      </c>
      <c r="N4" s="8">
        <f>IF(COUNT(AQ4,AT4,BR4,BU4,CS4,CV4)&gt;2,LARGE((AQ4,AT4,BR4,BU4,CS4,CV4),3),0)</f>
        <v>59.8</v>
      </c>
      <c r="O4" s="8" t="str">
        <f t="shared" ref="O4:O22" si="7">IF(N4="","",IF(OR(N4=CS4,N4=CV4),$CA$1,IF(OR(N4=BR4,N4=BU4),$AZ$1,IF(OR(N4=AQ4,N4=AT4),$Y$1,""))))</f>
        <v>2022 3rd Domestic Trial</v>
      </c>
      <c r="P4" s="8">
        <f t="shared" ref="P4:P22" si="8">IF(MAX(AX4,BY4,CZ4)&gt;0,MAX(AX4,BY4,CZ4),0)</f>
        <v>58.53</v>
      </c>
      <c r="Q4" s="8" t="str">
        <f t="shared" ref="Q4:Q22" si="9">IF(P4="","",IF(P4=CZ4,$CA$1,IF(P4=BY4,$AZ$1,IF(P4=AX4,$Y$1,""))))</f>
        <v>2022 Nationals</v>
      </c>
      <c r="R4" s="8">
        <f t="shared" ref="R4:R22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 t="shared" ref="S4:S22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 t="shared" ref="T4:T22" si="12">IF(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</v>
      </c>
      <c r="U4" s="8" t="str">
        <f t="shared" ref="U4:U22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8">
        <f t="shared" ref="V4:V22" si="14">IF(MAX(DB4,DC4)&gt;0,MAX(DB4,DC4),"")</f>
        <v>2.1099999999999994</v>
      </c>
      <c r="W4" s="11" t="str">
        <f t="shared" ref="W4:W22" si="15">IF(V4="","",IF(V4=DB4,"("&amp;DB$2&amp;")",IF(V4=DC4,"("&amp;DC$2&amp;")")))</f>
        <v>(Final)</v>
      </c>
      <c r="X4" s="8" t="str">
        <f t="shared" ref="X4:X22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17.100000000000001</v>
      </c>
      <c r="Z4" s="23">
        <v>9.6</v>
      </c>
      <c r="AA4" s="23">
        <v>16.2</v>
      </c>
      <c r="AB4" s="23">
        <v>16.98</v>
      </c>
      <c r="AC4" s="23">
        <v>0</v>
      </c>
      <c r="AD4" s="23">
        <v>5.3</v>
      </c>
      <c r="AE4" s="23">
        <v>2.7</v>
      </c>
      <c r="AF4" s="23">
        <v>5.6</v>
      </c>
      <c r="AG4" s="23">
        <v>5.39</v>
      </c>
      <c r="AH4" s="23">
        <v>0</v>
      </c>
      <c r="AI4" s="23">
        <v>16.5</v>
      </c>
      <c r="AJ4" s="23">
        <v>9</v>
      </c>
      <c r="AK4" s="23">
        <v>16.2</v>
      </c>
      <c r="AL4" s="23">
        <v>16.829999999999998</v>
      </c>
      <c r="AM4" s="23">
        <v>0</v>
      </c>
      <c r="AN4" s="28"/>
      <c r="AO4" s="39">
        <f t="shared" ref="AO4:AO22" si="17">IF(AA4&gt;0,AA4,"")</f>
        <v>16.2</v>
      </c>
      <c r="AP4" s="39">
        <f t="shared" ref="AP4:AP22" si="18">IF(AB4&gt;0,AB4,"")</f>
        <v>16.98</v>
      </c>
      <c r="AQ4" s="41">
        <f t="shared" ref="AQ4:AQ22" si="19">IF(SUM(Y4:AB4)-AC4&gt;0,SUM(Y4:AB4)-AC4,"")</f>
        <v>59.88000000000001</v>
      </c>
      <c r="AR4" s="41">
        <f t="shared" ref="AR4:AR22" si="20">IF(AF4&gt;0,AF4,"")</f>
        <v>5.6</v>
      </c>
      <c r="AS4" s="41">
        <f t="shared" ref="AS4:AS22" si="21">IF(AG4&gt;0,AG4,"")</f>
        <v>5.39</v>
      </c>
      <c r="AT4" s="41">
        <f t="shared" ref="AT4:AT22" si="22">IF(SUM(AD4:AG4)-AH4&gt;0,SUM(AD4:AG4)-AH4,"")</f>
        <v>18.989999999999998</v>
      </c>
      <c r="AU4" s="41">
        <f t="shared" ref="AU4:AU22" si="23">IF(AQ4="","",MAX(AQ4,AT4))</f>
        <v>59.88000000000001</v>
      </c>
      <c r="AV4" s="41">
        <f t="shared" ref="AV4:AV22" si="24">IF(AK4&gt;0,AK4,"")</f>
        <v>16.2</v>
      </c>
      <c r="AW4" s="41">
        <f t="shared" ref="AW4:AW22" si="25">IF(AL4&gt;0,AL4,"")</f>
        <v>16.829999999999998</v>
      </c>
      <c r="AX4" s="41">
        <f t="shared" ref="AX4:AX22" si="26">IF(SUM(AI4:AL4)-AM4&gt;0,SUM(AI4:AL4)-AM4,"")</f>
        <v>58.53</v>
      </c>
      <c r="AY4" s="41">
        <f t="shared" ref="AY4:AY22" si="27">IF(SUM(AU4,AX4)&gt;0,SUM(AU4,AX4),"")</f>
        <v>118.41000000000001</v>
      </c>
      <c r="AZ4" s="27">
        <v>16.399999999999999</v>
      </c>
      <c r="BA4" s="27">
        <v>9</v>
      </c>
      <c r="BB4" s="27">
        <v>17.100000000000001</v>
      </c>
      <c r="BC4" s="27">
        <v>17.3</v>
      </c>
      <c r="BD4" s="27">
        <v>0</v>
      </c>
      <c r="BE4" s="27">
        <v>6.3</v>
      </c>
      <c r="BF4" s="27">
        <v>3.4</v>
      </c>
      <c r="BG4" s="27">
        <v>7.4</v>
      </c>
      <c r="BH4" s="27">
        <v>7.15</v>
      </c>
      <c r="BI4" s="27">
        <v>0</v>
      </c>
      <c r="BJ4" s="27">
        <v>14.3</v>
      </c>
      <c r="BK4" s="27">
        <v>7.6</v>
      </c>
      <c r="BL4" s="27">
        <v>15.3</v>
      </c>
      <c r="BM4" s="27">
        <v>15.73</v>
      </c>
      <c r="BN4" s="27">
        <v>0</v>
      </c>
      <c r="BO4" s="29"/>
      <c r="BP4" s="40">
        <f t="shared" ref="BP4:BP22" si="28">IF(BB4&gt;0,BB4,"")</f>
        <v>17.100000000000001</v>
      </c>
      <c r="BQ4" s="40">
        <f t="shared" ref="BQ4:BQ22" si="29">IF(BC4&gt;0,BC4,"")</f>
        <v>17.3</v>
      </c>
      <c r="BR4" s="11">
        <f t="shared" ref="BR4:BR22" si="30">IF(SUM(AZ4:BC4)-BD4&gt;0,SUM(AZ4:BC4)-BD4,"")</f>
        <v>59.8</v>
      </c>
      <c r="BS4" s="11">
        <f t="shared" ref="BS4:BS22" si="31">IF(BG4&gt;0,BG4,"")</f>
        <v>7.4</v>
      </c>
      <c r="BT4" s="11">
        <f t="shared" ref="BT4:BT22" si="32">IF(BH4&gt;0,BH4,"")</f>
        <v>7.15</v>
      </c>
      <c r="BU4" s="11">
        <f t="shared" ref="BU4:BU22" si="33">IF(SUM(BE4:BH4)-BI4&gt;0,SUM(BE4:BH4)-BI4,"")</f>
        <v>24.25</v>
      </c>
      <c r="BV4" s="11">
        <f t="shared" ref="BV4:BV22" si="34">IF(BR4="","",MAX(BR4,BU4))</f>
        <v>59.8</v>
      </c>
      <c r="BW4" s="11">
        <f t="shared" ref="BW4:BW22" si="35">IF(BL4&gt;0,BL4,"")</f>
        <v>15.3</v>
      </c>
      <c r="BX4" s="11">
        <f t="shared" ref="BX4:BX22" si="36">IF(BM4&gt;0,BM4,"")</f>
        <v>15.73</v>
      </c>
      <c r="BY4" s="11">
        <f t="shared" ref="BY4:BY22" si="37">IF(SUM(BJ4:BM4)-BN4&gt;0,SUM(BJ4:BM4)-BN4,"")</f>
        <v>52.930000000000007</v>
      </c>
      <c r="BZ4" s="11">
        <f t="shared" ref="BZ4:BZ22" si="38">IF(SUM(BV4,BY4)&gt;0,SUM(BV4,BY4),"")</f>
        <v>112.73</v>
      </c>
      <c r="CA4" s="23">
        <v>16.75</v>
      </c>
      <c r="CB4" s="23">
        <v>9.3000000000000007</v>
      </c>
      <c r="CC4" s="23">
        <v>16.649999999999999</v>
      </c>
      <c r="CD4" s="23">
        <v>17.14</v>
      </c>
      <c r="CE4" s="23">
        <v>0</v>
      </c>
      <c r="CF4" s="23">
        <v>5.8</v>
      </c>
      <c r="CG4" s="23">
        <v>3.05</v>
      </c>
      <c r="CH4" s="23">
        <v>6.5</v>
      </c>
      <c r="CI4" s="23">
        <v>6.27</v>
      </c>
      <c r="CJ4" s="23">
        <v>0</v>
      </c>
      <c r="CK4" s="23">
        <v>15.4</v>
      </c>
      <c r="CL4" s="23">
        <v>8.3000000000000007</v>
      </c>
      <c r="CM4" s="23">
        <v>15.75</v>
      </c>
      <c r="CN4" s="23">
        <v>16.28</v>
      </c>
      <c r="CO4" s="23">
        <v>0</v>
      </c>
      <c r="CP4" s="28" t="s">
        <v>58</v>
      </c>
      <c r="CQ4" s="39">
        <f t="shared" ref="CQ4:CQ22" si="39">IF(CC4&gt;0,CC4,"")</f>
        <v>16.649999999999999</v>
      </c>
      <c r="CR4" s="39">
        <f t="shared" ref="CR4:CR22" si="40">IF(CD4&gt;0,CD4,"")</f>
        <v>17.14</v>
      </c>
      <c r="CS4" s="41">
        <f t="shared" ref="CS4:CS22" si="41">IF(SUM(CA4:CD4)-CE4&gt;0,SUM(CA4:CD4)-CE4,"")</f>
        <v>59.84</v>
      </c>
      <c r="CT4" s="41">
        <f t="shared" ref="CT4:CT22" si="42">IF(CH4&gt;0,CH4,"")</f>
        <v>6.5</v>
      </c>
      <c r="CU4" s="41">
        <f t="shared" ref="CU4:CU22" si="43">IF(CI4&gt;0,CI4,"")</f>
        <v>6.27</v>
      </c>
      <c r="CV4" s="41">
        <f t="shared" ref="CV4:CV22" si="44">IF(SUM(CF4:CI4)-CJ4&gt;0,SUM(CF4:CI4)-CJ4,"")</f>
        <v>21.619999999999997</v>
      </c>
      <c r="CW4" s="41">
        <f t="shared" ref="CW4:CW22" si="45">IF(CS4="","",MAX(CS4,CV4))</f>
        <v>59.84</v>
      </c>
      <c r="CX4" s="41">
        <f t="shared" ref="CX4:CX22" si="46">IF(CM4&gt;0,CM4,"")</f>
        <v>15.75</v>
      </c>
      <c r="CY4" s="41">
        <f t="shared" ref="CY4:CY22" si="47">IF(CN4&gt;0,CN4,"")</f>
        <v>16.28</v>
      </c>
      <c r="CZ4" s="41">
        <f t="shared" ref="CZ4:CZ22" si="48">IF(SUM(CK4:CN4)-CO4&gt;0,SUM(CK4:CN4)-CO4,"")</f>
        <v>55.730000000000004</v>
      </c>
      <c r="DA4" s="41">
        <f t="shared" ref="DA4:DA22" si="49">IF(SUM(CW4,CZ4)&gt;0,SUM(CW4,CZ4),"")</f>
        <v>115.57000000000001</v>
      </c>
      <c r="DB4" s="52">
        <f t="shared" ref="DB4:DB22" si="50">IF(MAX(ED4,FL4,GT4,IB4,JJ4,KR4,LZ4,NH4,OP4,PX4,RF4,SN4)-IF(N4="",0,N4)&gt;0.001,MAX(ED4,FL4,GT4,IB4,JJ4,KR4,LZ4,NH4,OP4,PX4,RF4,SN4)-IF(N4="",0,N4),"")</f>
        <v>0.36000000000000654</v>
      </c>
      <c r="DC4" s="52">
        <f t="shared" ref="DC4:DC22" si="51">IF(MAX(EG4,EJ4,FO4,FR4,GW4,GZ4,IE4,IH4,JM4,JP4,KU4,KX4,MC4,MF4,NK4,NN4,OS4,OV4,QA4,QD4,RI4,RL4,SQ4,ST4)-IF(P4="",0,P4)&gt;0.001,MAX(EG4,EJ4,FO4,FR4,GW4,GZ4,IE4,IH4,JM4,JP4,KU4,KX4,MC4,MF4,NK4,NN4,OS4,OV4,QA4,QD4,RI4,RL4,SQ4,ST4)-IF(P4="",0,P4),"")</f>
        <v>2.1099999999999994</v>
      </c>
      <c r="DD4" s="17">
        <v>14.8</v>
      </c>
      <c r="DE4" s="17">
        <v>9.1999999999999993</v>
      </c>
      <c r="DF4" s="17">
        <v>16.2</v>
      </c>
      <c r="DG4" s="17">
        <v>16.760000000000002</v>
      </c>
      <c r="DH4" s="17">
        <v>0</v>
      </c>
      <c r="DI4" s="17">
        <v>4.5999999999999996</v>
      </c>
      <c r="DJ4" s="17">
        <v>2.7</v>
      </c>
      <c r="DK4" s="17">
        <v>5.6</v>
      </c>
      <c r="DL4" s="17">
        <v>5.32</v>
      </c>
      <c r="DM4" s="17">
        <v>0</v>
      </c>
      <c r="DN4" s="17">
        <v>7.8</v>
      </c>
      <c r="DO4" s="17">
        <v>4.5</v>
      </c>
      <c r="DP4" s="17">
        <v>8.6</v>
      </c>
      <c r="DQ4" s="17">
        <v>8.66</v>
      </c>
      <c r="DR4" s="17">
        <v>0</v>
      </c>
      <c r="DS4" s="17"/>
      <c r="DT4" s="17"/>
      <c r="DU4" s="17"/>
      <c r="DV4" s="17"/>
      <c r="DW4" s="17"/>
      <c r="DX4" s="41">
        <f t="shared" ref="DX4:DX22" si="52">IF(DF4&gt;0,DF4,"")</f>
        <v>16.2</v>
      </c>
      <c r="DY4" s="41">
        <f t="shared" ref="DY4:DY22" si="53">IF(DG4&gt;0,DG4,"")</f>
        <v>16.760000000000002</v>
      </c>
      <c r="DZ4" s="41">
        <f t="shared" ref="DZ4:DZ22" si="54">IF(SUM(DD4:DG4)-DH4&gt;0,SUM(DD4:DG4)-DH4,"")</f>
        <v>56.960000000000008</v>
      </c>
      <c r="EA4" s="41">
        <f t="shared" ref="EA4:EA22" si="55">IF(DK4&gt;0,DK4,"")</f>
        <v>5.6</v>
      </c>
      <c r="EB4" s="41">
        <f t="shared" ref="EB4:EB22" si="56">IF(DL4&gt;0,DL4,"")</f>
        <v>5.32</v>
      </c>
      <c r="EC4" s="41">
        <f t="shared" ref="EC4:EC22" si="57">IF(SUM(DI4:DL4)-DM4&gt;0,SUM(DI4:DL4)-DM4,"")</f>
        <v>18.22</v>
      </c>
      <c r="ED4" s="41">
        <f t="shared" ref="ED4:ED22" si="58">IF(MAX(DZ4,EC4)&gt;0,MAX(DZ4,EC4),"")</f>
        <v>56.960000000000008</v>
      </c>
      <c r="EE4" s="41">
        <f t="shared" ref="EE4:EE22" si="59">IF(DP4&gt;0,DP4,"")</f>
        <v>8.6</v>
      </c>
      <c r="EF4" s="41">
        <f t="shared" ref="EF4:EF22" si="60">IF(DQ4&gt;0,DQ4,"")</f>
        <v>8.66</v>
      </c>
      <c r="EG4" s="41">
        <f t="shared" ref="EG4:EG22" si="61">IF(SUM(DN4:DQ4)-DR4&gt;0,SUM(DN4:DQ4)-DR4,"")</f>
        <v>29.56</v>
      </c>
      <c r="EH4" s="41" t="str">
        <f t="shared" ref="EH4:EH22" si="62">IF(DU4&gt;0,DU4,"")</f>
        <v/>
      </c>
      <c r="EI4" s="41" t="str">
        <f t="shared" ref="EI4:EI22" si="63">IF(DV4&gt;0,DV4,"")</f>
        <v/>
      </c>
      <c r="EJ4" s="41" t="str">
        <f t="shared" ref="EJ4:EJ22" si="64">IF(SUM(DS4:DV4)-DW4&gt;0,SUM(DS4:DV4)-DW4,"")</f>
        <v/>
      </c>
      <c r="EK4" s="41">
        <f t="shared" ref="EK4:EK22" si="65">IF(SUM(ED4,EJ4)&gt;0,SUM(ED4,EJ4),"")</f>
        <v>56.960000000000008</v>
      </c>
      <c r="EL4" s="18">
        <v>15.9</v>
      </c>
      <c r="EM4" s="18">
        <v>9.1</v>
      </c>
      <c r="EN4" s="18">
        <v>16.2</v>
      </c>
      <c r="EO4" s="18">
        <v>16.86</v>
      </c>
      <c r="EP4" s="18">
        <v>0</v>
      </c>
      <c r="EQ4" s="18">
        <v>16.2</v>
      </c>
      <c r="ER4" s="18">
        <v>9.3000000000000007</v>
      </c>
      <c r="ES4" s="18">
        <v>16.2</v>
      </c>
      <c r="ET4" s="18">
        <v>17.23</v>
      </c>
      <c r="EU4" s="18">
        <v>0</v>
      </c>
      <c r="EV4" s="18"/>
      <c r="EW4" s="18"/>
      <c r="EX4" s="18"/>
      <c r="EY4" s="18"/>
      <c r="EZ4" s="18"/>
      <c r="FA4" s="18">
        <v>16.100000000000001</v>
      </c>
      <c r="FB4" s="18">
        <v>9.1</v>
      </c>
      <c r="FC4" s="18">
        <v>16.2</v>
      </c>
      <c r="FD4" s="18">
        <v>16.95</v>
      </c>
      <c r="FE4" s="18">
        <v>0</v>
      </c>
      <c r="FF4" s="11">
        <f t="shared" ref="FF4:FF22" si="66">IF(EN4&gt;0,EN4,"")</f>
        <v>16.2</v>
      </c>
      <c r="FG4" s="11">
        <f t="shared" ref="FG4:FG22" si="67">IF(EO4&gt;0,EO4,"")</f>
        <v>16.86</v>
      </c>
      <c r="FH4" s="11">
        <f t="shared" ref="FH4:FH22" si="68">IF(SUM(EL4:EO4)-EP4&gt;0,SUM(EL4:EO4)-EP4,"")</f>
        <v>58.06</v>
      </c>
      <c r="FI4" s="11">
        <f t="shared" ref="FI4:FI22" si="69">IF(ES4&gt;0,ES4,"")</f>
        <v>16.2</v>
      </c>
      <c r="FJ4" s="11">
        <f t="shared" ref="FJ4:FJ22" si="70">IF(ET4&gt;0,ET4,"")</f>
        <v>17.23</v>
      </c>
      <c r="FK4" s="11">
        <f t="shared" ref="FK4:FK22" si="71">IF(SUM(EQ4:ET4)-EU4&gt;0,SUM(EQ4:ET4)-EU4,"")</f>
        <v>58.930000000000007</v>
      </c>
      <c r="FL4" s="11">
        <f t="shared" ref="FL4:FL22" si="72">IF(MAX(FH4,FK4)&gt;0,MAX(FH4,FK4),"")</f>
        <v>58.930000000000007</v>
      </c>
      <c r="FM4" s="11" t="str">
        <f t="shared" ref="FM4:FM22" si="73">IF(EX4&gt;0,EX4,"")</f>
        <v/>
      </c>
      <c r="FN4" s="11" t="str">
        <f t="shared" ref="FN4:FN22" si="74">IF(EY4&gt;0,EY4,"")</f>
        <v/>
      </c>
      <c r="FO4" s="11" t="str">
        <f t="shared" ref="FO4:FO22" si="75">IF(SUM(EV4:EY4)-EZ4&gt;0,SUM(EV4:EY4)-EZ4,"")</f>
        <v/>
      </c>
      <c r="FP4" s="11">
        <f t="shared" ref="FP4:FP22" si="76">IF(FC4&gt;0,FC4,"")</f>
        <v>16.2</v>
      </c>
      <c r="FQ4" s="11">
        <f t="shared" ref="FQ4:FQ22" si="77">IF(FD4&gt;0,FD4,"")</f>
        <v>16.95</v>
      </c>
      <c r="FR4" s="11">
        <f t="shared" ref="FR4:FR22" si="78">IF(SUM(FA4:FD4)-FE4&gt;0,SUM(FA4:FD4)-FE4,"")</f>
        <v>58.350000000000009</v>
      </c>
      <c r="FS4" s="11">
        <f t="shared" ref="FS4:FS22" si="79">IF(SUM(FL4,FR4)&gt;0,SUM(FL4,FR4),"")</f>
        <v>117.28000000000002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22" si="80">IF(FV4&gt;0,FV4,"")</f>
        <v/>
      </c>
      <c r="GO4" s="41" t="str">
        <f t="shared" ref="GO4:GO22" si="81">IF(FW4&gt;0,FW4,"")</f>
        <v/>
      </c>
      <c r="GP4" s="41" t="str">
        <f t="shared" ref="GP4:GP22" si="82">IF(SUM(FT4:FW4)-FX4&gt;0,SUM(FT4:FW4)-FX4,"")</f>
        <v/>
      </c>
      <c r="GQ4" s="41" t="str">
        <f t="shared" ref="GQ4:GQ22" si="83">IF(GA4&gt;0,GA4,"")</f>
        <v/>
      </c>
      <c r="GR4" s="41" t="str">
        <f t="shared" ref="GR4:GR22" si="84">IF(GB4&gt;0,GB4,"")</f>
        <v/>
      </c>
      <c r="GS4" s="41" t="str">
        <f t="shared" ref="GS4:GS22" si="85">IF(SUM(FY4:GB4)-GC4&gt;0,SUM(FY4:GB4)-GC4,"")</f>
        <v/>
      </c>
      <c r="GT4" s="41" t="str">
        <f t="shared" ref="GT4:GT22" si="86">IF(MAX(GP4,GS4)&gt;0,MAX(GP4,GS4),"")</f>
        <v/>
      </c>
      <c r="GU4" s="41" t="str">
        <f t="shared" ref="GU4:GU22" si="87">IF(GF4&gt;0,GF4,"")</f>
        <v/>
      </c>
      <c r="GV4" s="41" t="str">
        <f t="shared" ref="GV4:GV22" si="88">IF(GG4&gt;0,GG4,"")</f>
        <v/>
      </c>
      <c r="GW4" s="41" t="str">
        <f t="shared" ref="GW4:GW22" si="89">IF(SUM(GD4:GG4)-GH4&gt;0,SUM(GD4:GG4)-GH4,"")</f>
        <v/>
      </c>
      <c r="GX4" s="41" t="str">
        <f t="shared" ref="GX4:GX22" si="90">IF(GK4&gt;0,GK4,"")</f>
        <v/>
      </c>
      <c r="GY4" s="41" t="str">
        <f t="shared" ref="GY4:GY22" si="91">IF(GL4&gt;0,GL4,"")</f>
        <v/>
      </c>
      <c r="GZ4" s="41" t="str">
        <f t="shared" ref="GZ4:GZ22" si="92">IF(SUM(GI4:GL4)-GM4&gt;0,SUM(GI4:GL4)-GM4,"")</f>
        <v/>
      </c>
      <c r="HA4" s="41" t="str">
        <f t="shared" ref="HA4:HA22" si="93">IF(SUM(GT4,GZ4)&gt;0,SUM(GT4,GZ4),"")</f>
        <v/>
      </c>
      <c r="HB4" s="18">
        <v>3.3</v>
      </c>
      <c r="HC4" s="18">
        <v>1.8</v>
      </c>
      <c r="HD4" s="18">
        <v>3.8</v>
      </c>
      <c r="HE4" s="18">
        <v>3.5750000000000002</v>
      </c>
      <c r="HF4" s="18">
        <v>0</v>
      </c>
      <c r="HG4" s="18">
        <v>16.8</v>
      </c>
      <c r="HH4" s="18">
        <v>9.3000000000000007</v>
      </c>
      <c r="HI4" s="18">
        <v>16.2</v>
      </c>
      <c r="HJ4" s="18">
        <v>17.215</v>
      </c>
      <c r="HK4" s="18">
        <v>0</v>
      </c>
      <c r="HL4" s="18">
        <v>14.5</v>
      </c>
      <c r="HM4" s="18">
        <v>8.6999999999999993</v>
      </c>
      <c r="HN4" s="18">
        <v>16.2</v>
      </c>
      <c r="HO4" s="18">
        <v>17.004999999999999</v>
      </c>
      <c r="HP4" s="18">
        <v>0</v>
      </c>
      <c r="HQ4" s="18"/>
      <c r="HR4" s="18"/>
      <c r="HS4" s="18"/>
      <c r="HT4" s="18"/>
      <c r="HU4" s="18"/>
      <c r="HV4" s="11">
        <f t="shared" ref="HV4:HV22" si="94">IF(HD4&gt;0,HD4,"")</f>
        <v>3.8</v>
      </c>
      <c r="HW4" s="11">
        <f t="shared" ref="HW4:HW22" si="95">IF(HE4&gt;0,HE4,"")</f>
        <v>3.5750000000000002</v>
      </c>
      <c r="HX4" s="11">
        <f t="shared" ref="HX4:HX22" si="96">IF(SUM(HB4:HE4)-HF4&gt;0,SUM(HB4:HE4)-HF4,"")</f>
        <v>12.474999999999998</v>
      </c>
      <c r="HY4" s="11">
        <f t="shared" ref="HY4:HY22" si="97">IF(HI4&gt;0,HI4,"")</f>
        <v>16.2</v>
      </c>
      <c r="HZ4" s="11">
        <f t="shared" ref="HZ4:HZ22" si="98">IF(HJ4&gt;0,HJ4,"")</f>
        <v>17.215</v>
      </c>
      <c r="IA4" s="11">
        <f t="shared" ref="IA4:IA22" si="99">IF(SUM(HG4:HJ4)-HK4&gt;0,SUM(HG4:HJ4)-HK4,"")</f>
        <v>59.515000000000001</v>
      </c>
      <c r="IB4" s="11">
        <f t="shared" ref="IB4:IB22" si="100">IF(MAX(HX4,IA4)&gt;0,MAX(HX4,IA4),"")</f>
        <v>59.515000000000001</v>
      </c>
      <c r="IC4" s="11">
        <f t="shared" ref="IC4:IC22" si="101">IF(HN4&gt;0,HN4,"")</f>
        <v>16.2</v>
      </c>
      <c r="ID4" s="11">
        <f t="shared" ref="ID4:ID22" si="102">IF(HO4&gt;0,HO4,"")</f>
        <v>17.004999999999999</v>
      </c>
      <c r="IE4" s="11">
        <f t="shared" ref="IE4:IE22" si="103">IF(SUM(HL4:HO4)-HP4&gt;0,SUM(HL4:HO4)-HP4,"")</f>
        <v>56.405000000000001</v>
      </c>
      <c r="IF4" s="11" t="str">
        <f t="shared" ref="IF4:IF22" si="104">IF(HS4&gt;0,HS4,"")</f>
        <v/>
      </c>
      <c r="IG4" s="11" t="str">
        <f t="shared" ref="IG4:IG22" si="105">IF(HT4&gt;0,HT4,"")</f>
        <v/>
      </c>
      <c r="IH4" s="11" t="str">
        <f t="shared" ref="IH4:IH22" si="106">IF(SUM(HQ4:HT4)-HU4&gt;0,SUM(HQ4:HT4)-HU4,"")</f>
        <v/>
      </c>
      <c r="II4" s="11">
        <f t="shared" ref="II4:II22" si="107">IF(SUM(IB4,IH4)&gt;0,SUM(IB4,IH4),"")</f>
        <v>59.515000000000001</v>
      </c>
      <c r="IJ4" s="17">
        <v>15.8</v>
      </c>
      <c r="IK4" s="17">
        <v>9.1</v>
      </c>
      <c r="IL4" s="17">
        <v>17.399999999999999</v>
      </c>
      <c r="IM4" s="17">
        <v>16.84</v>
      </c>
      <c r="IN4" s="17">
        <v>0</v>
      </c>
      <c r="IO4" s="17">
        <v>15.9</v>
      </c>
      <c r="IP4" s="17">
        <v>9.5</v>
      </c>
      <c r="IQ4" s="17">
        <v>17.8</v>
      </c>
      <c r="IR4" s="17">
        <v>16.96</v>
      </c>
      <c r="IS4" s="17">
        <v>0</v>
      </c>
      <c r="IT4" s="17">
        <v>16.2</v>
      </c>
      <c r="IU4" s="17">
        <v>9.8000000000000007</v>
      </c>
      <c r="IV4" s="17">
        <v>17.399999999999999</v>
      </c>
      <c r="IW4" s="17">
        <v>17.239999999999998</v>
      </c>
      <c r="IX4" s="17">
        <v>0</v>
      </c>
      <c r="IY4" s="17">
        <v>15.3</v>
      </c>
      <c r="IZ4" s="17">
        <v>8.6999999999999993</v>
      </c>
      <c r="JA4" s="17">
        <v>17</v>
      </c>
      <c r="JB4" s="17">
        <v>16.82</v>
      </c>
      <c r="JC4" s="17">
        <v>0</v>
      </c>
      <c r="JD4" s="41">
        <f t="shared" ref="JD4:JD22" si="108">IF(IL4&gt;0,IL4,"")</f>
        <v>17.399999999999999</v>
      </c>
      <c r="JE4" s="41">
        <f t="shared" ref="JE4:JE22" si="109">IF(IM4&gt;0,IM4,"")</f>
        <v>16.84</v>
      </c>
      <c r="JF4" s="41">
        <f t="shared" ref="JF4:JF22" si="110">IF(SUM(IJ4:IM4)-IN4&gt;0,SUM(IJ4:IM4)-IN4,"")</f>
        <v>59.14</v>
      </c>
      <c r="JG4" s="41">
        <f t="shared" ref="JG4:JG22" si="111">IF(IQ4&gt;0,IQ4,"")</f>
        <v>17.8</v>
      </c>
      <c r="JH4" s="41">
        <f t="shared" ref="JH4:JH22" si="112">IF(IR4&gt;0,IR4,"")</f>
        <v>16.96</v>
      </c>
      <c r="JI4" s="41">
        <f t="shared" ref="JI4:JI22" si="113">IF(SUM(IO4:IR4)-IS4&gt;0,SUM(IO4:IR4)-IS4,"")</f>
        <v>60.160000000000004</v>
      </c>
      <c r="JJ4" s="41">
        <f t="shared" ref="JJ4:JJ22" si="114">IF(MAX(JF4,JI4)&gt;0,MAX(JF4,JI4),"")</f>
        <v>60.160000000000004</v>
      </c>
      <c r="JK4" s="41">
        <f t="shared" ref="JK4:JK22" si="115">IF(IV4&gt;0,IV4,"")</f>
        <v>17.399999999999999</v>
      </c>
      <c r="JL4" s="41">
        <f t="shared" ref="JL4:JL22" si="116">IF(IW4&gt;0,IW4,"")</f>
        <v>17.239999999999998</v>
      </c>
      <c r="JM4" s="41">
        <f t="shared" ref="JM4:JM22" si="117">IF(SUM(IT4:IW4)-IX4&gt;0,SUM(IT4:IW4)-IX4,"")</f>
        <v>60.64</v>
      </c>
      <c r="JN4" s="41">
        <f t="shared" ref="JN4:JN22" si="118">IF(JA4&gt;0,JA4,"")</f>
        <v>17</v>
      </c>
      <c r="JO4" s="41">
        <f t="shared" ref="JO4:JO22" si="119">IF(JB4&gt;0,JB4,"")</f>
        <v>16.82</v>
      </c>
      <c r="JP4" s="41">
        <f t="shared" ref="JP4:JP22" si="120">IF(SUM(IY4:JB4)-JC4&gt;0,SUM(IY4:JB4)-JC4,"")</f>
        <v>57.82</v>
      </c>
      <c r="JQ4" s="41">
        <f t="shared" ref="JQ4:JQ22" si="121">IF(SUM(JJ4,JP4)&gt;0,SUM(JJ4,JP4),"")</f>
        <v>117.98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9.6</v>
      </c>
      <c r="KH4" s="18">
        <v>5.2</v>
      </c>
      <c r="KI4" s="18">
        <v>11</v>
      </c>
      <c r="KJ4" s="18">
        <v>10.38</v>
      </c>
      <c r="KK4" s="18">
        <v>0</v>
      </c>
      <c r="KL4" s="11" t="str">
        <f t="shared" ref="KL4:KL22" si="122">IF(JT4&gt;0,JT4,"")</f>
        <v/>
      </c>
      <c r="KM4" s="11" t="str">
        <f t="shared" ref="KM4:KM22" si="123">IF(JU4&gt;0,JU4,"")</f>
        <v/>
      </c>
      <c r="KN4" s="11" t="str">
        <f t="shared" ref="KN4:KN22" si="124">IF(SUM(JR4:JU4)-JV4&gt;0,SUM(JR4:JU4)-JV4,"")</f>
        <v/>
      </c>
      <c r="KO4" s="11" t="str">
        <f t="shared" ref="KO4:KO22" si="125">IF(JY4&gt;0,JY4,"")</f>
        <v/>
      </c>
      <c r="KP4" s="11" t="str">
        <f t="shared" ref="KP4:KP22" si="126">IF(JZ4&gt;0,JZ4,"")</f>
        <v/>
      </c>
      <c r="KQ4" s="11" t="str">
        <f t="shared" ref="KQ4:KQ22" si="127">IF(SUM(JW4:JZ4)-KA4&gt;0,SUM(JW4:JZ4)-KA4,"")</f>
        <v/>
      </c>
      <c r="KR4" s="11" t="str">
        <f t="shared" ref="KR4:KR22" si="128">IF(MAX(KN4,KQ4)&gt;0,MAX(KN4,KQ4),"")</f>
        <v/>
      </c>
      <c r="KS4" s="11" t="str">
        <f t="shared" ref="KS4:KS22" si="129">IF(KD4&gt;0,KD4,"")</f>
        <v/>
      </c>
      <c r="KT4" s="11" t="str">
        <f t="shared" ref="KT4:KT22" si="130">IF(KE4&gt;0,KE4,"")</f>
        <v/>
      </c>
      <c r="KU4" s="11" t="str">
        <f t="shared" ref="KU4:KU22" si="131">IF(SUM(KB4:KE4)-KF4&gt;0,SUM(KB4:KE4)-KF4,"")</f>
        <v/>
      </c>
      <c r="KV4" s="11">
        <f t="shared" ref="KV4:KV22" si="132">IF(KI4&gt;0,KI4,"")</f>
        <v>11</v>
      </c>
      <c r="KW4" s="11">
        <f t="shared" ref="KW4:KW22" si="133">IF(KJ4&gt;0,KJ4,"")</f>
        <v>10.38</v>
      </c>
      <c r="KX4" s="11">
        <f t="shared" ref="KX4:KX22" si="134">IF(SUM(KG4:KJ4)-KK4&gt;0,SUM(KG4:KJ4)-KK4,"")</f>
        <v>36.18</v>
      </c>
      <c r="KY4" s="11">
        <f t="shared" ref="KY4:KY22" si="135">IF(SUM(KR4,KX4)&gt;0,SUM(KR4,KX4),"")</f>
        <v>36.18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 t="shared" ref="LT4:LT22" si="136">IF(LB4&gt;0,LB4,"")</f>
        <v/>
      </c>
      <c r="LU4" s="41" t="str">
        <f t="shared" ref="LU4:LU22" si="137">IF(LC4&gt;0,LC4,"")</f>
        <v/>
      </c>
      <c r="LV4" s="41" t="str">
        <f t="shared" ref="LV4:LV22" si="138">IF(SUM(KZ4:LC4)-LD4&gt;0,SUM(KZ4:LC4)-LD4,"")</f>
        <v/>
      </c>
      <c r="LW4" s="41" t="str">
        <f t="shared" ref="LW4:LW22" si="139">IF(LG4&gt;0,LG4,"")</f>
        <v/>
      </c>
      <c r="LX4" s="41" t="str">
        <f t="shared" ref="LX4:LX22" si="140">IF(LH4&gt;0,LH4,"")</f>
        <v/>
      </c>
      <c r="LY4" s="41" t="str">
        <f t="shared" ref="LY4:LY22" si="141">IF(SUM(LE4:LH4)-LI4&gt;0,SUM(LE4:LH4)-LI4,"")</f>
        <v/>
      </c>
      <c r="LZ4" s="41" t="str">
        <f t="shared" ref="LZ4:LZ22" si="142">IF(MAX(LV4,LY4)&gt;0,MAX(LV4,LY4),"")</f>
        <v/>
      </c>
      <c r="MA4" s="41" t="str">
        <f t="shared" ref="MA4:MA22" si="143">IF(LL4&gt;0,LL4,"")</f>
        <v/>
      </c>
      <c r="MB4" s="41" t="str">
        <f t="shared" ref="MB4:MB22" si="144">IF(LM4&gt;0,LM4,"")</f>
        <v/>
      </c>
      <c r="MC4" s="41" t="str">
        <f t="shared" ref="MC4:MC22" si="145">IF(SUM(LJ4:LM4)-LN4&gt;0,SUM(LJ4:LM4)-LN4,"")</f>
        <v/>
      </c>
      <c r="MD4" s="41" t="str">
        <f t="shared" ref="MD4:MD22" si="146">IF(LQ4&gt;0,LQ4,"")</f>
        <v/>
      </c>
      <c r="ME4" s="41" t="str">
        <f t="shared" ref="ME4:ME22" si="147">IF(LR4&gt;0,LR4,"")</f>
        <v/>
      </c>
      <c r="MF4" s="41" t="str">
        <f t="shared" ref="MF4:MF22" si="148">IF(SUM(LO4:LR4)-LS4&gt;0,SUM(LO4:LR4)-LS4,"")</f>
        <v/>
      </c>
      <c r="MG4" s="41" t="str">
        <f t="shared" ref="MG4:MG22" si="149">IF(SUM(LZ4,MF4)&gt;0,SUM(LZ4,MF4),"")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2" si="150">IF(MJ4&gt;0,MJ4,"")</f>
        <v/>
      </c>
      <c r="NC4" s="11" t="str">
        <f t="shared" ref="NC4:NC22" si="151">IF(MK4&gt;0,MK4,"")</f>
        <v/>
      </c>
      <c r="ND4" s="11" t="str">
        <f t="shared" ref="ND4:ND22" si="152">IF(SUM(MH4:MK4)-ML4&gt;0,SUM(MH4:MK4)-ML4,"")</f>
        <v/>
      </c>
      <c r="NE4" s="11" t="str">
        <f t="shared" ref="NE4:NE22" si="153">IF(MO4&gt;0,MO4,"")</f>
        <v/>
      </c>
      <c r="NF4" s="11" t="str">
        <f t="shared" ref="NF4:NF22" si="154">IF(MP4&gt;0,MP4,"")</f>
        <v/>
      </c>
      <c r="NG4" s="11" t="str">
        <f t="shared" ref="NG4:NG22" si="155">IF(SUM(MM4:MP4)-MQ4&gt;0,SUM(MM4:MP4)-MQ4,"")</f>
        <v/>
      </c>
      <c r="NH4" s="11" t="str">
        <f t="shared" ref="NH4:NH22" si="156">IF(MAX(ND4,NG4)&gt;0,MAX(ND4,NG4),"")</f>
        <v/>
      </c>
      <c r="NI4" s="11" t="str">
        <f t="shared" ref="NI4:NI22" si="157">IF(MT4&gt;0,MT4,"")</f>
        <v/>
      </c>
      <c r="NJ4" s="11" t="str">
        <f t="shared" ref="NJ4:NJ22" si="158">IF(MU4&gt;0,MU4,"")</f>
        <v/>
      </c>
      <c r="NK4" s="11" t="str">
        <f t="shared" ref="NK4:NK22" si="159">IF(SUM(MR4:MU4)-MV4&gt;0,SUM(MR4:MU4)-MV4,"")</f>
        <v/>
      </c>
      <c r="NL4" s="11" t="str">
        <f t="shared" ref="NL4:NL22" si="160">IF(MY4&gt;0,MY4,"")</f>
        <v/>
      </c>
      <c r="NM4" s="11" t="str">
        <f t="shared" ref="NM4:NM22" si="161">IF(MZ4&gt;0,MZ4,"")</f>
        <v/>
      </c>
      <c r="NN4" s="11" t="str">
        <f t="shared" ref="NN4:NN22" si="162">IF(SUM(MW4:MZ4)-NA4&gt;0,SUM(MW4:MZ4)-NA4,"")</f>
        <v/>
      </c>
      <c r="NO4" s="11" t="str">
        <f t="shared" ref="NO4:NO22" si="163"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22" si="164">IF(NR4&gt;0,NR4,"")</f>
        <v/>
      </c>
      <c r="OK4" s="41" t="str">
        <f t="shared" ref="OK4:OK22" si="165">IF(NS4&gt;0,NS4,"")</f>
        <v/>
      </c>
      <c r="OL4" s="41" t="str">
        <f t="shared" ref="OL4:OL22" si="166">IF(SUM(NP4:NS4)-NT4&gt;0,SUM(NP4:NS4)-NT4,"")</f>
        <v/>
      </c>
      <c r="OM4" s="41" t="str">
        <f t="shared" ref="OM4:OM22" si="167">IF(NW4&gt;0,NW4,"")</f>
        <v/>
      </c>
      <c r="ON4" s="41" t="str">
        <f t="shared" ref="ON4:ON22" si="168">IF(NX4&gt;0,NX4,"")</f>
        <v/>
      </c>
      <c r="OO4" s="41" t="str">
        <f t="shared" ref="OO4:OO22" si="169">IF(SUM(NU4:NX4)-NY4&gt;0,SUM(NU4:NX4)-NY4,"")</f>
        <v/>
      </c>
      <c r="OP4" s="41" t="str">
        <f t="shared" ref="OP4:OP22" si="170">IF(MAX(OL4,OO4)&gt;0,MAX(OL4,OO4),"")</f>
        <v/>
      </c>
      <c r="OQ4" s="41" t="str">
        <f t="shared" ref="OQ4:OQ22" si="171">IF(OB4&gt;0,OB4,"")</f>
        <v/>
      </c>
      <c r="OR4" s="41" t="str">
        <f t="shared" ref="OR4:OR22" si="172">IF(OC4&gt;0,OC4,"")</f>
        <v/>
      </c>
      <c r="OS4" s="41" t="str">
        <f t="shared" ref="OS4:OS22" si="173">IF(SUM(NZ4:OC4)-OD4&gt;0,SUM(NZ4:OC4)-OD4,"")</f>
        <v/>
      </c>
      <c r="OT4" s="41" t="str">
        <f t="shared" ref="OT4:OT22" si="174">IF(OG4&gt;0,OG4,"")</f>
        <v/>
      </c>
      <c r="OU4" s="41" t="str">
        <f t="shared" ref="OU4:OU22" si="175">IF(OH4&gt;0,OH4,"")</f>
        <v/>
      </c>
      <c r="OV4" s="41" t="str">
        <f t="shared" ref="OV4:OV22" si="176">IF(SUM(OE4:OH4)-OI4&gt;0,SUM(OE4:OH4)-OI4,"")</f>
        <v/>
      </c>
      <c r="OW4" s="41" t="str">
        <f t="shared" ref="OW4:OW22" si="177"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2" si="178">IF(OZ4&gt;0,OZ4,"")</f>
        <v/>
      </c>
      <c r="PS4" s="11" t="str">
        <f t="shared" ref="PS4:PS22" si="179">IF(PA4&gt;0,PA4,"")</f>
        <v/>
      </c>
      <c r="PT4" s="11" t="str">
        <f t="shared" ref="PT4:PT22" si="180">IF(SUM(OX4:PA4)-PB4&gt;0,SUM(OX4:PA4)-PB4,"")</f>
        <v/>
      </c>
      <c r="PU4" s="11" t="str">
        <f t="shared" ref="PU4:PU22" si="181">IF(PE4&gt;0,PE4,"")</f>
        <v/>
      </c>
      <c r="PV4" s="11" t="str">
        <f t="shared" ref="PV4:PV22" si="182">IF(PF4&gt;0,PF4,"")</f>
        <v/>
      </c>
      <c r="PW4" s="11" t="str">
        <f t="shared" ref="PW4:PW22" si="183">IF(SUM(PC4:PF4)-PG4&gt;0,SUM(PC4:PF4)-PG4,"")</f>
        <v/>
      </c>
      <c r="PX4" s="11" t="str">
        <f t="shared" ref="PX4:PX22" si="184">IF(MAX(PT4,PW4)&gt;0,MAX(PT4,PW4),"")</f>
        <v/>
      </c>
      <c r="PY4" s="11" t="str">
        <f t="shared" ref="PY4:PY22" si="185">IF(PJ4&gt;0,PJ4,"")</f>
        <v/>
      </c>
      <c r="PZ4" s="11" t="str">
        <f t="shared" ref="PZ4:PZ22" si="186">IF(PK4&gt;0,PK4,"")</f>
        <v/>
      </c>
      <c r="QA4" s="11" t="str">
        <f t="shared" ref="QA4:QA22" si="187">IF(SUM(PH4:PK4)-PL4&gt;0,SUM(PH4:PK4)-PL4,"")</f>
        <v/>
      </c>
      <c r="QB4" s="11" t="str">
        <f t="shared" ref="QB4:QB22" si="188">IF(PO4&gt;0,PO4,"")</f>
        <v/>
      </c>
      <c r="QC4" s="11" t="str">
        <f t="shared" ref="QC4:QC22" si="189">IF(PP4&gt;0,PP4,"")</f>
        <v/>
      </c>
      <c r="QD4" s="11" t="str">
        <f t="shared" ref="QD4:QD22" si="190">IF(SUM(PM4:PP4)-PQ4&gt;0,SUM(PM4:PP4)-PQ4,"")</f>
        <v/>
      </c>
      <c r="QE4" s="11" t="str">
        <f t="shared" ref="QE4:QE22" si="191"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22" si="192">IF(QH4&gt;0,QH4,"")</f>
        <v/>
      </c>
      <c r="RA4" s="41" t="str">
        <f t="shared" ref="RA4:RA22" si="193">IF(QI4&gt;0,QI4,"")</f>
        <v/>
      </c>
      <c r="RB4" s="41" t="str">
        <f t="shared" ref="RB4:RB22" si="194">IF(SUM(QF4:QI4)-QJ4&gt;0,SUM(QF4:QI4)-QJ4,"")</f>
        <v/>
      </c>
      <c r="RC4" s="41" t="str">
        <f t="shared" ref="RC4:RC22" si="195">IF(QM4&gt;0,QM4,"")</f>
        <v/>
      </c>
      <c r="RD4" s="41" t="str">
        <f t="shared" ref="RD4:RD22" si="196">IF(QN4&gt;0,QN4,"")</f>
        <v/>
      </c>
      <c r="RE4" s="41" t="str">
        <f t="shared" ref="RE4:RE22" si="197">IF(SUM(QK4:QN4)-QO4&gt;0,SUM(QK4:QN4)-QO4,"")</f>
        <v/>
      </c>
      <c r="RF4" s="41" t="str">
        <f t="shared" ref="RF4:RF22" si="198">IF(MAX(RB4,RE4)&gt;0,MAX(RB4,RE4),"")</f>
        <v/>
      </c>
      <c r="RG4" s="41" t="str">
        <f t="shared" ref="RG4:RG22" si="199">IF(QR4&gt;0,QR4,"")</f>
        <v/>
      </c>
      <c r="RH4" s="41" t="str">
        <f t="shared" ref="RH4:RH22" si="200">IF(QS4&gt;0,QS4,"")</f>
        <v/>
      </c>
      <c r="RI4" s="41" t="str">
        <f t="shared" ref="RI4:RI22" si="201">IF(SUM(QP4:QS4)-QT4&gt;0,SUM(QP4:QS4)-QT4,"")</f>
        <v/>
      </c>
      <c r="RJ4" s="41" t="str">
        <f t="shared" ref="RJ4:RJ22" si="202">IF(QW4&gt;0,QW4,"")</f>
        <v/>
      </c>
      <c r="RK4" s="41" t="str">
        <f t="shared" ref="RK4:RK22" si="203">IF(QX4&gt;0,QX4,"")</f>
        <v/>
      </c>
      <c r="RL4" s="41" t="str">
        <f t="shared" ref="RL4:RL22" si="204">IF(SUM(QU4:QX4)-QY4&gt;0,SUM(QU4:QX4)-QY4,"")</f>
        <v/>
      </c>
      <c r="RM4" s="41" t="str">
        <f t="shared" ref="RM4:RM22" si="205"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2" si="206">IF(RP4&gt;0,RP4,"")</f>
        <v/>
      </c>
      <c r="SI4" s="11" t="str">
        <f t="shared" ref="SI4:SI22" si="207">IF(RQ4&gt;0,RQ4,"")</f>
        <v/>
      </c>
      <c r="SJ4" s="11" t="str">
        <f t="shared" ref="SJ4:SJ22" si="208">IF(SUM(RN4:RQ4)-RR4&gt;0,SUM(RN4:RQ4)-RR4,"")</f>
        <v/>
      </c>
      <c r="SK4" s="11" t="str">
        <f t="shared" ref="SK4:SK22" si="209">IF(RU4&gt;0,RU4,"")</f>
        <v/>
      </c>
      <c r="SL4" s="11" t="str">
        <f t="shared" ref="SL4:SL22" si="210">IF(RV4&gt;0,RV4,"")</f>
        <v/>
      </c>
      <c r="SM4" s="11" t="str">
        <f t="shared" ref="SM4:SM22" si="211">IF(SUM(RS4:RV4)-RW4&gt;0,SUM(RS4:RV4)-RW4,"")</f>
        <v/>
      </c>
      <c r="SN4" s="11" t="str">
        <f t="shared" ref="SN4:SN22" si="212">IF(MAX(SJ4,SM4)&gt;0,MAX(SJ4,SM4),"")</f>
        <v/>
      </c>
      <c r="SO4" s="11" t="str">
        <f t="shared" ref="SO4:SO22" si="213">IF(RZ4&gt;0,RZ4,"")</f>
        <v/>
      </c>
      <c r="SP4" s="11" t="str">
        <f t="shared" ref="SP4:SP22" si="214">IF(SA4&gt;0,SA4,"")</f>
        <v/>
      </c>
      <c r="SQ4" s="11" t="str">
        <f t="shared" ref="SQ4:SQ22" si="215">IF(SUM(RX4:SA4)-SB4&gt;0,SUM(RX4:SA4)-SB4,"")</f>
        <v/>
      </c>
      <c r="SR4" s="11" t="str">
        <f t="shared" ref="SR4:SR22" si="216">IF(SE4&gt;0,SE4,"")</f>
        <v/>
      </c>
      <c r="SS4" s="11" t="str">
        <f t="shared" ref="SS4:SS22" si="217">IF(SF4&gt;0,SF4,"")</f>
        <v/>
      </c>
      <c r="ST4" s="11" t="str">
        <f t="shared" ref="ST4:ST22" si="218">IF(SUM(SC4:SF4)-SG4&gt;0,SUM(SC4:SF4)-SG4,"")</f>
        <v/>
      </c>
      <c r="SU4" s="11" t="str">
        <f t="shared" ref="SU4:SU22" si="219">IF(SUM(SN4,ST4)&gt;0,SUM(SN4,ST4),"")</f>
        <v/>
      </c>
      <c r="SV4" s="23">
        <f t="shared" ref="SV4:SV22" si="220">IF($CP4="P",CA4,(CA4+AZ4)/2)</f>
        <v>16.75</v>
      </c>
      <c r="SW4" s="23">
        <f t="shared" ref="SW4:SW22" si="221">IF($CP4="P",CB4,(CB4+BA4)/2)</f>
        <v>9.3000000000000007</v>
      </c>
      <c r="SX4" s="23">
        <f t="shared" ref="SX4:SX22" si="222">IF($CP4="P",CC4,(CC4+BB4)/2)</f>
        <v>16.649999999999999</v>
      </c>
      <c r="SY4" s="23">
        <f t="shared" ref="SY4:SY22" si="223">IF($CP4="P",CD4,(CD4+BC4)/2)</f>
        <v>17.14</v>
      </c>
      <c r="SZ4" s="23">
        <f t="shared" ref="SZ4:SZ22" si="224">IF($CP4="P",CE4,(CE4+BD4)/2)</f>
        <v>0</v>
      </c>
      <c r="TA4" s="23">
        <f t="shared" ref="TA4:TA22" si="225">IF($CP4="P",CF4,(CF4+BE4)/2)</f>
        <v>5.8</v>
      </c>
      <c r="TB4" s="23">
        <f t="shared" ref="TB4:TB22" si="226">IF($CP4="P",CG4,(CG4+BF4)/2)</f>
        <v>3.05</v>
      </c>
      <c r="TC4" s="23">
        <f t="shared" ref="TC4:TC22" si="227">IF($CP4="P",CH4,(CH4+BG4)/2)</f>
        <v>6.5</v>
      </c>
      <c r="TD4" s="23">
        <f t="shared" ref="TD4:TD22" si="228">IF($CP4="P",CI4,(CI4+BH4)/2)</f>
        <v>6.27</v>
      </c>
      <c r="TE4" s="23">
        <f t="shared" ref="TE4:TE22" si="229">IF($CP4="P",CJ4,(CJ4+BI4)/2)</f>
        <v>0</v>
      </c>
      <c r="TF4" s="23">
        <f t="shared" ref="TF4:TF22" si="230">IF($CP4="P",CK4,(CK4+BJ4)/2)</f>
        <v>15.4</v>
      </c>
      <c r="TG4" s="23">
        <f t="shared" ref="TG4:TG22" si="231">IF($CP4="P",CL4,(CL4+BK4)/2)</f>
        <v>8.3000000000000007</v>
      </c>
      <c r="TH4" s="23">
        <f t="shared" ref="TH4:TH22" si="232">IF($CP4="P",CM4,(CM4+BL4)/2)</f>
        <v>15.75</v>
      </c>
      <c r="TI4" s="23">
        <f t="shared" ref="TI4:TI22" si="233">IF($CP4="P",CN4,(CN4+BM4)/2)</f>
        <v>16.28</v>
      </c>
      <c r="TJ4" s="23">
        <f t="shared" ref="TJ4:TJ22" si="234">IF($CP4="P",CO4,(CO4+BN4)/2)</f>
        <v>0</v>
      </c>
      <c r="TK4" s="28" t="s">
        <v>58</v>
      </c>
      <c r="TL4" s="41">
        <f t="shared" ref="TL4:TL22" si="235">IF(SX4&gt;0,SX4,"")</f>
        <v>16.649999999999999</v>
      </c>
      <c r="TM4" s="41">
        <f t="shared" ref="TM4:TM22" si="236">IF(SY4&gt;0,SY4,"")</f>
        <v>17.14</v>
      </c>
      <c r="TN4" s="41">
        <f t="shared" ref="TN4:TN22" si="237">IF(SUM(SV4:SY4)-SZ4&gt;0,SUM(SV4:SY4)-SZ4,"")</f>
        <v>59.84</v>
      </c>
      <c r="TO4" s="41">
        <f t="shared" ref="TO4:TO22" si="238">IF(TC4&gt;0,TC4,"")</f>
        <v>6.5</v>
      </c>
      <c r="TP4" s="41">
        <f t="shared" ref="TP4:TP22" si="239">IF(TD4&gt;0,TD4,"")</f>
        <v>6.27</v>
      </c>
      <c r="TQ4" s="41">
        <f t="shared" ref="TQ4:TQ22" si="240">IF(SUM(TA4:TD4)-TE4&gt;0,SUM(TA4:TD4)-TE4,"")</f>
        <v>21.619999999999997</v>
      </c>
      <c r="TR4" s="41">
        <f t="shared" ref="TR4:TR22" si="241">IF(MAX(TN4,TQ4)&gt;0,MAX(TN4,TQ4),"")</f>
        <v>59.84</v>
      </c>
      <c r="TS4" s="41">
        <f t="shared" ref="TS4:TS22" si="242">IF(TH4&gt;0,TH4,"")</f>
        <v>15.75</v>
      </c>
      <c r="TT4" s="41">
        <f t="shared" ref="TT4:TT22" si="243">IF(TI4&gt;0,TI4,"")</f>
        <v>16.28</v>
      </c>
      <c r="TU4" s="41">
        <f t="shared" ref="TU4:TU22" si="244">IF(SUM(TF4:TI4)-TJ4&gt;0,SUM(TF4:TI4)-TJ4,"")</f>
        <v>55.730000000000004</v>
      </c>
      <c r="TV4" s="41">
        <f t="shared" ref="TV4:TV22" si="245">IF(SUM(TR4,TU4)&gt;0,SUM(TR4,TU4),"")</f>
        <v>115.57000000000001</v>
      </c>
    </row>
    <row r="5" spans="1:542" x14ac:dyDescent="0.2">
      <c r="A5" s="4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5" t="s">
        <v>4</v>
      </c>
      <c r="C5" s="4" t="s">
        <v>5</v>
      </c>
      <c r="D5" s="4">
        <v>1992</v>
      </c>
      <c r="E5" s="9">
        <f t="shared" si="0"/>
        <v>268.2350268235059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58.900000000000006</v>
      </c>
      <c r="K5" s="8" t="str">
        <f t="shared" si="5"/>
        <v>2022 3rd Domestic Trial</v>
      </c>
      <c r="L5" s="8">
        <f>IF(COUNT(AQ5,AT5,BR5,BU5,CS5,CV5)&gt;1,LARGE((AQ5,AT5,BR5,BU5,CS5,CV5),2),0)</f>
        <v>58.56</v>
      </c>
      <c r="M5" s="8" t="str">
        <f t="shared" si="6"/>
        <v>2022 Nationals</v>
      </c>
      <c r="N5" s="8">
        <f>IF(COUNT(AQ5,AT5,BR5,BU5,CS5,CV5)&gt;2,LARGE((AQ5,AT5,BR5,BU5,CS5,CV5),3),0)</f>
        <v>58.295000000000002</v>
      </c>
      <c r="O5" s="8" t="str">
        <f t="shared" si="7"/>
        <v>2023 Elite Canada</v>
      </c>
      <c r="P5" s="8">
        <f t="shared" si="8"/>
        <v>58.42</v>
      </c>
      <c r="Q5" s="8" t="str">
        <f t="shared" si="9"/>
        <v>2022 3rd Domestic Trial</v>
      </c>
      <c r="R5" s="8">
        <f t="shared" si="10"/>
        <v>17.100000000000001</v>
      </c>
      <c r="S5" s="8" t="str">
        <f t="shared" si="11"/>
        <v>2022 3rd Domestic Trial</v>
      </c>
      <c r="T5" s="8">
        <f t="shared" si="12"/>
        <v>16.96</v>
      </c>
      <c r="U5" s="8" t="str">
        <f t="shared" si="13"/>
        <v>2022 Nationals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3">
        <v>16.899999999999999</v>
      </c>
      <c r="Z5" s="23">
        <v>9.3000000000000007</v>
      </c>
      <c r="AA5" s="23">
        <v>15.4</v>
      </c>
      <c r="AB5" s="23">
        <v>16.96</v>
      </c>
      <c r="AC5" s="23">
        <v>0</v>
      </c>
      <c r="AD5" s="23">
        <v>15.4</v>
      </c>
      <c r="AE5" s="23">
        <v>8.6</v>
      </c>
      <c r="AF5" s="23">
        <v>15.5</v>
      </c>
      <c r="AG5" s="23">
        <v>15.75</v>
      </c>
      <c r="AH5" s="23">
        <v>0</v>
      </c>
      <c r="AI5" s="23">
        <v>17</v>
      </c>
      <c r="AJ5" s="23">
        <v>9.1999999999999993</v>
      </c>
      <c r="AK5" s="23">
        <v>15.4</v>
      </c>
      <c r="AL5" s="23">
        <v>16.3</v>
      </c>
      <c r="AM5" s="23">
        <v>0</v>
      </c>
      <c r="AN5" s="28"/>
      <c r="AO5" s="39">
        <f t="shared" si="17"/>
        <v>15.4</v>
      </c>
      <c r="AP5" s="39">
        <f t="shared" si="18"/>
        <v>16.96</v>
      </c>
      <c r="AQ5" s="41">
        <f t="shared" si="19"/>
        <v>58.56</v>
      </c>
      <c r="AR5" s="41">
        <f t="shared" si="20"/>
        <v>15.5</v>
      </c>
      <c r="AS5" s="41">
        <f t="shared" si="21"/>
        <v>15.75</v>
      </c>
      <c r="AT5" s="41">
        <f t="shared" si="22"/>
        <v>55.25</v>
      </c>
      <c r="AU5" s="41">
        <f t="shared" si="23"/>
        <v>58.56</v>
      </c>
      <c r="AV5" s="41">
        <f t="shared" si="24"/>
        <v>15.4</v>
      </c>
      <c r="AW5" s="41">
        <f t="shared" si="25"/>
        <v>16.3</v>
      </c>
      <c r="AX5" s="41">
        <f t="shared" si="26"/>
        <v>57.900000000000006</v>
      </c>
      <c r="AY5" s="41">
        <f t="shared" si="27"/>
        <v>116.46000000000001</v>
      </c>
      <c r="AZ5" s="27">
        <v>15.4</v>
      </c>
      <c r="BA5" s="27">
        <v>9.1999999999999993</v>
      </c>
      <c r="BB5" s="27">
        <v>16.899999999999999</v>
      </c>
      <c r="BC5" s="27">
        <v>16.53</v>
      </c>
      <c r="BD5" s="27">
        <v>0</v>
      </c>
      <c r="BE5" s="27">
        <v>15.9</v>
      </c>
      <c r="BF5" s="27">
        <v>9.4</v>
      </c>
      <c r="BG5" s="27">
        <v>17.100000000000001</v>
      </c>
      <c r="BH5" s="27">
        <v>16.5</v>
      </c>
      <c r="BI5" s="27">
        <v>0</v>
      </c>
      <c r="BJ5" s="27">
        <v>15.7</v>
      </c>
      <c r="BK5" s="27">
        <v>9.4</v>
      </c>
      <c r="BL5" s="27">
        <v>17.100000000000001</v>
      </c>
      <c r="BM5" s="27">
        <v>16.22</v>
      </c>
      <c r="BN5" s="27">
        <v>0</v>
      </c>
      <c r="BO5" s="29"/>
      <c r="BP5" s="40">
        <f t="shared" si="28"/>
        <v>16.899999999999999</v>
      </c>
      <c r="BQ5" s="40">
        <f t="shared" si="29"/>
        <v>16.53</v>
      </c>
      <c r="BR5" s="11">
        <f t="shared" si="30"/>
        <v>58.03</v>
      </c>
      <c r="BS5" s="11">
        <f t="shared" si="31"/>
        <v>17.100000000000001</v>
      </c>
      <c r="BT5" s="11">
        <f t="shared" si="32"/>
        <v>16.5</v>
      </c>
      <c r="BU5" s="11">
        <f t="shared" si="33"/>
        <v>58.900000000000006</v>
      </c>
      <c r="BV5" s="11">
        <f t="shared" si="34"/>
        <v>58.900000000000006</v>
      </c>
      <c r="BW5" s="11">
        <f t="shared" si="35"/>
        <v>17.100000000000001</v>
      </c>
      <c r="BX5" s="11">
        <f t="shared" si="36"/>
        <v>16.22</v>
      </c>
      <c r="BY5" s="11">
        <f t="shared" si="37"/>
        <v>58.42</v>
      </c>
      <c r="BZ5" s="11">
        <f t="shared" si="38"/>
        <v>117.32000000000001</v>
      </c>
      <c r="CA5" s="23">
        <v>16.149999999999999</v>
      </c>
      <c r="CB5" s="23">
        <v>9.25</v>
      </c>
      <c r="CC5" s="23">
        <v>16.149999999999999</v>
      </c>
      <c r="CD5" s="23">
        <v>16.745000000000001</v>
      </c>
      <c r="CE5" s="23">
        <v>0</v>
      </c>
      <c r="CF5" s="23">
        <v>15.65</v>
      </c>
      <c r="CG5" s="23">
        <v>9</v>
      </c>
      <c r="CH5" s="23">
        <v>16.3</v>
      </c>
      <c r="CI5" s="23">
        <v>16.125</v>
      </c>
      <c r="CJ5" s="23">
        <v>0</v>
      </c>
      <c r="CK5" s="23">
        <v>16.350000000000001</v>
      </c>
      <c r="CL5" s="23">
        <v>9.3000000000000007</v>
      </c>
      <c r="CM5" s="23">
        <v>16.25</v>
      </c>
      <c r="CN5" s="23">
        <v>16.259999999999998</v>
      </c>
      <c r="CO5" s="23">
        <v>0</v>
      </c>
      <c r="CP5" s="28" t="s">
        <v>58</v>
      </c>
      <c r="CQ5" s="39">
        <f t="shared" si="39"/>
        <v>16.149999999999999</v>
      </c>
      <c r="CR5" s="39">
        <f t="shared" si="40"/>
        <v>16.745000000000001</v>
      </c>
      <c r="CS5" s="41">
        <f t="shared" si="41"/>
        <v>58.295000000000002</v>
      </c>
      <c r="CT5" s="41">
        <f t="shared" si="42"/>
        <v>16.3</v>
      </c>
      <c r="CU5" s="41">
        <f t="shared" si="43"/>
        <v>16.125</v>
      </c>
      <c r="CV5" s="41">
        <f t="shared" si="44"/>
        <v>57.075000000000003</v>
      </c>
      <c r="CW5" s="41">
        <f t="shared" si="45"/>
        <v>58.295000000000002</v>
      </c>
      <c r="CX5" s="41">
        <f t="shared" si="46"/>
        <v>16.25</v>
      </c>
      <c r="CY5" s="41">
        <f t="shared" si="47"/>
        <v>16.259999999999998</v>
      </c>
      <c r="CZ5" s="41">
        <f t="shared" si="48"/>
        <v>58.160000000000004</v>
      </c>
      <c r="DA5" s="41">
        <f t="shared" si="49"/>
        <v>116.45500000000001</v>
      </c>
      <c r="DB5" s="52" t="str">
        <f t="shared" si="50"/>
        <v/>
      </c>
      <c r="DC5" s="52" t="str">
        <f t="shared" si="51"/>
        <v/>
      </c>
      <c r="DD5" s="17">
        <v>11.7</v>
      </c>
      <c r="DE5" s="17">
        <v>7.4</v>
      </c>
      <c r="DF5" s="17">
        <v>13</v>
      </c>
      <c r="DG5" s="17">
        <v>12.7</v>
      </c>
      <c r="DH5" s="17">
        <v>0</v>
      </c>
      <c r="DI5" s="17">
        <v>15</v>
      </c>
      <c r="DJ5" s="17">
        <v>8.9</v>
      </c>
      <c r="DK5" s="17">
        <v>15.5</v>
      </c>
      <c r="DL5" s="17">
        <v>15.53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 t="shared" si="52"/>
        <v>13</v>
      </c>
      <c r="DY5" s="41">
        <f t="shared" si="53"/>
        <v>12.7</v>
      </c>
      <c r="DZ5" s="41">
        <f t="shared" si="54"/>
        <v>44.8</v>
      </c>
      <c r="EA5" s="41">
        <f t="shared" si="55"/>
        <v>15.5</v>
      </c>
      <c r="EB5" s="41">
        <f t="shared" si="56"/>
        <v>15.53</v>
      </c>
      <c r="EC5" s="41">
        <f t="shared" si="57"/>
        <v>54.93</v>
      </c>
      <c r="ED5" s="41">
        <f t="shared" si="58"/>
        <v>54.93</v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>
        <f t="shared" si="65"/>
        <v>54.93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15.7</v>
      </c>
      <c r="FU5" s="17">
        <v>9.5</v>
      </c>
      <c r="FV5" s="17">
        <v>15.4</v>
      </c>
      <c r="FW5" s="17">
        <v>15.914999999999999</v>
      </c>
      <c r="FX5" s="17">
        <v>0</v>
      </c>
      <c r="FY5" s="17">
        <v>14.9</v>
      </c>
      <c r="FZ5" s="17">
        <v>9.1999999999999993</v>
      </c>
      <c r="GA5" s="17">
        <v>16.899999999999999</v>
      </c>
      <c r="GB5" s="17">
        <v>16.045000000000002</v>
      </c>
      <c r="GC5" s="17">
        <v>0</v>
      </c>
      <c r="GD5" s="17"/>
      <c r="GE5" s="17"/>
      <c r="GF5" s="17"/>
      <c r="GG5" s="17"/>
      <c r="GH5" s="17"/>
      <c r="GI5" s="17">
        <v>15.3</v>
      </c>
      <c r="GJ5" s="17">
        <v>8.9</v>
      </c>
      <c r="GK5" s="17">
        <v>17.100000000000001</v>
      </c>
      <c r="GL5" s="17">
        <v>16.190000000000001</v>
      </c>
      <c r="GM5" s="17">
        <v>0</v>
      </c>
      <c r="GN5" s="41">
        <f t="shared" si="80"/>
        <v>15.4</v>
      </c>
      <c r="GO5" s="41">
        <f t="shared" si="81"/>
        <v>15.914999999999999</v>
      </c>
      <c r="GP5" s="41">
        <f t="shared" si="82"/>
        <v>56.515000000000001</v>
      </c>
      <c r="GQ5" s="41">
        <f t="shared" si="83"/>
        <v>16.899999999999999</v>
      </c>
      <c r="GR5" s="41">
        <f t="shared" si="84"/>
        <v>16.045000000000002</v>
      </c>
      <c r="GS5" s="41">
        <f t="shared" si="85"/>
        <v>57.045000000000002</v>
      </c>
      <c r="GT5" s="41">
        <f t="shared" si="86"/>
        <v>57.045000000000002</v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>
        <f t="shared" si="90"/>
        <v>17.100000000000001</v>
      </c>
      <c r="GY5" s="41">
        <f t="shared" si="91"/>
        <v>16.190000000000001</v>
      </c>
      <c r="GZ5" s="41">
        <f t="shared" si="92"/>
        <v>57.490000000000009</v>
      </c>
      <c r="HA5" s="41">
        <f t="shared" si="93"/>
        <v>114.53500000000001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3.2</v>
      </c>
      <c r="IK5" s="17">
        <v>1.5</v>
      </c>
      <c r="IL5" s="17">
        <v>3.6</v>
      </c>
      <c r="IM5" s="17">
        <v>3.56</v>
      </c>
      <c r="IN5" s="17">
        <v>0</v>
      </c>
      <c r="IO5" s="17">
        <v>1.4</v>
      </c>
      <c r="IP5" s="17">
        <v>1</v>
      </c>
      <c r="IQ5" s="17">
        <v>2.2000000000000002</v>
      </c>
      <c r="IR5" s="17">
        <v>1.8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3.6</v>
      </c>
      <c r="JE5" s="41">
        <f t="shared" si="109"/>
        <v>3.56</v>
      </c>
      <c r="JF5" s="41">
        <f t="shared" si="110"/>
        <v>11.860000000000001</v>
      </c>
      <c r="JG5" s="41">
        <f t="shared" si="111"/>
        <v>2.2000000000000002</v>
      </c>
      <c r="JH5" s="41">
        <f t="shared" si="112"/>
        <v>1.8</v>
      </c>
      <c r="JI5" s="41">
        <f t="shared" si="113"/>
        <v>6.3999999999999995</v>
      </c>
      <c r="JJ5" s="41">
        <f t="shared" si="114"/>
        <v>11.860000000000001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11.860000000000001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16.149999999999999</v>
      </c>
      <c r="SW5" s="23">
        <f t="shared" si="221"/>
        <v>9.25</v>
      </c>
      <c r="SX5" s="23">
        <f t="shared" si="222"/>
        <v>16.149999999999999</v>
      </c>
      <c r="SY5" s="23">
        <f t="shared" si="223"/>
        <v>16.745000000000001</v>
      </c>
      <c r="SZ5" s="23">
        <f t="shared" si="224"/>
        <v>0</v>
      </c>
      <c r="TA5" s="23">
        <f t="shared" si="225"/>
        <v>15.65</v>
      </c>
      <c r="TB5" s="23">
        <f t="shared" si="226"/>
        <v>9</v>
      </c>
      <c r="TC5" s="23">
        <f t="shared" si="227"/>
        <v>16.3</v>
      </c>
      <c r="TD5" s="23">
        <f t="shared" si="228"/>
        <v>16.125</v>
      </c>
      <c r="TE5" s="23">
        <f t="shared" si="229"/>
        <v>0</v>
      </c>
      <c r="TF5" s="23">
        <f t="shared" si="230"/>
        <v>16.350000000000001</v>
      </c>
      <c r="TG5" s="23">
        <f t="shared" si="231"/>
        <v>9.3000000000000007</v>
      </c>
      <c r="TH5" s="23">
        <f t="shared" si="232"/>
        <v>16.25</v>
      </c>
      <c r="TI5" s="23">
        <f t="shared" si="233"/>
        <v>16.259999999999998</v>
      </c>
      <c r="TJ5" s="23">
        <f t="shared" si="234"/>
        <v>0</v>
      </c>
      <c r="TK5" s="28" t="s">
        <v>58</v>
      </c>
      <c r="TL5" s="41">
        <f t="shared" si="235"/>
        <v>16.149999999999999</v>
      </c>
      <c r="TM5" s="41">
        <f t="shared" si="236"/>
        <v>16.745000000000001</v>
      </c>
      <c r="TN5" s="41">
        <f t="shared" si="237"/>
        <v>58.295000000000002</v>
      </c>
      <c r="TO5" s="41">
        <f t="shared" si="238"/>
        <v>16.3</v>
      </c>
      <c r="TP5" s="41">
        <f t="shared" si="239"/>
        <v>16.125</v>
      </c>
      <c r="TQ5" s="41">
        <f t="shared" si="240"/>
        <v>57.075000000000003</v>
      </c>
      <c r="TR5" s="41">
        <f t="shared" si="241"/>
        <v>58.295000000000002</v>
      </c>
      <c r="TS5" s="41">
        <f t="shared" si="242"/>
        <v>16.25</v>
      </c>
      <c r="TT5" s="41">
        <f t="shared" si="243"/>
        <v>16.259999999999998</v>
      </c>
      <c r="TU5" s="41">
        <f t="shared" si="244"/>
        <v>58.160000000000004</v>
      </c>
      <c r="TV5" s="41">
        <f t="shared" si="245"/>
        <v>116.45500000000001</v>
      </c>
    </row>
    <row r="6" spans="1:542" x14ac:dyDescent="0.2">
      <c r="A6" s="4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5" t="s">
        <v>74</v>
      </c>
      <c r="C6" s="4" t="s">
        <v>8</v>
      </c>
      <c r="D6" s="4">
        <v>2001</v>
      </c>
      <c r="E6" s="9">
        <f t="shared" si="0"/>
        <v>266.69002652800572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58.14</v>
      </c>
      <c r="K6" s="8" t="str">
        <f t="shared" si="5"/>
        <v>2022 Nationals</v>
      </c>
      <c r="L6" s="8">
        <f>IF(COUNT(AQ6,AT6,BR6,BU6,CS6,CV6)&gt;1,LARGE((AQ6,AT6,BR6,BU6,CS6,CV6),2),0)</f>
        <v>58.13000000000001</v>
      </c>
      <c r="M6" s="8" t="str">
        <f t="shared" si="6"/>
        <v>2022 Nationals</v>
      </c>
      <c r="N6" s="8">
        <f>IF(COUNT(AQ6,AT6,BR6,BU6,CS6,CV6)&gt;2,LARGE((AQ6,AT6,BR6,BU6,CS6,CV6),3),0)</f>
        <v>56.45</v>
      </c>
      <c r="O6" s="8" t="str">
        <f t="shared" si="7"/>
        <v>2023 Elite Canada</v>
      </c>
      <c r="P6" s="8">
        <f t="shared" si="8"/>
        <v>58.58</v>
      </c>
      <c r="Q6" s="8" t="str">
        <f t="shared" si="9"/>
        <v>2022 3rd Domestic Trial</v>
      </c>
      <c r="R6" s="8">
        <f t="shared" si="10"/>
        <v>16.2</v>
      </c>
      <c r="S6" s="8" t="str">
        <f t="shared" si="11"/>
        <v>2023 Elite Canada</v>
      </c>
      <c r="T6" s="8">
        <f t="shared" si="12"/>
        <v>17.78</v>
      </c>
      <c r="U6" s="8" t="str">
        <f t="shared" si="13"/>
        <v>2022 3rd Domestic Trial</v>
      </c>
      <c r="V6" s="8">
        <f t="shared" si="14"/>
        <v>1.4099999999999966</v>
      </c>
      <c r="W6" s="11" t="str">
        <f t="shared" si="15"/>
        <v>(Prelim)</v>
      </c>
      <c r="X6" s="8" t="str">
        <f t="shared" si="16"/>
        <v>2022 Worlds (Nov 19)</v>
      </c>
      <c r="Y6" s="23">
        <v>15.9</v>
      </c>
      <c r="Z6" s="23">
        <v>9.3000000000000007</v>
      </c>
      <c r="AA6" s="23">
        <v>16.2</v>
      </c>
      <c r="AB6" s="23">
        <v>16.73</v>
      </c>
      <c r="AC6" s="23">
        <v>0</v>
      </c>
      <c r="AD6" s="23">
        <v>15.8</v>
      </c>
      <c r="AE6" s="23">
        <v>9</v>
      </c>
      <c r="AF6" s="23">
        <v>16.2</v>
      </c>
      <c r="AG6" s="23">
        <v>17.14</v>
      </c>
      <c r="AH6" s="23">
        <v>0</v>
      </c>
      <c r="AI6" s="23">
        <v>15.7</v>
      </c>
      <c r="AJ6" s="23">
        <v>9.4</v>
      </c>
      <c r="AK6" s="23">
        <v>16.2</v>
      </c>
      <c r="AL6" s="23">
        <v>16.940000000000001</v>
      </c>
      <c r="AM6" s="23">
        <v>0</v>
      </c>
      <c r="AN6" s="28"/>
      <c r="AO6" s="39">
        <f t="shared" si="17"/>
        <v>16.2</v>
      </c>
      <c r="AP6" s="39">
        <f t="shared" si="18"/>
        <v>16.73</v>
      </c>
      <c r="AQ6" s="41">
        <f t="shared" si="19"/>
        <v>58.13000000000001</v>
      </c>
      <c r="AR6" s="41">
        <f t="shared" si="20"/>
        <v>16.2</v>
      </c>
      <c r="AS6" s="41">
        <f t="shared" si="21"/>
        <v>17.14</v>
      </c>
      <c r="AT6" s="41">
        <f t="shared" si="22"/>
        <v>58.14</v>
      </c>
      <c r="AU6" s="41">
        <f t="shared" si="23"/>
        <v>58.14</v>
      </c>
      <c r="AV6" s="41">
        <f t="shared" si="24"/>
        <v>16.2</v>
      </c>
      <c r="AW6" s="41">
        <f t="shared" si="25"/>
        <v>16.940000000000001</v>
      </c>
      <c r="AX6" s="41">
        <f t="shared" si="26"/>
        <v>58.239999999999995</v>
      </c>
      <c r="AY6" s="41">
        <f t="shared" si="27"/>
        <v>116.38</v>
      </c>
      <c r="AZ6" s="27">
        <v>4.5</v>
      </c>
      <c r="BA6" s="27">
        <v>2.9</v>
      </c>
      <c r="BB6" s="27">
        <v>5.5</v>
      </c>
      <c r="BC6" s="27">
        <v>5.5</v>
      </c>
      <c r="BD6" s="27">
        <v>0</v>
      </c>
      <c r="BE6" s="27">
        <v>14.1</v>
      </c>
      <c r="BF6" s="27">
        <v>8.8000000000000007</v>
      </c>
      <c r="BG6" s="27">
        <v>14.5</v>
      </c>
      <c r="BH6" s="27">
        <v>17.36</v>
      </c>
      <c r="BI6" s="27">
        <v>0</v>
      </c>
      <c r="BJ6" s="27">
        <v>15.2</v>
      </c>
      <c r="BK6" s="27">
        <v>9.4</v>
      </c>
      <c r="BL6" s="27">
        <v>16.2</v>
      </c>
      <c r="BM6" s="27">
        <v>17.78</v>
      </c>
      <c r="BN6" s="27">
        <v>0</v>
      </c>
      <c r="BO6" s="29"/>
      <c r="BP6" s="40">
        <f t="shared" si="28"/>
        <v>5.5</v>
      </c>
      <c r="BQ6" s="40">
        <f t="shared" si="29"/>
        <v>5.5</v>
      </c>
      <c r="BR6" s="11">
        <f t="shared" si="30"/>
        <v>18.399999999999999</v>
      </c>
      <c r="BS6" s="11">
        <f t="shared" si="31"/>
        <v>14.5</v>
      </c>
      <c r="BT6" s="11">
        <f t="shared" si="32"/>
        <v>17.36</v>
      </c>
      <c r="BU6" s="11">
        <f t="shared" si="33"/>
        <v>54.76</v>
      </c>
      <c r="BV6" s="11">
        <f t="shared" si="34"/>
        <v>54.76</v>
      </c>
      <c r="BW6" s="11">
        <f t="shared" si="35"/>
        <v>16.2</v>
      </c>
      <c r="BX6" s="11">
        <f t="shared" si="36"/>
        <v>17.78</v>
      </c>
      <c r="BY6" s="11">
        <f t="shared" si="37"/>
        <v>58.58</v>
      </c>
      <c r="BZ6" s="11">
        <f t="shared" si="38"/>
        <v>113.34</v>
      </c>
      <c r="CA6" s="23">
        <v>10.199999999999999</v>
      </c>
      <c r="CB6" s="23">
        <v>6.1000000000000005</v>
      </c>
      <c r="CC6" s="23">
        <v>10.85</v>
      </c>
      <c r="CD6" s="23">
        <v>11.115</v>
      </c>
      <c r="CE6" s="23">
        <v>0</v>
      </c>
      <c r="CF6" s="23">
        <v>14.95</v>
      </c>
      <c r="CG6" s="23">
        <v>8.9</v>
      </c>
      <c r="CH6" s="23">
        <v>15.35</v>
      </c>
      <c r="CI6" s="23">
        <v>17.25</v>
      </c>
      <c r="CJ6" s="23">
        <v>0</v>
      </c>
      <c r="CK6" s="23">
        <v>15.45</v>
      </c>
      <c r="CL6" s="23">
        <v>9.4</v>
      </c>
      <c r="CM6" s="23">
        <v>16.2</v>
      </c>
      <c r="CN6" s="23">
        <v>17.36</v>
      </c>
      <c r="CO6" s="23">
        <v>0</v>
      </c>
      <c r="CP6" s="28" t="s">
        <v>58</v>
      </c>
      <c r="CQ6" s="39">
        <f t="shared" si="39"/>
        <v>10.85</v>
      </c>
      <c r="CR6" s="39">
        <f t="shared" si="40"/>
        <v>11.115</v>
      </c>
      <c r="CS6" s="41">
        <f t="shared" si="41"/>
        <v>38.265000000000001</v>
      </c>
      <c r="CT6" s="41">
        <f t="shared" si="42"/>
        <v>15.35</v>
      </c>
      <c r="CU6" s="41">
        <f t="shared" si="43"/>
        <v>17.25</v>
      </c>
      <c r="CV6" s="41">
        <f t="shared" si="44"/>
        <v>56.45</v>
      </c>
      <c r="CW6" s="41">
        <f t="shared" si="45"/>
        <v>56.45</v>
      </c>
      <c r="CX6" s="41">
        <f t="shared" si="46"/>
        <v>16.2</v>
      </c>
      <c r="CY6" s="41">
        <f t="shared" si="47"/>
        <v>17.36</v>
      </c>
      <c r="CZ6" s="41">
        <f t="shared" si="48"/>
        <v>58.41</v>
      </c>
      <c r="DA6" s="41">
        <f t="shared" si="49"/>
        <v>114.86</v>
      </c>
      <c r="DB6" s="52">
        <f t="shared" si="50"/>
        <v>1.4099999999999966</v>
      </c>
      <c r="DC6" s="52" t="str">
        <f t="shared" si="51"/>
        <v/>
      </c>
      <c r="DD6" s="17">
        <v>13.2</v>
      </c>
      <c r="DE6" s="17">
        <v>8.6999999999999993</v>
      </c>
      <c r="DF6" s="17">
        <v>15</v>
      </c>
      <c r="DG6" s="17">
        <v>16.04</v>
      </c>
      <c r="DH6" s="17">
        <v>0</v>
      </c>
      <c r="DI6" s="17">
        <v>1.4</v>
      </c>
      <c r="DJ6" s="17">
        <v>1</v>
      </c>
      <c r="DK6" s="17">
        <v>2</v>
      </c>
      <c r="DL6" s="17">
        <v>1.77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 t="shared" si="52"/>
        <v>15</v>
      </c>
      <c r="DY6" s="41">
        <f t="shared" si="53"/>
        <v>16.04</v>
      </c>
      <c r="DZ6" s="41">
        <f t="shared" si="54"/>
        <v>52.94</v>
      </c>
      <c r="EA6" s="41">
        <f t="shared" si="55"/>
        <v>2</v>
      </c>
      <c r="EB6" s="41">
        <f t="shared" si="56"/>
        <v>1.77</v>
      </c>
      <c r="EC6" s="41">
        <f t="shared" si="57"/>
        <v>6.17</v>
      </c>
      <c r="ED6" s="41">
        <f t="shared" si="58"/>
        <v>52.94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52.94</v>
      </c>
      <c r="EL6" s="18">
        <v>4.5999999999999996</v>
      </c>
      <c r="EM6" s="18">
        <v>2.7</v>
      </c>
      <c r="EN6" s="18">
        <v>5.5</v>
      </c>
      <c r="EO6" s="18">
        <v>5.35</v>
      </c>
      <c r="EP6" s="18">
        <v>0</v>
      </c>
      <c r="EQ6" s="18">
        <v>14.6</v>
      </c>
      <c r="ER6" s="18">
        <v>9.1</v>
      </c>
      <c r="ES6" s="18">
        <v>16.2</v>
      </c>
      <c r="ET6" s="18">
        <v>16.95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5.5</v>
      </c>
      <c r="FG6" s="11">
        <f t="shared" si="67"/>
        <v>5.35</v>
      </c>
      <c r="FH6" s="11">
        <f t="shared" si="68"/>
        <v>18.149999999999999</v>
      </c>
      <c r="FI6" s="11">
        <f t="shared" si="69"/>
        <v>16.2</v>
      </c>
      <c r="FJ6" s="11">
        <f t="shared" si="70"/>
        <v>16.95</v>
      </c>
      <c r="FK6" s="11">
        <f t="shared" si="71"/>
        <v>56.849999999999994</v>
      </c>
      <c r="FL6" s="11">
        <f t="shared" si="72"/>
        <v>56.849999999999994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56.849999999999994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>
        <v>1.6</v>
      </c>
      <c r="HC6" s="18">
        <v>1</v>
      </c>
      <c r="HD6" s="18">
        <v>2</v>
      </c>
      <c r="HE6" s="18">
        <v>1.825</v>
      </c>
      <c r="HF6" s="18">
        <v>0</v>
      </c>
      <c r="HG6" s="18">
        <v>15.1</v>
      </c>
      <c r="HH6" s="18">
        <v>8.9</v>
      </c>
      <c r="HI6" s="18">
        <v>16.2</v>
      </c>
      <c r="HJ6" s="18">
        <v>16.86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 t="shared" si="94"/>
        <v>2</v>
      </c>
      <c r="HW6" s="11">
        <f t="shared" si="95"/>
        <v>1.825</v>
      </c>
      <c r="HX6" s="11">
        <f t="shared" si="96"/>
        <v>6.4249999999999998</v>
      </c>
      <c r="HY6" s="11">
        <f t="shared" si="97"/>
        <v>16.2</v>
      </c>
      <c r="HZ6" s="11">
        <f t="shared" si="98"/>
        <v>16.86</v>
      </c>
      <c r="IA6" s="11">
        <f t="shared" si="99"/>
        <v>57.06</v>
      </c>
      <c r="IB6" s="11">
        <f t="shared" si="100"/>
        <v>57.06</v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>
        <f t="shared" si="107"/>
        <v>57.06</v>
      </c>
      <c r="IJ6" s="17">
        <v>15.3</v>
      </c>
      <c r="IK6" s="17">
        <v>9.8000000000000007</v>
      </c>
      <c r="IL6" s="17">
        <v>15.6</v>
      </c>
      <c r="IM6" s="17">
        <v>17.16</v>
      </c>
      <c r="IN6" s="17">
        <v>0</v>
      </c>
      <c r="IO6" s="17">
        <v>15.2</v>
      </c>
      <c r="IP6" s="17">
        <v>9</v>
      </c>
      <c r="IQ6" s="17">
        <v>15.6</v>
      </c>
      <c r="IR6" s="17">
        <v>17.059999999999999</v>
      </c>
      <c r="IS6" s="17">
        <v>0</v>
      </c>
      <c r="IT6" s="17">
        <v>15.1</v>
      </c>
      <c r="IU6" s="17">
        <v>9.1999999999999993</v>
      </c>
      <c r="IV6" s="17">
        <v>16.2</v>
      </c>
      <c r="IW6" s="17">
        <v>16.7</v>
      </c>
      <c r="IX6" s="17">
        <v>0</v>
      </c>
      <c r="IY6" s="17">
        <v>3.2</v>
      </c>
      <c r="IZ6" s="17">
        <v>1.8</v>
      </c>
      <c r="JA6" s="17">
        <v>3.8</v>
      </c>
      <c r="JB6" s="17">
        <v>3.64</v>
      </c>
      <c r="JC6" s="17">
        <v>0</v>
      </c>
      <c r="JD6" s="41">
        <f t="shared" si="108"/>
        <v>15.6</v>
      </c>
      <c r="JE6" s="41">
        <f t="shared" si="109"/>
        <v>17.16</v>
      </c>
      <c r="JF6" s="41">
        <f t="shared" si="110"/>
        <v>57.86</v>
      </c>
      <c r="JG6" s="41">
        <f t="shared" si="111"/>
        <v>15.6</v>
      </c>
      <c r="JH6" s="41">
        <f t="shared" si="112"/>
        <v>17.059999999999999</v>
      </c>
      <c r="JI6" s="41">
        <f t="shared" si="113"/>
        <v>56.86</v>
      </c>
      <c r="JJ6" s="41">
        <f t="shared" si="114"/>
        <v>57.86</v>
      </c>
      <c r="JK6" s="41">
        <f t="shared" si="115"/>
        <v>16.2</v>
      </c>
      <c r="JL6" s="41">
        <f t="shared" si="116"/>
        <v>16.7</v>
      </c>
      <c r="JM6" s="41">
        <f t="shared" si="117"/>
        <v>57.2</v>
      </c>
      <c r="JN6" s="41">
        <f t="shared" si="118"/>
        <v>3.8</v>
      </c>
      <c r="JO6" s="41">
        <f t="shared" si="119"/>
        <v>3.64</v>
      </c>
      <c r="JP6" s="41">
        <f t="shared" si="120"/>
        <v>12.440000000000001</v>
      </c>
      <c r="JQ6" s="41">
        <f t="shared" si="121"/>
        <v>70.3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10.199999999999999</v>
      </c>
      <c r="SW6" s="23">
        <f t="shared" si="221"/>
        <v>6.1000000000000005</v>
      </c>
      <c r="SX6" s="23">
        <f t="shared" si="222"/>
        <v>10.85</v>
      </c>
      <c r="SY6" s="23">
        <f t="shared" si="223"/>
        <v>11.115</v>
      </c>
      <c r="SZ6" s="23">
        <f t="shared" si="224"/>
        <v>0</v>
      </c>
      <c r="TA6" s="23">
        <f t="shared" si="225"/>
        <v>14.95</v>
      </c>
      <c r="TB6" s="23">
        <f t="shared" si="226"/>
        <v>8.9</v>
      </c>
      <c r="TC6" s="23">
        <f t="shared" si="227"/>
        <v>15.35</v>
      </c>
      <c r="TD6" s="23">
        <f t="shared" si="228"/>
        <v>17.25</v>
      </c>
      <c r="TE6" s="23">
        <f t="shared" si="229"/>
        <v>0</v>
      </c>
      <c r="TF6" s="23">
        <f t="shared" si="230"/>
        <v>15.45</v>
      </c>
      <c r="TG6" s="23">
        <f t="shared" si="231"/>
        <v>9.4</v>
      </c>
      <c r="TH6" s="23">
        <f t="shared" si="232"/>
        <v>16.2</v>
      </c>
      <c r="TI6" s="23">
        <f t="shared" si="233"/>
        <v>17.36</v>
      </c>
      <c r="TJ6" s="23">
        <f t="shared" si="234"/>
        <v>0</v>
      </c>
      <c r="TK6" s="28" t="s">
        <v>58</v>
      </c>
      <c r="TL6" s="41">
        <f t="shared" si="235"/>
        <v>10.85</v>
      </c>
      <c r="TM6" s="41">
        <f t="shared" si="236"/>
        <v>11.115</v>
      </c>
      <c r="TN6" s="41">
        <f t="shared" si="237"/>
        <v>38.265000000000001</v>
      </c>
      <c r="TO6" s="41">
        <f t="shared" si="238"/>
        <v>15.35</v>
      </c>
      <c r="TP6" s="41">
        <f t="shared" si="239"/>
        <v>17.25</v>
      </c>
      <c r="TQ6" s="41">
        <f t="shared" si="240"/>
        <v>56.45</v>
      </c>
      <c r="TR6" s="41">
        <f t="shared" si="241"/>
        <v>56.45</v>
      </c>
      <c r="TS6" s="41">
        <f t="shared" si="242"/>
        <v>16.2</v>
      </c>
      <c r="TT6" s="41">
        <f t="shared" si="243"/>
        <v>17.36</v>
      </c>
      <c r="TU6" s="41">
        <f t="shared" si="244"/>
        <v>58.41</v>
      </c>
      <c r="TV6" s="41">
        <f t="shared" si="245"/>
        <v>114.86</v>
      </c>
    </row>
    <row r="7" spans="1:542" x14ac:dyDescent="0.2">
      <c r="A7" s="4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5" t="s">
        <v>7</v>
      </c>
      <c r="C7" s="4" t="s">
        <v>3</v>
      </c>
      <c r="D7" s="4">
        <v>1997</v>
      </c>
      <c r="E7" s="9">
        <f t="shared" si="0"/>
        <v>257.16502566000565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IF(COUNT(AQ7,AT7,BR7,BU7,CS7,CV7)&gt;0,LARGE((AQ7,AT7,BR7,BU7,CS7,CV7),1),0)</f>
        <v>56.410000000000004</v>
      </c>
      <c r="K7" s="8" t="str">
        <f t="shared" si="5"/>
        <v>2022 3rd Domestic Trial</v>
      </c>
      <c r="L7" s="8">
        <f>IF(COUNT(AQ7,AT7,BR7,BU7,CS7,CV7)&gt;1,LARGE((AQ7,AT7,BR7,BU7,CS7,CV7),2),0)</f>
        <v>55.930000000000007</v>
      </c>
      <c r="M7" s="8" t="str">
        <f t="shared" si="6"/>
        <v>2022 Nationals</v>
      </c>
      <c r="N7" s="8">
        <f>IF(COUNT(AQ7,AT7,BR7,BU7,CS7,CV7)&gt;2,LARGE((AQ7,AT7,BR7,BU7,CS7,CV7),3),0)</f>
        <v>54.080000000000005</v>
      </c>
      <c r="O7" s="8" t="str">
        <f t="shared" si="7"/>
        <v>2023 Elite Canada</v>
      </c>
      <c r="P7" s="8">
        <f t="shared" si="8"/>
        <v>56.79</v>
      </c>
      <c r="Q7" s="8" t="str">
        <f t="shared" si="9"/>
        <v>2022 3rd Domestic Trial</v>
      </c>
      <c r="R7" s="8">
        <f t="shared" si="10"/>
        <v>17.100000000000001</v>
      </c>
      <c r="S7" s="8" t="str">
        <f t="shared" si="11"/>
        <v>2022 3rd Domestic Trial</v>
      </c>
      <c r="T7" s="8">
        <f t="shared" si="12"/>
        <v>16.29</v>
      </c>
      <c r="U7" s="8" t="str">
        <f t="shared" si="13"/>
        <v>2022 3rd Domestic Trial</v>
      </c>
      <c r="V7" s="8">
        <f t="shared" si="14"/>
        <v>0.56499999999999773</v>
      </c>
      <c r="W7" s="11" t="str">
        <f t="shared" si="15"/>
        <v>(Prelim)</v>
      </c>
      <c r="X7" s="8" t="str">
        <f t="shared" si="16"/>
        <v>2022 Pan Am Championships (June 28)</v>
      </c>
      <c r="Y7" s="23">
        <v>13.6</v>
      </c>
      <c r="Z7" s="23">
        <v>9.1</v>
      </c>
      <c r="AA7" s="23">
        <v>14.8</v>
      </c>
      <c r="AB7" s="23">
        <v>15.69</v>
      </c>
      <c r="AC7" s="23">
        <v>0</v>
      </c>
      <c r="AD7" s="23">
        <v>14.6</v>
      </c>
      <c r="AE7" s="23">
        <v>9.4</v>
      </c>
      <c r="AF7" s="23">
        <v>16.2</v>
      </c>
      <c r="AG7" s="23">
        <v>15.73</v>
      </c>
      <c r="AH7" s="23">
        <v>0</v>
      </c>
      <c r="AI7" s="23">
        <v>15.4</v>
      </c>
      <c r="AJ7" s="23">
        <v>9.1999999999999993</v>
      </c>
      <c r="AK7" s="23">
        <v>15.6</v>
      </c>
      <c r="AL7" s="23">
        <v>15.93</v>
      </c>
      <c r="AM7" s="23">
        <v>0</v>
      </c>
      <c r="AN7" s="28"/>
      <c r="AO7" s="39">
        <f t="shared" si="17"/>
        <v>14.8</v>
      </c>
      <c r="AP7" s="39">
        <f t="shared" si="18"/>
        <v>15.69</v>
      </c>
      <c r="AQ7" s="41">
        <f t="shared" si="19"/>
        <v>53.19</v>
      </c>
      <c r="AR7" s="41">
        <f t="shared" si="20"/>
        <v>16.2</v>
      </c>
      <c r="AS7" s="41">
        <f t="shared" si="21"/>
        <v>15.73</v>
      </c>
      <c r="AT7" s="41">
        <f t="shared" si="22"/>
        <v>55.930000000000007</v>
      </c>
      <c r="AU7" s="41">
        <f t="shared" si="23"/>
        <v>55.930000000000007</v>
      </c>
      <c r="AV7" s="41">
        <f t="shared" si="24"/>
        <v>15.6</v>
      </c>
      <c r="AW7" s="41">
        <f t="shared" si="25"/>
        <v>15.93</v>
      </c>
      <c r="AX7" s="41">
        <f t="shared" si="26"/>
        <v>56.13</v>
      </c>
      <c r="AY7" s="41">
        <f t="shared" si="27"/>
        <v>112.06</v>
      </c>
      <c r="AZ7" s="27">
        <v>14</v>
      </c>
      <c r="BA7" s="27">
        <v>9.1</v>
      </c>
      <c r="BB7" s="27">
        <v>17.100000000000001</v>
      </c>
      <c r="BC7" s="27">
        <v>16.21</v>
      </c>
      <c r="BD7" s="27">
        <v>0</v>
      </c>
      <c r="BE7" s="27">
        <v>8.3000000000000007</v>
      </c>
      <c r="BF7" s="27">
        <v>5.7</v>
      </c>
      <c r="BG7" s="27">
        <v>10.7</v>
      </c>
      <c r="BH7" s="27">
        <v>10.32</v>
      </c>
      <c r="BI7" s="27">
        <v>0</v>
      </c>
      <c r="BJ7" s="27">
        <v>14</v>
      </c>
      <c r="BK7" s="27">
        <v>9.4</v>
      </c>
      <c r="BL7" s="27">
        <v>17.100000000000001</v>
      </c>
      <c r="BM7" s="27">
        <v>16.29</v>
      </c>
      <c r="BN7" s="27">
        <v>0</v>
      </c>
      <c r="BO7" s="29"/>
      <c r="BP7" s="40">
        <f t="shared" si="28"/>
        <v>17.100000000000001</v>
      </c>
      <c r="BQ7" s="40">
        <f t="shared" si="29"/>
        <v>16.21</v>
      </c>
      <c r="BR7" s="11">
        <f t="shared" si="30"/>
        <v>56.410000000000004</v>
      </c>
      <c r="BS7" s="11">
        <f t="shared" si="31"/>
        <v>10.7</v>
      </c>
      <c r="BT7" s="11">
        <f t="shared" si="32"/>
        <v>10.32</v>
      </c>
      <c r="BU7" s="11">
        <f t="shared" si="33"/>
        <v>35.019999999999996</v>
      </c>
      <c r="BV7" s="11">
        <f t="shared" si="34"/>
        <v>56.410000000000004</v>
      </c>
      <c r="BW7" s="11">
        <f t="shared" si="35"/>
        <v>17.100000000000001</v>
      </c>
      <c r="BX7" s="11">
        <f t="shared" si="36"/>
        <v>16.29</v>
      </c>
      <c r="BY7" s="11">
        <f t="shared" si="37"/>
        <v>56.79</v>
      </c>
      <c r="BZ7" s="11">
        <f t="shared" si="38"/>
        <v>113.2</v>
      </c>
      <c r="CA7" s="23">
        <v>14.3</v>
      </c>
      <c r="CB7" s="23">
        <v>8.8000000000000007</v>
      </c>
      <c r="CC7" s="23">
        <v>15.6</v>
      </c>
      <c r="CD7" s="23">
        <v>15.38</v>
      </c>
      <c r="CE7" s="23">
        <v>0</v>
      </c>
      <c r="CF7" s="23">
        <v>18.899999999999999</v>
      </c>
      <c r="CG7" s="23">
        <v>1.7</v>
      </c>
      <c r="CH7" s="23">
        <v>3.8</v>
      </c>
      <c r="CI7" s="23">
        <v>3.38</v>
      </c>
      <c r="CJ7" s="23">
        <v>0</v>
      </c>
      <c r="CK7" s="23">
        <v>14.9</v>
      </c>
      <c r="CL7" s="23">
        <v>9.6</v>
      </c>
      <c r="CM7" s="23">
        <v>16.2</v>
      </c>
      <c r="CN7" s="23">
        <v>15.88</v>
      </c>
      <c r="CO7" s="23">
        <v>0</v>
      </c>
      <c r="CP7" s="28"/>
      <c r="CQ7" s="39">
        <f t="shared" si="39"/>
        <v>15.6</v>
      </c>
      <c r="CR7" s="39">
        <f t="shared" si="40"/>
        <v>15.38</v>
      </c>
      <c r="CS7" s="41">
        <f t="shared" si="41"/>
        <v>54.080000000000005</v>
      </c>
      <c r="CT7" s="41">
        <f t="shared" si="42"/>
        <v>3.8</v>
      </c>
      <c r="CU7" s="41">
        <f t="shared" si="43"/>
        <v>3.38</v>
      </c>
      <c r="CV7" s="41">
        <f t="shared" si="44"/>
        <v>27.779999999999998</v>
      </c>
      <c r="CW7" s="41">
        <f t="shared" si="45"/>
        <v>54.080000000000005</v>
      </c>
      <c r="CX7" s="41">
        <f t="shared" si="46"/>
        <v>16.2</v>
      </c>
      <c r="CY7" s="41">
        <f t="shared" si="47"/>
        <v>15.88</v>
      </c>
      <c r="CZ7" s="41">
        <f t="shared" si="48"/>
        <v>56.580000000000005</v>
      </c>
      <c r="DA7" s="41">
        <f t="shared" si="49"/>
        <v>110.66000000000001</v>
      </c>
      <c r="DB7" s="52">
        <f t="shared" si="50"/>
        <v>0.56499999999999773</v>
      </c>
      <c r="DC7" s="52" t="str">
        <f t="shared" si="51"/>
        <v/>
      </c>
      <c r="DD7" s="17">
        <v>13.3</v>
      </c>
      <c r="DE7" s="17">
        <v>9.4</v>
      </c>
      <c r="DF7" s="17">
        <v>16.2</v>
      </c>
      <c r="DG7" s="17">
        <v>15.25</v>
      </c>
      <c r="DH7" s="17">
        <v>0</v>
      </c>
      <c r="DI7" s="17">
        <v>13.8</v>
      </c>
      <c r="DJ7" s="17">
        <v>9.3000000000000007</v>
      </c>
      <c r="DK7" s="17">
        <v>16.2</v>
      </c>
      <c r="DL7" s="17">
        <v>15.32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 t="shared" si="52"/>
        <v>16.2</v>
      </c>
      <c r="DY7" s="41">
        <f t="shared" si="53"/>
        <v>15.25</v>
      </c>
      <c r="DZ7" s="41">
        <f t="shared" si="54"/>
        <v>54.150000000000006</v>
      </c>
      <c r="EA7" s="41">
        <f t="shared" si="55"/>
        <v>16.2</v>
      </c>
      <c r="EB7" s="41">
        <f t="shared" si="56"/>
        <v>15.32</v>
      </c>
      <c r="EC7" s="41">
        <f t="shared" si="57"/>
        <v>54.62</v>
      </c>
      <c r="ED7" s="41">
        <f t="shared" si="58"/>
        <v>54.62</v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54.62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14</v>
      </c>
      <c r="FU7" s="17">
        <v>9</v>
      </c>
      <c r="FV7" s="17">
        <v>15.8</v>
      </c>
      <c r="FW7" s="17">
        <v>15.32</v>
      </c>
      <c r="FX7" s="17">
        <v>0</v>
      </c>
      <c r="FY7" s="17">
        <v>13.8</v>
      </c>
      <c r="FZ7" s="17">
        <v>9.5</v>
      </c>
      <c r="GA7" s="17">
        <v>15.8</v>
      </c>
      <c r="GB7" s="17">
        <v>15.545</v>
      </c>
      <c r="GC7" s="17">
        <v>0</v>
      </c>
      <c r="GD7" s="17"/>
      <c r="GE7" s="17"/>
      <c r="GF7" s="17"/>
      <c r="GG7" s="17"/>
      <c r="GH7" s="17"/>
      <c r="GI7" s="17">
        <v>3</v>
      </c>
      <c r="GJ7" s="17">
        <v>1.8</v>
      </c>
      <c r="GK7" s="17">
        <v>3.8</v>
      </c>
      <c r="GL7" s="17">
        <v>3.45</v>
      </c>
      <c r="GM7" s="17">
        <v>0</v>
      </c>
      <c r="GN7" s="41">
        <f t="shared" si="80"/>
        <v>15.8</v>
      </c>
      <c r="GO7" s="41">
        <f t="shared" si="81"/>
        <v>15.32</v>
      </c>
      <c r="GP7" s="41">
        <f t="shared" si="82"/>
        <v>54.12</v>
      </c>
      <c r="GQ7" s="41">
        <f t="shared" si="83"/>
        <v>15.8</v>
      </c>
      <c r="GR7" s="41">
        <f t="shared" si="84"/>
        <v>15.545</v>
      </c>
      <c r="GS7" s="41">
        <f t="shared" si="85"/>
        <v>54.645000000000003</v>
      </c>
      <c r="GT7" s="41">
        <f t="shared" si="86"/>
        <v>54.645000000000003</v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>
        <f t="shared" si="90"/>
        <v>3.8</v>
      </c>
      <c r="GY7" s="41">
        <f t="shared" si="91"/>
        <v>3.45</v>
      </c>
      <c r="GZ7" s="41">
        <f t="shared" si="92"/>
        <v>12.05</v>
      </c>
      <c r="HA7" s="41">
        <f t="shared" si="93"/>
        <v>66.695000000000007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13.1</v>
      </c>
      <c r="IK7" s="17">
        <v>9.3000000000000007</v>
      </c>
      <c r="IL7" s="17">
        <v>15.8</v>
      </c>
      <c r="IM7" s="17">
        <v>15.14</v>
      </c>
      <c r="IN7" s="17">
        <v>0</v>
      </c>
      <c r="IO7" s="17">
        <v>4</v>
      </c>
      <c r="IP7" s="17">
        <v>2.7</v>
      </c>
      <c r="IQ7" s="17">
        <v>5.5</v>
      </c>
      <c r="IR7" s="17">
        <v>5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15.8</v>
      </c>
      <c r="JE7" s="41">
        <f t="shared" si="109"/>
        <v>15.14</v>
      </c>
      <c r="JF7" s="41">
        <f t="shared" si="110"/>
        <v>53.34</v>
      </c>
      <c r="JG7" s="41">
        <f t="shared" si="111"/>
        <v>5.5</v>
      </c>
      <c r="JH7" s="41">
        <f t="shared" si="112"/>
        <v>5</v>
      </c>
      <c r="JI7" s="41">
        <f t="shared" si="113"/>
        <v>17.2</v>
      </c>
      <c r="JJ7" s="41">
        <f t="shared" si="114"/>
        <v>53.34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53.34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14.15</v>
      </c>
      <c r="SW7" s="23">
        <f t="shared" si="221"/>
        <v>8.9499999999999993</v>
      </c>
      <c r="SX7" s="23">
        <f t="shared" si="222"/>
        <v>16.350000000000001</v>
      </c>
      <c r="SY7" s="23">
        <f t="shared" si="223"/>
        <v>15.795000000000002</v>
      </c>
      <c r="SZ7" s="23">
        <f t="shared" si="224"/>
        <v>0</v>
      </c>
      <c r="TA7" s="23">
        <f t="shared" si="225"/>
        <v>13.6</v>
      </c>
      <c r="TB7" s="23">
        <f t="shared" si="226"/>
        <v>3.7</v>
      </c>
      <c r="TC7" s="23">
        <f t="shared" si="227"/>
        <v>7.25</v>
      </c>
      <c r="TD7" s="23">
        <f t="shared" si="228"/>
        <v>6.85</v>
      </c>
      <c r="TE7" s="23">
        <f t="shared" si="229"/>
        <v>0</v>
      </c>
      <c r="TF7" s="23">
        <f t="shared" si="230"/>
        <v>14.45</v>
      </c>
      <c r="TG7" s="23">
        <f t="shared" si="231"/>
        <v>9.5</v>
      </c>
      <c r="TH7" s="23">
        <f t="shared" si="232"/>
        <v>16.649999999999999</v>
      </c>
      <c r="TI7" s="23">
        <f t="shared" si="233"/>
        <v>16.085000000000001</v>
      </c>
      <c r="TJ7" s="23">
        <f t="shared" si="234"/>
        <v>0</v>
      </c>
      <c r="TK7" s="28" t="s">
        <v>58</v>
      </c>
      <c r="TL7" s="41">
        <f t="shared" si="235"/>
        <v>16.350000000000001</v>
      </c>
      <c r="TM7" s="41">
        <f t="shared" si="236"/>
        <v>15.795000000000002</v>
      </c>
      <c r="TN7" s="41">
        <f t="shared" si="237"/>
        <v>55.245000000000005</v>
      </c>
      <c r="TO7" s="41">
        <f t="shared" si="238"/>
        <v>7.25</v>
      </c>
      <c r="TP7" s="41">
        <f t="shared" si="239"/>
        <v>6.85</v>
      </c>
      <c r="TQ7" s="41">
        <f t="shared" si="240"/>
        <v>31.4</v>
      </c>
      <c r="TR7" s="41">
        <f t="shared" si="241"/>
        <v>55.245000000000005</v>
      </c>
      <c r="TS7" s="41">
        <f t="shared" si="242"/>
        <v>16.649999999999999</v>
      </c>
      <c r="TT7" s="41">
        <f t="shared" si="243"/>
        <v>16.085000000000001</v>
      </c>
      <c r="TU7" s="41">
        <f t="shared" si="244"/>
        <v>56.684999999999995</v>
      </c>
      <c r="TV7" s="41">
        <f t="shared" si="245"/>
        <v>111.93</v>
      </c>
    </row>
    <row r="8" spans="1:542" x14ac:dyDescent="0.2">
      <c r="A8" s="4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5" t="s">
        <v>92</v>
      </c>
      <c r="C8" s="4" t="s">
        <v>6</v>
      </c>
      <c r="D8" s="4">
        <v>2003</v>
      </c>
      <c r="E8" s="9">
        <f t="shared" si="0"/>
        <v>251.24002512400557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55.540000000000006</v>
      </c>
      <c r="K8" s="8" t="str">
        <f t="shared" si="5"/>
        <v>2023 Elite Canada</v>
      </c>
      <c r="L8" s="8">
        <f>IF(COUNT(AQ8,AT8,BR8,BU8,CS8,CV8)&gt;1,LARGE((AQ8,AT8,BR8,BU8,CS8,CV8),2),0)</f>
        <v>54.739999999999995</v>
      </c>
      <c r="M8" s="8" t="str">
        <f t="shared" si="6"/>
        <v>2022 3rd Domestic Trial</v>
      </c>
      <c r="N8" s="8">
        <f>IF(COUNT(AQ8,AT8,BR8,BU8,CS8,CV8)&gt;2,LARGE((AQ8,AT8,BR8,BU8,CS8,CV8),3),0)</f>
        <v>54.02</v>
      </c>
      <c r="O8" s="8" t="str">
        <f t="shared" si="7"/>
        <v>2023 Elite Canada</v>
      </c>
      <c r="P8" s="8">
        <f t="shared" si="8"/>
        <v>54.870000000000005</v>
      </c>
      <c r="Q8" s="8" t="str">
        <f t="shared" si="9"/>
        <v>2022 3rd Domestic Trial</v>
      </c>
      <c r="R8" s="8">
        <f t="shared" si="10"/>
        <v>15.8</v>
      </c>
      <c r="S8" s="8" t="str">
        <f t="shared" si="11"/>
        <v>2023 Elite Canada</v>
      </c>
      <c r="T8" s="8">
        <f t="shared" si="12"/>
        <v>16.27</v>
      </c>
      <c r="U8" s="8" t="str">
        <f t="shared" si="13"/>
        <v>2022 3rd Domestic Trial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15.2</v>
      </c>
      <c r="Z8" s="23">
        <v>9.1999999999999993</v>
      </c>
      <c r="AA8" s="23">
        <v>13.1</v>
      </c>
      <c r="AB8" s="23">
        <v>16.38</v>
      </c>
      <c r="AC8" s="23">
        <v>0.4</v>
      </c>
      <c r="AD8" s="23">
        <v>6.4</v>
      </c>
      <c r="AE8" s="23">
        <v>3.9</v>
      </c>
      <c r="AF8" s="23">
        <v>6.9</v>
      </c>
      <c r="AG8" s="23">
        <v>6.87</v>
      </c>
      <c r="AH8" s="23">
        <v>0</v>
      </c>
      <c r="AI8" s="23">
        <v>15</v>
      </c>
      <c r="AJ8" s="23">
        <v>8.9</v>
      </c>
      <c r="AK8" s="23">
        <v>13.7</v>
      </c>
      <c r="AL8" s="23">
        <v>15.99</v>
      </c>
      <c r="AM8" s="23">
        <v>0</v>
      </c>
      <c r="AN8" s="28"/>
      <c r="AO8" s="39">
        <f t="shared" si="17"/>
        <v>13.1</v>
      </c>
      <c r="AP8" s="39">
        <f t="shared" si="18"/>
        <v>16.38</v>
      </c>
      <c r="AQ8" s="41">
        <f t="shared" si="19"/>
        <v>53.48</v>
      </c>
      <c r="AR8" s="41">
        <f t="shared" si="20"/>
        <v>6.9</v>
      </c>
      <c r="AS8" s="41">
        <f t="shared" si="21"/>
        <v>6.87</v>
      </c>
      <c r="AT8" s="41">
        <f t="shared" si="22"/>
        <v>24.070000000000004</v>
      </c>
      <c r="AU8" s="41">
        <f t="shared" si="23"/>
        <v>53.48</v>
      </c>
      <c r="AV8" s="41">
        <f t="shared" si="24"/>
        <v>13.7</v>
      </c>
      <c r="AW8" s="41">
        <f t="shared" si="25"/>
        <v>15.99</v>
      </c>
      <c r="AX8" s="41">
        <f t="shared" si="26"/>
        <v>53.589999999999996</v>
      </c>
      <c r="AY8" s="41">
        <f t="shared" si="27"/>
        <v>107.07</v>
      </c>
      <c r="AZ8" s="27">
        <v>14.02</v>
      </c>
      <c r="BA8" s="27">
        <v>9</v>
      </c>
      <c r="BB8" s="27">
        <v>15.8</v>
      </c>
      <c r="BC8" s="27">
        <v>16.12</v>
      </c>
      <c r="BD8" s="27">
        <v>0.2</v>
      </c>
      <c r="BE8" s="27">
        <v>6.6</v>
      </c>
      <c r="BF8" s="27">
        <v>4.8</v>
      </c>
      <c r="BG8" s="27">
        <v>8.6</v>
      </c>
      <c r="BH8" s="27">
        <v>8.41</v>
      </c>
      <c r="BI8" s="27">
        <v>0</v>
      </c>
      <c r="BJ8" s="27">
        <v>14</v>
      </c>
      <c r="BK8" s="27">
        <v>8.8000000000000007</v>
      </c>
      <c r="BL8" s="27">
        <v>15.8</v>
      </c>
      <c r="BM8" s="27">
        <v>16.27</v>
      </c>
      <c r="BN8" s="27">
        <v>0</v>
      </c>
      <c r="BO8" s="29"/>
      <c r="BP8" s="40">
        <f t="shared" si="28"/>
        <v>15.8</v>
      </c>
      <c r="BQ8" s="40">
        <f t="shared" si="29"/>
        <v>16.12</v>
      </c>
      <c r="BR8" s="11">
        <f t="shared" si="30"/>
        <v>54.739999999999995</v>
      </c>
      <c r="BS8" s="11">
        <f t="shared" si="31"/>
        <v>8.6</v>
      </c>
      <c r="BT8" s="11">
        <f t="shared" si="32"/>
        <v>8.41</v>
      </c>
      <c r="BU8" s="11">
        <f t="shared" si="33"/>
        <v>28.41</v>
      </c>
      <c r="BV8" s="11">
        <f t="shared" si="34"/>
        <v>54.739999999999995</v>
      </c>
      <c r="BW8" s="11">
        <f t="shared" si="35"/>
        <v>15.8</v>
      </c>
      <c r="BX8" s="11">
        <f t="shared" si="36"/>
        <v>16.27</v>
      </c>
      <c r="BY8" s="11">
        <f t="shared" si="37"/>
        <v>54.870000000000005</v>
      </c>
      <c r="BZ8" s="11">
        <f t="shared" si="38"/>
        <v>109.61</v>
      </c>
      <c r="CA8" s="23">
        <v>14.6</v>
      </c>
      <c r="CB8" s="23">
        <v>9</v>
      </c>
      <c r="CC8" s="23">
        <v>14.8</v>
      </c>
      <c r="CD8" s="23">
        <v>15.62</v>
      </c>
      <c r="CE8" s="23">
        <v>0</v>
      </c>
      <c r="CF8" s="23">
        <v>14.9</v>
      </c>
      <c r="CG8" s="23">
        <v>9</v>
      </c>
      <c r="CH8" s="23">
        <v>15.8</v>
      </c>
      <c r="CI8" s="23">
        <v>15.84</v>
      </c>
      <c r="CJ8" s="23">
        <v>0</v>
      </c>
      <c r="CK8" s="23">
        <v>14.7</v>
      </c>
      <c r="CL8" s="23">
        <v>9</v>
      </c>
      <c r="CM8" s="23">
        <v>14.8</v>
      </c>
      <c r="CN8" s="23">
        <v>15.82</v>
      </c>
      <c r="CO8" s="23">
        <v>0</v>
      </c>
      <c r="CP8" s="28"/>
      <c r="CQ8" s="39">
        <f t="shared" si="39"/>
        <v>14.8</v>
      </c>
      <c r="CR8" s="39">
        <f t="shared" si="40"/>
        <v>15.62</v>
      </c>
      <c r="CS8" s="41">
        <f t="shared" si="41"/>
        <v>54.02</v>
      </c>
      <c r="CT8" s="41">
        <f t="shared" si="42"/>
        <v>15.8</v>
      </c>
      <c r="CU8" s="41">
        <f t="shared" si="43"/>
        <v>15.84</v>
      </c>
      <c r="CV8" s="41">
        <f t="shared" si="44"/>
        <v>55.540000000000006</v>
      </c>
      <c r="CW8" s="41">
        <f t="shared" si="45"/>
        <v>55.540000000000006</v>
      </c>
      <c r="CX8" s="41">
        <f t="shared" si="46"/>
        <v>14.8</v>
      </c>
      <c r="CY8" s="41">
        <f t="shared" si="47"/>
        <v>15.82</v>
      </c>
      <c r="CZ8" s="41">
        <f t="shared" si="48"/>
        <v>54.32</v>
      </c>
      <c r="DA8" s="41">
        <f t="shared" si="49"/>
        <v>109.86000000000001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>
        <v>12.2</v>
      </c>
      <c r="LA8" s="17">
        <v>9.1</v>
      </c>
      <c r="LB8" s="17">
        <v>15</v>
      </c>
      <c r="LC8" s="17">
        <v>16.309999999999999</v>
      </c>
      <c r="LD8" s="17">
        <v>0</v>
      </c>
      <c r="LE8" s="17">
        <v>6</v>
      </c>
      <c r="LF8" s="17">
        <v>3.4</v>
      </c>
      <c r="LG8" s="17">
        <v>6.5</v>
      </c>
      <c r="LH8" s="17">
        <v>6.7</v>
      </c>
      <c r="LI8" s="17">
        <v>0.2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 t="shared" si="136"/>
        <v>15</v>
      </c>
      <c r="LU8" s="41">
        <f t="shared" si="137"/>
        <v>16.309999999999999</v>
      </c>
      <c r="LV8" s="41">
        <f t="shared" si="138"/>
        <v>52.61</v>
      </c>
      <c r="LW8" s="41">
        <f t="shared" si="139"/>
        <v>6.5</v>
      </c>
      <c r="LX8" s="41">
        <f t="shared" si="140"/>
        <v>6.7</v>
      </c>
      <c r="LY8" s="41">
        <f t="shared" si="141"/>
        <v>22.400000000000002</v>
      </c>
      <c r="LZ8" s="41">
        <f t="shared" si="142"/>
        <v>52.61</v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>
        <f t="shared" si="149"/>
        <v>52.61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14.309999999999999</v>
      </c>
      <c r="SW8" s="23">
        <f t="shared" si="221"/>
        <v>9</v>
      </c>
      <c r="SX8" s="23">
        <f t="shared" si="222"/>
        <v>15.3</v>
      </c>
      <c r="SY8" s="23">
        <f t="shared" si="223"/>
        <v>15.870000000000001</v>
      </c>
      <c r="SZ8" s="23">
        <f t="shared" si="224"/>
        <v>0.1</v>
      </c>
      <c r="TA8" s="23">
        <f t="shared" si="225"/>
        <v>10.75</v>
      </c>
      <c r="TB8" s="23">
        <f t="shared" si="226"/>
        <v>6.9</v>
      </c>
      <c r="TC8" s="23">
        <f t="shared" si="227"/>
        <v>12.2</v>
      </c>
      <c r="TD8" s="23">
        <f t="shared" si="228"/>
        <v>12.125</v>
      </c>
      <c r="TE8" s="23">
        <f t="shared" si="229"/>
        <v>0</v>
      </c>
      <c r="TF8" s="23">
        <f t="shared" si="230"/>
        <v>14.35</v>
      </c>
      <c r="TG8" s="23">
        <f t="shared" si="231"/>
        <v>8.9</v>
      </c>
      <c r="TH8" s="23">
        <f t="shared" si="232"/>
        <v>15.3</v>
      </c>
      <c r="TI8" s="23">
        <f t="shared" si="233"/>
        <v>16.045000000000002</v>
      </c>
      <c r="TJ8" s="23">
        <f t="shared" si="234"/>
        <v>0</v>
      </c>
      <c r="TK8" s="28" t="s">
        <v>58</v>
      </c>
      <c r="TL8" s="41">
        <f t="shared" si="235"/>
        <v>15.3</v>
      </c>
      <c r="TM8" s="41">
        <f t="shared" si="236"/>
        <v>15.870000000000001</v>
      </c>
      <c r="TN8" s="41">
        <f t="shared" si="237"/>
        <v>54.38</v>
      </c>
      <c r="TO8" s="41">
        <f t="shared" si="238"/>
        <v>12.2</v>
      </c>
      <c r="TP8" s="41">
        <f t="shared" si="239"/>
        <v>12.125</v>
      </c>
      <c r="TQ8" s="41">
        <f t="shared" si="240"/>
        <v>41.974999999999994</v>
      </c>
      <c r="TR8" s="41">
        <f t="shared" si="241"/>
        <v>54.38</v>
      </c>
      <c r="TS8" s="41">
        <f t="shared" si="242"/>
        <v>15.3</v>
      </c>
      <c r="TT8" s="41">
        <f t="shared" si="243"/>
        <v>16.045000000000002</v>
      </c>
      <c r="TU8" s="41">
        <f t="shared" si="244"/>
        <v>54.594999999999999</v>
      </c>
      <c r="TV8" s="41">
        <f t="shared" si="245"/>
        <v>108.97499999999999</v>
      </c>
    </row>
    <row r="9" spans="1:542" x14ac:dyDescent="0.2">
      <c r="A9" s="4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5" t="s">
        <v>30</v>
      </c>
      <c r="C9" s="4" t="s">
        <v>6</v>
      </c>
      <c r="D9" s="4">
        <v>1995</v>
      </c>
      <c r="E9" s="9">
        <f t="shared" si="0"/>
        <v>85.840003117000009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IF(COUNT(AQ9,AT9,BR9,BU9,CS9,CV9)&gt;0,LARGE((AQ9,AT9,BR9,BU9,CS9,CV9),1),0)</f>
        <v>0</v>
      </c>
      <c r="K9" s="8" t="str">
        <f t="shared" si="5"/>
        <v/>
      </c>
      <c r="L9" s="8">
        <f>IF(COUNT(AQ9,AT9,BR9,BU9,CS9,CV9)&gt;1,LARGE((AQ9,AT9,BR9,BU9,CS9,CV9),2),0)</f>
        <v>0</v>
      </c>
      <c r="M9" s="8" t="str">
        <f t="shared" si="6"/>
        <v/>
      </c>
      <c r="N9" s="8">
        <f>IF(COUNT(AQ9,AT9,BR9,BU9,CS9,CV9)&gt;2,LARGE((AQ9,AT9,BR9,BU9,CS9,CV9),3),0)</f>
        <v>0</v>
      </c>
      <c r="O9" s="8" t="str">
        <f t="shared" si="7"/>
        <v/>
      </c>
      <c r="P9" s="8">
        <f t="shared" si="8"/>
        <v>0</v>
      </c>
      <c r="Q9" s="8" t="str">
        <f t="shared" si="9"/>
        <v/>
      </c>
      <c r="R9" s="8">
        <f t="shared" si="10"/>
        <v>15.4</v>
      </c>
      <c r="S9" s="8" t="str">
        <f t="shared" si="11"/>
        <v>2022 World Cup SUI (July 2)</v>
      </c>
      <c r="T9" s="8">
        <f t="shared" si="12"/>
        <v>15.77</v>
      </c>
      <c r="U9" s="8" t="str">
        <f t="shared" si="13"/>
        <v>2022 World Cup SUI (July 2)</v>
      </c>
      <c r="V9" s="8">
        <f t="shared" si="14"/>
        <v>54.67</v>
      </c>
      <c r="W9" s="11" t="str">
        <f t="shared" si="15"/>
        <v>(Prelim)</v>
      </c>
      <c r="X9" s="8" t="str">
        <f t="shared" si="16"/>
        <v>2022 World Cup SUI (July 2)</v>
      </c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8"/>
      <c r="AO9" s="39" t="str">
        <f t="shared" si="17"/>
        <v/>
      </c>
      <c r="AP9" s="39" t="str">
        <f t="shared" si="18"/>
        <v/>
      </c>
      <c r="AQ9" s="41" t="str">
        <f t="shared" si="19"/>
        <v/>
      </c>
      <c r="AR9" s="41" t="str">
        <f t="shared" si="20"/>
        <v/>
      </c>
      <c r="AS9" s="41" t="str">
        <f t="shared" si="21"/>
        <v/>
      </c>
      <c r="AT9" s="41" t="str">
        <f t="shared" si="22"/>
        <v/>
      </c>
      <c r="AU9" s="41" t="str">
        <f t="shared" si="23"/>
        <v/>
      </c>
      <c r="AV9" s="41" t="str">
        <f t="shared" si="24"/>
        <v/>
      </c>
      <c r="AW9" s="41" t="str">
        <f t="shared" si="25"/>
        <v/>
      </c>
      <c r="AX9" s="41" t="str">
        <f t="shared" si="26"/>
        <v/>
      </c>
      <c r="AY9" s="41" t="str">
        <f t="shared" si="27"/>
        <v/>
      </c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9"/>
      <c r="BP9" s="40" t="str">
        <f t="shared" si="28"/>
        <v/>
      </c>
      <c r="BQ9" s="40" t="str">
        <f t="shared" si="29"/>
        <v/>
      </c>
      <c r="BR9" s="11" t="str">
        <f t="shared" si="30"/>
        <v/>
      </c>
      <c r="BS9" s="11" t="str">
        <f t="shared" si="31"/>
        <v/>
      </c>
      <c r="BT9" s="11" t="str">
        <f t="shared" si="32"/>
        <v/>
      </c>
      <c r="BU9" s="11" t="str">
        <f t="shared" si="33"/>
        <v/>
      </c>
      <c r="BV9" s="11" t="str">
        <f t="shared" si="34"/>
        <v/>
      </c>
      <c r="BW9" s="11" t="str">
        <f t="shared" si="35"/>
        <v/>
      </c>
      <c r="BX9" s="11" t="str">
        <f t="shared" si="36"/>
        <v/>
      </c>
      <c r="BY9" s="11" t="str">
        <f t="shared" si="37"/>
        <v/>
      </c>
      <c r="BZ9" s="11" t="str">
        <f t="shared" si="38"/>
        <v/>
      </c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8"/>
      <c r="CQ9" s="39" t="str">
        <f t="shared" si="39"/>
        <v/>
      </c>
      <c r="CR9" s="39" t="str">
        <f t="shared" si="40"/>
        <v/>
      </c>
      <c r="CS9" s="41" t="str">
        <f t="shared" si="41"/>
        <v/>
      </c>
      <c r="CT9" s="41" t="str">
        <f t="shared" si="42"/>
        <v/>
      </c>
      <c r="CU9" s="41" t="str">
        <f t="shared" si="43"/>
        <v/>
      </c>
      <c r="CV9" s="41" t="str">
        <f t="shared" si="44"/>
        <v/>
      </c>
      <c r="CW9" s="41" t="str">
        <f t="shared" si="45"/>
        <v/>
      </c>
      <c r="CX9" s="41" t="str">
        <f t="shared" si="46"/>
        <v/>
      </c>
      <c r="CY9" s="41" t="str">
        <f t="shared" si="47"/>
        <v/>
      </c>
      <c r="CZ9" s="41" t="str">
        <f t="shared" si="48"/>
        <v/>
      </c>
      <c r="DA9" s="41" t="str">
        <f t="shared" si="49"/>
        <v/>
      </c>
      <c r="DB9" s="52">
        <f t="shared" si="50"/>
        <v>54.67</v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>
        <v>11.7</v>
      </c>
      <c r="EM9" s="18">
        <v>8.3000000000000007</v>
      </c>
      <c r="EN9" s="18">
        <v>13.8</v>
      </c>
      <c r="EO9" s="18">
        <v>14</v>
      </c>
      <c r="EP9" s="18">
        <v>0</v>
      </c>
      <c r="EQ9" s="18">
        <v>1.4</v>
      </c>
      <c r="ER9" s="18">
        <v>0.9</v>
      </c>
      <c r="ES9" s="18">
        <v>2</v>
      </c>
      <c r="ET9" s="18">
        <v>1.74</v>
      </c>
      <c r="EU9" s="18">
        <v>0</v>
      </c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 t="shared" si="66"/>
        <v>13.8</v>
      </c>
      <c r="FG9" s="11">
        <f t="shared" si="67"/>
        <v>14</v>
      </c>
      <c r="FH9" s="11">
        <f t="shared" si="68"/>
        <v>47.8</v>
      </c>
      <c r="FI9" s="11">
        <f t="shared" si="69"/>
        <v>2</v>
      </c>
      <c r="FJ9" s="11">
        <f t="shared" si="70"/>
        <v>1.74</v>
      </c>
      <c r="FK9" s="11">
        <f t="shared" si="71"/>
        <v>6.04</v>
      </c>
      <c r="FL9" s="11">
        <f t="shared" si="72"/>
        <v>47.8</v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>
        <f t="shared" si="79"/>
        <v>47.8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>
        <v>7.5</v>
      </c>
      <c r="HC9" s="18">
        <v>8.4</v>
      </c>
      <c r="HD9" s="18">
        <v>4.5999999999999996</v>
      </c>
      <c r="HE9" s="18">
        <v>8.32</v>
      </c>
      <c r="HF9" s="18">
        <v>0</v>
      </c>
      <c r="HG9" s="18">
        <v>14.3</v>
      </c>
      <c r="HH9" s="18">
        <v>9.1999999999999993</v>
      </c>
      <c r="HI9" s="18">
        <v>15.4</v>
      </c>
      <c r="HJ9" s="18">
        <v>15.77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 t="shared" si="94"/>
        <v>4.5999999999999996</v>
      </c>
      <c r="HW9" s="11">
        <f t="shared" si="95"/>
        <v>8.32</v>
      </c>
      <c r="HX9" s="11">
        <f t="shared" si="96"/>
        <v>28.82</v>
      </c>
      <c r="HY9" s="11">
        <f t="shared" si="97"/>
        <v>15.4</v>
      </c>
      <c r="HZ9" s="11">
        <f t="shared" si="98"/>
        <v>15.77</v>
      </c>
      <c r="IA9" s="11">
        <f t="shared" si="99"/>
        <v>54.67</v>
      </c>
      <c r="IB9" s="11">
        <f t="shared" si="100"/>
        <v>54.67</v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>
        <f t="shared" si="107"/>
        <v>54.67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0</v>
      </c>
      <c r="SW9" s="23">
        <f t="shared" si="221"/>
        <v>0</v>
      </c>
      <c r="SX9" s="23">
        <f t="shared" si="222"/>
        <v>0</v>
      </c>
      <c r="SY9" s="23">
        <f t="shared" si="223"/>
        <v>0</v>
      </c>
      <c r="SZ9" s="23">
        <f t="shared" si="224"/>
        <v>0</v>
      </c>
      <c r="TA9" s="23">
        <f t="shared" si="225"/>
        <v>0</v>
      </c>
      <c r="TB9" s="23">
        <f t="shared" si="226"/>
        <v>0</v>
      </c>
      <c r="TC9" s="23">
        <f t="shared" si="227"/>
        <v>0</v>
      </c>
      <c r="TD9" s="23">
        <f t="shared" si="228"/>
        <v>0</v>
      </c>
      <c r="TE9" s="23">
        <f t="shared" si="229"/>
        <v>0</v>
      </c>
      <c r="TF9" s="23">
        <f t="shared" si="230"/>
        <v>0</v>
      </c>
      <c r="TG9" s="23">
        <f t="shared" si="231"/>
        <v>0</v>
      </c>
      <c r="TH9" s="23">
        <f t="shared" si="232"/>
        <v>0</v>
      </c>
      <c r="TI9" s="23">
        <f t="shared" si="233"/>
        <v>0</v>
      </c>
      <c r="TJ9" s="23">
        <f t="shared" si="234"/>
        <v>0</v>
      </c>
      <c r="TK9" s="28" t="s">
        <v>58</v>
      </c>
      <c r="TL9" s="41" t="str">
        <f t="shared" si="235"/>
        <v/>
      </c>
      <c r="TM9" s="41" t="str">
        <f t="shared" si="236"/>
        <v/>
      </c>
      <c r="TN9" s="41" t="str">
        <f t="shared" si="237"/>
        <v/>
      </c>
      <c r="TO9" s="41" t="str">
        <f t="shared" si="238"/>
        <v/>
      </c>
      <c r="TP9" s="41" t="str">
        <f t="shared" si="239"/>
        <v/>
      </c>
      <c r="TQ9" s="41" t="str">
        <f t="shared" si="240"/>
        <v/>
      </c>
      <c r="TR9" s="41" t="str">
        <f t="shared" si="241"/>
        <v/>
      </c>
      <c r="TS9" s="41" t="str">
        <f t="shared" si="242"/>
        <v/>
      </c>
      <c r="TT9" s="41" t="str">
        <f t="shared" si="243"/>
        <v/>
      </c>
      <c r="TU9" s="41" t="str">
        <f t="shared" si="244"/>
        <v/>
      </c>
      <c r="TV9" s="41" t="str">
        <f t="shared" si="245"/>
        <v/>
      </c>
    </row>
    <row r="10" spans="1:542" x14ac:dyDescent="0.2">
      <c r="A10" s="4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5" t="s">
        <v>56</v>
      </c>
      <c r="C10" s="4" t="s">
        <v>5</v>
      </c>
      <c r="D10" s="4">
        <v>1999</v>
      </c>
      <c r="E10" s="9">
        <f t="shared" si="0"/>
        <v>245.21502452150534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IF(COUNT(AQ10,AT10,BR10,BU10,CS10,CV10)&gt;0,LARGE((AQ10,AT10,BR10,BU10,CS10,CV10),1),0)</f>
        <v>53.349999999999994</v>
      </c>
      <c r="K10" s="8" t="str">
        <f t="shared" si="5"/>
        <v>2023 Elite Canada</v>
      </c>
      <c r="L10" s="8">
        <f>IF(COUNT(AQ10,AT10,BR10,BU10,CS10,CV10)&gt;1,LARGE((AQ10,AT10,BR10,BU10,CS10,CV10),2),0)</f>
        <v>53.29</v>
      </c>
      <c r="M10" s="8" t="str">
        <f t="shared" si="6"/>
        <v>2023 Elite Canada</v>
      </c>
      <c r="N10" s="8">
        <f>IF(COUNT(AQ10,AT10,BR10,BU10,CS10,CV10)&gt;2,LARGE((AQ10,AT10,BR10,BU10,CS10,CV10),3),0)</f>
        <v>53.075000000000003</v>
      </c>
      <c r="O10" s="8" t="str">
        <f t="shared" si="7"/>
        <v>2022 3rd Domestic Trial</v>
      </c>
      <c r="P10" s="8">
        <f t="shared" si="8"/>
        <v>54.61</v>
      </c>
      <c r="Q10" s="8" t="str">
        <f t="shared" si="9"/>
        <v>2023 Elite Canada</v>
      </c>
      <c r="R10" s="8">
        <f t="shared" si="10"/>
        <v>15.4</v>
      </c>
      <c r="S10" s="8" t="str">
        <f t="shared" si="11"/>
        <v>2023 Elite Canada</v>
      </c>
      <c r="T10" s="8">
        <f t="shared" si="12"/>
        <v>15.49</v>
      </c>
      <c r="U10" s="8" t="str">
        <f t="shared" si="13"/>
        <v>2022 Nationals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12.8</v>
      </c>
      <c r="Z10" s="23">
        <v>9.1</v>
      </c>
      <c r="AA10" s="23">
        <v>15.4</v>
      </c>
      <c r="AB10" s="23">
        <v>15.49</v>
      </c>
      <c r="AC10" s="23">
        <v>0</v>
      </c>
      <c r="AD10" s="23">
        <v>10.6</v>
      </c>
      <c r="AE10" s="23">
        <v>6.2</v>
      </c>
      <c r="AF10" s="23">
        <v>10.9</v>
      </c>
      <c r="AG10" s="23">
        <v>14.29</v>
      </c>
      <c r="AH10" s="23">
        <v>0</v>
      </c>
      <c r="AI10" s="23">
        <v>9.4</v>
      </c>
      <c r="AJ10" s="23">
        <v>5.4</v>
      </c>
      <c r="AK10" s="23">
        <v>9</v>
      </c>
      <c r="AL10" s="23">
        <v>9.49</v>
      </c>
      <c r="AM10" s="23">
        <v>0</v>
      </c>
      <c r="AN10" s="28"/>
      <c r="AO10" s="39">
        <f t="shared" si="17"/>
        <v>15.4</v>
      </c>
      <c r="AP10" s="39">
        <f t="shared" si="18"/>
        <v>15.49</v>
      </c>
      <c r="AQ10" s="41">
        <f t="shared" si="19"/>
        <v>52.79</v>
      </c>
      <c r="AR10" s="41">
        <f t="shared" si="20"/>
        <v>10.9</v>
      </c>
      <c r="AS10" s="41">
        <f t="shared" si="21"/>
        <v>14.29</v>
      </c>
      <c r="AT10" s="41">
        <f t="shared" si="22"/>
        <v>41.99</v>
      </c>
      <c r="AU10" s="41">
        <f t="shared" si="23"/>
        <v>52.79</v>
      </c>
      <c r="AV10" s="41">
        <f t="shared" si="24"/>
        <v>9</v>
      </c>
      <c r="AW10" s="41">
        <f t="shared" si="25"/>
        <v>9.49</v>
      </c>
      <c r="AX10" s="41">
        <f t="shared" si="26"/>
        <v>33.29</v>
      </c>
      <c r="AY10" s="41">
        <f t="shared" si="27"/>
        <v>86.08</v>
      </c>
      <c r="AZ10" s="27">
        <v>13.55</v>
      </c>
      <c r="BA10" s="27">
        <v>9</v>
      </c>
      <c r="BB10" s="27">
        <v>15.100000000000001</v>
      </c>
      <c r="BC10" s="27">
        <v>15.425000000000001</v>
      </c>
      <c r="BD10" s="27">
        <v>0</v>
      </c>
      <c r="BE10" s="27">
        <v>12.8</v>
      </c>
      <c r="BF10" s="27">
        <v>7.8000000000000007</v>
      </c>
      <c r="BG10" s="27">
        <v>11.8</v>
      </c>
      <c r="BH10" s="27">
        <v>15.079999999999998</v>
      </c>
      <c r="BI10" s="27">
        <v>0.4</v>
      </c>
      <c r="BJ10" s="27">
        <v>12</v>
      </c>
      <c r="BK10" s="27">
        <v>7.25</v>
      </c>
      <c r="BL10" s="27">
        <v>11.8</v>
      </c>
      <c r="BM10" s="27">
        <v>12.68</v>
      </c>
      <c r="BN10" s="27">
        <v>0</v>
      </c>
      <c r="BO10" s="29" t="s">
        <v>58</v>
      </c>
      <c r="BP10" s="40">
        <f t="shared" si="28"/>
        <v>15.100000000000001</v>
      </c>
      <c r="BQ10" s="40">
        <f t="shared" si="29"/>
        <v>15.425000000000001</v>
      </c>
      <c r="BR10" s="11">
        <f t="shared" si="30"/>
        <v>53.075000000000003</v>
      </c>
      <c r="BS10" s="11">
        <f t="shared" si="31"/>
        <v>11.8</v>
      </c>
      <c r="BT10" s="11">
        <f t="shared" si="32"/>
        <v>15.079999999999998</v>
      </c>
      <c r="BU10" s="11">
        <f t="shared" si="33"/>
        <v>47.080000000000005</v>
      </c>
      <c r="BV10" s="11">
        <f t="shared" si="34"/>
        <v>53.075000000000003</v>
      </c>
      <c r="BW10" s="11">
        <f t="shared" si="35"/>
        <v>11.8</v>
      </c>
      <c r="BX10" s="11">
        <f t="shared" si="36"/>
        <v>12.68</v>
      </c>
      <c r="BY10" s="11">
        <f t="shared" si="37"/>
        <v>43.730000000000004</v>
      </c>
      <c r="BZ10" s="11">
        <f t="shared" si="38"/>
        <v>96.805000000000007</v>
      </c>
      <c r="CA10" s="23">
        <v>14.7</v>
      </c>
      <c r="CB10" s="23">
        <v>9</v>
      </c>
      <c r="CC10" s="23">
        <v>14.8</v>
      </c>
      <c r="CD10" s="23">
        <v>14.79</v>
      </c>
      <c r="CE10" s="23">
        <v>0</v>
      </c>
      <c r="CF10" s="23">
        <v>14.1</v>
      </c>
      <c r="CG10" s="23">
        <v>8.9</v>
      </c>
      <c r="CH10" s="23">
        <v>15.4</v>
      </c>
      <c r="CI10" s="23">
        <v>14.95</v>
      </c>
      <c r="CJ10" s="23">
        <v>0</v>
      </c>
      <c r="CK10" s="23">
        <v>15.7</v>
      </c>
      <c r="CL10" s="23">
        <v>9.6</v>
      </c>
      <c r="CM10" s="23">
        <v>14</v>
      </c>
      <c r="CN10" s="23">
        <v>15.31</v>
      </c>
      <c r="CO10" s="23">
        <v>0</v>
      </c>
      <c r="CP10" s="28"/>
      <c r="CQ10" s="39">
        <f t="shared" si="39"/>
        <v>14.8</v>
      </c>
      <c r="CR10" s="39">
        <f t="shared" si="40"/>
        <v>14.79</v>
      </c>
      <c r="CS10" s="41">
        <f t="shared" si="41"/>
        <v>53.29</v>
      </c>
      <c r="CT10" s="41">
        <f t="shared" si="42"/>
        <v>15.4</v>
      </c>
      <c r="CU10" s="41">
        <f t="shared" si="43"/>
        <v>14.95</v>
      </c>
      <c r="CV10" s="41">
        <f t="shared" si="44"/>
        <v>53.349999999999994</v>
      </c>
      <c r="CW10" s="41">
        <f t="shared" si="45"/>
        <v>53.349999999999994</v>
      </c>
      <c r="CX10" s="41">
        <f t="shared" si="46"/>
        <v>14</v>
      </c>
      <c r="CY10" s="41">
        <f t="shared" si="47"/>
        <v>15.31</v>
      </c>
      <c r="CZ10" s="41">
        <f t="shared" si="48"/>
        <v>54.61</v>
      </c>
      <c r="DA10" s="41">
        <f t="shared" si="49"/>
        <v>107.96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14.125</v>
      </c>
      <c r="SW10" s="23">
        <f t="shared" si="221"/>
        <v>9</v>
      </c>
      <c r="SX10" s="23">
        <f t="shared" si="222"/>
        <v>14.950000000000001</v>
      </c>
      <c r="SY10" s="23">
        <f t="shared" si="223"/>
        <v>15.1075</v>
      </c>
      <c r="SZ10" s="23">
        <f t="shared" si="224"/>
        <v>0</v>
      </c>
      <c r="TA10" s="23">
        <f t="shared" si="225"/>
        <v>13.45</v>
      </c>
      <c r="TB10" s="23">
        <f t="shared" si="226"/>
        <v>8.3500000000000014</v>
      </c>
      <c r="TC10" s="23">
        <f t="shared" si="227"/>
        <v>13.600000000000001</v>
      </c>
      <c r="TD10" s="23">
        <f t="shared" si="228"/>
        <v>15.014999999999999</v>
      </c>
      <c r="TE10" s="23">
        <f t="shared" si="229"/>
        <v>0.2</v>
      </c>
      <c r="TF10" s="23">
        <f t="shared" si="230"/>
        <v>13.85</v>
      </c>
      <c r="TG10" s="23">
        <f t="shared" si="231"/>
        <v>8.4250000000000007</v>
      </c>
      <c r="TH10" s="23">
        <f t="shared" si="232"/>
        <v>12.9</v>
      </c>
      <c r="TI10" s="23">
        <f t="shared" si="233"/>
        <v>13.995000000000001</v>
      </c>
      <c r="TJ10" s="23">
        <f t="shared" si="234"/>
        <v>0</v>
      </c>
      <c r="TK10" s="28" t="s">
        <v>58</v>
      </c>
      <c r="TL10" s="41">
        <f t="shared" si="235"/>
        <v>14.950000000000001</v>
      </c>
      <c r="TM10" s="41">
        <f t="shared" si="236"/>
        <v>15.1075</v>
      </c>
      <c r="TN10" s="41">
        <f t="shared" si="237"/>
        <v>53.182500000000005</v>
      </c>
      <c r="TO10" s="41">
        <f t="shared" si="238"/>
        <v>13.600000000000001</v>
      </c>
      <c r="TP10" s="41">
        <f t="shared" si="239"/>
        <v>15.014999999999999</v>
      </c>
      <c r="TQ10" s="41">
        <f t="shared" si="240"/>
        <v>50.215000000000003</v>
      </c>
      <c r="TR10" s="41">
        <f t="shared" si="241"/>
        <v>53.182500000000005</v>
      </c>
      <c r="TS10" s="41">
        <f t="shared" si="242"/>
        <v>12.9</v>
      </c>
      <c r="TT10" s="41">
        <f t="shared" si="243"/>
        <v>13.995000000000001</v>
      </c>
      <c r="TU10" s="41">
        <f t="shared" si="244"/>
        <v>49.17</v>
      </c>
      <c r="TV10" s="41">
        <f t="shared" si="245"/>
        <v>102.35250000000001</v>
      </c>
    </row>
    <row r="11" spans="1:542" x14ac:dyDescent="0.2">
      <c r="A11" s="4" t="str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/>
      </c>
      <c r="B11" s="5" t="s">
        <v>131</v>
      </c>
      <c r="C11" s="4" t="s">
        <v>8</v>
      </c>
      <c r="D11" s="4">
        <v>2005</v>
      </c>
      <c r="E11" s="9">
        <f t="shared" si="0"/>
        <v>226.81002268100539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IF(COUNT(AQ11,AT11,BR11,BU11,CS11,CV11)&gt;0,LARGE((AQ11,AT11,BR11,BU11,CS11,CV11),1),0)</f>
        <v>53.98</v>
      </c>
      <c r="K11" s="8" t="str">
        <f t="shared" si="5"/>
        <v>2023 Elite Canada</v>
      </c>
      <c r="L11" s="8">
        <f>IF(COUNT(AQ11,AT11,BR11,BU11,CS11,CV11)&gt;1,LARGE((AQ11,AT11,BR11,BU11,CS11,CV11),2),0)</f>
        <v>53.21</v>
      </c>
      <c r="M11" s="8" t="str">
        <f t="shared" si="6"/>
        <v>2023 Elite Canada</v>
      </c>
      <c r="N11" s="8">
        <f>IF(COUNT(AQ11,AT11,BR11,BU11,CS11,CV11)&gt;2,LARGE((AQ11,AT11,BR11,BU11,CS11,CV11),3),0)</f>
        <v>53.150000000000006</v>
      </c>
      <c r="O11" s="8" t="str">
        <f t="shared" si="7"/>
        <v>2022 3rd Domestic Trial</v>
      </c>
      <c r="P11" s="8">
        <f t="shared" si="8"/>
        <v>52.069999999999993</v>
      </c>
      <c r="Q11" s="8" t="str">
        <f t="shared" si="9"/>
        <v>2022 Nationals</v>
      </c>
      <c r="R11" s="8">
        <f t="shared" si="10"/>
        <v>14.4</v>
      </c>
      <c r="S11" s="8" t="str">
        <f t="shared" si="11"/>
        <v>2023 Elite Canada</v>
      </c>
      <c r="T11" s="8">
        <f t="shared" si="12"/>
        <v>0</v>
      </c>
      <c r="U11" s="8" t="str">
        <f t="shared" si="13"/>
        <v/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4.5</v>
      </c>
      <c r="Z11" s="23">
        <v>2.6</v>
      </c>
      <c r="AA11" s="23">
        <v>4.4000000000000004</v>
      </c>
      <c r="AB11" s="23">
        <v>4.54</v>
      </c>
      <c r="AC11" s="23">
        <v>0.2</v>
      </c>
      <c r="AD11" s="23">
        <v>15</v>
      </c>
      <c r="AE11" s="23">
        <v>9.1</v>
      </c>
      <c r="AF11" s="23">
        <v>13.5</v>
      </c>
      <c r="AG11" s="23">
        <v>14.46</v>
      </c>
      <c r="AH11" s="23">
        <v>0.2</v>
      </c>
      <c r="AI11" s="23">
        <v>15.2</v>
      </c>
      <c r="AJ11" s="23">
        <v>9.1999999999999993</v>
      </c>
      <c r="AK11" s="23">
        <v>13.5</v>
      </c>
      <c r="AL11" s="23">
        <v>14.37</v>
      </c>
      <c r="AM11" s="23">
        <v>0.2</v>
      </c>
      <c r="AN11" s="28"/>
      <c r="AO11" s="39">
        <f t="shared" si="17"/>
        <v>4.4000000000000004</v>
      </c>
      <c r="AP11" s="39">
        <f t="shared" si="18"/>
        <v>4.54</v>
      </c>
      <c r="AQ11" s="41">
        <f t="shared" si="19"/>
        <v>15.84</v>
      </c>
      <c r="AR11" s="41">
        <f t="shared" si="20"/>
        <v>13.5</v>
      </c>
      <c r="AS11" s="41">
        <f t="shared" si="21"/>
        <v>14.46</v>
      </c>
      <c r="AT11" s="41">
        <f t="shared" si="22"/>
        <v>51.86</v>
      </c>
      <c r="AU11" s="41">
        <f t="shared" si="23"/>
        <v>51.86</v>
      </c>
      <c r="AV11" s="41">
        <f t="shared" si="24"/>
        <v>13.5</v>
      </c>
      <c r="AW11" s="41">
        <f t="shared" si="25"/>
        <v>14.37</v>
      </c>
      <c r="AX11" s="41">
        <f t="shared" si="26"/>
        <v>52.069999999999993</v>
      </c>
      <c r="AY11" s="41">
        <f t="shared" si="27"/>
        <v>103.92999999999999</v>
      </c>
      <c r="AZ11" s="27">
        <v>15.4</v>
      </c>
      <c r="BA11" s="27">
        <v>9.1999999999999993</v>
      </c>
      <c r="BB11" s="27">
        <v>13.5</v>
      </c>
      <c r="BC11" s="27">
        <v>15.05</v>
      </c>
      <c r="BD11" s="27">
        <v>0</v>
      </c>
      <c r="BE11" s="27">
        <v>13.7</v>
      </c>
      <c r="BF11" s="27">
        <v>9.3000000000000007</v>
      </c>
      <c r="BG11" s="27">
        <v>12.3</v>
      </c>
      <c r="BH11" s="27">
        <v>14.56</v>
      </c>
      <c r="BI11" s="27">
        <v>1.2</v>
      </c>
      <c r="BJ11" s="27">
        <v>6.1</v>
      </c>
      <c r="BK11" s="27">
        <v>3.6</v>
      </c>
      <c r="BL11" s="27">
        <v>5.8</v>
      </c>
      <c r="BM11" s="27">
        <v>6</v>
      </c>
      <c r="BN11" s="27">
        <v>0</v>
      </c>
      <c r="BO11" s="29"/>
      <c r="BP11" s="40">
        <f t="shared" si="28"/>
        <v>13.5</v>
      </c>
      <c r="BQ11" s="40">
        <f t="shared" si="29"/>
        <v>15.05</v>
      </c>
      <c r="BR11" s="11">
        <f t="shared" si="30"/>
        <v>53.150000000000006</v>
      </c>
      <c r="BS11" s="11">
        <f t="shared" si="31"/>
        <v>12.3</v>
      </c>
      <c r="BT11" s="11">
        <f t="shared" si="32"/>
        <v>14.56</v>
      </c>
      <c r="BU11" s="11">
        <f t="shared" si="33"/>
        <v>48.66</v>
      </c>
      <c r="BV11" s="11">
        <f t="shared" si="34"/>
        <v>53.150000000000006</v>
      </c>
      <c r="BW11" s="11">
        <f t="shared" si="35"/>
        <v>5.8</v>
      </c>
      <c r="BX11" s="11">
        <f t="shared" si="36"/>
        <v>6</v>
      </c>
      <c r="BY11" s="11">
        <f t="shared" si="37"/>
        <v>21.5</v>
      </c>
      <c r="BZ11" s="11">
        <f t="shared" si="38"/>
        <v>74.650000000000006</v>
      </c>
      <c r="CA11" s="23">
        <v>15.7</v>
      </c>
      <c r="CB11" s="23">
        <v>9.1</v>
      </c>
      <c r="CC11" s="23">
        <v>14.4</v>
      </c>
      <c r="CD11" s="23">
        <v>14.78</v>
      </c>
      <c r="CE11" s="23">
        <v>0</v>
      </c>
      <c r="CF11" s="23">
        <v>15.3</v>
      </c>
      <c r="CG11" s="23">
        <v>9.1999999999999993</v>
      </c>
      <c r="CH11" s="23">
        <v>14.2</v>
      </c>
      <c r="CI11" s="23">
        <v>14.51</v>
      </c>
      <c r="CJ11" s="23">
        <v>0</v>
      </c>
      <c r="CK11" s="23">
        <v>6.5</v>
      </c>
      <c r="CL11" s="23">
        <v>3.7</v>
      </c>
      <c r="CM11" s="23">
        <v>6.1</v>
      </c>
      <c r="CN11" s="23">
        <v>6.26</v>
      </c>
      <c r="CO11" s="23">
        <v>0</v>
      </c>
      <c r="CP11" s="28"/>
      <c r="CQ11" s="39">
        <f t="shared" si="39"/>
        <v>14.4</v>
      </c>
      <c r="CR11" s="39">
        <f t="shared" si="40"/>
        <v>14.78</v>
      </c>
      <c r="CS11" s="41">
        <f t="shared" si="41"/>
        <v>53.98</v>
      </c>
      <c r="CT11" s="41">
        <f t="shared" si="42"/>
        <v>14.2</v>
      </c>
      <c r="CU11" s="41">
        <f t="shared" si="43"/>
        <v>14.51</v>
      </c>
      <c r="CV11" s="41">
        <f t="shared" si="44"/>
        <v>53.21</v>
      </c>
      <c r="CW11" s="41">
        <f t="shared" si="45"/>
        <v>53.98</v>
      </c>
      <c r="CX11" s="41">
        <f t="shared" si="46"/>
        <v>6.1</v>
      </c>
      <c r="CY11" s="41">
        <f t="shared" si="47"/>
        <v>6.26</v>
      </c>
      <c r="CZ11" s="41">
        <f t="shared" si="48"/>
        <v>22.559999999999995</v>
      </c>
      <c r="DA11" s="41">
        <f t="shared" si="49"/>
        <v>76.539999999999992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>
        <v>1.6</v>
      </c>
      <c r="LA11" s="17">
        <v>1</v>
      </c>
      <c r="LB11" s="17">
        <v>1.7</v>
      </c>
      <c r="LC11" s="17">
        <v>1.63</v>
      </c>
      <c r="LD11" s="17">
        <v>0.2</v>
      </c>
      <c r="LE11" s="17">
        <v>14.9</v>
      </c>
      <c r="LF11" s="17">
        <v>8.6</v>
      </c>
      <c r="LG11" s="17">
        <v>13.3</v>
      </c>
      <c r="LH11" s="17">
        <v>15.04</v>
      </c>
      <c r="LI11" s="17">
        <v>0</v>
      </c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>
        <f t="shared" si="136"/>
        <v>1.7</v>
      </c>
      <c r="LU11" s="41">
        <f t="shared" si="137"/>
        <v>1.63</v>
      </c>
      <c r="LV11" s="41">
        <f t="shared" si="138"/>
        <v>5.7299999999999995</v>
      </c>
      <c r="LW11" s="41">
        <f t="shared" si="139"/>
        <v>13.3</v>
      </c>
      <c r="LX11" s="41">
        <f t="shared" si="140"/>
        <v>15.04</v>
      </c>
      <c r="LY11" s="41">
        <f t="shared" si="141"/>
        <v>51.839999999999996</v>
      </c>
      <c r="LZ11" s="41">
        <f t="shared" si="142"/>
        <v>51.839999999999996</v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>
        <f t="shared" si="149"/>
        <v>51.839999999999996</v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15.55</v>
      </c>
      <c r="SW11" s="23">
        <f t="shared" si="221"/>
        <v>9.1499999999999986</v>
      </c>
      <c r="SX11" s="23">
        <f t="shared" si="222"/>
        <v>13.95</v>
      </c>
      <c r="SY11" s="23">
        <f t="shared" si="223"/>
        <v>14.914999999999999</v>
      </c>
      <c r="SZ11" s="23">
        <f t="shared" si="224"/>
        <v>0</v>
      </c>
      <c r="TA11" s="23">
        <f t="shared" si="225"/>
        <v>14.5</v>
      </c>
      <c r="TB11" s="23">
        <f t="shared" si="226"/>
        <v>9.25</v>
      </c>
      <c r="TC11" s="23">
        <f t="shared" si="227"/>
        <v>13.25</v>
      </c>
      <c r="TD11" s="23">
        <f t="shared" si="228"/>
        <v>14.535</v>
      </c>
      <c r="TE11" s="23">
        <f t="shared" si="229"/>
        <v>0.6</v>
      </c>
      <c r="TF11" s="23">
        <f t="shared" si="230"/>
        <v>6.3</v>
      </c>
      <c r="TG11" s="23">
        <f t="shared" si="231"/>
        <v>3.6500000000000004</v>
      </c>
      <c r="TH11" s="23">
        <f t="shared" si="232"/>
        <v>5.9499999999999993</v>
      </c>
      <c r="TI11" s="23">
        <f t="shared" si="233"/>
        <v>6.13</v>
      </c>
      <c r="TJ11" s="23">
        <f t="shared" si="234"/>
        <v>0</v>
      </c>
      <c r="TK11" s="28" t="s">
        <v>58</v>
      </c>
      <c r="TL11" s="41">
        <f t="shared" si="235"/>
        <v>13.95</v>
      </c>
      <c r="TM11" s="41">
        <f t="shared" si="236"/>
        <v>14.914999999999999</v>
      </c>
      <c r="TN11" s="41">
        <f t="shared" si="237"/>
        <v>53.564999999999998</v>
      </c>
      <c r="TO11" s="41">
        <f t="shared" si="238"/>
        <v>13.25</v>
      </c>
      <c r="TP11" s="41">
        <f t="shared" si="239"/>
        <v>14.535</v>
      </c>
      <c r="TQ11" s="41">
        <f t="shared" si="240"/>
        <v>50.934999999999995</v>
      </c>
      <c r="TR11" s="41">
        <f t="shared" si="241"/>
        <v>53.564999999999998</v>
      </c>
      <c r="TS11" s="41">
        <f t="shared" si="242"/>
        <v>5.9499999999999993</v>
      </c>
      <c r="TT11" s="41">
        <f t="shared" si="243"/>
        <v>6.13</v>
      </c>
      <c r="TU11" s="41">
        <f t="shared" si="244"/>
        <v>22.029999999999998</v>
      </c>
      <c r="TV11" s="41">
        <f t="shared" si="245"/>
        <v>75.594999999999999</v>
      </c>
    </row>
    <row r="12" spans="1:542" x14ac:dyDescent="0.2">
      <c r="A12" s="4" t="str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/>
      </c>
      <c r="B12" s="5" t="s">
        <v>96</v>
      </c>
      <c r="C12" s="4" t="s">
        <v>8</v>
      </c>
      <c r="D12" s="4">
        <v>2004</v>
      </c>
      <c r="E12" s="9">
        <f t="shared" si="0"/>
        <v>223.87002232200527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IF(COUNT(AQ12,AT12,BR12,BU12,CS12,CV12)&gt;0,LARGE((AQ12,AT12,BR12,BU12,CS12,CV12),1),0)</f>
        <v>52.599999999999994</v>
      </c>
      <c r="K12" s="8" t="str">
        <f t="shared" si="5"/>
        <v>2023 Elite Canada</v>
      </c>
      <c r="L12" s="8">
        <f>IF(COUNT(AQ12,AT12,BR12,BU12,CS12,CV12)&gt;1,LARGE((AQ12,AT12,BR12,BU12,CS12,CV12),2),0)</f>
        <v>51.78</v>
      </c>
      <c r="M12" s="8" t="str">
        <f t="shared" si="6"/>
        <v>2022 Nationals</v>
      </c>
      <c r="N12" s="8">
        <f>IF(COUNT(AQ12,AT12,BR12,BU12,CS12,CV12)&gt;2,LARGE((AQ12,AT12,BR12,BU12,CS12,CV12),3),0)</f>
        <v>51.5</v>
      </c>
      <c r="O12" s="8" t="str">
        <f t="shared" si="7"/>
        <v>2022 Nationals</v>
      </c>
      <c r="P12" s="8">
        <f t="shared" si="8"/>
        <v>53.84</v>
      </c>
      <c r="Q12" s="8" t="str">
        <f t="shared" si="9"/>
        <v>2023 Elite Canada</v>
      </c>
      <c r="R12" s="8">
        <f t="shared" si="10"/>
        <v>13.5</v>
      </c>
      <c r="S12" s="8" t="str">
        <f t="shared" si="11"/>
        <v>2023 Elite Canada</v>
      </c>
      <c r="T12" s="8">
        <f t="shared" si="12"/>
        <v>0</v>
      </c>
      <c r="U12" s="8" t="str">
        <f t="shared" si="13"/>
        <v/>
      </c>
      <c r="V12" s="8">
        <f t="shared" si="14"/>
        <v>0.64999999999999858</v>
      </c>
      <c r="W12" s="11" t="str">
        <f t="shared" si="15"/>
        <v>(Prelim)</v>
      </c>
      <c r="X12" s="8" t="str">
        <f t="shared" si="16"/>
        <v>2022 WAGC (Nov 25)</v>
      </c>
      <c r="Y12" s="23">
        <v>14.8</v>
      </c>
      <c r="Z12" s="23">
        <v>9</v>
      </c>
      <c r="AA12" s="23">
        <v>13.5</v>
      </c>
      <c r="AB12" s="23">
        <v>14.2</v>
      </c>
      <c r="AC12" s="23">
        <v>0</v>
      </c>
      <c r="AD12" s="23">
        <v>14.9</v>
      </c>
      <c r="AE12" s="23">
        <v>9.1</v>
      </c>
      <c r="AF12" s="23">
        <v>13.5</v>
      </c>
      <c r="AG12" s="23">
        <v>14.28</v>
      </c>
      <c r="AH12" s="23">
        <v>0</v>
      </c>
      <c r="AI12" s="23">
        <v>12.9</v>
      </c>
      <c r="AJ12" s="23">
        <v>9</v>
      </c>
      <c r="AK12" s="23">
        <v>13.3</v>
      </c>
      <c r="AL12" s="23">
        <v>14.1</v>
      </c>
      <c r="AM12" s="23">
        <v>0</v>
      </c>
      <c r="AN12" s="28"/>
      <c r="AO12" s="39">
        <f t="shared" si="17"/>
        <v>13.5</v>
      </c>
      <c r="AP12" s="39">
        <f t="shared" si="18"/>
        <v>14.2</v>
      </c>
      <c r="AQ12" s="41">
        <f t="shared" si="19"/>
        <v>51.5</v>
      </c>
      <c r="AR12" s="41">
        <f t="shared" si="20"/>
        <v>13.5</v>
      </c>
      <c r="AS12" s="41">
        <f t="shared" si="21"/>
        <v>14.28</v>
      </c>
      <c r="AT12" s="41">
        <f t="shared" si="22"/>
        <v>51.78</v>
      </c>
      <c r="AU12" s="41">
        <f t="shared" si="23"/>
        <v>51.78</v>
      </c>
      <c r="AV12" s="41">
        <f t="shared" si="24"/>
        <v>13.3</v>
      </c>
      <c r="AW12" s="41">
        <f t="shared" si="25"/>
        <v>14.1</v>
      </c>
      <c r="AX12" s="41">
        <f t="shared" si="26"/>
        <v>49.300000000000004</v>
      </c>
      <c r="AY12" s="41">
        <f t="shared" si="27"/>
        <v>101.08000000000001</v>
      </c>
      <c r="AZ12" s="27">
        <v>1.4</v>
      </c>
      <c r="BA12" s="27">
        <v>0.9</v>
      </c>
      <c r="BB12" s="27">
        <v>1.7</v>
      </c>
      <c r="BC12" s="27">
        <v>1.65</v>
      </c>
      <c r="BD12" s="27">
        <v>0</v>
      </c>
      <c r="BE12" s="27">
        <v>10.9</v>
      </c>
      <c r="BF12" s="27">
        <v>7.3</v>
      </c>
      <c r="BG12" s="27">
        <v>10.8</v>
      </c>
      <c r="BH12" s="27">
        <v>12.28</v>
      </c>
      <c r="BI12" s="27">
        <v>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9"/>
      <c r="BP12" s="40">
        <f t="shared" si="28"/>
        <v>1.7</v>
      </c>
      <c r="BQ12" s="40">
        <f t="shared" si="29"/>
        <v>1.65</v>
      </c>
      <c r="BR12" s="11">
        <f t="shared" si="30"/>
        <v>5.65</v>
      </c>
      <c r="BS12" s="11">
        <f t="shared" si="31"/>
        <v>10.8</v>
      </c>
      <c r="BT12" s="11">
        <f t="shared" si="32"/>
        <v>12.28</v>
      </c>
      <c r="BU12" s="11">
        <f t="shared" si="33"/>
        <v>41.28</v>
      </c>
      <c r="BV12" s="11">
        <f t="shared" si="34"/>
        <v>41.28</v>
      </c>
      <c r="BW12" s="11" t="str">
        <f t="shared" si="35"/>
        <v/>
      </c>
      <c r="BX12" s="11" t="str">
        <f t="shared" si="36"/>
        <v/>
      </c>
      <c r="BY12" s="11" t="str">
        <f t="shared" si="37"/>
        <v/>
      </c>
      <c r="BZ12" s="11">
        <f t="shared" si="38"/>
        <v>41.28</v>
      </c>
      <c r="CA12" s="23">
        <v>4.8</v>
      </c>
      <c r="CB12" s="23">
        <v>2.9</v>
      </c>
      <c r="CC12" s="23">
        <v>4.4000000000000004</v>
      </c>
      <c r="CD12" s="23">
        <v>4.6900000000000004</v>
      </c>
      <c r="CE12" s="23">
        <v>0</v>
      </c>
      <c r="CF12" s="23">
        <v>14.8</v>
      </c>
      <c r="CG12" s="23">
        <v>9.5</v>
      </c>
      <c r="CH12" s="23">
        <v>13.5</v>
      </c>
      <c r="CI12" s="23">
        <v>14.8</v>
      </c>
      <c r="CJ12" s="23">
        <v>0</v>
      </c>
      <c r="CK12" s="23">
        <v>15.5</v>
      </c>
      <c r="CL12" s="23">
        <v>9.6999999999999993</v>
      </c>
      <c r="CM12" s="23">
        <v>13.5</v>
      </c>
      <c r="CN12" s="23">
        <v>15.14</v>
      </c>
      <c r="CO12" s="23">
        <v>0</v>
      </c>
      <c r="CP12" s="28"/>
      <c r="CQ12" s="39">
        <f t="shared" si="39"/>
        <v>4.4000000000000004</v>
      </c>
      <c r="CR12" s="39">
        <f t="shared" si="40"/>
        <v>4.6900000000000004</v>
      </c>
      <c r="CS12" s="41">
        <f t="shared" si="41"/>
        <v>16.79</v>
      </c>
      <c r="CT12" s="41">
        <f t="shared" si="42"/>
        <v>13.5</v>
      </c>
      <c r="CU12" s="41">
        <f t="shared" si="43"/>
        <v>14.8</v>
      </c>
      <c r="CV12" s="41">
        <f t="shared" si="44"/>
        <v>52.599999999999994</v>
      </c>
      <c r="CW12" s="41">
        <f t="shared" si="45"/>
        <v>52.599999999999994</v>
      </c>
      <c r="CX12" s="41">
        <f t="shared" si="46"/>
        <v>13.5</v>
      </c>
      <c r="CY12" s="41">
        <f t="shared" si="47"/>
        <v>15.14</v>
      </c>
      <c r="CZ12" s="41">
        <f t="shared" si="48"/>
        <v>53.84</v>
      </c>
      <c r="DA12" s="41">
        <f t="shared" si="49"/>
        <v>106.44</v>
      </c>
      <c r="DB12" s="52">
        <f t="shared" si="50"/>
        <v>0.64999999999999858</v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>
        <v>14.4</v>
      </c>
      <c r="LA12" s="17">
        <v>9.5</v>
      </c>
      <c r="LB12" s="17">
        <v>13.5</v>
      </c>
      <c r="LC12" s="17">
        <v>14.75</v>
      </c>
      <c r="LD12" s="17">
        <v>0</v>
      </c>
      <c r="LE12" s="17">
        <v>13.9</v>
      </c>
      <c r="LF12" s="17">
        <v>9.6</v>
      </c>
      <c r="LG12" s="17">
        <v>13.5</v>
      </c>
      <c r="LH12" s="17">
        <v>14.79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 t="shared" si="136"/>
        <v>13.5</v>
      </c>
      <c r="LU12" s="41">
        <f t="shared" si="137"/>
        <v>14.75</v>
      </c>
      <c r="LV12" s="41">
        <f t="shared" si="138"/>
        <v>52.15</v>
      </c>
      <c r="LW12" s="41">
        <f t="shared" si="139"/>
        <v>13.5</v>
      </c>
      <c r="LX12" s="41">
        <f t="shared" si="140"/>
        <v>14.79</v>
      </c>
      <c r="LY12" s="41">
        <f t="shared" si="141"/>
        <v>51.79</v>
      </c>
      <c r="LZ12" s="41">
        <f t="shared" si="142"/>
        <v>52.15</v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>
        <f t="shared" si="149"/>
        <v>52.15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3.0999999999999996</v>
      </c>
      <c r="SW12" s="23">
        <f t="shared" si="221"/>
        <v>1.9</v>
      </c>
      <c r="SX12" s="23">
        <f t="shared" si="222"/>
        <v>3.0500000000000003</v>
      </c>
      <c r="SY12" s="23">
        <f t="shared" si="223"/>
        <v>3.17</v>
      </c>
      <c r="SZ12" s="23">
        <f t="shared" si="224"/>
        <v>0</v>
      </c>
      <c r="TA12" s="23">
        <f t="shared" si="225"/>
        <v>12.850000000000001</v>
      </c>
      <c r="TB12" s="23">
        <f t="shared" si="226"/>
        <v>8.4</v>
      </c>
      <c r="TC12" s="23">
        <f t="shared" si="227"/>
        <v>12.15</v>
      </c>
      <c r="TD12" s="23">
        <f t="shared" si="228"/>
        <v>13.54</v>
      </c>
      <c r="TE12" s="23">
        <f t="shared" si="229"/>
        <v>0</v>
      </c>
      <c r="TF12" s="23">
        <f t="shared" si="230"/>
        <v>7.75</v>
      </c>
      <c r="TG12" s="23">
        <f t="shared" si="231"/>
        <v>4.8499999999999996</v>
      </c>
      <c r="TH12" s="23">
        <f t="shared" si="232"/>
        <v>6.75</v>
      </c>
      <c r="TI12" s="23">
        <f t="shared" si="233"/>
        <v>7.57</v>
      </c>
      <c r="TJ12" s="23">
        <f t="shared" si="234"/>
        <v>0</v>
      </c>
      <c r="TK12" s="28" t="s">
        <v>58</v>
      </c>
      <c r="TL12" s="41">
        <f t="shared" si="235"/>
        <v>3.0500000000000003</v>
      </c>
      <c r="TM12" s="41">
        <f t="shared" si="236"/>
        <v>3.17</v>
      </c>
      <c r="TN12" s="41">
        <f t="shared" si="237"/>
        <v>11.22</v>
      </c>
      <c r="TO12" s="41">
        <f t="shared" si="238"/>
        <v>12.15</v>
      </c>
      <c r="TP12" s="41">
        <f t="shared" si="239"/>
        <v>13.54</v>
      </c>
      <c r="TQ12" s="41">
        <f t="shared" si="240"/>
        <v>46.94</v>
      </c>
      <c r="TR12" s="41">
        <f t="shared" si="241"/>
        <v>46.94</v>
      </c>
      <c r="TS12" s="41">
        <f t="shared" si="242"/>
        <v>6.75</v>
      </c>
      <c r="TT12" s="41">
        <f t="shared" si="243"/>
        <v>7.57</v>
      </c>
      <c r="TU12" s="41">
        <f t="shared" si="244"/>
        <v>26.92</v>
      </c>
      <c r="TV12" s="41">
        <f t="shared" si="245"/>
        <v>73.86</v>
      </c>
    </row>
    <row r="13" spans="1:542" x14ac:dyDescent="0.2">
      <c r="A13" s="4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>8</v>
      </c>
      <c r="B13" s="5" t="s">
        <v>170</v>
      </c>
      <c r="C13" s="4" t="s">
        <v>169</v>
      </c>
      <c r="D13" s="4">
        <v>2004</v>
      </c>
      <c r="E13" s="9">
        <f t="shared" si="0"/>
        <v>222.93002229300546</v>
      </c>
      <c r="F13" s="3" t="str">
        <f t="shared" si="1"/>
        <v/>
      </c>
      <c r="G13" s="3" t="str">
        <f t="shared" si="2"/>
        <v>P</v>
      </c>
      <c r="H13" s="37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54.769999999999996</v>
      </c>
      <c r="K13" s="8" t="str">
        <f t="shared" si="5"/>
        <v>2023 Elite Canada</v>
      </c>
      <c r="L13" s="8">
        <f>IF(COUNT(AQ13,AT13,BR13,BU13,CS13,CV13)&gt;1,LARGE((AQ13,AT13,BR13,BU13,CS13,CV13),2),0)</f>
        <v>52.91</v>
      </c>
      <c r="M13" s="8" t="str">
        <f t="shared" si="6"/>
        <v>2022 Nationals</v>
      </c>
      <c r="N13" s="8">
        <f>IF(COUNT(AQ13,AT13,BR13,BU13,CS13,CV13)&gt;2,LARGE((AQ13,AT13,BR13,BU13,CS13,CV13),3),0)</f>
        <v>47.98</v>
      </c>
      <c r="O13" s="8" t="str">
        <f t="shared" si="7"/>
        <v>2022 Nationals</v>
      </c>
      <c r="P13" s="8">
        <f t="shared" si="8"/>
        <v>53.67</v>
      </c>
      <c r="Q13" s="8" t="str">
        <f t="shared" si="9"/>
        <v>2022 Nationals</v>
      </c>
      <c r="R13" s="8">
        <f t="shared" si="10"/>
        <v>13.6</v>
      </c>
      <c r="S13" s="8" t="str">
        <f t="shared" si="11"/>
        <v>2022 Nationals</v>
      </c>
      <c r="T13" s="8">
        <f t="shared" si="12"/>
        <v>0</v>
      </c>
      <c r="U13" s="8" t="str">
        <f t="shared" si="13"/>
        <v/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14.5</v>
      </c>
      <c r="Z13" s="23">
        <v>9.1999999999999993</v>
      </c>
      <c r="AA13" s="23">
        <v>13.6</v>
      </c>
      <c r="AB13" s="23">
        <v>15.61</v>
      </c>
      <c r="AC13" s="23">
        <v>0</v>
      </c>
      <c r="AD13" s="23">
        <v>11.8</v>
      </c>
      <c r="AE13" s="23">
        <v>8.9</v>
      </c>
      <c r="AF13" s="23">
        <v>12.3</v>
      </c>
      <c r="AG13" s="23">
        <v>16.18</v>
      </c>
      <c r="AH13" s="23">
        <v>1.2</v>
      </c>
      <c r="AI13" s="23">
        <v>15</v>
      </c>
      <c r="AJ13" s="23">
        <v>9.5</v>
      </c>
      <c r="AK13" s="23">
        <v>13.6</v>
      </c>
      <c r="AL13" s="23">
        <v>15.97</v>
      </c>
      <c r="AM13" s="23">
        <v>0.4</v>
      </c>
      <c r="AN13" s="28"/>
      <c r="AO13" s="39">
        <f t="shared" si="17"/>
        <v>13.6</v>
      </c>
      <c r="AP13" s="39">
        <f t="shared" si="18"/>
        <v>15.61</v>
      </c>
      <c r="AQ13" s="41">
        <f t="shared" si="19"/>
        <v>52.91</v>
      </c>
      <c r="AR13" s="41">
        <f t="shared" si="20"/>
        <v>12.3</v>
      </c>
      <c r="AS13" s="41">
        <f t="shared" si="21"/>
        <v>16.18</v>
      </c>
      <c r="AT13" s="41">
        <f t="shared" si="22"/>
        <v>47.98</v>
      </c>
      <c r="AU13" s="41">
        <f t="shared" si="23"/>
        <v>52.91</v>
      </c>
      <c r="AV13" s="41">
        <f t="shared" si="24"/>
        <v>13.6</v>
      </c>
      <c r="AW13" s="41">
        <f t="shared" si="25"/>
        <v>15.97</v>
      </c>
      <c r="AX13" s="41">
        <f t="shared" si="26"/>
        <v>53.67</v>
      </c>
      <c r="AY13" s="41">
        <f t="shared" si="27"/>
        <v>106.58</v>
      </c>
      <c r="AZ13" s="27">
        <v>1.5</v>
      </c>
      <c r="BA13" s="27">
        <v>1</v>
      </c>
      <c r="BB13" s="27">
        <v>2</v>
      </c>
      <c r="BC13" s="27">
        <v>1.81</v>
      </c>
      <c r="BD13" s="27">
        <v>0</v>
      </c>
      <c r="BE13" s="27">
        <v>5.8</v>
      </c>
      <c r="BF13" s="27">
        <v>3.8</v>
      </c>
      <c r="BG13" s="27">
        <v>5.5</v>
      </c>
      <c r="BH13" s="27">
        <v>7.01</v>
      </c>
      <c r="BI13" s="27">
        <v>0</v>
      </c>
      <c r="BJ13" s="27">
        <v>0</v>
      </c>
      <c r="BK13" s="27">
        <v>0</v>
      </c>
      <c r="BL13" s="27">
        <v>0</v>
      </c>
      <c r="BM13" s="27">
        <v>0</v>
      </c>
      <c r="BN13" s="27">
        <v>0</v>
      </c>
      <c r="BO13" s="29"/>
      <c r="BP13" s="40">
        <f t="shared" si="28"/>
        <v>2</v>
      </c>
      <c r="BQ13" s="40">
        <f t="shared" si="29"/>
        <v>1.81</v>
      </c>
      <c r="BR13" s="11">
        <f t="shared" si="30"/>
        <v>6.3100000000000005</v>
      </c>
      <c r="BS13" s="11">
        <f t="shared" si="31"/>
        <v>5.5</v>
      </c>
      <c r="BT13" s="11">
        <f t="shared" si="32"/>
        <v>7.01</v>
      </c>
      <c r="BU13" s="11">
        <f t="shared" si="33"/>
        <v>22.11</v>
      </c>
      <c r="BV13" s="11">
        <f t="shared" si="34"/>
        <v>22.11</v>
      </c>
      <c r="BW13" s="11" t="str">
        <f t="shared" si="35"/>
        <v/>
      </c>
      <c r="BX13" s="11" t="str">
        <f t="shared" si="36"/>
        <v/>
      </c>
      <c r="BY13" s="11" t="str">
        <f t="shared" si="37"/>
        <v/>
      </c>
      <c r="BZ13" s="11">
        <f t="shared" si="38"/>
        <v>22.11</v>
      </c>
      <c r="CA13" s="23">
        <v>12.2</v>
      </c>
      <c r="CB13" s="23">
        <v>8.1999999999999993</v>
      </c>
      <c r="CC13" s="23">
        <v>10.7</v>
      </c>
      <c r="CD13" s="23">
        <v>12.55</v>
      </c>
      <c r="CE13" s="23">
        <v>0</v>
      </c>
      <c r="CF13" s="23">
        <v>16</v>
      </c>
      <c r="CG13" s="23">
        <v>9.5</v>
      </c>
      <c r="CH13" s="23">
        <v>13.4</v>
      </c>
      <c r="CI13" s="23">
        <v>15.97</v>
      </c>
      <c r="CJ13" s="23">
        <v>0.1</v>
      </c>
      <c r="CK13" s="23">
        <v>14.7</v>
      </c>
      <c r="CL13" s="23">
        <v>8.9</v>
      </c>
      <c r="CM13" s="23">
        <v>13.4</v>
      </c>
      <c r="CN13" s="23">
        <v>15.87</v>
      </c>
      <c r="CO13" s="23">
        <v>0.1</v>
      </c>
      <c r="CP13" s="28"/>
      <c r="CQ13" s="39">
        <f t="shared" si="39"/>
        <v>10.7</v>
      </c>
      <c r="CR13" s="39">
        <f t="shared" si="40"/>
        <v>12.55</v>
      </c>
      <c r="CS13" s="41">
        <f t="shared" si="41"/>
        <v>43.65</v>
      </c>
      <c r="CT13" s="41">
        <f t="shared" si="42"/>
        <v>13.4</v>
      </c>
      <c r="CU13" s="41">
        <f t="shared" si="43"/>
        <v>15.97</v>
      </c>
      <c r="CV13" s="41">
        <f t="shared" si="44"/>
        <v>54.769999999999996</v>
      </c>
      <c r="CW13" s="41">
        <f t="shared" si="45"/>
        <v>54.769999999999996</v>
      </c>
      <c r="CX13" s="41">
        <f t="shared" si="46"/>
        <v>13.4</v>
      </c>
      <c r="CY13" s="41">
        <f t="shared" si="47"/>
        <v>15.87</v>
      </c>
      <c r="CZ13" s="41">
        <f t="shared" si="48"/>
        <v>52.769999999999996</v>
      </c>
      <c r="DA13" s="41">
        <f t="shared" si="49"/>
        <v>107.53999999999999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>
        <v>1.4</v>
      </c>
      <c r="LA13" s="17">
        <v>0.8</v>
      </c>
      <c r="LB13" s="17">
        <v>2</v>
      </c>
      <c r="LC13" s="17">
        <v>1.76</v>
      </c>
      <c r="LD13" s="17">
        <v>0.4</v>
      </c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>
        <f t="shared" si="136"/>
        <v>2</v>
      </c>
      <c r="LU13" s="41">
        <f t="shared" si="137"/>
        <v>1.76</v>
      </c>
      <c r="LV13" s="41">
        <f t="shared" si="138"/>
        <v>5.56</v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>
        <f t="shared" si="142"/>
        <v>5.56</v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>
        <f t="shared" si="149"/>
        <v>5.56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6.85</v>
      </c>
      <c r="SW13" s="23">
        <f t="shared" si="221"/>
        <v>4.5999999999999996</v>
      </c>
      <c r="SX13" s="23">
        <f t="shared" si="222"/>
        <v>6.35</v>
      </c>
      <c r="SY13" s="23">
        <f t="shared" si="223"/>
        <v>7.1800000000000006</v>
      </c>
      <c r="SZ13" s="23">
        <f t="shared" si="224"/>
        <v>0</v>
      </c>
      <c r="TA13" s="23">
        <f t="shared" si="225"/>
        <v>10.9</v>
      </c>
      <c r="TB13" s="23">
        <f t="shared" si="226"/>
        <v>6.65</v>
      </c>
      <c r="TC13" s="23">
        <f t="shared" si="227"/>
        <v>9.4499999999999993</v>
      </c>
      <c r="TD13" s="23">
        <f t="shared" si="228"/>
        <v>11.49</v>
      </c>
      <c r="TE13" s="23">
        <f t="shared" si="229"/>
        <v>0.05</v>
      </c>
      <c r="TF13" s="23">
        <f t="shared" si="230"/>
        <v>7.35</v>
      </c>
      <c r="TG13" s="23">
        <f t="shared" si="231"/>
        <v>4.45</v>
      </c>
      <c r="TH13" s="23">
        <f t="shared" si="232"/>
        <v>6.7</v>
      </c>
      <c r="TI13" s="23">
        <f t="shared" si="233"/>
        <v>7.9349999999999996</v>
      </c>
      <c r="TJ13" s="23">
        <f t="shared" si="234"/>
        <v>0.05</v>
      </c>
      <c r="TK13" s="28" t="s">
        <v>58</v>
      </c>
      <c r="TL13" s="41">
        <f t="shared" si="235"/>
        <v>6.35</v>
      </c>
      <c r="TM13" s="41">
        <f t="shared" si="236"/>
        <v>7.1800000000000006</v>
      </c>
      <c r="TN13" s="41">
        <f t="shared" si="237"/>
        <v>24.979999999999997</v>
      </c>
      <c r="TO13" s="41">
        <f t="shared" si="238"/>
        <v>9.4499999999999993</v>
      </c>
      <c r="TP13" s="41">
        <f t="shared" si="239"/>
        <v>11.49</v>
      </c>
      <c r="TQ13" s="41">
        <f t="shared" si="240"/>
        <v>38.440000000000005</v>
      </c>
      <c r="TR13" s="41">
        <f t="shared" si="241"/>
        <v>38.440000000000005</v>
      </c>
      <c r="TS13" s="41">
        <f t="shared" si="242"/>
        <v>6.7</v>
      </c>
      <c r="TT13" s="41">
        <f t="shared" si="243"/>
        <v>7.9349999999999996</v>
      </c>
      <c r="TU13" s="41">
        <f t="shared" si="244"/>
        <v>26.384999999999998</v>
      </c>
      <c r="TV13" s="41">
        <f t="shared" si="245"/>
        <v>64.825000000000003</v>
      </c>
    </row>
    <row r="14" spans="1:542" x14ac:dyDescent="0.2">
      <c r="A14" s="4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5" t="s">
        <v>98</v>
      </c>
      <c r="C14" s="4" t="s">
        <v>8</v>
      </c>
      <c r="D14" s="4">
        <v>2002</v>
      </c>
      <c r="E14" s="9">
        <f t="shared" si="0"/>
        <v>222.31002223100518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51.78</v>
      </c>
      <c r="K14" s="8" t="str">
        <f t="shared" si="5"/>
        <v>2023 Elite Canada</v>
      </c>
      <c r="L14" s="8">
        <f>IF(COUNT(AQ14,AT14,BR14,BU14,CS14,CV14)&gt;1,LARGE((AQ14,AT14,BR14,BU14,CS14,CV14),2),0)</f>
        <v>51.47</v>
      </c>
      <c r="M14" s="8" t="str">
        <f t="shared" si="6"/>
        <v>2022 3rd Domestic Trial</v>
      </c>
      <c r="N14" s="8">
        <f>IF(COUNT(AQ14,AT14,BR14,BU14,CS14,CV14)&gt;2,LARGE((AQ14,AT14,BR14,BU14,CS14,CV14),3),0)</f>
        <v>51.39</v>
      </c>
      <c r="O14" s="8" t="str">
        <f t="shared" si="7"/>
        <v>2023 Elite Canada</v>
      </c>
      <c r="P14" s="8">
        <f t="shared" si="8"/>
        <v>53.17</v>
      </c>
      <c r="Q14" s="8" t="str">
        <f t="shared" si="9"/>
        <v>2023 Elite Canada</v>
      </c>
      <c r="R14" s="8">
        <f t="shared" si="10"/>
        <v>14.5</v>
      </c>
      <c r="S14" s="8" t="str">
        <f t="shared" si="11"/>
        <v>2023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8"/>
      <c r="AO14" s="39" t="str">
        <f t="shared" si="17"/>
        <v/>
      </c>
      <c r="AP14" s="39" t="str">
        <f t="shared" si="18"/>
        <v/>
      </c>
      <c r="AQ14" s="41" t="str">
        <f t="shared" si="19"/>
        <v/>
      </c>
      <c r="AR14" s="41" t="str">
        <f t="shared" si="20"/>
        <v/>
      </c>
      <c r="AS14" s="41" t="str">
        <f t="shared" si="21"/>
        <v/>
      </c>
      <c r="AT14" s="41" t="str">
        <f t="shared" si="22"/>
        <v/>
      </c>
      <c r="AU14" s="41" t="str">
        <f t="shared" si="23"/>
        <v/>
      </c>
      <c r="AV14" s="41" t="str">
        <f t="shared" si="24"/>
        <v/>
      </c>
      <c r="AW14" s="41" t="str">
        <f t="shared" si="25"/>
        <v/>
      </c>
      <c r="AX14" s="41" t="str">
        <f t="shared" si="26"/>
        <v/>
      </c>
      <c r="AY14" s="41" t="str">
        <f t="shared" si="27"/>
        <v/>
      </c>
      <c r="AZ14" s="27">
        <v>4.2</v>
      </c>
      <c r="BA14" s="27">
        <v>2.6</v>
      </c>
      <c r="BB14" s="27">
        <v>4</v>
      </c>
      <c r="BC14" s="27">
        <v>4.93</v>
      </c>
      <c r="BD14" s="27">
        <v>0</v>
      </c>
      <c r="BE14" s="27">
        <v>13.9</v>
      </c>
      <c r="BF14" s="27">
        <v>9.5</v>
      </c>
      <c r="BG14" s="27">
        <v>13.1</v>
      </c>
      <c r="BH14" s="27">
        <v>15.37</v>
      </c>
      <c r="BI14" s="27">
        <v>0.4</v>
      </c>
      <c r="BJ14" s="27">
        <v>12.8</v>
      </c>
      <c r="BK14" s="27">
        <v>8.6</v>
      </c>
      <c r="BL14" s="27">
        <v>13.9</v>
      </c>
      <c r="BM14" s="27">
        <v>15.41</v>
      </c>
      <c r="BN14" s="27">
        <v>0.4</v>
      </c>
      <c r="BO14" s="29"/>
      <c r="BP14" s="40">
        <f t="shared" si="28"/>
        <v>4</v>
      </c>
      <c r="BQ14" s="40">
        <f t="shared" si="29"/>
        <v>4.93</v>
      </c>
      <c r="BR14" s="11">
        <f t="shared" si="30"/>
        <v>15.73</v>
      </c>
      <c r="BS14" s="11">
        <f t="shared" si="31"/>
        <v>13.1</v>
      </c>
      <c r="BT14" s="11">
        <f t="shared" si="32"/>
        <v>15.37</v>
      </c>
      <c r="BU14" s="11">
        <f t="shared" si="33"/>
        <v>51.47</v>
      </c>
      <c r="BV14" s="11">
        <f t="shared" si="34"/>
        <v>51.47</v>
      </c>
      <c r="BW14" s="11">
        <f t="shared" si="35"/>
        <v>13.9</v>
      </c>
      <c r="BX14" s="11">
        <f t="shared" si="36"/>
        <v>15.41</v>
      </c>
      <c r="BY14" s="11">
        <f t="shared" si="37"/>
        <v>50.309999999999995</v>
      </c>
      <c r="BZ14" s="11">
        <f t="shared" si="38"/>
        <v>101.78</v>
      </c>
      <c r="CA14" s="23">
        <v>13.9</v>
      </c>
      <c r="CB14" s="23">
        <v>9.1999999999999993</v>
      </c>
      <c r="CC14" s="23">
        <v>13.5</v>
      </c>
      <c r="CD14" s="23">
        <v>14.79</v>
      </c>
      <c r="CE14" s="23">
        <v>0</v>
      </c>
      <c r="CF14" s="23">
        <v>13.1</v>
      </c>
      <c r="CG14" s="23">
        <v>9.1</v>
      </c>
      <c r="CH14" s="23">
        <v>14.5</v>
      </c>
      <c r="CI14" s="23">
        <v>15.08</v>
      </c>
      <c r="CJ14" s="23">
        <v>0</v>
      </c>
      <c r="CK14" s="23">
        <v>14.5</v>
      </c>
      <c r="CL14" s="23">
        <v>9.1</v>
      </c>
      <c r="CM14" s="23">
        <v>14.5</v>
      </c>
      <c r="CN14" s="23">
        <v>15.07</v>
      </c>
      <c r="CO14" s="23">
        <v>0</v>
      </c>
      <c r="CP14" s="28"/>
      <c r="CQ14" s="39">
        <f t="shared" si="39"/>
        <v>13.5</v>
      </c>
      <c r="CR14" s="39">
        <f t="shared" si="40"/>
        <v>14.79</v>
      </c>
      <c r="CS14" s="41">
        <f t="shared" si="41"/>
        <v>51.39</v>
      </c>
      <c r="CT14" s="41">
        <f t="shared" si="42"/>
        <v>14.5</v>
      </c>
      <c r="CU14" s="41">
        <f t="shared" si="43"/>
        <v>15.08</v>
      </c>
      <c r="CV14" s="41">
        <f t="shared" si="44"/>
        <v>51.78</v>
      </c>
      <c r="CW14" s="41">
        <f t="shared" si="45"/>
        <v>51.78</v>
      </c>
      <c r="CX14" s="41">
        <f t="shared" si="46"/>
        <v>14.5</v>
      </c>
      <c r="CY14" s="41">
        <f t="shared" si="47"/>
        <v>15.07</v>
      </c>
      <c r="CZ14" s="41">
        <f t="shared" si="48"/>
        <v>53.17</v>
      </c>
      <c r="DA14" s="41">
        <f t="shared" si="49"/>
        <v>104.95</v>
      </c>
      <c r="DB14" s="52" t="str">
        <f t="shared" si="50"/>
        <v/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9.0500000000000007</v>
      </c>
      <c r="SW14" s="23">
        <f t="shared" si="221"/>
        <v>5.8999999999999995</v>
      </c>
      <c r="SX14" s="23">
        <f t="shared" si="222"/>
        <v>8.75</v>
      </c>
      <c r="SY14" s="23">
        <f t="shared" si="223"/>
        <v>9.86</v>
      </c>
      <c r="SZ14" s="23">
        <f t="shared" si="224"/>
        <v>0</v>
      </c>
      <c r="TA14" s="23">
        <f t="shared" si="225"/>
        <v>13.5</v>
      </c>
      <c r="TB14" s="23">
        <f t="shared" si="226"/>
        <v>9.3000000000000007</v>
      </c>
      <c r="TC14" s="23">
        <f t="shared" si="227"/>
        <v>13.8</v>
      </c>
      <c r="TD14" s="23">
        <f t="shared" si="228"/>
        <v>15.225</v>
      </c>
      <c r="TE14" s="23">
        <f t="shared" si="229"/>
        <v>0.2</v>
      </c>
      <c r="TF14" s="23">
        <f t="shared" si="230"/>
        <v>13.65</v>
      </c>
      <c r="TG14" s="23">
        <f t="shared" si="231"/>
        <v>8.85</v>
      </c>
      <c r="TH14" s="23">
        <f t="shared" si="232"/>
        <v>14.2</v>
      </c>
      <c r="TI14" s="23">
        <f t="shared" si="233"/>
        <v>15.24</v>
      </c>
      <c r="TJ14" s="23">
        <f t="shared" si="234"/>
        <v>0.2</v>
      </c>
      <c r="TK14" s="28" t="s">
        <v>58</v>
      </c>
      <c r="TL14" s="41">
        <f t="shared" si="235"/>
        <v>8.75</v>
      </c>
      <c r="TM14" s="41">
        <f t="shared" si="236"/>
        <v>9.86</v>
      </c>
      <c r="TN14" s="41">
        <f t="shared" si="237"/>
        <v>33.56</v>
      </c>
      <c r="TO14" s="41">
        <f t="shared" si="238"/>
        <v>13.8</v>
      </c>
      <c r="TP14" s="41">
        <f t="shared" si="239"/>
        <v>15.225</v>
      </c>
      <c r="TQ14" s="41">
        <f t="shared" si="240"/>
        <v>51.625</v>
      </c>
      <c r="TR14" s="41">
        <f t="shared" si="241"/>
        <v>51.625</v>
      </c>
      <c r="TS14" s="41">
        <f t="shared" si="242"/>
        <v>14.2</v>
      </c>
      <c r="TT14" s="41">
        <f t="shared" si="243"/>
        <v>15.24</v>
      </c>
      <c r="TU14" s="41">
        <f t="shared" si="244"/>
        <v>51.74</v>
      </c>
      <c r="TV14" s="41">
        <f t="shared" si="245"/>
        <v>103.36500000000001</v>
      </c>
    </row>
    <row r="15" spans="1:542" x14ac:dyDescent="0.2">
      <c r="A15" s="4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>9</v>
      </c>
      <c r="B15" s="5" t="s">
        <v>234</v>
      </c>
      <c r="C15" s="4" t="s">
        <v>8</v>
      </c>
      <c r="D15" s="4">
        <v>2006</v>
      </c>
      <c r="E15" s="9">
        <f t="shared" si="0"/>
        <v>220.12002183000544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54.68</v>
      </c>
      <c r="K15" s="8" t="str">
        <f t="shared" si="5"/>
        <v>2023 Elite Canada</v>
      </c>
      <c r="L15" s="8">
        <f>IF(COUNT(AQ15,AT15,BR15,BU15,CS15,CV15)&gt;1,LARGE((AQ15,AT15,BR15,BU15,CS15,CV15),2),0)</f>
        <v>50.769999999999996</v>
      </c>
      <c r="M15" s="8" t="str">
        <f t="shared" si="6"/>
        <v>2022 Nationals</v>
      </c>
      <c r="N15" s="8">
        <f>IF(COUNT(AQ15,AT15,BR15,BU15,CS15,CV15)&gt;2,LARGE((AQ15,AT15,BR15,BU15,CS15,CV15),3),0)</f>
        <v>49.23</v>
      </c>
      <c r="O15" s="8" t="str">
        <f t="shared" si="7"/>
        <v>2022 3rd Domestic Trial</v>
      </c>
      <c r="P15" s="8">
        <f t="shared" si="8"/>
        <v>49.22</v>
      </c>
      <c r="Q15" s="8" t="str">
        <f t="shared" si="9"/>
        <v>2022 3rd Domestic Trial</v>
      </c>
      <c r="R15" s="8">
        <f t="shared" si="10"/>
        <v>14.4</v>
      </c>
      <c r="S15" s="8" t="str">
        <f t="shared" si="11"/>
        <v>2023 Elite Canada</v>
      </c>
      <c r="T15" s="8">
        <f t="shared" si="12"/>
        <v>0</v>
      </c>
      <c r="U15" s="8" t="str">
        <f t="shared" si="13"/>
        <v/>
      </c>
      <c r="V15" s="8">
        <f t="shared" si="14"/>
        <v>1.8200000000000003</v>
      </c>
      <c r="W15" s="11" t="str">
        <f t="shared" si="15"/>
        <v>(Prelim)</v>
      </c>
      <c r="X15" s="8" t="str">
        <f t="shared" si="16"/>
        <v>2022 WAGC (Nov 25)</v>
      </c>
      <c r="Y15" s="23"/>
      <c r="Z15" s="23"/>
      <c r="AA15" s="23"/>
      <c r="AB15" s="23"/>
      <c r="AC15" s="23"/>
      <c r="AD15" s="23">
        <v>14.5</v>
      </c>
      <c r="AE15" s="23">
        <v>9</v>
      </c>
      <c r="AF15" s="23">
        <v>12.4</v>
      </c>
      <c r="AG15" s="23">
        <v>14.87</v>
      </c>
      <c r="AH15" s="23">
        <v>0</v>
      </c>
      <c r="AI15" s="23">
        <v>4.5</v>
      </c>
      <c r="AJ15" s="23">
        <v>2.6</v>
      </c>
      <c r="AK15" s="23">
        <v>3.2</v>
      </c>
      <c r="AL15" s="23">
        <v>4.7699999999999996</v>
      </c>
      <c r="AM15" s="23">
        <v>0</v>
      </c>
      <c r="AN15" s="28"/>
      <c r="AO15" s="39" t="str">
        <f t="shared" si="17"/>
        <v/>
      </c>
      <c r="AP15" s="39" t="str">
        <f t="shared" si="18"/>
        <v/>
      </c>
      <c r="AQ15" s="41" t="str">
        <f t="shared" si="19"/>
        <v/>
      </c>
      <c r="AR15" s="41">
        <f t="shared" si="20"/>
        <v>12.4</v>
      </c>
      <c r="AS15" s="41">
        <f t="shared" si="21"/>
        <v>14.87</v>
      </c>
      <c r="AT15" s="41">
        <f t="shared" si="22"/>
        <v>50.769999999999996</v>
      </c>
      <c r="AU15" s="41" t="str">
        <f t="shared" si="23"/>
        <v/>
      </c>
      <c r="AV15" s="41">
        <f t="shared" si="24"/>
        <v>3.2</v>
      </c>
      <c r="AW15" s="41">
        <f t="shared" si="25"/>
        <v>4.7699999999999996</v>
      </c>
      <c r="AX15" s="41">
        <f t="shared" si="26"/>
        <v>15.07</v>
      </c>
      <c r="AY15" s="41">
        <f t="shared" si="27"/>
        <v>15.07</v>
      </c>
      <c r="AZ15" s="27"/>
      <c r="BA15" s="27"/>
      <c r="BB15" s="27"/>
      <c r="BC15" s="27"/>
      <c r="BD15" s="27"/>
      <c r="BE15" s="27">
        <v>12.5</v>
      </c>
      <c r="BF15" s="27">
        <v>9</v>
      </c>
      <c r="BG15" s="27">
        <v>12.4</v>
      </c>
      <c r="BH15" s="27">
        <v>15.33</v>
      </c>
      <c r="BI15" s="27">
        <v>0</v>
      </c>
      <c r="BJ15" s="27">
        <v>12.7</v>
      </c>
      <c r="BK15" s="27">
        <v>9.1</v>
      </c>
      <c r="BL15" s="27">
        <v>12.2</v>
      </c>
      <c r="BM15" s="27">
        <v>15.22</v>
      </c>
      <c r="BN15" s="27">
        <v>0</v>
      </c>
      <c r="BO15" s="29"/>
      <c r="BP15" s="40" t="str">
        <f t="shared" si="28"/>
        <v/>
      </c>
      <c r="BQ15" s="40" t="str">
        <f t="shared" si="29"/>
        <v/>
      </c>
      <c r="BR15" s="11" t="str">
        <f t="shared" si="30"/>
        <v/>
      </c>
      <c r="BS15" s="11">
        <f t="shared" si="31"/>
        <v>12.4</v>
      </c>
      <c r="BT15" s="11">
        <f t="shared" si="32"/>
        <v>15.33</v>
      </c>
      <c r="BU15" s="11">
        <f t="shared" si="33"/>
        <v>49.23</v>
      </c>
      <c r="BV15" s="11" t="str">
        <f t="shared" si="34"/>
        <v/>
      </c>
      <c r="BW15" s="11">
        <f t="shared" si="35"/>
        <v>12.2</v>
      </c>
      <c r="BX15" s="11">
        <f t="shared" si="36"/>
        <v>15.22</v>
      </c>
      <c r="BY15" s="11">
        <f t="shared" si="37"/>
        <v>49.22</v>
      </c>
      <c r="BZ15" s="11">
        <f t="shared" si="38"/>
        <v>49.22</v>
      </c>
      <c r="CA15" s="23">
        <v>5.0999999999999996</v>
      </c>
      <c r="CB15" s="23">
        <v>3.4</v>
      </c>
      <c r="CC15" s="23">
        <v>6.1</v>
      </c>
      <c r="CD15" s="23">
        <v>6.49</v>
      </c>
      <c r="CE15" s="23">
        <v>0</v>
      </c>
      <c r="CF15" s="23">
        <v>15.7</v>
      </c>
      <c r="CG15" s="23">
        <v>9</v>
      </c>
      <c r="CH15" s="23">
        <v>14.4</v>
      </c>
      <c r="CI15" s="23">
        <v>15.58</v>
      </c>
      <c r="CJ15" s="23">
        <v>0</v>
      </c>
      <c r="CK15" s="23">
        <v>2.8</v>
      </c>
      <c r="CL15" s="23">
        <v>1.7</v>
      </c>
      <c r="CM15" s="23">
        <v>3.2</v>
      </c>
      <c r="CN15" s="23">
        <v>3.37</v>
      </c>
      <c r="CO15" s="23">
        <v>0</v>
      </c>
      <c r="CP15" s="28"/>
      <c r="CQ15" s="39">
        <f t="shared" si="39"/>
        <v>6.1</v>
      </c>
      <c r="CR15" s="39">
        <f t="shared" si="40"/>
        <v>6.49</v>
      </c>
      <c r="CS15" s="41">
        <f t="shared" si="41"/>
        <v>21.09</v>
      </c>
      <c r="CT15" s="41">
        <f t="shared" si="42"/>
        <v>14.4</v>
      </c>
      <c r="CU15" s="41">
        <f t="shared" si="43"/>
        <v>15.58</v>
      </c>
      <c r="CV15" s="41">
        <f t="shared" si="44"/>
        <v>54.68</v>
      </c>
      <c r="CW15" s="41">
        <f t="shared" si="45"/>
        <v>54.68</v>
      </c>
      <c r="CX15" s="41">
        <f t="shared" si="46"/>
        <v>3.2</v>
      </c>
      <c r="CY15" s="41">
        <f t="shared" si="47"/>
        <v>3.37</v>
      </c>
      <c r="CZ15" s="41">
        <f t="shared" si="48"/>
        <v>11.07</v>
      </c>
      <c r="DA15" s="41">
        <f t="shared" si="49"/>
        <v>65.75</v>
      </c>
      <c r="DB15" s="52">
        <f t="shared" si="50"/>
        <v>1.8200000000000003</v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>
        <v>14.3</v>
      </c>
      <c r="LF15" s="17">
        <v>8.8000000000000007</v>
      </c>
      <c r="LG15" s="17">
        <v>13.5</v>
      </c>
      <c r="LH15" s="17">
        <v>14.65</v>
      </c>
      <c r="LI15" s="17">
        <v>0.2</v>
      </c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>
        <f t="shared" si="139"/>
        <v>13.5</v>
      </c>
      <c r="LX15" s="41">
        <f t="shared" si="140"/>
        <v>14.65</v>
      </c>
      <c r="LY15" s="41">
        <f t="shared" si="141"/>
        <v>51.05</v>
      </c>
      <c r="LZ15" s="41">
        <f t="shared" si="142"/>
        <v>51.05</v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>
        <f t="shared" si="149"/>
        <v>51.05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2.5499999999999998</v>
      </c>
      <c r="SW15" s="23">
        <f t="shared" si="221"/>
        <v>1.7</v>
      </c>
      <c r="SX15" s="23">
        <f t="shared" si="222"/>
        <v>3.05</v>
      </c>
      <c r="SY15" s="23">
        <f t="shared" si="223"/>
        <v>3.2450000000000001</v>
      </c>
      <c r="SZ15" s="23">
        <f t="shared" si="224"/>
        <v>0</v>
      </c>
      <c r="TA15" s="23">
        <f t="shared" si="225"/>
        <v>14.1</v>
      </c>
      <c r="TB15" s="23">
        <f t="shared" si="226"/>
        <v>9</v>
      </c>
      <c r="TC15" s="23">
        <f t="shared" si="227"/>
        <v>13.4</v>
      </c>
      <c r="TD15" s="23">
        <f t="shared" si="228"/>
        <v>15.455</v>
      </c>
      <c r="TE15" s="23">
        <f t="shared" si="229"/>
        <v>0</v>
      </c>
      <c r="TF15" s="23">
        <f t="shared" si="230"/>
        <v>7.75</v>
      </c>
      <c r="TG15" s="23">
        <f t="shared" si="231"/>
        <v>5.3999999999999995</v>
      </c>
      <c r="TH15" s="23">
        <f t="shared" si="232"/>
        <v>7.6999999999999993</v>
      </c>
      <c r="TI15" s="23">
        <f t="shared" si="233"/>
        <v>9.2949999999999999</v>
      </c>
      <c r="TJ15" s="23">
        <f t="shared" si="234"/>
        <v>0</v>
      </c>
      <c r="TK15" s="28" t="s">
        <v>58</v>
      </c>
      <c r="TL15" s="41">
        <f t="shared" si="235"/>
        <v>3.05</v>
      </c>
      <c r="TM15" s="41">
        <f t="shared" si="236"/>
        <v>3.2450000000000001</v>
      </c>
      <c r="TN15" s="41">
        <f t="shared" si="237"/>
        <v>10.545</v>
      </c>
      <c r="TO15" s="41">
        <f t="shared" si="238"/>
        <v>13.4</v>
      </c>
      <c r="TP15" s="41">
        <f t="shared" si="239"/>
        <v>15.455</v>
      </c>
      <c r="TQ15" s="41">
        <f t="shared" si="240"/>
        <v>51.954999999999998</v>
      </c>
      <c r="TR15" s="41">
        <f t="shared" si="241"/>
        <v>51.954999999999998</v>
      </c>
      <c r="TS15" s="41">
        <f t="shared" si="242"/>
        <v>7.6999999999999993</v>
      </c>
      <c r="TT15" s="41">
        <f t="shared" si="243"/>
        <v>9.2949999999999999</v>
      </c>
      <c r="TU15" s="41">
        <f t="shared" si="244"/>
        <v>30.144999999999996</v>
      </c>
      <c r="TV15" s="41">
        <f t="shared" si="245"/>
        <v>82.1</v>
      </c>
    </row>
    <row r="16" spans="1:542" x14ac:dyDescent="0.2">
      <c r="A16" s="4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5" t="s">
        <v>89</v>
      </c>
      <c r="C16" s="4" t="s">
        <v>5</v>
      </c>
      <c r="D16" s="4">
        <v>2003</v>
      </c>
      <c r="E16" s="9">
        <f t="shared" si="0"/>
        <v>217.11002171100506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50.85</v>
      </c>
      <c r="K16" s="8" t="str">
        <f t="shared" si="5"/>
        <v>2023 Elite Canada</v>
      </c>
      <c r="L16" s="8">
        <f>IF(COUNT(AQ16,AT16,BR16,BU16,CS16,CV16)&gt;1,LARGE((AQ16,AT16,BR16,BU16,CS16,CV16),2),0)</f>
        <v>50.39</v>
      </c>
      <c r="M16" s="8" t="str">
        <f t="shared" si="6"/>
        <v>2023 Elite Canada</v>
      </c>
      <c r="N16" s="8">
        <f>IF(COUNT(AQ16,AT16,BR16,BU16,CS16,CV16)&gt;2,LARGE((AQ16,AT16,BR16,BU16,CS16,CV16),3),0)</f>
        <v>49.83</v>
      </c>
      <c r="O16" s="8" t="str">
        <f t="shared" si="7"/>
        <v>2022 3rd Domestic Trial</v>
      </c>
      <c r="P16" s="8">
        <f t="shared" si="8"/>
        <v>52.14</v>
      </c>
      <c r="Q16" s="8" t="str">
        <f t="shared" si="9"/>
        <v>2023 Elite Canada</v>
      </c>
      <c r="R16" s="8">
        <f t="shared" si="10"/>
        <v>13.9</v>
      </c>
      <c r="S16" s="8" t="str">
        <f t="shared" si="11"/>
        <v>2023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2.8</v>
      </c>
      <c r="Z16" s="23">
        <v>2</v>
      </c>
      <c r="AA16" s="23">
        <v>2.9</v>
      </c>
      <c r="AB16" s="23">
        <v>3.15</v>
      </c>
      <c r="AC16" s="23">
        <v>0</v>
      </c>
      <c r="AD16" s="23">
        <v>11.5</v>
      </c>
      <c r="AE16" s="23">
        <v>9</v>
      </c>
      <c r="AF16" s="23">
        <v>13.7</v>
      </c>
      <c r="AG16" s="23">
        <v>14.42</v>
      </c>
      <c r="AH16" s="23">
        <v>0</v>
      </c>
      <c r="AI16" s="23"/>
      <c r="AJ16" s="23"/>
      <c r="AK16" s="23"/>
      <c r="AL16" s="23"/>
      <c r="AM16" s="23"/>
      <c r="AN16" s="28"/>
      <c r="AO16" s="39">
        <f t="shared" si="17"/>
        <v>2.9</v>
      </c>
      <c r="AP16" s="39">
        <f t="shared" si="18"/>
        <v>3.15</v>
      </c>
      <c r="AQ16" s="41">
        <f t="shared" si="19"/>
        <v>10.85</v>
      </c>
      <c r="AR16" s="41">
        <f t="shared" si="20"/>
        <v>13.7</v>
      </c>
      <c r="AS16" s="41">
        <f t="shared" si="21"/>
        <v>14.42</v>
      </c>
      <c r="AT16" s="41">
        <f t="shared" si="22"/>
        <v>48.620000000000005</v>
      </c>
      <c r="AU16" s="41">
        <f t="shared" si="23"/>
        <v>48.620000000000005</v>
      </c>
      <c r="AV16" s="41" t="str">
        <f t="shared" si="24"/>
        <v/>
      </c>
      <c r="AW16" s="41" t="str">
        <f t="shared" si="25"/>
        <v/>
      </c>
      <c r="AX16" s="41" t="str">
        <f t="shared" si="26"/>
        <v/>
      </c>
      <c r="AY16" s="41">
        <f t="shared" si="27"/>
        <v>48.620000000000005</v>
      </c>
      <c r="AZ16" s="27">
        <v>12.5</v>
      </c>
      <c r="BA16" s="27">
        <v>9</v>
      </c>
      <c r="BB16" s="27">
        <v>13.9</v>
      </c>
      <c r="BC16" s="27">
        <v>14.43</v>
      </c>
      <c r="BD16" s="27">
        <v>0</v>
      </c>
      <c r="BE16" s="27">
        <v>1.2</v>
      </c>
      <c r="BF16" s="27">
        <v>1</v>
      </c>
      <c r="BG16" s="27">
        <v>1.7</v>
      </c>
      <c r="BH16" s="27">
        <v>1.6</v>
      </c>
      <c r="BI16" s="27">
        <v>0</v>
      </c>
      <c r="BJ16" s="27">
        <v>12.2</v>
      </c>
      <c r="BK16" s="27">
        <v>9.3000000000000007</v>
      </c>
      <c r="BL16" s="27">
        <v>13.7</v>
      </c>
      <c r="BM16" s="27">
        <v>14.72</v>
      </c>
      <c r="BN16" s="27">
        <v>0</v>
      </c>
      <c r="BO16" s="29"/>
      <c r="BP16" s="40">
        <f t="shared" si="28"/>
        <v>13.9</v>
      </c>
      <c r="BQ16" s="40">
        <f t="shared" si="29"/>
        <v>14.43</v>
      </c>
      <c r="BR16" s="11">
        <f t="shared" si="30"/>
        <v>49.83</v>
      </c>
      <c r="BS16" s="11">
        <f t="shared" si="31"/>
        <v>1.7</v>
      </c>
      <c r="BT16" s="11">
        <f t="shared" si="32"/>
        <v>1.6</v>
      </c>
      <c r="BU16" s="11">
        <f t="shared" si="33"/>
        <v>5.5</v>
      </c>
      <c r="BV16" s="11">
        <f t="shared" si="34"/>
        <v>49.83</v>
      </c>
      <c r="BW16" s="11">
        <f t="shared" si="35"/>
        <v>13.7</v>
      </c>
      <c r="BX16" s="11">
        <f t="shared" si="36"/>
        <v>14.72</v>
      </c>
      <c r="BY16" s="11">
        <f t="shared" si="37"/>
        <v>49.92</v>
      </c>
      <c r="BZ16" s="11">
        <f t="shared" si="38"/>
        <v>99.75</v>
      </c>
      <c r="CA16" s="23">
        <v>13.5</v>
      </c>
      <c r="CB16" s="23">
        <v>9</v>
      </c>
      <c r="CC16" s="23">
        <v>13.9</v>
      </c>
      <c r="CD16" s="23">
        <v>13.99</v>
      </c>
      <c r="CE16" s="23">
        <v>0</v>
      </c>
      <c r="CF16" s="23">
        <v>13.6</v>
      </c>
      <c r="CG16" s="23">
        <v>9.1999999999999993</v>
      </c>
      <c r="CH16" s="23">
        <v>13.7</v>
      </c>
      <c r="CI16" s="23">
        <v>14.35</v>
      </c>
      <c r="CJ16" s="23">
        <v>0</v>
      </c>
      <c r="CK16" s="23">
        <v>14.4</v>
      </c>
      <c r="CL16" s="23">
        <v>9.4</v>
      </c>
      <c r="CM16" s="23">
        <v>13.7</v>
      </c>
      <c r="CN16" s="23">
        <v>14.64</v>
      </c>
      <c r="CO16" s="23">
        <v>0</v>
      </c>
      <c r="CP16" s="28"/>
      <c r="CQ16" s="39">
        <f t="shared" si="39"/>
        <v>13.9</v>
      </c>
      <c r="CR16" s="39">
        <f t="shared" si="40"/>
        <v>13.99</v>
      </c>
      <c r="CS16" s="41">
        <f t="shared" si="41"/>
        <v>50.39</v>
      </c>
      <c r="CT16" s="41">
        <f t="shared" si="42"/>
        <v>13.7</v>
      </c>
      <c r="CU16" s="41">
        <f t="shared" si="43"/>
        <v>14.35</v>
      </c>
      <c r="CV16" s="41">
        <f t="shared" si="44"/>
        <v>50.85</v>
      </c>
      <c r="CW16" s="41">
        <f t="shared" si="45"/>
        <v>50.85</v>
      </c>
      <c r="CX16" s="41">
        <f t="shared" si="46"/>
        <v>13.7</v>
      </c>
      <c r="CY16" s="41">
        <f t="shared" si="47"/>
        <v>14.64</v>
      </c>
      <c r="CZ16" s="41">
        <f t="shared" si="48"/>
        <v>52.14</v>
      </c>
      <c r="DA16" s="41">
        <f t="shared" si="49"/>
        <v>102.99000000000001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13</v>
      </c>
      <c r="SW16" s="23">
        <f t="shared" si="221"/>
        <v>9</v>
      </c>
      <c r="SX16" s="23">
        <f t="shared" si="222"/>
        <v>13.9</v>
      </c>
      <c r="SY16" s="23">
        <f t="shared" si="223"/>
        <v>14.21</v>
      </c>
      <c r="SZ16" s="23">
        <f t="shared" si="224"/>
        <v>0</v>
      </c>
      <c r="TA16" s="23">
        <f t="shared" si="225"/>
        <v>7.3999999999999995</v>
      </c>
      <c r="TB16" s="23">
        <f t="shared" si="226"/>
        <v>5.0999999999999996</v>
      </c>
      <c r="TC16" s="23">
        <f t="shared" si="227"/>
        <v>7.6999999999999993</v>
      </c>
      <c r="TD16" s="23">
        <f t="shared" si="228"/>
        <v>7.9749999999999996</v>
      </c>
      <c r="TE16" s="23">
        <f t="shared" si="229"/>
        <v>0</v>
      </c>
      <c r="TF16" s="23">
        <f t="shared" si="230"/>
        <v>13.3</v>
      </c>
      <c r="TG16" s="23">
        <f t="shared" si="231"/>
        <v>9.3500000000000014</v>
      </c>
      <c r="TH16" s="23">
        <f t="shared" si="232"/>
        <v>13.7</v>
      </c>
      <c r="TI16" s="23">
        <f t="shared" si="233"/>
        <v>14.68</v>
      </c>
      <c r="TJ16" s="23">
        <f t="shared" si="234"/>
        <v>0</v>
      </c>
      <c r="TK16" s="28" t="s">
        <v>58</v>
      </c>
      <c r="TL16" s="41">
        <f t="shared" si="235"/>
        <v>13.9</v>
      </c>
      <c r="TM16" s="41">
        <f t="shared" si="236"/>
        <v>14.21</v>
      </c>
      <c r="TN16" s="41">
        <f t="shared" si="237"/>
        <v>50.11</v>
      </c>
      <c r="TO16" s="41">
        <f t="shared" si="238"/>
        <v>7.6999999999999993</v>
      </c>
      <c r="TP16" s="41">
        <f t="shared" si="239"/>
        <v>7.9749999999999996</v>
      </c>
      <c r="TQ16" s="41">
        <f t="shared" si="240"/>
        <v>28.174999999999997</v>
      </c>
      <c r="TR16" s="41">
        <f t="shared" si="241"/>
        <v>50.11</v>
      </c>
      <c r="TS16" s="41">
        <f t="shared" si="242"/>
        <v>13.7</v>
      </c>
      <c r="TT16" s="41">
        <f t="shared" si="243"/>
        <v>14.68</v>
      </c>
      <c r="TU16" s="41">
        <f t="shared" si="244"/>
        <v>51.03</v>
      </c>
      <c r="TV16" s="41">
        <f t="shared" si="245"/>
        <v>101.14</v>
      </c>
    </row>
    <row r="17" spans="1:542" x14ac:dyDescent="0.2">
      <c r="A17" s="4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5" t="s">
        <v>78</v>
      </c>
      <c r="C17" s="4" t="s">
        <v>77</v>
      </c>
      <c r="D17" s="4">
        <v>2001</v>
      </c>
      <c r="E17" s="9">
        <f t="shared" si="0"/>
        <v>216.34002163400532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53.089999999999996</v>
      </c>
      <c r="K17" s="8" t="str">
        <f t="shared" si="5"/>
        <v>2022 3rd Domestic Trial</v>
      </c>
      <c r="L17" s="8">
        <f>IF(COUNT(AQ17,AT17,BR17,BU17,CS17,CV17)&gt;1,LARGE((AQ17,AT17,BR17,BU17,CS17,CV17),2),0)</f>
        <v>51.839999999999996</v>
      </c>
      <c r="M17" s="8" t="str">
        <f t="shared" si="6"/>
        <v>2022 3rd Domestic Trial</v>
      </c>
      <c r="N17" s="8">
        <f>IF(COUNT(AQ17,AT17,BR17,BU17,CS17,CV17)&gt;2,LARGE((AQ17,AT17,BR17,BU17,CS17,CV17),3),0)</f>
        <v>28.33</v>
      </c>
      <c r="O17" s="8" t="str">
        <f t="shared" si="7"/>
        <v>2023 Elite Canada</v>
      </c>
      <c r="P17" s="8">
        <f t="shared" si="8"/>
        <v>52.74</v>
      </c>
      <c r="Q17" s="8" t="str">
        <f t="shared" si="9"/>
        <v>2022 3rd Domestic Trial</v>
      </c>
      <c r="R17" s="8">
        <f t="shared" si="10"/>
        <v>15.4</v>
      </c>
      <c r="S17" s="8" t="str">
        <f t="shared" si="11"/>
        <v>2022 3rd Domestic Trial</v>
      </c>
      <c r="T17" s="8">
        <f t="shared" si="12"/>
        <v>14.94</v>
      </c>
      <c r="U17" s="8" t="str">
        <f t="shared" si="13"/>
        <v>2022 3rd Domestic Trial</v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3</v>
      </c>
      <c r="Z17" s="23">
        <v>1.8</v>
      </c>
      <c r="AA17" s="23">
        <v>3.2</v>
      </c>
      <c r="AB17" s="23">
        <v>3.47</v>
      </c>
      <c r="AC17" s="23">
        <v>0</v>
      </c>
      <c r="AD17" s="23">
        <v>1.4</v>
      </c>
      <c r="AE17" s="23">
        <v>0.8</v>
      </c>
      <c r="AF17" s="23">
        <v>2</v>
      </c>
      <c r="AG17" s="23">
        <v>1.62</v>
      </c>
      <c r="AH17" s="23">
        <v>0</v>
      </c>
      <c r="AI17" s="23"/>
      <c r="AJ17" s="23"/>
      <c r="AK17" s="23"/>
      <c r="AL17" s="23"/>
      <c r="AM17" s="23"/>
      <c r="AN17" s="28"/>
      <c r="AO17" s="39">
        <f t="shared" si="17"/>
        <v>3.2</v>
      </c>
      <c r="AP17" s="39">
        <f t="shared" si="18"/>
        <v>3.47</v>
      </c>
      <c r="AQ17" s="41">
        <f t="shared" si="19"/>
        <v>11.47</v>
      </c>
      <c r="AR17" s="41">
        <f t="shared" si="20"/>
        <v>2</v>
      </c>
      <c r="AS17" s="41">
        <f t="shared" si="21"/>
        <v>1.62</v>
      </c>
      <c r="AT17" s="41">
        <f t="shared" si="22"/>
        <v>5.82</v>
      </c>
      <c r="AU17" s="41">
        <f t="shared" si="23"/>
        <v>11.47</v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>
        <f t="shared" si="27"/>
        <v>11.47</v>
      </c>
      <c r="AZ17" s="27">
        <v>13.9</v>
      </c>
      <c r="BA17" s="27">
        <v>9</v>
      </c>
      <c r="BB17" s="27">
        <v>15.2</v>
      </c>
      <c r="BC17" s="27">
        <v>14.99</v>
      </c>
      <c r="BD17" s="27">
        <v>0</v>
      </c>
      <c r="BE17" s="27">
        <v>12</v>
      </c>
      <c r="BF17" s="27">
        <v>9.5</v>
      </c>
      <c r="BG17" s="27">
        <v>15.4</v>
      </c>
      <c r="BH17" s="27">
        <v>14.94</v>
      </c>
      <c r="BI17" s="27">
        <v>0</v>
      </c>
      <c r="BJ17" s="27">
        <v>14.7</v>
      </c>
      <c r="BK17" s="27">
        <v>9.4</v>
      </c>
      <c r="BL17" s="27">
        <v>13.8</v>
      </c>
      <c r="BM17" s="27">
        <v>15.04</v>
      </c>
      <c r="BN17" s="27">
        <v>0.2</v>
      </c>
      <c r="BO17" s="29"/>
      <c r="BP17" s="40">
        <f t="shared" si="28"/>
        <v>15.2</v>
      </c>
      <c r="BQ17" s="40">
        <f t="shared" si="29"/>
        <v>14.99</v>
      </c>
      <c r="BR17" s="11">
        <f t="shared" si="30"/>
        <v>53.089999999999996</v>
      </c>
      <c r="BS17" s="11">
        <f t="shared" si="31"/>
        <v>15.4</v>
      </c>
      <c r="BT17" s="11">
        <f t="shared" si="32"/>
        <v>14.94</v>
      </c>
      <c r="BU17" s="11">
        <f t="shared" si="33"/>
        <v>51.839999999999996</v>
      </c>
      <c r="BV17" s="11">
        <f t="shared" si="34"/>
        <v>53.089999999999996</v>
      </c>
      <c r="BW17" s="11">
        <f t="shared" si="35"/>
        <v>13.8</v>
      </c>
      <c r="BX17" s="11">
        <f t="shared" si="36"/>
        <v>15.04</v>
      </c>
      <c r="BY17" s="11">
        <f t="shared" si="37"/>
        <v>52.74</v>
      </c>
      <c r="BZ17" s="11">
        <f t="shared" si="38"/>
        <v>105.83</v>
      </c>
      <c r="CA17" s="23">
        <v>7.3</v>
      </c>
      <c r="CB17" s="23">
        <v>4.8</v>
      </c>
      <c r="CC17" s="23">
        <v>8.1999999999999993</v>
      </c>
      <c r="CD17" s="23">
        <v>8.0299999999999994</v>
      </c>
      <c r="CE17" s="23">
        <v>0</v>
      </c>
      <c r="CF17" s="23">
        <v>18.8</v>
      </c>
      <c r="CG17" s="23">
        <v>2</v>
      </c>
      <c r="CH17" s="23">
        <v>3.8</v>
      </c>
      <c r="CI17" s="23">
        <v>3.29</v>
      </c>
      <c r="CJ17" s="23">
        <v>0</v>
      </c>
      <c r="CK17" s="23"/>
      <c r="CL17" s="23"/>
      <c r="CM17" s="23"/>
      <c r="CN17" s="23"/>
      <c r="CO17" s="23"/>
      <c r="CP17" s="28"/>
      <c r="CQ17" s="39">
        <f t="shared" si="39"/>
        <v>8.1999999999999993</v>
      </c>
      <c r="CR17" s="39">
        <f t="shared" si="40"/>
        <v>8.0299999999999994</v>
      </c>
      <c r="CS17" s="41">
        <f t="shared" si="41"/>
        <v>28.33</v>
      </c>
      <c r="CT17" s="41">
        <f t="shared" si="42"/>
        <v>3.8</v>
      </c>
      <c r="CU17" s="41">
        <f t="shared" si="43"/>
        <v>3.29</v>
      </c>
      <c r="CV17" s="41">
        <f t="shared" si="44"/>
        <v>27.89</v>
      </c>
      <c r="CW17" s="41">
        <f t="shared" si="45"/>
        <v>28.33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28.33</v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10.6</v>
      </c>
      <c r="SW17" s="23">
        <f t="shared" si="221"/>
        <v>6.9</v>
      </c>
      <c r="SX17" s="23">
        <f t="shared" si="222"/>
        <v>11.7</v>
      </c>
      <c r="SY17" s="23">
        <f t="shared" si="223"/>
        <v>11.51</v>
      </c>
      <c r="SZ17" s="23">
        <f t="shared" si="224"/>
        <v>0</v>
      </c>
      <c r="TA17" s="23">
        <f t="shared" si="225"/>
        <v>15.4</v>
      </c>
      <c r="TB17" s="23">
        <f t="shared" si="226"/>
        <v>5.75</v>
      </c>
      <c r="TC17" s="23">
        <f t="shared" si="227"/>
        <v>9.6</v>
      </c>
      <c r="TD17" s="23">
        <f t="shared" si="228"/>
        <v>9.1150000000000002</v>
      </c>
      <c r="TE17" s="23">
        <f t="shared" si="229"/>
        <v>0</v>
      </c>
      <c r="TF17" s="23">
        <f t="shared" si="230"/>
        <v>7.35</v>
      </c>
      <c r="TG17" s="23">
        <f t="shared" si="231"/>
        <v>4.7</v>
      </c>
      <c r="TH17" s="23">
        <f t="shared" si="232"/>
        <v>6.9</v>
      </c>
      <c r="TI17" s="23">
        <f t="shared" si="233"/>
        <v>7.52</v>
      </c>
      <c r="TJ17" s="23">
        <f t="shared" si="234"/>
        <v>0.1</v>
      </c>
      <c r="TK17" s="28" t="s">
        <v>58</v>
      </c>
      <c r="TL17" s="41">
        <f t="shared" si="235"/>
        <v>11.7</v>
      </c>
      <c r="TM17" s="41">
        <f t="shared" si="236"/>
        <v>11.51</v>
      </c>
      <c r="TN17" s="41">
        <f t="shared" si="237"/>
        <v>40.71</v>
      </c>
      <c r="TO17" s="41">
        <f t="shared" si="238"/>
        <v>9.6</v>
      </c>
      <c r="TP17" s="41">
        <f t="shared" si="239"/>
        <v>9.1150000000000002</v>
      </c>
      <c r="TQ17" s="41">
        <f t="shared" si="240"/>
        <v>39.865000000000002</v>
      </c>
      <c r="TR17" s="41">
        <f t="shared" si="241"/>
        <v>40.71</v>
      </c>
      <c r="TS17" s="41">
        <f t="shared" si="242"/>
        <v>6.9</v>
      </c>
      <c r="TT17" s="41">
        <f t="shared" si="243"/>
        <v>7.52</v>
      </c>
      <c r="TU17" s="41">
        <f t="shared" si="244"/>
        <v>26.37</v>
      </c>
      <c r="TV17" s="41">
        <f t="shared" si="245"/>
        <v>67.08</v>
      </c>
    </row>
    <row r="18" spans="1:542" x14ac:dyDescent="0.2">
      <c r="A18" s="4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5" t="s">
        <v>33</v>
      </c>
      <c r="C18" s="4" t="s">
        <v>8</v>
      </c>
      <c r="D18" s="4">
        <v>1998</v>
      </c>
      <c r="E18" s="9">
        <f t="shared" si="0"/>
        <v>215.66002156600524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52.54</v>
      </c>
      <c r="K18" s="8" t="str">
        <f t="shared" si="5"/>
        <v>2023 Elite Canada</v>
      </c>
      <c r="L18" s="8">
        <f>IF(COUNT(AQ18,AT18,BR18,BU18,CS18,CV18)&gt;1,LARGE((AQ18,AT18,BR18,BU18,CS18,CV18),2),0)</f>
        <v>50.86999999999999</v>
      </c>
      <c r="M18" s="8" t="str">
        <f t="shared" si="6"/>
        <v>2023 Elite Canada</v>
      </c>
      <c r="N18" s="8">
        <f>IF(COUNT(AQ18,AT18,BR18,BU18,CS18,CV18)&gt;2,LARGE((AQ18,AT18,BR18,BU18,CS18,CV18),3),0)</f>
        <v>48.89</v>
      </c>
      <c r="O18" s="8" t="str">
        <f t="shared" si="7"/>
        <v>2022 Nationals</v>
      </c>
      <c r="P18" s="8">
        <f t="shared" si="8"/>
        <v>49.76</v>
      </c>
      <c r="Q18" s="8" t="str">
        <f t="shared" si="9"/>
        <v>2023 Elite Canada</v>
      </c>
      <c r="R18" s="8">
        <f t="shared" si="10"/>
        <v>13.6</v>
      </c>
      <c r="S18" s="8" t="str">
        <f t="shared" si="11"/>
        <v>2023 Elite Canada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12.6</v>
      </c>
      <c r="Z18" s="23">
        <v>9</v>
      </c>
      <c r="AA18" s="23">
        <v>12.9</v>
      </c>
      <c r="AB18" s="23">
        <v>14.99</v>
      </c>
      <c r="AC18" s="23">
        <v>0.6</v>
      </c>
      <c r="AD18" s="23">
        <v>12.9</v>
      </c>
      <c r="AE18" s="23">
        <v>8.5</v>
      </c>
      <c r="AF18" s="23">
        <v>12</v>
      </c>
      <c r="AG18" s="23">
        <v>15.45</v>
      </c>
      <c r="AH18" s="23">
        <v>0</v>
      </c>
      <c r="AI18" s="23"/>
      <c r="AJ18" s="23"/>
      <c r="AK18" s="23"/>
      <c r="AL18" s="23"/>
      <c r="AM18" s="23"/>
      <c r="AN18" s="28"/>
      <c r="AO18" s="39">
        <f t="shared" si="17"/>
        <v>12.9</v>
      </c>
      <c r="AP18" s="39">
        <f t="shared" si="18"/>
        <v>14.99</v>
      </c>
      <c r="AQ18" s="41">
        <f t="shared" si="19"/>
        <v>48.89</v>
      </c>
      <c r="AR18" s="41">
        <f t="shared" si="20"/>
        <v>12</v>
      </c>
      <c r="AS18" s="41">
        <f t="shared" si="21"/>
        <v>15.45</v>
      </c>
      <c r="AT18" s="41">
        <f t="shared" si="22"/>
        <v>48.849999999999994</v>
      </c>
      <c r="AU18" s="41">
        <f t="shared" si="23"/>
        <v>48.89</v>
      </c>
      <c r="AV18" s="41" t="str">
        <f t="shared" si="24"/>
        <v/>
      </c>
      <c r="AW18" s="41" t="str">
        <f t="shared" si="25"/>
        <v/>
      </c>
      <c r="AX18" s="41" t="str">
        <f t="shared" si="26"/>
        <v/>
      </c>
      <c r="AY18" s="41">
        <f t="shared" si="27"/>
        <v>48.89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 t="shared" si="28"/>
        <v/>
      </c>
      <c r="BQ18" s="40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 t="str">
        <f t="shared" si="38"/>
        <v/>
      </c>
      <c r="CA18" s="23">
        <v>14.5</v>
      </c>
      <c r="CB18" s="23">
        <v>9</v>
      </c>
      <c r="CC18" s="23">
        <v>13.6</v>
      </c>
      <c r="CD18" s="23">
        <v>15.44</v>
      </c>
      <c r="CE18" s="23">
        <v>0</v>
      </c>
      <c r="CF18" s="23">
        <v>12.6</v>
      </c>
      <c r="CG18" s="23">
        <v>9.1999999999999993</v>
      </c>
      <c r="CH18" s="23">
        <v>13.5</v>
      </c>
      <c r="CI18" s="23">
        <v>15.77</v>
      </c>
      <c r="CJ18" s="23">
        <v>0.2</v>
      </c>
      <c r="CK18" s="23">
        <v>14.9</v>
      </c>
      <c r="CL18" s="23">
        <v>8.9</v>
      </c>
      <c r="CM18" s="23">
        <v>12.1</v>
      </c>
      <c r="CN18" s="23">
        <v>15.26</v>
      </c>
      <c r="CO18" s="23">
        <v>1.4</v>
      </c>
      <c r="CP18" s="28"/>
      <c r="CQ18" s="39">
        <f t="shared" si="39"/>
        <v>13.6</v>
      </c>
      <c r="CR18" s="39">
        <f t="shared" si="40"/>
        <v>15.44</v>
      </c>
      <c r="CS18" s="41">
        <f t="shared" si="41"/>
        <v>52.54</v>
      </c>
      <c r="CT18" s="41">
        <f t="shared" si="42"/>
        <v>13.5</v>
      </c>
      <c r="CU18" s="41">
        <f t="shared" si="43"/>
        <v>15.77</v>
      </c>
      <c r="CV18" s="41">
        <f t="shared" si="44"/>
        <v>50.86999999999999</v>
      </c>
      <c r="CW18" s="41">
        <f t="shared" si="45"/>
        <v>52.54</v>
      </c>
      <c r="CX18" s="41">
        <f t="shared" si="46"/>
        <v>12.1</v>
      </c>
      <c r="CY18" s="41">
        <f t="shared" si="47"/>
        <v>15.26</v>
      </c>
      <c r="CZ18" s="41">
        <f t="shared" si="48"/>
        <v>49.76</v>
      </c>
      <c r="DA18" s="41">
        <f t="shared" si="49"/>
        <v>102.3</v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7.25</v>
      </c>
      <c r="SW18" s="23">
        <f t="shared" si="221"/>
        <v>4.5</v>
      </c>
      <c r="SX18" s="23">
        <f t="shared" si="222"/>
        <v>6.8</v>
      </c>
      <c r="SY18" s="23">
        <f t="shared" si="223"/>
        <v>7.72</v>
      </c>
      <c r="SZ18" s="23">
        <f t="shared" si="224"/>
        <v>0</v>
      </c>
      <c r="TA18" s="23">
        <f t="shared" si="225"/>
        <v>6.3</v>
      </c>
      <c r="TB18" s="23">
        <f t="shared" si="226"/>
        <v>4.5999999999999996</v>
      </c>
      <c r="TC18" s="23">
        <f t="shared" si="227"/>
        <v>6.75</v>
      </c>
      <c r="TD18" s="23">
        <f t="shared" si="228"/>
        <v>7.8849999999999998</v>
      </c>
      <c r="TE18" s="23">
        <f t="shared" si="229"/>
        <v>0.1</v>
      </c>
      <c r="TF18" s="23">
        <f t="shared" si="230"/>
        <v>7.45</v>
      </c>
      <c r="TG18" s="23">
        <f t="shared" si="231"/>
        <v>4.45</v>
      </c>
      <c r="TH18" s="23">
        <f t="shared" si="232"/>
        <v>6.05</v>
      </c>
      <c r="TI18" s="23">
        <f t="shared" si="233"/>
        <v>7.63</v>
      </c>
      <c r="TJ18" s="23">
        <f t="shared" si="234"/>
        <v>0.7</v>
      </c>
      <c r="TK18" s="28" t="s">
        <v>58</v>
      </c>
      <c r="TL18" s="41">
        <f t="shared" si="235"/>
        <v>6.8</v>
      </c>
      <c r="TM18" s="41">
        <f t="shared" si="236"/>
        <v>7.72</v>
      </c>
      <c r="TN18" s="41">
        <f t="shared" si="237"/>
        <v>26.27</v>
      </c>
      <c r="TO18" s="41">
        <f t="shared" si="238"/>
        <v>6.75</v>
      </c>
      <c r="TP18" s="41">
        <f t="shared" si="239"/>
        <v>7.8849999999999998</v>
      </c>
      <c r="TQ18" s="41">
        <f t="shared" si="240"/>
        <v>25.434999999999995</v>
      </c>
      <c r="TR18" s="41">
        <f t="shared" si="241"/>
        <v>26.27</v>
      </c>
      <c r="TS18" s="41">
        <f t="shared" si="242"/>
        <v>6.05</v>
      </c>
      <c r="TT18" s="41">
        <f t="shared" si="243"/>
        <v>7.63</v>
      </c>
      <c r="TU18" s="41">
        <f t="shared" si="244"/>
        <v>24.88</v>
      </c>
      <c r="TV18" s="41">
        <f t="shared" si="245"/>
        <v>51.15</v>
      </c>
    </row>
    <row r="19" spans="1:542" x14ac:dyDescent="0.2">
      <c r="A19" s="4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5" t="s">
        <v>171</v>
      </c>
      <c r="C19" s="4" t="s">
        <v>5</v>
      </c>
      <c r="D19" s="4">
        <v>1993</v>
      </c>
      <c r="E19" s="9">
        <f t="shared" si="0"/>
        <v>109.72001097200473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47.27</v>
      </c>
      <c r="K19" s="8" t="str">
        <f t="shared" si="5"/>
        <v>2022 Nationals</v>
      </c>
      <c r="L19" s="8">
        <f>IF(COUNT(AQ19,AT19,BR19,BU19,CS19,CV19)&gt;1,LARGE((AQ19,AT19,BR19,BU19,CS19,CV19),2),0)</f>
        <v>33.92</v>
      </c>
      <c r="M19" s="8" t="str">
        <f t="shared" si="6"/>
        <v>2023 Elite Canada</v>
      </c>
      <c r="N19" s="8">
        <f>IF(COUNT(AQ19,AT19,BR19,BU19,CS19,CV19)&gt;2,LARGE((AQ19,AT19,BR19,BU19,CS19,CV19),3),0)</f>
        <v>15.63</v>
      </c>
      <c r="O19" s="8" t="str">
        <f t="shared" si="7"/>
        <v>2023 Elite Canada</v>
      </c>
      <c r="P19" s="8">
        <f t="shared" si="8"/>
        <v>0</v>
      </c>
      <c r="Q19" s="8" t="str">
        <f t="shared" si="9"/>
        <v/>
      </c>
      <c r="R19" s="8">
        <f t="shared" si="10"/>
        <v>12.9</v>
      </c>
      <c r="S19" s="8" t="str">
        <f t="shared" si="11"/>
        <v>2022 Nationals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3">
        <v>11.6</v>
      </c>
      <c r="Z19" s="23">
        <v>9.1</v>
      </c>
      <c r="AA19" s="23">
        <v>12.9</v>
      </c>
      <c r="AB19" s="23">
        <v>14.27</v>
      </c>
      <c r="AC19" s="23">
        <v>0.6</v>
      </c>
      <c r="AD19" s="23">
        <v>1.4</v>
      </c>
      <c r="AE19" s="23">
        <v>1</v>
      </c>
      <c r="AF19" s="23">
        <v>1.5</v>
      </c>
      <c r="AG19" s="23">
        <v>1.6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12.9</v>
      </c>
      <c r="AP19" s="39">
        <f t="shared" si="18"/>
        <v>14.27</v>
      </c>
      <c r="AQ19" s="41">
        <f t="shared" si="19"/>
        <v>47.27</v>
      </c>
      <c r="AR19" s="41">
        <f t="shared" si="20"/>
        <v>1.5</v>
      </c>
      <c r="AS19" s="41">
        <f t="shared" si="21"/>
        <v>1.6</v>
      </c>
      <c r="AT19" s="41">
        <f t="shared" si="22"/>
        <v>5.5</v>
      </c>
      <c r="AU19" s="41">
        <f t="shared" si="23"/>
        <v>47.27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47.27</v>
      </c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9"/>
      <c r="BP19" s="40" t="str">
        <f t="shared" si="28"/>
        <v/>
      </c>
      <c r="BQ19" s="40" t="str">
        <f t="shared" si="29"/>
        <v/>
      </c>
      <c r="BR19" s="11" t="str">
        <f t="shared" si="30"/>
        <v/>
      </c>
      <c r="BS19" s="11" t="str">
        <f t="shared" si="31"/>
        <v/>
      </c>
      <c r="BT19" s="11" t="str">
        <f t="shared" si="32"/>
        <v/>
      </c>
      <c r="BU19" s="11" t="str">
        <f t="shared" si="33"/>
        <v/>
      </c>
      <c r="BV19" s="11" t="str">
        <f t="shared" si="34"/>
        <v/>
      </c>
      <c r="BW19" s="11" t="str">
        <f t="shared" si="35"/>
        <v/>
      </c>
      <c r="BX19" s="11" t="str">
        <f t="shared" si="36"/>
        <v/>
      </c>
      <c r="BY19" s="11" t="str">
        <f t="shared" si="37"/>
        <v/>
      </c>
      <c r="BZ19" s="11" t="str">
        <f t="shared" si="38"/>
        <v/>
      </c>
      <c r="CA19" s="23">
        <v>4.3</v>
      </c>
      <c r="CB19" s="23">
        <v>3</v>
      </c>
      <c r="CC19" s="23">
        <v>3.5</v>
      </c>
      <c r="CD19" s="23">
        <v>4.83</v>
      </c>
      <c r="CE19" s="23">
        <v>0</v>
      </c>
      <c r="CF19" s="23">
        <v>9.6</v>
      </c>
      <c r="CG19" s="23">
        <v>6.3</v>
      </c>
      <c r="CH19" s="23">
        <v>7.6</v>
      </c>
      <c r="CI19" s="23">
        <v>10.42</v>
      </c>
      <c r="CJ19" s="23">
        <v>0</v>
      </c>
      <c r="CK19" s="23"/>
      <c r="CL19" s="23"/>
      <c r="CM19" s="23"/>
      <c r="CN19" s="23"/>
      <c r="CO19" s="23"/>
      <c r="CP19" s="28"/>
      <c r="CQ19" s="39">
        <f t="shared" si="39"/>
        <v>3.5</v>
      </c>
      <c r="CR19" s="39">
        <f t="shared" si="40"/>
        <v>4.83</v>
      </c>
      <c r="CS19" s="41">
        <f t="shared" si="41"/>
        <v>15.63</v>
      </c>
      <c r="CT19" s="41">
        <f t="shared" si="42"/>
        <v>7.6</v>
      </c>
      <c r="CU19" s="41">
        <f t="shared" si="43"/>
        <v>10.42</v>
      </c>
      <c r="CV19" s="41">
        <f t="shared" si="44"/>
        <v>33.92</v>
      </c>
      <c r="CW19" s="41">
        <f t="shared" si="45"/>
        <v>33.92</v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>
        <f t="shared" si="49"/>
        <v>33.92</v>
      </c>
      <c r="DB19" s="52" t="str">
        <f t="shared" si="50"/>
        <v/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2.15</v>
      </c>
      <c r="SW19" s="23">
        <f t="shared" si="221"/>
        <v>1.5</v>
      </c>
      <c r="SX19" s="23">
        <f t="shared" si="222"/>
        <v>1.75</v>
      </c>
      <c r="SY19" s="23">
        <f t="shared" si="223"/>
        <v>2.415</v>
      </c>
      <c r="SZ19" s="23">
        <f t="shared" si="224"/>
        <v>0</v>
      </c>
      <c r="TA19" s="23">
        <f t="shared" si="225"/>
        <v>4.8</v>
      </c>
      <c r="TB19" s="23">
        <f t="shared" si="226"/>
        <v>3.15</v>
      </c>
      <c r="TC19" s="23">
        <f t="shared" si="227"/>
        <v>3.8</v>
      </c>
      <c r="TD19" s="23">
        <f t="shared" si="228"/>
        <v>5.21</v>
      </c>
      <c r="TE19" s="23">
        <f t="shared" si="229"/>
        <v>0</v>
      </c>
      <c r="TF19" s="23">
        <f t="shared" si="230"/>
        <v>0</v>
      </c>
      <c r="TG19" s="23">
        <f t="shared" si="231"/>
        <v>0</v>
      </c>
      <c r="TH19" s="23">
        <f t="shared" si="232"/>
        <v>0</v>
      </c>
      <c r="TI19" s="23">
        <f t="shared" si="233"/>
        <v>0</v>
      </c>
      <c r="TJ19" s="23">
        <f t="shared" si="234"/>
        <v>0</v>
      </c>
      <c r="TK19" s="28" t="s">
        <v>58</v>
      </c>
      <c r="TL19" s="41">
        <f t="shared" si="235"/>
        <v>1.75</v>
      </c>
      <c r="TM19" s="41">
        <f t="shared" si="236"/>
        <v>2.415</v>
      </c>
      <c r="TN19" s="41">
        <f t="shared" si="237"/>
        <v>7.8150000000000004</v>
      </c>
      <c r="TO19" s="41">
        <f t="shared" si="238"/>
        <v>3.8</v>
      </c>
      <c r="TP19" s="41">
        <f t="shared" si="239"/>
        <v>5.21</v>
      </c>
      <c r="TQ19" s="41">
        <f t="shared" si="240"/>
        <v>16.96</v>
      </c>
      <c r="TR19" s="41">
        <f t="shared" si="241"/>
        <v>16.96</v>
      </c>
      <c r="TS19" s="41" t="str">
        <f t="shared" si="242"/>
        <v/>
      </c>
      <c r="TT19" s="41" t="str">
        <f t="shared" si="243"/>
        <v/>
      </c>
      <c r="TU19" s="41" t="str">
        <f t="shared" si="244"/>
        <v/>
      </c>
      <c r="TV19" s="41">
        <f t="shared" si="245"/>
        <v>16.96</v>
      </c>
    </row>
    <row r="20" spans="1:542" x14ac:dyDescent="0.2">
      <c r="A20" s="4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5" t="s">
        <v>97</v>
      </c>
      <c r="C20" s="4" t="s">
        <v>3</v>
      </c>
      <c r="D20" s="4">
        <v>1988</v>
      </c>
      <c r="E20" s="9">
        <f t="shared" si="0"/>
        <v>105.74000535900224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22.31</v>
      </c>
      <c r="K20" s="8" t="str">
        <f t="shared" si="5"/>
        <v>2022 Nationals</v>
      </c>
      <c r="L20" s="8">
        <f>IF(COUNT(AQ20,AT20,BR20,BU20,CS20,CV20)&gt;1,LARGE((AQ20,AT20,BR20,BU20,CS20,CV20),2),0)</f>
        <v>16.079999999999998</v>
      </c>
      <c r="M20" s="8" t="str">
        <f t="shared" si="6"/>
        <v>2022 Nationals</v>
      </c>
      <c r="N20" s="8">
        <f>IF(COUNT(AQ20,AT20,BR20,BU20,CS20,CV20)&gt;2,LARGE((AQ20,AT20,BR20,BU20,CS20,CV20),3),0)</f>
        <v>0</v>
      </c>
      <c r="O20" s="8" t="str">
        <f t="shared" si="7"/>
        <v/>
      </c>
      <c r="P20" s="8">
        <f t="shared" si="8"/>
        <v>0</v>
      </c>
      <c r="Q20" s="8" t="str">
        <f t="shared" si="9"/>
        <v/>
      </c>
      <c r="R20" s="8">
        <f t="shared" si="10"/>
        <v>15.2</v>
      </c>
      <c r="S20" s="8" t="str">
        <f t="shared" si="11"/>
        <v>2022 Pan Am Championships (June 28)</v>
      </c>
      <c r="T20" s="8">
        <f t="shared" si="12"/>
        <v>0</v>
      </c>
      <c r="U20" s="8" t="str">
        <f t="shared" si="13"/>
        <v/>
      </c>
      <c r="V20" s="8">
        <f t="shared" si="14"/>
        <v>52.15</v>
      </c>
      <c r="W20" s="11" t="str">
        <f t="shared" si="15"/>
        <v>(Prelim)</v>
      </c>
      <c r="X20" s="8" t="str">
        <f t="shared" si="16"/>
        <v>2022 Pan Am Championships (June 28)</v>
      </c>
      <c r="Y20" s="23">
        <v>3.9</v>
      </c>
      <c r="Z20" s="23">
        <v>2.4</v>
      </c>
      <c r="AA20" s="23">
        <v>5.0999999999999996</v>
      </c>
      <c r="AB20" s="23">
        <v>4.68</v>
      </c>
      <c r="AC20" s="23">
        <v>0</v>
      </c>
      <c r="AD20" s="23">
        <v>5.5</v>
      </c>
      <c r="AE20" s="23">
        <v>3.8</v>
      </c>
      <c r="AF20" s="23">
        <v>6.7</v>
      </c>
      <c r="AG20" s="23">
        <v>6.31</v>
      </c>
      <c r="AH20" s="23">
        <v>0</v>
      </c>
      <c r="AI20" s="23"/>
      <c r="AJ20" s="23"/>
      <c r="AK20" s="23"/>
      <c r="AL20" s="23"/>
      <c r="AM20" s="23"/>
      <c r="AN20" s="28"/>
      <c r="AO20" s="39">
        <f t="shared" si="17"/>
        <v>5.0999999999999996</v>
      </c>
      <c r="AP20" s="39">
        <f t="shared" si="18"/>
        <v>4.68</v>
      </c>
      <c r="AQ20" s="41">
        <f t="shared" si="19"/>
        <v>16.079999999999998</v>
      </c>
      <c r="AR20" s="41">
        <f t="shared" si="20"/>
        <v>6.7</v>
      </c>
      <c r="AS20" s="41">
        <f t="shared" si="21"/>
        <v>6.31</v>
      </c>
      <c r="AT20" s="41">
        <f t="shared" si="22"/>
        <v>22.31</v>
      </c>
      <c r="AU20" s="41">
        <f t="shared" si="23"/>
        <v>22.31</v>
      </c>
      <c r="AV20" s="41" t="str">
        <f t="shared" si="24"/>
        <v/>
      </c>
      <c r="AW20" s="41" t="str">
        <f t="shared" si="25"/>
        <v/>
      </c>
      <c r="AX20" s="41" t="str">
        <f t="shared" si="26"/>
        <v/>
      </c>
      <c r="AY20" s="41">
        <f t="shared" si="27"/>
        <v>22.31</v>
      </c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9"/>
      <c r="BP20" s="40" t="str">
        <f t="shared" si="28"/>
        <v/>
      </c>
      <c r="BQ20" s="40" t="str">
        <f t="shared" si="29"/>
        <v/>
      </c>
      <c r="BR20" s="11" t="str">
        <f t="shared" si="30"/>
        <v/>
      </c>
      <c r="BS20" s="11" t="str">
        <f t="shared" si="31"/>
        <v/>
      </c>
      <c r="BT20" s="11" t="str">
        <f t="shared" si="32"/>
        <v/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 t="str">
        <f t="shared" si="38"/>
        <v/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 t="shared" si="39"/>
        <v/>
      </c>
      <c r="CR20" s="39" t="str">
        <f t="shared" si="40"/>
        <v/>
      </c>
      <c r="CS20" s="41" t="str">
        <f t="shared" si="41"/>
        <v/>
      </c>
      <c r="CT20" s="41" t="str">
        <f t="shared" si="42"/>
        <v/>
      </c>
      <c r="CU20" s="41" t="str">
        <f t="shared" si="43"/>
        <v/>
      </c>
      <c r="CV20" s="41" t="str">
        <f t="shared" si="44"/>
        <v/>
      </c>
      <c r="CW20" s="41" t="str">
        <f t="shared" si="45"/>
        <v/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 t="str">
        <f t="shared" si="49"/>
        <v/>
      </c>
      <c r="DB20" s="52">
        <f t="shared" si="50"/>
        <v>52.15</v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>
        <v>13.1</v>
      </c>
      <c r="FU20" s="17">
        <v>9.1999999999999993</v>
      </c>
      <c r="FV20" s="17">
        <v>15.2</v>
      </c>
      <c r="FW20" s="17">
        <v>14.65</v>
      </c>
      <c r="FX20" s="17">
        <v>0</v>
      </c>
      <c r="FY20" s="17">
        <v>2.6</v>
      </c>
      <c r="FZ20" s="17">
        <v>1.7</v>
      </c>
      <c r="GA20" s="17">
        <v>3.4</v>
      </c>
      <c r="GB20" s="17">
        <v>3.16</v>
      </c>
      <c r="GC20" s="17">
        <v>0</v>
      </c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>
        <f t="shared" si="80"/>
        <v>15.2</v>
      </c>
      <c r="GO20" s="41">
        <f t="shared" si="81"/>
        <v>14.65</v>
      </c>
      <c r="GP20" s="41">
        <f t="shared" si="82"/>
        <v>52.15</v>
      </c>
      <c r="GQ20" s="41">
        <f t="shared" si="83"/>
        <v>3.4</v>
      </c>
      <c r="GR20" s="41">
        <f t="shared" si="84"/>
        <v>3.16</v>
      </c>
      <c r="GS20" s="41">
        <f t="shared" si="85"/>
        <v>10.86</v>
      </c>
      <c r="GT20" s="41">
        <f t="shared" si="86"/>
        <v>52.15</v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>
        <f t="shared" si="93"/>
        <v>52.15</v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0</v>
      </c>
      <c r="SW20" s="23">
        <f t="shared" si="221"/>
        <v>0</v>
      </c>
      <c r="SX20" s="23">
        <f t="shared" si="222"/>
        <v>0</v>
      </c>
      <c r="SY20" s="23">
        <f t="shared" si="223"/>
        <v>0</v>
      </c>
      <c r="SZ20" s="23">
        <f t="shared" si="224"/>
        <v>0</v>
      </c>
      <c r="TA20" s="23">
        <f t="shared" si="225"/>
        <v>0</v>
      </c>
      <c r="TB20" s="23">
        <f t="shared" si="226"/>
        <v>0</v>
      </c>
      <c r="TC20" s="23">
        <f t="shared" si="227"/>
        <v>0</v>
      </c>
      <c r="TD20" s="23">
        <f t="shared" si="228"/>
        <v>0</v>
      </c>
      <c r="TE20" s="23">
        <f t="shared" si="229"/>
        <v>0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58</v>
      </c>
      <c r="TL20" s="41" t="str">
        <f t="shared" si="235"/>
        <v/>
      </c>
      <c r="TM20" s="41" t="str">
        <f t="shared" si="236"/>
        <v/>
      </c>
      <c r="TN20" s="41" t="str">
        <f t="shared" si="237"/>
        <v/>
      </c>
      <c r="TO20" s="41" t="str">
        <f t="shared" si="238"/>
        <v/>
      </c>
      <c r="TP20" s="41" t="str">
        <f t="shared" si="239"/>
        <v/>
      </c>
      <c r="TQ20" s="41" t="str">
        <f t="shared" si="240"/>
        <v/>
      </c>
      <c r="TR20" s="41" t="str">
        <f t="shared" si="241"/>
        <v/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 t="str">
        <f t="shared" si="245"/>
        <v/>
      </c>
    </row>
    <row r="21" spans="1:542" x14ac:dyDescent="0.2">
      <c r="A21" s="4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5" t="s">
        <v>83</v>
      </c>
      <c r="C21" s="4" t="s">
        <v>3</v>
      </c>
      <c r="D21" s="4">
        <v>2003</v>
      </c>
      <c r="E21" s="9">
        <f t="shared" si="0"/>
        <v>90.250009025005326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53.239999999999995</v>
      </c>
      <c r="K21" s="8" t="str">
        <f t="shared" si="5"/>
        <v>2022 Nationals</v>
      </c>
      <c r="L21" s="8">
        <f>IF(COUNT(AQ21,AT21,BR21,BU21,CS21,CV21)&gt;1,LARGE((AQ21,AT21,BR21,BU21,CS21,CV21),2),0)</f>
        <v>11.42</v>
      </c>
      <c r="M21" s="8" t="str">
        <f t="shared" si="6"/>
        <v>2022 Nationals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11.19</v>
      </c>
      <c r="Q21" s="8" t="str">
        <f t="shared" si="9"/>
        <v>2022 Nationals</v>
      </c>
      <c r="R21" s="8">
        <f t="shared" si="10"/>
        <v>14.4</v>
      </c>
      <c r="S21" s="8" t="str">
        <f t="shared" si="11"/>
        <v>2022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>
        <v>14.6</v>
      </c>
      <c r="Z21" s="23">
        <v>9.1999999999999993</v>
      </c>
      <c r="AA21" s="23">
        <v>14.4</v>
      </c>
      <c r="AB21" s="23">
        <v>15.04</v>
      </c>
      <c r="AC21" s="23">
        <v>0</v>
      </c>
      <c r="AD21" s="23">
        <v>3</v>
      </c>
      <c r="AE21" s="23">
        <v>1.7</v>
      </c>
      <c r="AF21" s="23">
        <v>3.4</v>
      </c>
      <c r="AG21" s="23">
        <v>3.32</v>
      </c>
      <c r="AH21" s="23">
        <v>0</v>
      </c>
      <c r="AI21" s="23">
        <v>3</v>
      </c>
      <c r="AJ21" s="23">
        <v>1.6</v>
      </c>
      <c r="AK21" s="23">
        <v>3.4</v>
      </c>
      <c r="AL21" s="23">
        <v>3.19</v>
      </c>
      <c r="AM21" s="23">
        <v>0</v>
      </c>
      <c r="AN21" s="28"/>
      <c r="AO21" s="39">
        <f t="shared" si="17"/>
        <v>14.4</v>
      </c>
      <c r="AP21" s="39">
        <f t="shared" si="18"/>
        <v>15.04</v>
      </c>
      <c r="AQ21" s="41">
        <f t="shared" si="19"/>
        <v>53.239999999999995</v>
      </c>
      <c r="AR21" s="41">
        <f t="shared" si="20"/>
        <v>3.4</v>
      </c>
      <c r="AS21" s="41">
        <f t="shared" si="21"/>
        <v>3.32</v>
      </c>
      <c r="AT21" s="41">
        <f t="shared" si="22"/>
        <v>11.42</v>
      </c>
      <c r="AU21" s="41">
        <f t="shared" si="23"/>
        <v>53.239999999999995</v>
      </c>
      <c r="AV21" s="41">
        <f t="shared" si="24"/>
        <v>3.4</v>
      </c>
      <c r="AW21" s="41">
        <f t="shared" si="25"/>
        <v>3.19</v>
      </c>
      <c r="AX21" s="41">
        <f t="shared" si="26"/>
        <v>11.19</v>
      </c>
      <c r="AY21" s="41">
        <f t="shared" si="27"/>
        <v>64.429999999999993</v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 t="shared" si="28"/>
        <v/>
      </c>
      <c r="BQ21" s="40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 t="shared" si="39"/>
        <v/>
      </c>
      <c r="CR21" s="39" t="str">
        <f t="shared" si="40"/>
        <v/>
      </c>
      <c r="CS21" s="41" t="str">
        <f t="shared" si="41"/>
        <v/>
      </c>
      <c r="CT21" s="41" t="str">
        <f t="shared" si="42"/>
        <v/>
      </c>
      <c r="CU21" s="41" t="str">
        <f t="shared" si="43"/>
        <v/>
      </c>
      <c r="CV21" s="41" t="str">
        <f t="shared" si="44"/>
        <v/>
      </c>
      <c r="CW21" s="41" t="str">
        <f t="shared" si="45"/>
        <v/>
      </c>
      <c r="CX21" s="41" t="str">
        <f t="shared" si="46"/>
        <v/>
      </c>
      <c r="CY21" s="41" t="str">
        <f t="shared" si="47"/>
        <v/>
      </c>
      <c r="CZ21" s="41" t="str">
        <f t="shared" si="48"/>
        <v/>
      </c>
      <c r="DA21" s="41" t="str">
        <f t="shared" si="49"/>
        <v/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0</v>
      </c>
      <c r="SW21" s="23">
        <f t="shared" si="221"/>
        <v>0</v>
      </c>
      <c r="SX21" s="23">
        <f t="shared" si="222"/>
        <v>0</v>
      </c>
      <c r="SY21" s="23">
        <f t="shared" si="223"/>
        <v>0</v>
      </c>
      <c r="SZ21" s="23">
        <f t="shared" si="224"/>
        <v>0</v>
      </c>
      <c r="TA21" s="23">
        <f t="shared" si="225"/>
        <v>0</v>
      </c>
      <c r="TB21" s="23">
        <f t="shared" si="226"/>
        <v>0</v>
      </c>
      <c r="TC21" s="23">
        <f t="shared" si="227"/>
        <v>0</v>
      </c>
      <c r="TD21" s="23">
        <f t="shared" si="228"/>
        <v>0</v>
      </c>
      <c r="TE21" s="23">
        <f t="shared" si="229"/>
        <v>0</v>
      </c>
      <c r="TF21" s="23">
        <f t="shared" si="230"/>
        <v>0</v>
      </c>
      <c r="TG21" s="23">
        <f t="shared" si="231"/>
        <v>0</v>
      </c>
      <c r="TH21" s="23">
        <f t="shared" si="232"/>
        <v>0</v>
      </c>
      <c r="TI21" s="23">
        <f t="shared" si="233"/>
        <v>0</v>
      </c>
      <c r="TJ21" s="23">
        <f t="shared" si="234"/>
        <v>0</v>
      </c>
      <c r="TK21" s="28" t="s">
        <v>58</v>
      </c>
      <c r="TL21" s="41" t="str">
        <f t="shared" si="235"/>
        <v/>
      </c>
      <c r="TM21" s="41" t="str">
        <f t="shared" si="236"/>
        <v/>
      </c>
      <c r="TN21" s="41" t="str">
        <f t="shared" si="237"/>
        <v/>
      </c>
      <c r="TO21" s="41" t="str">
        <f t="shared" si="238"/>
        <v/>
      </c>
      <c r="TP21" s="41" t="str">
        <f t="shared" si="239"/>
        <v/>
      </c>
      <c r="TQ21" s="41" t="str">
        <f t="shared" si="240"/>
        <v/>
      </c>
      <c r="TR21" s="41" t="str">
        <f t="shared" si="241"/>
        <v/>
      </c>
      <c r="TS21" s="41" t="str">
        <f t="shared" si="242"/>
        <v/>
      </c>
      <c r="TT21" s="41" t="str">
        <f t="shared" si="243"/>
        <v/>
      </c>
      <c r="TU21" s="41" t="str">
        <f t="shared" si="244"/>
        <v/>
      </c>
      <c r="TV21" s="41" t="str">
        <f t="shared" si="245"/>
        <v/>
      </c>
    </row>
    <row r="22" spans="1:542" x14ac:dyDescent="0.2">
      <c r="A22" s="4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5" t="s">
        <v>70</v>
      </c>
      <c r="C22" s="4" t="s">
        <v>5</v>
      </c>
      <c r="D22" s="4">
        <v>1991</v>
      </c>
      <c r="E22" s="9">
        <f t="shared" si="0"/>
        <v>19.500001950001074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10.719999999999999</v>
      </c>
      <c r="K22" s="8" t="str">
        <f t="shared" si="5"/>
        <v>2022 Nationals</v>
      </c>
      <c r="L22" s="8">
        <f>IF(COUNT(AQ22,AT22,BR22,BU22,CS22,CV22)&gt;1,LARGE((AQ22,AT22,BR22,BU22,CS22,CV22),2),0)</f>
        <v>6.1800000000000006</v>
      </c>
      <c r="M22" s="8" t="str">
        <f t="shared" si="6"/>
        <v>2022 Nationals</v>
      </c>
      <c r="N22" s="8">
        <f>IF(COUNT(AQ22,AT22,BR22,BU22,CS22,CV22)&gt;2,LARGE((AQ22,AT22,BR22,BU22,CS22,CV22),3),0)</f>
        <v>0</v>
      </c>
      <c r="O22" s="8" t="str">
        <f t="shared" si="7"/>
        <v/>
      </c>
      <c r="P22" s="8">
        <f t="shared" si="8"/>
        <v>0</v>
      </c>
      <c r="Q22" s="8" t="str">
        <f t="shared" si="9"/>
        <v/>
      </c>
      <c r="R22" s="8">
        <f t="shared" si="10"/>
        <v>2.6</v>
      </c>
      <c r="S22" s="8" t="str">
        <f t="shared" si="11"/>
        <v>2022 Nationals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3">
        <v>1.4</v>
      </c>
      <c r="Z22" s="23">
        <v>1</v>
      </c>
      <c r="AA22" s="23">
        <v>2</v>
      </c>
      <c r="AB22" s="23">
        <v>1.78</v>
      </c>
      <c r="AC22" s="23">
        <v>0</v>
      </c>
      <c r="AD22" s="23">
        <v>2.8</v>
      </c>
      <c r="AE22" s="23">
        <v>1.8</v>
      </c>
      <c r="AF22" s="23">
        <v>2.6</v>
      </c>
      <c r="AG22" s="23">
        <v>3.52</v>
      </c>
      <c r="AH22" s="23">
        <v>0</v>
      </c>
      <c r="AI22" s="23"/>
      <c r="AJ22" s="23"/>
      <c r="AK22" s="23"/>
      <c r="AL22" s="23"/>
      <c r="AM22" s="23"/>
      <c r="AN22" s="28"/>
      <c r="AO22" s="39">
        <f t="shared" si="17"/>
        <v>2</v>
      </c>
      <c r="AP22" s="39">
        <f t="shared" si="18"/>
        <v>1.78</v>
      </c>
      <c r="AQ22" s="41">
        <f t="shared" si="19"/>
        <v>6.1800000000000006</v>
      </c>
      <c r="AR22" s="41">
        <f t="shared" si="20"/>
        <v>2.6</v>
      </c>
      <c r="AS22" s="41">
        <f t="shared" si="21"/>
        <v>3.52</v>
      </c>
      <c r="AT22" s="41">
        <f t="shared" si="22"/>
        <v>10.719999999999999</v>
      </c>
      <c r="AU22" s="41">
        <f t="shared" si="23"/>
        <v>10.719999999999999</v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>
        <f t="shared" si="27"/>
        <v>10.719999999999999</v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 t="shared" si="28"/>
        <v/>
      </c>
      <c r="BQ22" s="40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 t="str">
        <f t="shared" si="38"/>
        <v/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 t="shared" si="39"/>
        <v/>
      </c>
      <c r="CR22" s="39" t="str">
        <f t="shared" si="40"/>
        <v/>
      </c>
      <c r="CS22" s="41" t="str">
        <f t="shared" si="41"/>
        <v/>
      </c>
      <c r="CT22" s="41" t="str">
        <f t="shared" si="42"/>
        <v/>
      </c>
      <c r="CU22" s="41" t="str">
        <f t="shared" si="43"/>
        <v/>
      </c>
      <c r="CV22" s="41" t="str">
        <f t="shared" si="44"/>
        <v/>
      </c>
      <c r="CW22" s="41" t="str">
        <f t="shared" si="45"/>
        <v/>
      </c>
      <c r="CX22" s="41" t="str">
        <f t="shared" si="46"/>
        <v/>
      </c>
      <c r="CY22" s="41" t="str">
        <f t="shared" si="47"/>
        <v/>
      </c>
      <c r="CZ22" s="41" t="str">
        <f t="shared" si="48"/>
        <v/>
      </c>
      <c r="DA22" s="41" t="str">
        <f t="shared" si="49"/>
        <v/>
      </c>
      <c r="DB22" s="52" t="str">
        <f t="shared" si="50"/>
        <v/>
      </c>
      <c r="DC22" s="52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 t="shared" si="52"/>
        <v/>
      </c>
      <c r="DY22" s="41" t="str">
        <f t="shared" si="53"/>
        <v/>
      </c>
      <c r="DZ22" s="41" t="str">
        <f t="shared" si="54"/>
        <v/>
      </c>
      <c r="EA22" s="41" t="str">
        <f t="shared" si="55"/>
        <v/>
      </c>
      <c r="EB22" s="41" t="str">
        <f t="shared" si="56"/>
        <v/>
      </c>
      <c r="EC22" s="41" t="str">
        <f t="shared" si="57"/>
        <v/>
      </c>
      <c r="ED22" s="41" t="str">
        <f t="shared" si="58"/>
        <v/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0</v>
      </c>
      <c r="SW22" s="23">
        <f t="shared" si="221"/>
        <v>0</v>
      </c>
      <c r="SX22" s="23">
        <f t="shared" si="222"/>
        <v>0</v>
      </c>
      <c r="SY22" s="23">
        <f t="shared" si="223"/>
        <v>0</v>
      </c>
      <c r="SZ22" s="23">
        <f t="shared" si="224"/>
        <v>0</v>
      </c>
      <c r="TA22" s="23">
        <f t="shared" si="225"/>
        <v>0</v>
      </c>
      <c r="TB22" s="23">
        <f t="shared" si="226"/>
        <v>0</v>
      </c>
      <c r="TC22" s="23">
        <f t="shared" si="227"/>
        <v>0</v>
      </c>
      <c r="TD22" s="23">
        <f t="shared" si="228"/>
        <v>0</v>
      </c>
      <c r="TE22" s="23">
        <f t="shared" si="229"/>
        <v>0</v>
      </c>
      <c r="TF22" s="23">
        <f t="shared" si="230"/>
        <v>0</v>
      </c>
      <c r="TG22" s="23">
        <f t="shared" si="231"/>
        <v>0</v>
      </c>
      <c r="TH22" s="23">
        <f t="shared" si="232"/>
        <v>0</v>
      </c>
      <c r="TI22" s="23">
        <f t="shared" si="233"/>
        <v>0</v>
      </c>
      <c r="TJ22" s="23">
        <f t="shared" si="234"/>
        <v>0</v>
      </c>
      <c r="TK22" s="28" t="s">
        <v>58</v>
      </c>
      <c r="TL22" s="41" t="str">
        <f t="shared" si="235"/>
        <v/>
      </c>
      <c r="TM22" s="41" t="str">
        <f t="shared" si="236"/>
        <v/>
      </c>
      <c r="TN22" s="41" t="str">
        <f t="shared" si="237"/>
        <v/>
      </c>
      <c r="TO22" s="41" t="str">
        <f t="shared" si="238"/>
        <v/>
      </c>
      <c r="TP22" s="41" t="str">
        <f t="shared" si="239"/>
        <v/>
      </c>
      <c r="TQ22" s="41" t="str">
        <f t="shared" si="240"/>
        <v/>
      </c>
      <c r="TR22" s="41" t="str">
        <f t="shared" si="241"/>
        <v/>
      </c>
      <c r="TS22" s="41" t="str">
        <f t="shared" si="242"/>
        <v/>
      </c>
      <c r="TT22" s="41" t="str">
        <f t="shared" si="243"/>
        <v/>
      </c>
      <c r="TU22" s="41" t="str">
        <f t="shared" si="244"/>
        <v/>
      </c>
      <c r="TV22" s="41" t="str">
        <f t="shared" si="245"/>
        <v/>
      </c>
    </row>
    <row r="23" spans="1:542" x14ac:dyDescent="0.2">
      <c r="B23" s="5"/>
      <c r="D23" s="1"/>
    </row>
    <row r="24" spans="1:542" x14ac:dyDescent="0.2">
      <c r="G24" s="37"/>
      <c r="I24" s="37"/>
    </row>
    <row r="25" spans="1:542" x14ac:dyDescent="0.2">
      <c r="B25" s="24" t="s">
        <v>55</v>
      </c>
      <c r="C25" s="5"/>
      <c r="G25" s="3"/>
      <c r="AR25" s="42"/>
      <c r="AS25" s="42"/>
      <c r="AT25" s="42"/>
      <c r="AV25" s="33"/>
      <c r="AW25" s="33"/>
      <c r="AY25" s="43">
        <v>15.4</v>
      </c>
      <c r="BS25" s="42"/>
      <c r="BT25" s="42"/>
      <c r="BU25" s="42"/>
      <c r="BW25" s="33"/>
      <c r="BX25" s="33"/>
      <c r="BZ25" s="43">
        <v>15.4</v>
      </c>
      <c r="CT25" s="42"/>
      <c r="CU25" s="42"/>
      <c r="CV25" s="42"/>
      <c r="CX25" s="33"/>
      <c r="CY25" s="33"/>
      <c r="DA25" s="43">
        <v>15.4</v>
      </c>
      <c r="DX25" s="5"/>
      <c r="DY25" s="5"/>
      <c r="EH25" s="2"/>
      <c r="EI25" s="2"/>
      <c r="EK25" s="43">
        <v>15.4</v>
      </c>
      <c r="FF25" s="5"/>
      <c r="FG25" s="5"/>
      <c r="FP25" s="2"/>
      <c r="FQ25" s="2"/>
      <c r="FS25" s="43">
        <v>15.4</v>
      </c>
      <c r="GN25" s="5"/>
      <c r="GO25" s="5"/>
      <c r="GX25" s="2"/>
      <c r="GY25" s="2"/>
      <c r="HA25" s="43">
        <v>15.4</v>
      </c>
      <c r="HV25" s="5"/>
      <c r="HW25" s="5"/>
      <c r="IF25" s="2"/>
      <c r="IG25" s="2"/>
      <c r="II25" s="43">
        <v>15.4</v>
      </c>
      <c r="JD25" s="5"/>
      <c r="JE25" s="5"/>
      <c r="JN25" s="2"/>
      <c r="JO25" s="2"/>
      <c r="JQ25" s="43">
        <v>15.4</v>
      </c>
      <c r="KL25" s="5"/>
      <c r="KM25" s="5"/>
      <c r="KV25" s="2"/>
      <c r="KW25" s="2"/>
      <c r="KY25" s="43">
        <v>15.4</v>
      </c>
      <c r="LT25" s="5"/>
      <c r="LU25" s="5"/>
      <c r="MD25" s="2"/>
      <c r="ME25" s="2"/>
      <c r="MG25" s="43">
        <v>15.4</v>
      </c>
      <c r="NB25" s="5"/>
      <c r="NC25" s="5"/>
      <c r="NL25" s="2"/>
      <c r="NM25" s="2"/>
      <c r="NO25" s="43">
        <v>15.4</v>
      </c>
      <c r="OJ25" s="5"/>
      <c r="OK25" s="5"/>
      <c r="OT25" s="2"/>
      <c r="OU25" s="2"/>
      <c r="OW25" s="43">
        <v>15.4</v>
      </c>
      <c r="PR25" s="5"/>
      <c r="PS25" s="5"/>
      <c r="QB25" s="2"/>
      <c r="QC25" s="2"/>
      <c r="QE25" s="43">
        <v>15.4</v>
      </c>
      <c r="QZ25" s="5"/>
      <c r="RA25" s="5"/>
      <c r="RJ25" s="2"/>
      <c r="RK25" s="2"/>
      <c r="RM25" s="43">
        <v>15.4</v>
      </c>
      <c r="SH25" s="5"/>
      <c r="SI25" s="5"/>
      <c r="SR25" s="2"/>
      <c r="SS25" s="2"/>
      <c r="SU25" s="43">
        <v>15.4</v>
      </c>
    </row>
    <row r="26" spans="1:542" x14ac:dyDescent="0.2">
      <c r="B26" s="31" t="s">
        <v>54</v>
      </c>
      <c r="C26" s="5"/>
      <c r="X26" s="2"/>
      <c r="AR26" s="42"/>
      <c r="AS26" s="42"/>
      <c r="AT26" s="42"/>
      <c r="AV26" s="33"/>
      <c r="AW26" s="33"/>
      <c r="AY26" s="44">
        <v>16</v>
      </c>
      <c r="BS26" s="42"/>
      <c r="BT26" s="42"/>
      <c r="BU26" s="42"/>
      <c r="BW26" s="33"/>
      <c r="BX26" s="33"/>
      <c r="BZ26" s="44">
        <v>16</v>
      </c>
      <c r="CT26" s="42"/>
      <c r="CU26" s="42"/>
      <c r="CV26" s="42"/>
      <c r="CX26" s="33"/>
      <c r="CY26" s="33"/>
      <c r="DA26" s="44">
        <v>16</v>
      </c>
      <c r="DX26" s="5"/>
      <c r="DY26" s="5"/>
      <c r="EH26" s="2"/>
      <c r="EI26" s="2"/>
      <c r="EK26" s="44">
        <v>16</v>
      </c>
      <c r="FF26" s="5"/>
      <c r="FG26" s="5"/>
      <c r="FP26" s="2"/>
      <c r="FQ26" s="2"/>
      <c r="FS26" s="44">
        <v>16</v>
      </c>
      <c r="GN26" s="5"/>
      <c r="GO26" s="5"/>
      <c r="GX26" s="2"/>
      <c r="GY26" s="2"/>
      <c r="HA26" s="44">
        <v>16</v>
      </c>
      <c r="HV26" s="5"/>
      <c r="HW26" s="5"/>
      <c r="IF26" s="2"/>
      <c r="IG26" s="2"/>
      <c r="II26" s="44">
        <v>16</v>
      </c>
      <c r="JD26" s="5"/>
      <c r="JE26" s="5"/>
      <c r="JN26" s="2"/>
      <c r="JO26" s="2"/>
      <c r="JQ26" s="44">
        <v>16</v>
      </c>
      <c r="KL26" s="5"/>
      <c r="KM26" s="5"/>
      <c r="KV26" s="2"/>
      <c r="KW26" s="2"/>
      <c r="KY26" s="44">
        <v>16</v>
      </c>
      <c r="LT26" s="5"/>
      <c r="LU26" s="5"/>
      <c r="MD26" s="2"/>
      <c r="ME26" s="2"/>
      <c r="MG26" s="44">
        <v>16</v>
      </c>
      <c r="NB26" s="5"/>
      <c r="NC26" s="5"/>
      <c r="NL26" s="2"/>
      <c r="NM26" s="2"/>
      <c r="NO26" s="44">
        <v>16</v>
      </c>
      <c r="OJ26" s="5"/>
      <c r="OK26" s="5"/>
      <c r="OT26" s="2"/>
      <c r="OU26" s="2"/>
      <c r="OW26" s="44">
        <v>16</v>
      </c>
      <c r="PR26" s="5"/>
      <c r="PS26" s="5"/>
      <c r="QB26" s="2"/>
      <c r="QC26" s="2"/>
      <c r="QE26" s="44">
        <v>16</v>
      </c>
      <c r="QZ26" s="5"/>
      <c r="RA26" s="5"/>
      <c r="RJ26" s="2"/>
      <c r="RK26" s="2"/>
      <c r="RM26" s="44">
        <v>16</v>
      </c>
      <c r="SH26" s="5"/>
      <c r="SI26" s="5"/>
      <c r="SR26" s="2"/>
      <c r="SS26" s="2"/>
      <c r="SU26" s="44">
        <v>16</v>
      </c>
    </row>
    <row r="27" spans="1:542" x14ac:dyDescent="0.2">
      <c r="A27" s="5"/>
      <c r="B27" s="32" t="s">
        <v>68</v>
      </c>
      <c r="C27" s="5"/>
      <c r="E27" s="2"/>
      <c r="AR27" s="42"/>
      <c r="AS27" s="42"/>
      <c r="AT27" s="42"/>
      <c r="AU27" s="33"/>
      <c r="AV27" s="33"/>
      <c r="AW27" s="33"/>
      <c r="AX27" s="33"/>
      <c r="AY27" s="45">
        <v>16.2</v>
      </c>
      <c r="BS27" s="42"/>
      <c r="BT27" s="42"/>
      <c r="BU27" s="42"/>
      <c r="BW27" s="33"/>
      <c r="BX27" s="33"/>
      <c r="BZ27" s="45">
        <v>16.2</v>
      </c>
      <c r="CT27" s="42"/>
      <c r="CU27" s="42"/>
      <c r="CV27" s="42"/>
      <c r="CW27" s="33"/>
      <c r="CX27" s="33"/>
      <c r="CY27" s="33"/>
      <c r="CZ27" s="33"/>
      <c r="DA27" s="45">
        <v>16.2</v>
      </c>
      <c r="DX27" s="5"/>
      <c r="DY27" s="5"/>
      <c r="EH27" s="2"/>
      <c r="EI27" s="2"/>
      <c r="EK27" s="45">
        <v>16.2</v>
      </c>
      <c r="FF27" s="5"/>
      <c r="FG27" s="5"/>
      <c r="FP27" s="2"/>
      <c r="FQ27" s="2"/>
      <c r="FS27" s="45">
        <v>16.2</v>
      </c>
      <c r="GN27" s="5"/>
      <c r="GO27" s="5"/>
      <c r="GX27" s="2"/>
      <c r="GY27" s="2"/>
      <c r="HA27" s="45">
        <v>16.2</v>
      </c>
      <c r="HV27" s="5"/>
      <c r="HW27" s="5"/>
      <c r="IF27" s="2"/>
      <c r="IG27" s="2"/>
      <c r="II27" s="45">
        <v>16.2</v>
      </c>
      <c r="JD27" s="5"/>
      <c r="JE27" s="5"/>
      <c r="JN27" s="2"/>
      <c r="JO27" s="2"/>
      <c r="JQ27" s="45">
        <v>16.2</v>
      </c>
      <c r="KL27" s="5"/>
      <c r="KM27" s="5"/>
      <c r="KV27" s="2"/>
      <c r="KW27" s="2"/>
      <c r="KY27" s="45">
        <v>16.2</v>
      </c>
      <c r="LT27" s="5"/>
      <c r="LU27" s="5"/>
      <c r="MD27" s="2"/>
      <c r="ME27" s="2"/>
      <c r="MG27" s="45">
        <v>16.2</v>
      </c>
      <c r="NB27" s="5"/>
      <c r="NC27" s="5"/>
      <c r="NL27" s="2"/>
      <c r="NM27" s="2"/>
      <c r="NO27" s="45">
        <v>16.2</v>
      </c>
      <c r="OJ27" s="5"/>
      <c r="OK27" s="5"/>
      <c r="OT27" s="2"/>
      <c r="OU27" s="2"/>
      <c r="OW27" s="45">
        <v>16.2</v>
      </c>
      <c r="PR27" s="5"/>
      <c r="PS27" s="5"/>
      <c r="QB27" s="2"/>
      <c r="QC27" s="2"/>
      <c r="QE27" s="45">
        <v>16.2</v>
      </c>
      <c r="QZ27" s="5"/>
      <c r="RA27" s="5"/>
      <c r="RJ27" s="2"/>
      <c r="RK27" s="2"/>
      <c r="RM27" s="45">
        <v>16.2</v>
      </c>
      <c r="SH27" s="5"/>
      <c r="SI27" s="5"/>
      <c r="SR27" s="2"/>
      <c r="SS27" s="2"/>
      <c r="SU27" s="45">
        <v>16.2</v>
      </c>
    </row>
    <row r="28" spans="1:542" x14ac:dyDescent="0.2">
      <c r="A28" s="5"/>
      <c r="B28" s="36" t="s">
        <v>81</v>
      </c>
      <c r="C28" s="5"/>
      <c r="E28" s="2"/>
      <c r="AR28" s="42"/>
      <c r="AS28" s="42"/>
      <c r="AT28" s="42"/>
      <c r="AU28" s="33"/>
      <c r="AV28" s="33"/>
      <c r="AW28" s="33"/>
      <c r="AX28" s="33"/>
      <c r="AY28" s="46">
        <v>17.100000000000001</v>
      </c>
      <c r="BS28" s="42"/>
      <c r="BT28" s="42"/>
      <c r="BU28" s="42"/>
      <c r="BW28" s="33"/>
      <c r="BX28" s="33"/>
      <c r="BZ28" s="46">
        <v>17.100000000000001</v>
      </c>
      <c r="CT28" s="42"/>
      <c r="CU28" s="42"/>
      <c r="CV28" s="42"/>
      <c r="CW28" s="33"/>
      <c r="CX28" s="33"/>
      <c r="CY28" s="33"/>
      <c r="CZ28" s="33"/>
      <c r="DA28" s="46">
        <v>17.100000000000001</v>
      </c>
      <c r="DX28" s="5"/>
      <c r="DY28" s="5"/>
      <c r="EH28" s="2"/>
      <c r="EI28" s="2"/>
      <c r="EK28" s="46">
        <v>17.100000000000001</v>
      </c>
      <c r="FF28" s="5"/>
      <c r="FG28" s="5"/>
      <c r="FP28" s="2"/>
      <c r="FQ28" s="2"/>
      <c r="FS28" s="46">
        <v>17.100000000000001</v>
      </c>
      <c r="GN28" s="5"/>
      <c r="GO28" s="5"/>
      <c r="GX28" s="2"/>
      <c r="GY28" s="2"/>
      <c r="HA28" s="46">
        <v>17.100000000000001</v>
      </c>
      <c r="HV28" s="5"/>
      <c r="HW28" s="5"/>
      <c r="IF28" s="2"/>
      <c r="IG28" s="2"/>
      <c r="II28" s="46">
        <v>17.100000000000001</v>
      </c>
      <c r="JD28" s="5"/>
      <c r="JE28" s="5"/>
      <c r="JN28" s="2"/>
      <c r="JO28" s="2"/>
      <c r="JQ28" s="46">
        <v>17.100000000000001</v>
      </c>
      <c r="KL28" s="5"/>
      <c r="KM28" s="5"/>
      <c r="KV28" s="2"/>
      <c r="KW28" s="2"/>
      <c r="KY28" s="46">
        <v>17.100000000000001</v>
      </c>
      <c r="LT28" s="5"/>
      <c r="LU28" s="5"/>
      <c r="MD28" s="2"/>
      <c r="ME28" s="2"/>
      <c r="MG28" s="46">
        <v>17.100000000000001</v>
      </c>
      <c r="NB28" s="5"/>
      <c r="NC28" s="5"/>
      <c r="NL28" s="2"/>
      <c r="NM28" s="2"/>
      <c r="NO28" s="46">
        <v>17.100000000000001</v>
      </c>
      <c r="OJ28" s="5"/>
      <c r="OK28" s="5"/>
      <c r="OT28" s="2"/>
      <c r="OU28" s="2"/>
      <c r="OW28" s="46">
        <v>17.100000000000001</v>
      </c>
      <c r="PR28" s="5"/>
      <c r="PS28" s="5"/>
      <c r="QB28" s="2"/>
      <c r="QC28" s="2"/>
      <c r="QE28" s="46">
        <v>17.100000000000001</v>
      </c>
      <c r="QZ28" s="5"/>
      <c r="RA28" s="5"/>
      <c r="RJ28" s="2"/>
      <c r="RK28" s="2"/>
      <c r="RM28" s="46">
        <v>17.100000000000001</v>
      </c>
      <c r="SH28" s="5"/>
      <c r="SI28" s="5"/>
      <c r="SR28" s="2"/>
      <c r="SS28" s="2"/>
      <c r="SU28" s="46">
        <v>17.100000000000001</v>
      </c>
    </row>
    <row r="29" spans="1:542" x14ac:dyDescent="0.2">
      <c r="A29" s="5"/>
      <c r="B29" s="35" t="s">
        <v>52</v>
      </c>
      <c r="C29" s="5"/>
      <c r="P29" s="2"/>
      <c r="AR29" s="42"/>
      <c r="AS29" s="42"/>
      <c r="AT29" s="42"/>
      <c r="AU29" s="33"/>
      <c r="AV29" s="33"/>
      <c r="AW29" s="33"/>
      <c r="AX29" s="33"/>
      <c r="AY29" s="47">
        <v>54</v>
      </c>
      <c r="BS29" s="42"/>
      <c r="BT29" s="42"/>
      <c r="BU29" s="42"/>
      <c r="BW29" s="33"/>
      <c r="BX29" s="33"/>
      <c r="BZ29" s="47">
        <v>54</v>
      </c>
      <c r="CT29" s="42"/>
      <c r="CU29" s="42"/>
      <c r="CV29" s="42"/>
      <c r="CW29" s="33"/>
      <c r="CX29" s="33"/>
      <c r="CY29" s="33"/>
      <c r="CZ29" s="33"/>
      <c r="DA29" s="47">
        <v>54</v>
      </c>
      <c r="DX29" s="5"/>
      <c r="DY29" s="5"/>
      <c r="EH29" s="2"/>
      <c r="EI29" s="2"/>
      <c r="EK29" s="47">
        <v>54</v>
      </c>
      <c r="FF29" s="5"/>
      <c r="FG29" s="5"/>
      <c r="FP29" s="2"/>
      <c r="FQ29" s="2"/>
      <c r="FS29" s="47">
        <v>54</v>
      </c>
      <c r="GN29" s="5"/>
      <c r="GO29" s="5"/>
      <c r="GX29" s="2"/>
      <c r="GY29" s="2"/>
      <c r="HA29" s="47">
        <v>54</v>
      </c>
      <c r="HV29" s="5"/>
      <c r="HW29" s="5"/>
      <c r="IF29" s="2"/>
      <c r="IG29" s="2"/>
      <c r="II29" s="47">
        <v>54</v>
      </c>
      <c r="JD29" s="5"/>
      <c r="JE29" s="5"/>
      <c r="JN29" s="2"/>
      <c r="JO29" s="2"/>
      <c r="JQ29" s="47">
        <v>54</v>
      </c>
      <c r="KL29" s="5"/>
      <c r="KM29" s="5"/>
      <c r="KV29" s="2"/>
      <c r="KW29" s="2"/>
      <c r="KY29" s="47">
        <v>54</v>
      </c>
      <c r="LT29" s="5"/>
      <c r="LU29" s="5"/>
      <c r="MD29" s="2"/>
      <c r="ME29" s="2"/>
      <c r="MG29" s="47">
        <v>54</v>
      </c>
      <c r="NB29" s="5"/>
      <c r="NC29" s="5"/>
      <c r="NL29" s="2"/>
      <c r="NM29" s="2"/>
      <c r="NO29" s="47">
        <v>54</v>
      </c>
      <c r="OJ29" s="5"/>
      <c r="OK29" s="5"/>
      <c r="OT29" s="2"/>
      <c r="OU29" s="2"/>
      <c r="OW29" s="47">
        <v>54</v>
      </c>
      <c r="PR29" s="5"/>
      <c r="PS29" s="5"/>
      <c r="QB29" s="2"/>
      <c r="QC29" s="2"/>
      <c r="QE29" s="47">
        <v>54</v>
      </c>
      <c r="QZ29" s="5"/>
      <c r="RA29" s="5"/>
      <c r="RJ29" s="2"/>
      <c r="RK29" s="2"/>
      <c r="RM29" s="47">
        <v>54</v>
      </c>
      <c r="SH29" s="5"/>
      <c r="SI29" s="5"/>
      <c r="SR29" s="2"/>
      <c r="SS29" s="2"/>
      <c r="SU29" s="47">
        <v>54</v>
      </c>
    </row>
    <row r="30" spans="1:542" x14ac:dyDescent="0.2">
      <c r="A30" s="5"/>
      <c r="B30" s="25" t="s">
        <v>53</v>
      </c>
      <c r="C30" s="5"/>
      <c r="P30" s="2"/>
      <c r="AR30" s="42"/>
      <c r="AS30" s="42"/>
      <c r="AT30" s="42"/>
      <c r="AU30" s="33"/>
      <c r="AV30" s="33"/>
      <c r="AW30" s="33"/>
      <c r="AX30" s="33"/>
      <c r="AY30" s="48">
        <v>56</v>
      </c>
      <c r="BS30" s="42"/>
      <c r="BT30" s="42"/>
      <c r="BU30" s="42"/>
      <c r="BW30" s="33"/>
      <c r="BX30" s="33"/>
      <c r="BZ30" s="48">
        <v>56</v>
      </c>
      <c r="CT30" s="42"/>
      <c r="CU30" s="42"/>
      <c r="CV30" s="42"/>
      <c r="CW30" s="33"/>
      <c r="CX30" s="33"/>
      <c r="CY30" s="33"/>
      <c r="CZ30" s="33"/>
      <c r="DA30" s="48">
        <v>56</v>
      </c>
      <c r="DX30" s="5"/>
      <c r="DY30" s="5"/>
      <c r="EH30" s="2"/>
      <c r="EI30" s="2"/>
      <c r="EK30" s="48">
        <v>56</v>
      </c>
      <c r="FF30" s="5"/>
      <c r="FG30" s="5"/>
      <c r="FP30" s="2"/>
      <c r="FQ30" s="2"/>
      <c r="FS30" s="48">
        <v>56</v>
      </c>
      <c r="GN30" s="5"/>
      <c r="GO30" s="5"/>
      <c r="GX30" s="2"/>
      <c r="GY30" s="2"/>
      <c r="HA30" s="48">
        <v>56</v>
      </c>
      <c r="HV30" s="5"/>
      <c r="HW30" s="5"/>
      <c r="IF30" s="2"/>
      <c r="IG30" s="2"/>
      <c r="II30" s="48">
        <v>56</v>
      </c>
      <c r="JD30" s="5"/>
      <c r="JE30" s="5"/>
      <c r="JN30" s="2"/>
      <c r="JO30" s="2"/>
      <c r="JQ30" s="48">
        <v>56</v>
      </c>
      <c r="KL30" s="5"/>
      <c r="KM30" s="5"/>
      <c r="KV30" s="2"/>
      <c r="KW30" s="2"/>
      <c r="KY30" s="48">
        <v>56</v>
      </c>
      <c r="LT30" s="5"/>
      <c r="LU30" s="5"/>
      <c r="MD30" s="2"/>
      <c r="ME30" s="2"/>
      <c r="MG30" s="48">
        <v>56</v>
      </c>
      <c r="NB30" s="5"/>
      <c r="NC30" s="5"/>
      <c r="NL30" s="2"/>
      <c r="NM30" s="2"/>
      <c r="NO30" s="48">
        <v>56</v>
      </c>
      <c r="OJ30" s="5"/>
      <c r="OK30" s="5"/>
      <c r="OT30" s="2"/>
      <c r="OU30" s="2"/>
      <c r="OW30" s="48">
        <v>56</v>
      </c>
      <c r="PR30" s="5"/>
      <c r="PS30" s="5"/>
      <c r="QB30" s="2"/>
      <c r="QC30" s="2"/>
      <c r="QE30" s="48">
        <v>56</v>
      </c>
      <c r="QZ30" s="5"/>
      <c r="RA30" s="5"/>
      <c r="RJ30" s="2"/>
      <c r="RK30" s="2"/>
      <c r="RM30" s="48">
        <v>56</v>
      </c>
      <c r="SH30" s="5"/>
      <c r="SI30" s="5"/>
      <c r="SR30" s="2"/>
      <c r="SS30" s="2"/>
      <c r="SU30" s="48">
        <v>56</v>
      </c>
    </row>
    <row r="31" spans="1:542" x14ac:dyDescent="0.2">
      <c r="A31" s="5"/>
      <c r="B31" s="34" t="s">
        <v>67</v>
      </c>
      <c r="C31" s="5"/>
      <c r="AR31" s="42"/>
      <c r="AS31" s="42"/>
      <c r="AT31" s="42"/>
      <c r="AU31" s="33"/>
      <c r="AV31" s="33"/>
      <c r="AW31" s="33"/>
      <c r="AX31" s="33"/>
      <c r="AY31" s="49">
        <v>57</v>
      </c>
      <c r="BS31" s="42"/>
      <c r="BT31" s="42"/>
      <c r="BU31" s="42"/>
      <c r="BW31" s="33"/>
      <c r="BX31" s="33"/>
      <c r="BZ31" s="49">
        <v>57</v>
      </c>
      <c r="CT31" s="42"/>
      <c r="CU31" s="42"/>
      <c r="CV31" s="42"/>
      <c r="CW31" s="33"/>
      <c r="CX31" s="33"/>
      <c r="CY31" s="33"/>
      <c r="CZ31" s="33"/>
      <c r="DA31" s="49">
        <v>57</v>
      </c>
      <c r="DX31" s="5"/>
      <c r="DY31" s="5"/>
      <c r="EH31" s="2"/>
      <c r="EI31" s="2"/>
      <c r="EJ31" s="38"/>
      <c r="EK31" s="49">
        <v>57</v>
      </c>
      <c r="FF31" s="5"/>
      <c r="FG31" s="5"/>
      <c r="FP31" s="2"/>
      <c r="FQ31" s="2"/>
      <c r="FR31" s="38"/>
      <c r="FS31" s="49">
        <v>57</v>
      </c>
      <c r="GN31" s="5"/>
      <c r="GO31" s="5"/>
      <c r="GX31" s="2"/>
      <c r="GY31" s="2"/>
      <c r="GZ31" s="38"/>
      <c r="HA31" s="49">
        <v>57</v>
      </c>
      <c r="HV31" s="5"/>
      <c r="HW31" s="5"/>
      <c r="IF31" s="2"/>
      <c r="IG31" s="2"/>
      <c r="IH31" s="38"/>
      <c r="II31" s="49">
        <v>57</v>
      </c>
      <c r="JD31" s="5"/>
      <c r="JE31" s="5"/>
      <c r="JN31" s="2"/>
      <c r="JO31" s="2"/>
      <c r="JP31" s="38"/>
      <c r="JQ31" s="49">
        <v>57</v>
      </c>
      <c r="KL31" s="5"/>
      <c r="KM31" s="5"/>
      <c r="KV31" s="2"/>
      <c r="KW31" s="2"/>
      <c r="KX31" s="38"/>
      <c r="KY31" s="49">
        <v>57</v>
      </c>
      <c r="LT31" s="5"/>
      <c r="LU31" s="5"/>
      <c r="MD31" s="2"/>
      <c r="ME31" s="2"/>
      <c r="MF31" s="38"/>
      <c r="MG31" s="49">
        <v>57</v>
      </c>
      <c r="NB31" s="5"/>
      <c r="NC31" s="5"/>
      <c r="NL31" s="2"/>
      <c r="NM31" s="2"/>
      <c r="NN31" s="38"/>
      <c r="NO31" s="49">
        <v>57</v>
      </c>
      <c r="OJ31" s="5"/>
      <c r="OK31" s="5"/>
      <c r="OT31" s="2"/>
      <c r="OU31" s="2"/>
      <c r="OV31" s="38"/>
      <c r="OW31" s="49">
        <v>57</v>
      </c>
      <c r="PR31" s="5"/>
      <c r="PS31" s="5"/>
      <c r="QB31" s="2"/>
      <c r="QC31" s="2"/>
      <c r="QD31" s="38"/>
      <c r="QE31" s="49">
        <v>57</v>
      </c>
      <c r="QZ31" s="5"/>
      <c r="RA31" s="5"/>
      <c r="RJ31" s="2"/>
      <c r="RK31" s="2"/>
      <c r="RL31" s="38"/>
      <c r="RM31" s="49">
        <v>57</v>
      </c>
      <c r="SH31" s="5"/>
      <c r="SI31" s="5"/>
      <c r="SR31" s="2"/>
      <c r="SS31" s="2"/>
      <c r="ST31" s="38"/>
      <c r="SU31" s="49">
        <v>57</v>
      </c>
    </row>
    <row r="32" spans="1:542" x14ac:dyDescent="0.2">
      <c r="A32" s="5"/>
      <c r="B32" s="26" t="s">
        <v>36</v>
      </c>
      <c r="C32" s="5"/>
      <c r="P32" s="2"/>
      <c r="AR32" s="42"/>
      <c r="AS32" s="42"/>
      <c r="AT32" s="42"/>
      <c r="AU32" s="33"/>
      <c r="AV32" s="42"/>
      <c r="AW32" s="42"/>
      <c r="AX32" s="33"/>
      <c r="AY32" s="50">
        <v>59</v>
      </c>
      <c r="BS32" s="42"/>
      <c r="BT32" s="42"/>
      <c r="BU32" s="42"/>
      <c r="BW32" s="42"/>
      <c r="BX32" s="33"/>
      <c r="BZ32" s="50">
        <v>59</v>
      </c>
      <c r="CT32" s="42"/>
      <c r="CU32" s="42"/>
      <c r="CV32" s="42"/>
      <c r="CW32" s="33"/>
      <c r="CX32" s="42"/>
      <c r="CY32" s="33"/>
      <c r="CZ32" s="33"/>
      <c r="DA32" s="50">
        <v>59</v>
      </c>
      <c r="DX32" s="5"/>
      <c r="DY32" s="5"/>
      <c r="EH32" s="42"/>
      <c r="EI32" s="2"/>
      <c r="EK32" s="50">
        <v>59</v>
      </c>
      <c r="FF32" s="5"/>
      <c r="FG32" s="5"/>
      <c r="FP32" s="42"/>
      <c r="FQ32" s="2"/>
      <c r="FS32" s="50">
        <v>59</v>
      </c>
      <c r="GN32" s="5"/>
      <c r="GO32" s="5"/>
      <c r="GX32" s="2"/>
      <c r="GY32" s="2"/>
      <c r="HA32" s="50">
        <v>59</v>
      </c>
      <c r="HV32" s="5"/>
      <c r="HW32" s="5"/>
      <c r="IF32" s="42"/>
      <c r="IG32" s="2"/>
      <c r="II32" s="50">
        <v>59</v>
      </c>
      <c r="JD32" s="5"/>
      <c r="JE32" s="5"/>
      <c r="JN32" s="2"/>
      <c r="JO32" s="2"/>
      <c r="JQ32" s="50">
        <v>59</v>
      </c>
      <c r="KL32" s="5"/>
      <c r="KM32" s="5"/>
      <c r="KV32" s="2"/>
      <c r="KW32" s="2"/>
      <c r="KY32" s="50">
        <v>59</v>
      </c>
      <c r="LT32" s="5"/>
      <c r="LU32" s="5"/>
      <c r="MD32" s="2"/>
      <c r="ME32" s="2"/>
      <c r="MG32" s="50">
        <v>59</v>
      </c>
      <c r="NB32" s="5"/>
      <c r="NC32" s="5"/>
      <c r="NL32" s="2"/>
      <c r="NM32" s="2"/>
      <c r="NO32" s="50">
        <v>59</v>
      </c>
      <c r="OJ32" s="5"/>
      <c r="OK32" s="5"/>
      <c r="OT32" s="2"/>
      <c r="OU32" s="2"/>
      <c r="OW32" s="50">
        <v>59</v>
      </c>
      <c r="PR32" s="5"/>
      <c r="PS32" s="5"/>
      <c r="QB32" s="2"/>
      <c r="QC32" s="2"/>
      <c r="QE32" s="50">
        <v>59</v>
      </c>
      <c r="QZ32" s="5"/>
      <c r="RA32" s="5"/>
      <c r="RJ32" s="2"/>
      <c r="RK32" s="2"/>
      <c r="RM32" s="50">
        <v>59</v>
      </c>
      <c r="SH32" s="5"/>
      <c r="SI32" s="5"/>
      <c r="SR32" s="2"/>
      <c r="SS32" s="2"/>
      <c r="SU32" s="50">
        <v>59</v>
      </c>
    </row>
    <row r="33" spans="1:104" x14ac:dyDescent="0.2">
      <c r="B33" s="30" t="s">
        <v>59</v>
      </c>
      <c r="C33" s="2"/>
      <c r="AU33" s="33"/>
      <c r="AX33" s="33"/>
      <c r="CW33" s="33"/>
      <c r="CZ33" s="33"/>
    </row>
    <row r="34" spans="1:104" x14ac:dyDescent="0.2">
      <c r="A34" s="5"/>
      <c r="B34" s="5"/>
      <c r="C34" s="20"/>
      <c r="AQ34" s="33"/>
      <c r="AR34" s="33"/>
      <c r="AS34" s="33"/>
      <c r="AT34" s="33"/>
      <c r="AU34" s="33"/>
      <c r="AX34" s="33"/>
      <c r="CS34" s="33"/>
      <c r="CT34" s="33"/>
      <c r="CU34" s="33"/>
      <c r="CV34" s="33"/>
      <c r="CW34" s="33"/>
      <c r="CZ34" s="33"/>
    </row>
    <row r="35" spans="1:104" ht="17" x14ac:dyDescent="0.2">
      <c r="A35" s="5"/>
      <c r="B35" s="5"/>
      <c r="C35" s="20"/>
      <c r="V35" s="10"/>
      <c r="W35" s="1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104" ht="17" x14ac:dyDescent="0.2">
      <c r="A36" s="5"/>
      <c r="B36" s="5"/>
      <c r="C36" s="20"/>
      <c r="V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104" ht="17" x14ac:dyDescent="0.2"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104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104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104" ht="17" x14ac:dyDescent="0.2">
      <c r="V40" s="10"/>
      <c r="W40" s="10"/>
      <c r="X40" s="10"/>
    </row>
    <row r="41" spans="1:104" ht="17" x14ac:dyDescent="0.2">
      <c r="V41" s="10"/>
      <c r="W41" s="10"/>
      <c r="X41" s="10"/>
    </row>
    <row r="42" spans="1:104" ht="17" x14ac:dyDescent="0.2">
      <c r="V42" s="10"/>
      <c r="W42" s="10"/>
      <c r="X42" s="10"/>
    </row>
    <row r="43" spans="1:104" ht="17" x14ac:dyDescent="0.2">
      <c r="V43" s="10"/>
      <c r="W43" s="10"/>
      <c r="X43" s="10"/>
    </row>
    <row r="44" spans="1:104" ht="17" x14ac:dyDescent="0.2">
      <c r="V44" s="10"/>
      <c r="W44" s="10"/>
      <c r="X44" s="10"/>
    </row>
    <row r="45" spans="1:104" ht="17" x14ac:dyDescent="0.2">
      <c r="V45" s="10"/>
      <c r="W45" s="10"/>
      <c r="X45" s="10"/>
    </row>
    <row r="46" spans="1:104" ht="17" x14ac:dyDescent="0.2">
      <c r="V46" s="10"/>
      <c r="W46" s="10"/>
      <c r="X46" s="10"/>
    </row>
    <row r="47" spans="1:104" ht="17" x14ac:dyDescent="0.2">
      <c r="V47" s="10"/>
      <c r="W47" s="10"/>
      <c r="X47" s="10"/>
    </row>
    <row r="48" spans="1:10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</sheetData>
  <sheetProtection sheet="1" formatCells="0" formatColumns="0" formatRows="0"/>
  <autoFilter ref="A1:TV19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2">
    <cfRule type="expression" dxfId="733" priority="51274" stopIfTrue="1">
      <formula>IF($AN4&lt;&gt;"",1,0)</formula>
    </cfRule>
  </conditionalFormatting>
  <conditionalFormatting sqref="AZ4:BZ22">
    <cfRule type="expression" dxfId="732" priority="209" stopIfTrue="1">
      <formula>IF($BO4&lt;&gt;"",1,0)</formula>
    </cfRule>
  </conditionalFormatting>
  <conditionalFormatting sqref="CA4:DA22">
    <cfRule type="expression" dxfId="731" priority="205" stopIfTrue="1">
      <formula>IF($CP4&lt;&gt;"",1,0)</formula>
    </cfRule>
  </conditionalFormatting>
  <conditionalFormatting sqref="BW33:BW1048576 BP1:BP1048576 BS1:BS1048576 BW1:BW31">
    <cfRule type="cellIs" dxfId="730" priority="52631" operator="between">
      <formula>$BZ$28</formula>
      <formula>1000</formula>
    </cfRule>
    <cfRule type="cellIs" dxfId="729" priority="52632" operator="between">
      <formula>$BZ$27</formula>
      <formula>$BZ$28</formula>
    </cfRule>
    <cfRule type="cellIs" dxfId="728" priority="52633" operator="between">
      <formula>$BZ$26</formula>
      <formula>$BZ$27</formula>
    </cfRule>
    <cfRule type="cellIs" dxfId="727" priority="52634" operator="between">
      <formula>$BZ$25</formula>
      <formula>$BZ$26</formula>
    </cfRule>
  </conditionalFormatting>
  <conditionalFormatting sqref="CX33:CX1048576 CQ1:CQ1048576 CT1:CT1048576 CX1:CX31">
    <cfRule type="cellIs" dxfId="726" priority="51508" operator="between">
      <formula>$DA$28</formula>
      <formula>1000</formula>
    </cfRule>
    <cfRule type="cellIs" dxfId="725" priority="51509" operator="between">
      <formula>$DA$27</formula>
      <formula>$DA$28</formula>
    </cfRule>
    <cfRule type="cellIs" dxfId="724" priority="51510" operator="between">
      <formula>$DA$26</formula>
      <formula>$DA$27</formula>
    </cfRule>
    <cfRule type="cellIs" dxfId="723" priority="51511" operator="between">
      <formula>$DA$25</formula>
      <formula>$DA$26</formula>
    </cfRule>
  </conditionalFormatting>
  <conditionalFormatting sqref="EH33:EH1048576 DX1:DX1048576 EA1:EA1048576 EE1:EE1048576 EH1:EH31">
    <cfRule type="cellIs" dxfId="722" priority="52659" operator="between">
      <formula>$EK$28</formula>
      <formula>1000</formula>
    </cfRule>
    <cfRule type="cellIs" dxfId="721" priority="52660" operator="between">
      <formula>$EK$27</formula>
      <formula>$EK$28</formula>
    </cfRule>
    <cfRule type="cellIs" dxfId="720" priority="52661" operator="between">
      <formula>$EK$26</formula>
      <formula>$EK$27</formula>
    </cfRule>
    <cfRule type="cellIs" dxfId="719" priority="52662" operator="between">
      <formula>$EK$25</formula>
      <formula>$EK$26</formula>
    </cfRule>
  </conditionalFormatting>
  <conditionalFormatting sqref="FP33:FP1048576 FF1:FF1048576 FI1:FI1048576 FM1:FM1048576 FP1:FP31">
    <cfRule type="cellIs" dxfId="718" priority="189" operator="between">
      <formula>$FS$28</formula>
      <formula>1000</formula>
    </cfRule>
    <cfRule type="cellIs" dxfId="717" priority="190" operator="between">
      <formula>$FS$27</formula>
      <formula>$FS$28</formula>
    </cfRule>
    <cfRule type="cellIs" dxfId="716" priority="191" operator="between">
      <formula>$FS$26</formula>
      <formula>$FS$27</formula>
    </cfRule>
    <cfRule type="cellIs" dxfId="715" priority="192" operator="between">
      <formula>$FS$25</formula>
      <formula>$FS$26</formula>
    </cfRule>
  </conditionalFormatting>
  <conditionalFormatting sqref="IF33:IF1048576 HV1:HV1048576 HY1:HY1048576 IC1:IC1048576 IF1:IF31">
    <cfRule type="cellIs" dxfId="714" priority="157" operator="between">
      <formula>$II$28</formula>
      <formula>1000</formula>
    </cfRule>
    <cfRule type="cellIs" dxfId="713" priority="158" operator="between">
      <formula>$II$27</formula>
      <formula>$II$28</formula>
    </cfRule>
    <cfRule type="cellIs" dxfId="712" priority="159" operator="between">
      <formula>$II$26</formula>
      <formula>$II$27</formula>
    </cfRule>
    <cfRule type="cellIs" dxfId="711" priority="160" operator="between">
      <formula>$II$25</formula>
      <formula>$II$26</formula>
    </cfRule>
  </conditionalFormatting>
  <conditionalFormatting sqref="AW32 AO1:AO1048576 AR1:AR1048576 AV1:AV1048576">
    <cfRule type="cellIs" dxfId="710" priority="21" operator="between">
      <formula>$AY$28</formula>
      <formula>1000</formula>
    </cfRule>
    <cfRule type="cellIs" dxfId="709" priority="22" operator="between">
      <formula>$AY$27</formula>
      <formula>$AY$28</formula>
    </cfRule>
    <cfRule type="cellIs" dxfId="708" priority="23" operator="between">
      <formula>$AY$26</formula>
      <formula>$AY$27</formula>
    </cfRule>
    <cfRule type="cellIs" dxfId="707" priority="24" operator="between">
      <formula>$AY$25</formula>
      <formula>$AY$26</formula>
    </cfRule>
  </conditionalFormatting>
  <conditionalFormatting sqref="BW32">
    <cfRule type="cellIs" dxfId="706" priority="17" operator="between">
      <formula>$AY$28</formula>
      <formula>1000</formula>
    </cfRule>
    <cfRule type="cellIs" dxfId="705" priority="18" operator="between">
      <formula>$AY$27</formula>
      <formula>$AY$28</formula>
    </cfRule>
    <cfRule type="cellIs" dxfId="704" priority="19" operator="between">
      <formula>$AY$26</formula>
      <formula>$AY$27</formula>
    </cfRule>
    <cfRule type="cellIs" dxfId="703" priority="20" operator="between">
      <formula>$AY$25</formula>
      <formula>$AY$26</formula>
    </cfRule>
  </conditionalFormatting>
  <conditionalFormatting sqref="CX32">
    <cfRule type="cellIs" dxfId="702" priority="13" operator="between">
      <formula>$AY$28</formula>
      <formula>1000</formula>
    </cfRule>
    <cfRule type="cellIs" dxfId="701" priority="14" operator="between">
      <formula>$AY$27</formula>
      <formula>$AY$28</formula>
    </cfRule>
    <cfRule type="cellIs" dxfId="700" priority="15" operator="between">
      <formula>$AY$26</formula>
      <formula>$AY$27</formula>
    </cfRule>
    <cfRule type="cellIs" dxfId="699" priority="16" operator="between">
      <formula>$AY$25</formula>
      <formula>$AY$26</formula>
    </cfRule>
  </conditionalFormatting>
  <conditionalFormatting sqref="EH32">
    <cfRule type="cellIs" dxfId="698" priority="9" operator="between">
      <formula>$AY$28</formula>
      <formula>1000</formula>
    </cfRule>
    <cfRule type="cellIs" dxfId="697" priority="10" operator="between">
      <formula>$AY$27</formula>
      <formula>$AY$28</formula>
    </cfRule>
    <cfRule type="cellIs" dxfId="696" priority="11" operator="between">
      <formula>$AY$26</formula>
      <formula>$AY$27</formula>
    </cfRule>
    <cfRule type="cellIs" dxfId="695" priority="12" operator="between">
      <formula>$AY$25</formula>
      <formula>$AY$26</formula>
    </cfRule>
  </conditionalFormatting>
  <conditionalFormatting sqref="FP32">
    <cfRule type="cellIs" dxfId="694" priority="5" operator="between">
      <formula>$AY$28</formula>
      <formula>1000</formula>
    </cfRule>
    <cfRule type="cellIs" dxfId="693" priority="6" operator="between">
      <formula>$AY$27</formula>
      <formula>$AY$28</formula>
    </cfRule>
    <cfRule type="cellIs" dxfId="692" priority="7" operator="between">
      <formula>$AY$26</formula>
      <formula>$AY$27</formula>
    </cfRule>
    <cfRule type="cellIs" dxfId="691" priority="8" operator="between">
      <formula>$AY$25</formula>
      <formula>$AY$26</formula>
    </cfRule>
  </conditionalFormatting>
  <conditionalFormatting sqref="IF32">
    <cfRule type="cellIs" dxfId="690" priority="1" operator="between">
      <formula>$AY$28</formula>
      <formula>1000</formula>
    </cfRule>
    <cfRule type="cellIs" dxfId="689" priority="2" operator="between">
      <formula>$AY$27</formula>
      <formula>$AY$28</formula>
    </cfRule>
    <cfRule type="cellIs" dxfId="688" priority="3" operator="between">
      <formula>$AY$26</formula>
      <formula>$AY$27</formula>
    </cfRule>
    <cfRule type="cellIs" dxfId="687" priority="4" operator="between">
      <formula>$AY$25</formula>
      <formula>$AY$26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77163" operator="between">
      <formula>AY$32</formula>
      <formula>1000</formula>
    </cfRule>
    <cfRule type="cellIs" dxfId="682" priority="77164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77175" operator="between">
      <formula>EK$32</formula>
      <formula>1000</formula>
    </cfRule>
    <cfRule type="cellIs" dxfId="680" priority="77176" operator="between">
      <formula>EK$31</formula>
      <formula>EK$32</formula>
    </cfRule>
  </conditionalFormatting>
  <conditionalFormatting sqref="AQ1:AQ1048576 AT1:AT1048576 AX1:AX1048576">
    <cfRule type="cellIs" dxfId="679" priority="77247" operator="between">
      <formula>$AY$32</formula>
      <formula>1000</formula>
    </cfRule>
    <cfRule type="cellIs" dxfId="678" priority="77248" operator="between">
      <formula>$AY$31</formula>
      <formula>$AY$32</formula>
    </cfRule>
    <cfRule type="cellIs" dxfId="677" priority="77249" operator="between">
      <formula>$AY$30</formula>
      <formula>$AY$31</formula>
    </cfRule>
    <cfRule type="cellIs" dxfId="676" priority="77250" operator="between">
      <formula>$AY$29</formula>
      <formula>$AY$30</formula>
    </cfRule>
  </conditionalFormatting>
  <conditionalFormatting sqref="BR1:BR1048576 BU1:BU1048576 BY1:BY1048576">
    <cfRule type="cellIs" dxfId="675" priority="77283" operator="between">
      <formula>$BZ$32</formula>
      <formula>1000</formula>
    </cfRule>
    <cfRule type="cellIs" dxfId="674" priority="77284" operator="between">
      <formula>$BZ$31</formula>
      <formula>$BZ$32</formula>
    </cfRule>
    <cfRule type="cellIs" dxfId="673" priority="77285" operator="between">
      <formula>$BZ$30</formula>
      <formula>$BZ$31</formula>
    </cfRule>
    <cfRule type="cellIs" dxfId="672" priority="77286" operator="between">
      <formula>$BZ$29</formula>
      <formula>$BZ$30</formula>
    </cfRule>
  </conditionalFormatting>
  <conditionalFormatting sqref="CS1:CS1048576 CV1:CV1048576 CZ1:CZ1048576">
    <cfRule type="cellIs" dxfId="671" priority="77319" operator="between">
      <formula>$DA$32</formula>
      <formula>1000</formula>
    </cfRule>
    <cfRule type="cellIs" dxfId="670" priority="77320" operator="between">
      <formula>$DA$31</formula>
      <formula>$DA$32</formula>
    </cfRule>
    <cfRule type="cellIs" dxfId="669" priority="77321" operator="between">
      <formula>$DA$30</formula>
      <formula>$DA$31</formula>
    </cfRule>
    <cfRule type="cellIs" dxfId="668" priority="77322" operator="between">
      <formula>$DA$29</formula>
      <formula>$DA$30</formula>
    </cfRule>
  </conditionalFormatting>
  <conditionalFormatting sqref="NB1:NB1048576 NE1:NE1048576 NI1:NI1048576 NL1:NL1048576">
    <cfRule type="cellIs" dxfId="667" priority="77355" operator="between">
      <formula>$NO$25</formula>
      <formula>$NO$26</formula>
    </cfRule>
  </conditionalFormatting>
  <conditionalFormatting sqref="DZ1:DZ1048576 EC1:EC1048576 EG1:EG1048576 EJ1:EJ1048576">
    <cfRule type="cellIs" dxfId="666" priority="77367" operator="between">
      <formula>$EK$32</formula>
      <formula>1000</formula>
    </cfRule>
    <cfRule type="cellIs" dxfId="665" priority="77368" operator="between">
      <formula>$EK$31</formula>
      <formula>$EK$32</formula>
    </cfRule>
    <cfRule type="cellIs" dxfId="664" priority="77369" operator="between">
      <formula>$EK$30</formula>
      <formula>$EK$31</formula>
    </cfRule>
    <cfRule type="cellIs" dxfId="663" priority="77370" operator="between">
      <formula>$EK$29</formula>
      <formula>$EK$30</formula>
    </cfRule>
  </conditionalFormatting>
  <conditionalFormatting sqref="FH1:FH1048576 FK1:FK1048576 FO1:FO1048576 FR1:FR1048576">
    <cfRule type="cellIs" dxfId="662" priority="77415" operator="between">
      <formula>$FS$32</formula>
      <formula>1000</formula>
    </cfRule>
    <cfRule type="cellIs" dxfId="661" priority="77416" operator="between">
      <formula>$FS$31</formula>
      <formula>$FS$32</formula>
    </cfRule>
    <cfRule type="cellIs" dxfId="660" priority="77417" operator="between">
      <formula>$FS$30</formula>
      <formula>$FS$31</formula>
    </cfRule>
    <cfRule type="cellIs" dxfId="659" priority="77418" operator="between">
      <formula>$FS$29</formula>
      <formula>$FS$30</formula>
    </cfRule>
  </conditionalFormatting>
  <conditionalFormatting sqref="GN1:GN1048576 GQ1:GQ1048576 GU1:GU1048576 GX1:GX1048576">
    <cfRule type="cellIs" dxfId="658" priority="77463" operator="between">
      <formula>$HA$28</formula>
      <formula>1000</formula>
    </cfRule>
    <cfRule type="cellIs" dxfId="657" priority="77464" operator="between">
      <formula>$HA$27</formula>
      <formula>$HA$28</formula>
    </cfRule>
    <cfRule type="cellIs" dxfId="656" priority="77465" operator="between">
      <formula>$HA$26</formula>
      <formula>$HA$27</formula>
    </cfRule>
    <cfRule type="cellIs" dxfId="655" priority="77466" operator="between">
      <formula>$HA$25</formula>
      <formula>$HA$26</formula>
    </cfRule>
  </conditionalFormatting>
  <conditionalFormatting sqref="GP1:GP1048576 GS1:GS1048576 GW1:GW1048576 GZ1:GZ1048576">
    <cfRule type="cellIs" dxfId="654" priority="77511" operator="between">
      <formula>$HA$32</formula>
      <formula>1000</formula>
    </cfRule>
    <cfRule type="cellIs" dxfId="653" priority="77512" operator="between">
      <formula>$HA$31</formula>
      <formula>$HA$32</formula>
    </cfRule>
    <cfRule type="cellIs" dxfId="652" priority="77513" operator="between">
      <formula>$HA$30</formula>
      <formula>$HA$31</formula>
    </cfRule>
    <cfRule type="cellIs" dxfId="651" priority="77514" operator="between">
      <formula>$HA$29</formula>
      <formula>$HA$30</formula>
    </cfRule>
  </conditionalFormatting>
  <conditionalFormatting sqref="HX1:HX1048576 IA1:IA1048576 IE1:IE1048576 IH1:IH1048576">
    <cfRule type="cellIs" dxfId="650" priority="77559" operator="between">
      <formula>$II$32</formula>
      <formula>1000</formula>
    </cfRule>
    <cfRule type="cellIs" dxfId="649" priority="77560" operator="between">
      <formula>$II$31</formula>
      <formula>$II$32</formula>
    </cfRule>
    <cfRule type="cellIs" dxfId="648" priority="77561" operator="between">
      <formula>$II$30</formula>
      <formula>$II$31</formula>
    </cfRule>
    <cfRule type="cellIs" dxfId="647" priority="77562" operator="between">
      <formula>$II$29</formula>
      <formula>$II$30</formula>
    </cfRule>
  </conditionalFormatting>
  <conditionalFormatting sqref="JD1:JD1048576 JG1:JG1048576 JK1:JK1048576 JN1:JN1048576">
    <cfRule type="cellIs" dxfId="646" priority="77607" operator="between">
      <formula>$JQ$28</formula>
      <formula>1000</formula>
    </cfRule>
    <cfRule type="cellIs" dxfId="645" priority="77608" operator="between">
      <formula>$JQ$27</formula>
      <formula>$JQ$28</formula>
    </cfRule>
    <cfRule type="cellIs" dxfId="644" priority="77609" operator="between">
      <formula>$JQ$26</formula>
      <formula>$JQ$27</formula>
    </cfRule>
    <cfRule type="cellIs" dxfId="643" priority="77610" operator="between">
      <formula>$JQ$25</formula>
      <formula>$JQ$26</formula>
    </cfRule>
  </conditionalFormatting>
  <conditionalFormatting sqref="JF1:JF1048576 JI1:JI1048576 JM1:JM1048576 JP1:JP1048576">
    <cfRule type="cellIs" dxfId="642" priority="77655" operator="between">
      <formula>$JQ$32</formula>
      <formula>1000</formula>
    </cfRule>
    <cfRule type="cellIs" dxfId="641" priority="77656" operator="between">
      <formula>$JQ$31</formula>
      <formula>$JQ$32</formula>
    </cfRule>
    <cfRule type="cellIs" dxfId="640" priority="77657" operator="between">
      <formula>$JQ$30</formula>
      <formula>$JQ$31</formula>
    </cfRule>
    <cfRule type="cellIs" dxfId="639" priority="77658" operator="between">
      <formula>$JQ$29</formula>
      <formula>$JQ$30</formula>
    </cfRule>
  </conditionalFormatting>
  <conditionalFormatting sqref="KL1:KL1048576 KO1:KO1048576 KS1:KS1048576 KV1:KV1048576">
    <cfRule type="cellIs" dxfId="638" priority="77703" operator="between">
      <formula>$KY$28</formula>
      <formula>1000</formula>
    </cfRule>
    <cfRule type="cellIs" dxfId="637" priority="77704" operator="between">
      <formula>$KY$27</formula>
      <formula>$KY$28</formula>
    </cfRule>
    <cfRule type="cellIs" dxfId="636" priority="77705" operator="between">
      <formula>$KY$26</formula>
      <formula>$KY$27</formula>
    </cfRule>
    <cfRule type="cellIs" dxfId="635" priority="77706" operator="between">
      <formula>$KY$25</formula>
      <formula>$KY$26</formula>
    </cfRule>
  </conditionalFormatting>
  <conditionalFormatting sqref="KN1:KN1048576 KQ1:KQ1048576 KU1:KU1048576 KX1:KX1048576">
    <cfRule type="cellIs" dxfId="634" priority="77751" operator="between">
      <formula>$KY$32</formula>
      <formula>1000</formula>
    </cfRule>
    <cfRule type="cellIs" dxfId="633" priority="77752" operator="between">
      <formula>$KY$31</formula>
      <formula>$KY$32</formula>
    </cfRule>
    <cfRule type="cellIs" dxfId="632" priority="77753" operator="between">
      <formula>$KY$30</formula>
      <formula>$KY$31</formula>
    </cfRule>
    <cfRule type="cellIs" dxfId="631" priority="77754" operator="between">
      <formula>$KY$29</formula>
      <formula>$KY$30</formula>
    </cfRule>
  </conditionalFormatting>
  <conditionalFormatting sqref="LT1:LT1048576 LW1:LW1048576 MA1:MA1048576 MD1:MD1048576">
    <cfRule type="cellIs" dxfId="630" priority="77799" operator="between">
      <formula>$MG$28</formula>
      <formula>1000</formula>
    </cfRule>
    <cfRule type="cellIs" dxfId="629" priority="77800" operator="between">
      <formula>$MG$27</formula>
      <formula>$MG$28</formula>
    </cfRule>
    <cfRule type="cellIs" dxfId="628" priority="77801" operator="between">
      <formula>$MG$26</formula>
      <formula>$MG$27</formula>
    </cfRule>
    <cfRule type="cellIs" dxfId="627" priority="77802" operator="between">
      <formula>$MG$25</formula>
      <formula>$MG$26</formula>
    </cfRule>
  </conditionalFormatting>
  <conditionalFormatting sqref="LV1:LV1048576 LY1:LY1048576 MC1:MC1048576 MF1:MF1048576">
    <cfRule type="cellIs" dxfId="626" priority="77847" operator="between">
      <formula>$MG$32</formula>
      <formula>1000</formula>
    </cfRule>
    <cfRule type="cellIs" dxfId="625" priority="77848" operator="between">
      <formula>$MG$31</formula>
      <formula>$MG$32</formula>
    </cfRule>
    <cfRule type="cellIs" dxfId="624" priority="77849" operator="between">
      <formula>$MG$30</formula>
      <formula>$MG$31</formula>
    </cfRule>
    <cfRule type="cellIs" dxfId="623" priority="77850" operator="between">
      <formula>$MG$29</formula>
      <formula>$MG$30</formula>
    </cfRule>
  </conditionalFormatting>
  <conditionalFormatting sqref="NB1:NB1048576 NE1:NE1048576 NI1:NI1048576">
    <cfRule type="cellIs" dxfId="622" priority="77895" operator="between">
      <formula>$NO$28</formula>
      <formula>1000</formula>
    </cfRule>
    <cfRule type="cellIs" dxfId="621" priority="77896" operator="between">
      <formula>$NO$27</formula>
      <formula>$NO$28</formula>
    </cfRule>
    <cfRule type="cellIs" dxfId="620" priority="77897" operator="between">
      <formula>$NO$26</formula>
      <formula>$NO$27</formula>
    </cfRule>
  </conditionalFormatting>
  <conditionalFormatting sqref="ND1:ND1048576 NG1:NG1048576 NK1:NK1048576 NN1:NN1048576">
    <cfRule type="cellIs" dxfId="619" priority="77922" operator="between">
      <formula>$NO$32</formula>
      <formula>1000</formula>
    </cfRule>
    <cfRule type="cellIs" dxfId="618" priority="77923" operator="between">
      <formula>$NO$31</formula>
      <formula>$NO$32</formula>
    </cfRule>
    <cfRule type="cellIs" dxfId="617" priority="77924" operator="between">
      <formula>$NO$30</formula>
      <formula>$NO$31</formula>
    </cfRule>
    <cfRule type="cellIs" dxfId="616" priority="77925" operator="between">
      <formula>$NO$29</formula>
      <formula>$NO$30</formula>
    </cfRule>
  </conditionalFormatting>
  <conditionalFormatting sqref="OJ1:OJ1048576 OM1:OM1048576 OQ1:OQ1048576 OT1:OT1048576">
    <cfRule type="cellIs" dxfId="615" priority="77970" operator="between">
      <formula>$OW$28</formula>
      <formula>1000</formula>
    </cfRule>
    <cfRule type="cellIs" dxfId="614" priority="77971" operator="between">
      <formula>$OW$27</formula>
      <formula>$OW$28</formula>
    </cfRule>
    <cfRule type="cellIs" dxfId="613" priority="77972" operator="between">
      <formula>$OW$26</formula>
      <formula>$OW$27</formula>
    </cfRule>
    <cfRule type="cellIs" dxfId="612" priority="77973" operator="between">
      <formula>$OW$25</formula>
      <formula>$OW$26</formula>
    </cfRule>
  </conditionalFormatting>
  <conditionalFormatting sqref="OL1:OL1048576 OO1:OO1048576 OS1:OS1048576 OV1:OV1048576">
    <cfRule type="cellIs" dxfId="611" priority="78018" operator="between">
      <formula>$OW$32</formula>
      <formula>1000</formula>
    </cfRule>
    <cfRule type="cellIs" dxfId="610" priority="78019" operator="between">
      <formula>$OW$31</formula>
      <formula>$OW$32</formula>
    </cfRule>
    <cfRule type="cellIs" dxfId="609" priority="78020" operator="between">
      <formula>$OW$30</formula>
      <formula>$OW$31</formula>
    </cfRule>
    <cfRule type="cellIs" dxfId="608" priority="78021" operator="between">
      <formula>$OW$29</formula>
      <formula>$OW$30</formula>
    </cfRule>
  </conditionalFormatting>
  <conditionalFormatting sqref="PR1:PR1048576 PU1:PU1048576 PY1:PY1048576 QB1:QB1048576">
    <cfRule type="cellIs" dxfId="607" priority="78066" operator="between">
      <formula>$QE$28</formula>
      <formula>1000</formula>
    </cfRule>
    <cfRule type="cellIs" dxfId="606" priority="78067" operator="between">
      <formula>$QE$27</formula>
      <formula>$QE$28</formula>
    </cfRule>
    <cfRule type="cellIs" dxfId="605" priority="78068" operator="between">
      <formula>$QE$26</formula>
      <formula>$QE$27</formula>
    </cfRule>
    <cfRule type="cellIs" dxfId="604" priority="78069" operator="between">
      <formula>$QE$25</formula>
      <formula>$QE$26</formula>
    </cfRule>
  </conditionalFormatting>
  <conditionalFormatting sqref="PT1:PT1048576 PW1:PW1048576 QA1:QA1048576 QD1:QD1048576">
    <cfRule type="cellIs" dxfId="603" priority="78114" operator="between">
      <formula>$QE$32</formula>
      <formula>1000</formula>
    </cfRule>
    <cfRule type="cellIs" dxfId="602" priority="78115" operator="between">
      <formula>$QE$31</formula>
      <formula>$QE$32</formula>
    </cfRule>
    <cfRule type="cellIs" dxfId="601" priority="78116" operator="between">
      <formula>$QE$30</formula>
      <formula>$QE$31</formula>
    </cfRule>
    <cfRule type="cellIs" dxfId="600" priority="78117" operator="between">
      <formula>$QE$29</formula>
      <formula>$QE$30</formula>
    </cfRule>
  </conditionalFormatting>
  <conditionalFormatting sqref="QZ1:QZ1048576 RC1:RC1048576 RG1:RG1048576 RJ1:RJ1048576">
    <cfRule type="cellIs" dxfId="599" priority="78162" operator="between">
      <formula>$RM$28</formula>
      <formula>1000</formula>
    </cfRule>
    <cfRule type="cellIs" dxfId="598" priority="78163" operator="between">
      <formula>$RM$27</formula>
      <formula>$RM$28</formula>
    </cfRule>
    <cfRule type="cellIs" dxfId="597" priority="78164" operator="between">
      <formula>$RM$26</formula>
      <formula>$RM$27</formula>
    </cfRule>
    <cfRule type="cellIs" dxfId="596" priority="78165" operator="between">
      <formula>$RM$25</formula>
      <formula>$RM$26</formula>
    </cfRule>
  </conditionalFormatting>
  <conditionalFormatting sqref="RB1:RB1048576 RE1:RE1048576 RI1:RI1048576 RL1:RL1048576">
    <cfRule type="cellIs" dxfId="595" priority="78210" operator="between">
      <formula>$RM$32</formula>
      <formula>1000</formula>
    </cfRule>
    <cfRule type="cellIs" dxfId="594" priority="78211" operator="between">
      <formula>$RM$31</formula>
      <formula>$RM$32</formula>
    </cfRule>
    <cfRule type="cellIs" dxfId="593" priority="78212" operator="between">
      <formula>$RM$30</formula>
      <formula>$RM$31</formula>
    </cfRule>
    <cfRule type="cellIs" dxfId="592" priority="78213" operator="between">
      <formula>$RM$29</formula>
      <formula>$RM$30</formula>
    </cfRule>
  </conditionalFormatting>
  <conditionalFormatting sqref="SH1:SH1048576 SK1:SK1048576 SO1:SO1048576 SR1:SR1048576">
    <cfRule type="cellIs" dxfId="591" priority="78258" operator="between">
      <formula>$SU$28</formula>
      <formula>1000</formula>
    </cfRule>
    <cfRule type="cellIs" dxfId="590" priority="78259" operator="between">
      <formula>$SU$27</formula>
      <formula>$SU$28</formula>
    </cfRule>
    <cfRule type="cellIs" dxfId="589" priority="78260" operator="between">
      <formula>$SU$26</formula>
      <formula>$SU$27</formula>
    </cfRule>
    <cfRule type="cellIs" dxfId="588" priority="78261" operator="between">
      <formula>$SU$25</formula>
      <formula>$SU$26</formula>
    </cfRule>
  </conditionalFormatting>
  <conditionalFormatting sqref="SJ1:SJ1048576 SM1:SM1048576 SQ1:SQ1048576 ST1:ST1048576">
    <cfRule type="cellIs" dxfId="587" priority="78306" operator="between">
      <formula>$SU$32</formula>
      <formula>1000</formula>
    </cfRule>
    <cfRule type="cellIs" dxfId="586" priority="78307" operator="between">
      <formula>$SU$31</formula>
      <formula>$SU$32</formula>
    </cfRule>
    <cfRule type="cellIs" dxfId="585" priority="78308" operator="between">
      <formula>$SU$30</formula>
      <formula>$SU$31</formula>
    </cfRule>
    <cfRule type="cellIs" dxfId="584" priority="78309" operator="between">
      <formula>$SU$29</formula>
      <formula>$SU$30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105</v>
      </c>
      <c r="K1" s="68" t="s">
        <v>34</v>
      </c>
      <c r="L1" s="70" t="s">
        <v>106</v>
      </c>
      <c r="M1" s="68" t="s">
        <v>34</v>
      </c>
      <c r="N1" s="70" t="s">
        <v>130</v>
      </c>
      <c r="O1" s="68" t="s">
        <v>34</v>
      </c>
      <c r="P1" s="68" t="s">
        <v>13</v>
      </c>
      <c r="Q1" s="68" t="s">
        <v>34</v>
      </c>
      <c r="R1" s="68" t="s">
        <v>107</v>
      </c>
      <c r="S1" s="68" t="s">
        <v>34</v>
      </c>
      <c r="T1" s="70" t="s">
        <v>108</v>
      </c>
      <c r="U1" s="68" t="s">
        <v>34</v>
      </c>
      <c r="V1" s="72" t="s">
        <v>14</v>
      </c>
      <c r="W1" s="68" t="s">
        <v>35</v>
      </c>
      <c r="X1" s="68" t="s">
        <v>34</v>
      </c>
      <c r="Y1" s="65" t="s">
        <v>168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194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143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159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164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160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161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199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198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205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210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69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109</v>
      </c>
      <c r="AP2" s="14" t="s">
        <v>110</v>
      </c>
      <c r="AQ2" s="14" t="s">
        <v>21</v>
      </c>
      <c r="AR2" s="14" t="s">
        <v>82</v>
      </c>
      <c r="AS2" s="14" t="s">
        <v>111</v>
      </c>
      <c r="AT2" s="14" t="s">
        <v>22</v>
      </c>
      <c r="AU2" s="14" t="s">
        <v>24</v>
      </c>
      <c r="AV2" s="14" t="s">
        <v>112</v>
      </c>
      <c r="AW2" s="14" t="s">
        <v>113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109</v>
      </c>
      <c r="BQ2" s="13" t="s">
        <v>110</v>
      </c>
      <c r="BR2" s="13" t="s">
        <v>21</v>
      </c>
      <c r="BS2" s="13" t="s">
        <v>82</v>
      </c>
      <c r="BT2" s="13" t="s">
        <v>111</v>
      </c>
      <c r="BU2" s="13" t="s">
        <v>22</v>
      </c>
      <c r="BV2" s="13" t="s">
        <v>24</v>
      </c>
      <c r="BW2" s="13" t="s">
        <v>112</v>
      </c>
      <c r="BX2" s="13" t="s">
        <v>113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109</v>
      </c>
      <c r="CR2" s="14" t="s">
        <v>110</v>
      </c>
      <c r="CS2" s="14" t="s">
        <v>21</v>
      </c>
      <c r="CT2" s="14" t="s">
        <v>82</v>
      </c>
      <c r="CU2" s="14" t="s">
        <v>111</v>
      </c>
      <c r="CV2" s="14" t="s">
        <v>22</v>
      </c>
      <c r="CW2" s="14" t="s">
        <v>24</v>
      </c>
      <c r="CX2" s="14" t="s">
        <v>112</v>
      </c>
      <c r="CY2" s="14" t="s">
        <v>113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114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109</v>
      </c>
      <c r="DY2" s="14" t="s">
        <v>110</v>
      </c>
      <c r="DZ2" s="14" t="s">
        <v>21</v>
      </c>
      <c r="EA2" s="14" t="s">
        <v>82</v>
      </c>
      <c r="EB2" s="14" t="s">
        <v>111</v>
      </c>
      <c r="EC2" s="14" t="s">
        <v>22</v>
      </c>
      <c r="ED2" s="14" t="s">
        <v>24</v>
      </c>
      <c r="EE2" s="14" t="s">
        <v>115</v>
      </c>
      <c r="EF2" s="14" t="s">
        <v>116</v>
      </c>
      <c r="EG2" s="14" t="s">
        <v>114</v>
      </c>
      <c r="EH2" s="14" t="s">
        <v>112</v>
      </c>
      <c r="EI2" s="14" t="s">
        <v>113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114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109</v>
      </c>
      <c r="FG2" s="13" t="s">
        <v>110</v>
      </c>
      <c r="FH2" s="13" t="s">
        <v>21</v>
      </c>
      <c r="FI2" s="13" t="s">
        <v>82</v>
      </c>
      <c r="FJ2" s="13" t="s">
        <v>111</v>
      </c>
      <c r="FK2" s="13" t="s">
        <v>22</v>
      </c>
      <c r="FL2" s="13" t="s">
        <v>24</v>
      </c>
      <c r="FM2" s="13" t="s">
        <v>115</v>
      </c>
      <c r="FN2" s="13" t="s">
        <v>116</v>
      </c>
      <c r="FO2" s="13" t="s">
        <v>114</v>
      </c>
      <c r="FP2" s="13" t="s">
        <v>112</v>
      </c>
      <c r="FQ2" s="13" t="s">
        <v>113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114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109</v>
      </c>
      <c r="GO2" s="14" t="s">
        <v>110</v>
      </c>
      <c r="GP2" s="14" t="s">
        <v>21</v>
      </c>
      <c r="GQ2" s="14" t="s">
        <v>82</v>
      </c>
      <c r="GR2" s="14" t="s">
        <v>111</v>
      </c>
      <c r="GS2" s="14" t="s">
        <v>22</v>
      </c>
      <c r="GT2" s="14" t="s">
        <v>24</v>
      </c>
      <c r="GU2" s="14" t="s">
        <v>115</v>
      </c>
      <c r="GV2" s="14" t="s">
        <v>116</v>
      </c>
      <c r="GW2" s="14" t="s">
        <v>114</v>
      </c>
      <c r="GX2" s="14" t="s">
        <v>112</v>
      </c>
      <c r="GY2" s="14" t="s">
        <v>113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114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109</v>
      </c>
      <c r="HW2" s="13" t="s">
        <v>110</v>
      </c>
      <c r="HX2" s="13" t="s">
        <v>21</v>
      </c>
      <c r="HY2" s="13" t="s">
        <v>82</v>
      </c>
      <c r="HZ2" s="13" t="s">
        <v>111</v>
      </c>
      <c r="IA2" s="13" t="s">
        <v>22</v>
      </c>
      <c r="IB2" s="13" t="s">
        <v>24</v>
      </c>
      <c r="IC2" s="13" t="s">
        <v>115</v>
      </c>
      <c r="ID2" s="13" t="s">
        <v>116</v>
      </c>
      <c r="IE2" s="13" t="s">
        <v>114</v>
      </c>
      <c r="IF2" s="13" t="s">
        <v>112</v>
      </c>
      <c r="IG2" s="13" t="s">
        <v>113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114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109</v>
      </c>
      <c r="JE2" s="14" t="s">
        <v>110</v>
      </c>
      <c r="JF2" s="14" t="s">
        <v>21</v>
      </c>
      <c r="JG2" s="14" t="s">
        <v>82</v>
      </c>
      <c r="JH2" s="14" t="s">
        <v>111</v>
      </c>
      <c r="JI2" s="14" t="s">
        <v>22</v>
      </c>
      <c r="JJ2" s="14" t="s">
        <v>24</v>
      </c>
      <c r="JK2" s="14" t="s">
        <v>115</v>
      </c>
      <c r="JL2" s="14" t="s">
        <v>116</v>
      </c>
      <c r="JM2" s="14" t="s">
        <v>114</v>
      </c>
      <c r="JN2" s="14" t="s">
        <v>112</v>
      </c>
      <c r="JO2" s="14" t="s">
        <v>113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114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109</v>
      </c>
      <c r="KM2" s="13" t="s">
        <v>110</v>
      </c>
      <c r="KN2" s="13" t="s">
        <v>21</v>
      </c>
      <c r="KO2" s="13" t="s">
        <v>82</v>
      </c>
      <c r="KP2" s="13" t="s">
        <v>111</v>
      </c>
      <c r="KQ2" s="13" t="s">
        <v>22</v>
      </c>
      <c r="KR2" s="13" t="s">
        <v>24</v>
      </c>
      <c r="KS2" s="13" t="s">
        <v>115</v>
      </c>
      <c r="KT2" s="13" t="s">
        <v>116</v>
      </c>
      <c r="KU2" s="13" t="s">
        <v>114</v>
      </c>
      <c r="KV2" s="13" t="s">
        <v>112</v>
      </c>
      <c r="KW2" s="13" t="s">
        <v>113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114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109</v>
      </c>
      <c r="LU2" s="14" t="s">
        <v>110</v>
      </c>
      <c r="LV2" s="14" t="s">
        <v>21</v>
      </c>
      <c r="LW2" s="14" t="s">
        <v>82</v>
      </c>
      <c r="LX2" s="14" t="s">
        <v>111</v>
      </c>
      <c r="LY2" s="14" t="s">
        <v>22</v>
      </c>
      <c r="LZ2" s="14" t="s">
        <v>24</v>
      </c>
      <c r="MA2" s="14" t="s">
        <v>115</v>
      </c>
      <c r="MB2" s="14" t="s">
        <v>116</v>
      </c>
      <c r="MC2" s="14" t="s">
        <v>114</v>
      </c>
      <c r="MD2" s="14" t="s">
        <v>112</v>
      </c>
      <c r="ME2" s="14" t="s">
        <v>113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114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109</v>
      </c>
      <c r="NC2" s="13" t="s">
        <v>110</v>
      </c>
      <c r="ND2" s="13" t="s">
        <v>21</v>
      </c>
      <c r="NE2" s="13" t="s">
        <v>82</v>
      </c>
      <c r="NF2" s="13" t="s">
        <v>111</v>
      </c>
      <c r="NG2" s="13" t="s">
        <v>22</v>
      </c>
      <c r="NH2" s="13" t="s">
        <v>24</v>
      </c>
      <c r="NI2" s="13" t="s">
        <v>115</v>
      </c>
      <c r="NJ2" s="13" t="s">
        <v>116</v>
      </c>
      <c r="NK2" s="13" t="s">
        <v>114</v>
      </c>
      <c r="NL2" s="13" t="s">
        <v>112</v>
      </c>
      <c r="NM2" s="13" t="s">
        <v>113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114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109</v>
      </c>
      <c r="OK2" s="14" t="s">
        <v>110</v>
      </c>
      <c r="OL2" s="14" t="s">
        <v>21</v>
      </c>
      <c r="OM2" s="14" t="s">
        <v>82</v>
      </c>
      <c r="ON2" s="14" t="s">
        <v>111</v>
      </c>
      <c r="OO2" s="14" t="s">
        <v>22</v>
      </c>
      <c r="OP2" s="14" t="s">
        <v>24</v>
      </c>
      <c r="OQ2" s="14" t="s">
        <v>115</v>
      </c>
      <c r="OR2" s="14" t="s">
        <v>116</v>
      </c>
      <c r="OS2" s="14" t="s">
        <v>114</v>
      </c>
      <c r="OT2" s="14" t="s">
        <v>112</v>
      </c>
      <c r="OU2" s="14" t="s">
        <v>113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114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109</v>
      </c>
      <c r="PS2" s="13" t="s">
        <v>110</v>
      </c>
      <c r="PT2" s="13" t="s">
        <v>21</v>
      </c>
      <c r="PU2" s="13" t="s">
        <v>82</v>
      </c>
      <c r="PV2" s="13" t="s">
        <v>111</v>
      </c>
      <c r="PW2" s="13" t="s">
        <v>22</v>
      </c>
      <c r="PX2" s="13" t="s">
        <v>24</v>
      </c>
      <c r="PY2" s="13" t="s">
        <v>115</v>
      </c>
      <c r="PZ2" s="13" t="s">
        <v>116</v>
      </c>
      <c r="QA2" s="13" t="s">
        <v>114</v>
      </c>
      <c r="QB2" s="13" t="s">
        <v>112</v>
      </c>
      <c r="QC2" s="13" t="s">
        <v>113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114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109</v>
      </c>
      <c r="RA2" s="14" t="s">
        <v>110</v>
      </c>
      <c r="RB2" s="14" t="s">
        <v>21</v>
      </c>
      <c r="RC2" s="14" t="s">
        <v>82</v>
      </c>
      <c r="RD2" s="14" t="s">
        <v>111</v>
      </c>
      <c r="RE2" s="14" t="s">
        <v>22</v>
      </c>
      <c r="RF2" s="14" t="s">
        <v>24</v>
      </c>
      <c r="RG2" s="14" t="s">
        <v>115</v>
      </c>
      <c r="RH2" s="14" t="s">
        <v>116</v>
      </c>
      <c r="RI2" s="14" t="s">
        <v>114</v>
      </c>
      <c r="RJ2" s="14" t="s">
        <v>112</v>
      </c>
      <c r="RK2" s="14" t="s">
        <v>113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114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109</v>
      </c>
      <c r="SI2" s="13" t="s">
        <v>110</v>
      </c>
      <c r="SJ2" s="13" t="s">
        <v>21</v>
      </c>
      <c r="SK2" s="13" t="s">
        <v>82</v>
      </c>
      <c r="SL2" s="13" t="s">
        <v>111</v>
      </c>
      <c r="SM2" s="13" t="s">
        <v>22</v>
      </c>
      <c r="SN2" s="13" t="s">
        <v>24</v>
      </c>
      <c r="SO2" s="13" t="s">
        <v>115</v>
      </c>
      <c r="SP2" s="13" t="s">
        <v>116</v>
      </c>
      <c r="SQ2" s="13" t="s">
        <v>114</v>
      </c>
      <c r="SR2" s="13" t="s">
        <v>112</v>
      </c>
      <c r="SS2" s="13" t="s">
        <v>113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109</v>
      </c>
      <c r="TM2" s="14" t="s">
        <v>110</v>
      </c>
      <c r="TN2" s="14" t="s">
        <v>21</v>
      </c>
      <c r="TO2" s="14" t="s">
        <v>82</v>
      </c>
      <c r="TP2" s="14" t="s">
        <v>111</v>
      </c>
      <c r="TQ2" s="14" t="s">
        <v>22</v>
      </c>
      <c r="TR2" s="14" t="s">
        <v>24</v>
      </c>
      <c r="TS2" s="14" t="s">
        <v>112</v>
      </c>
      <c r="TT2" s="14" t="s">
        <v>113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31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31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31</v>
      </c>
      <c r="AN3" s="14" t="s">
        <v>57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31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31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31</v>
      </c>
      <c r="BO3" s="13" t="s">
        <v>57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31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31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31</v>
      </c>
      <c r="CP3" s="14" t="s">
        <v>57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31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31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31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31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31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31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31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31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31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31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31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31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31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31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31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31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31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31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31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31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31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31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31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31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31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31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31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31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31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31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31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31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31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31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31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31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31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31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31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31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31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31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31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31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31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31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31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31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31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31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31</v>
      </c>
      <c r="TK3" s="14" t="s">
        <v>57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IF(AND(F4&lt;&gt;"",G4&lt;&gt;""),SUMPRODUCT((F$4:F$18&lt;&gt;"")*(G$4:G$18&lt;&gt;"")*(E$4:E$18&gt;E4))+1,IF(G4&lt;&gt;"",SUMPRODUCT((H$4:H$18="No DD")*(E$4:E$18&gt;E4))+1+SUMPRODUCT((F$4:F$18&lt;&gt;"")*(G$4:G$18&lt;&gt;"")),""))</f>
        <v>1</v>
      </c>
      <c r="B4" s="5" t="s">
        <v>26</v>
      </c>
      <c r="C4" s="4" t="s">
        <v>8</v>
      </c>
      <c r="D4" s="4">
        <v>1997</v>
      </c>
      <c r="E4" s="9">
        <f t="shared" ref="E4:E17" si="0">SUM(J4:V4)+SUM(J4:T4)*0.0000001+SUM(J4)*0.0000000000001</f>
        <v>251.87002518700552</v>
      </c>
      <c r="F4" s="3" t="str">
        <f t="shared" ref="F4:F17" si="1"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 t="shared" ref="G4:G17" si="2"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 t="shared" ref="H4:H17" si="3"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 t="shared" ref="I4:I17" si="4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 t="shared" ref="K4:K17" si="5"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 t="shared" ref="M4:M17" si="6">IF(L4="","",IF(OR(L4=CS4,L4=CV4),$CA$1,IF(OR(L4=BR4,L4=BU4),$AZ$1,IF(OR(L4=AQ4,L4=AT4),$Y$1,""))))</f>
        <v>2023 Elite Canada</v>
      </c>
      <c r="N4" s="8">
        <f>IF(COUNT(AQ4,AT4,BR4,BU4,CS4,CV4)&gt;2,LARGE((AQ4,AT4,BR4,BU4,CS4,CV4),3),0)</f>
        <v>54.429999999999993</v>
      </c>
      <c r="O4" s="8" t="str">
        <f t="shared" ref="O4:O17" si="7">IF(N4="","",IF(OR(N4=CS4,N4=CV4),$CA$1,IF(OR(N4=BR4,N4=BU4),$AZ$1,IF(OR(N4=AQ4,N4=AT4),$Y$1,""))))</f>
        <v>2022 3rd Domestic Trial</v>
      </c>
      <c r="P4" s="8">
        <f t="shared" ref="P4:P17" si="8">IF(MAX(AX4,BY4,CZ4)&gt;0,MAX(AX4,BY4,CZ4),0)</f>
        <v>56.46</v>
      </c>
      <c r="Q4" s="8" t="str">
        <f t="shared" ref="Q4:Q17" si="9">IF(P4="","",IF(P4=CZ4,$CA$1,IF(P4=BY4,$AZ$1,IF(P4=AX4,$Y$1,""))))</f>
        <v>2023 Elite Canada</v>
      </c>
      <c r="R4" s="8">
        <f t="shared" ref="R4:R1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 t="shared" ref="S4:S1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 t="shared" ref="T4:T17" si="12"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 t="shared" ref="U4:U1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 t="shared" ref="V4:V17" si="14">IF(MAX(DB4,DC4)&gt;0,MAX(DB4,DC4),"")</f>
        <v/>
      </c>
      <c r="W4" s="11" t="str">
        <f t="shared" ref="W4:W17" si="15">IF(V4="","",IF(V4=DB4,"("&amp;DB$2&amp;")",IF(V4=DC4,"("&amp;DC$2&amp;")")))</f>
        <v/>
      </c>
      <c r="X4" s="8" t="str">
        <f t="shared" ref="X4:X1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12.3</v>
      </c>
      <c r="Z4" s="23">
        <v>6.8</v>
      </c>
      <c r="AA4" s="23">
        <v>9.3000000000000007</v>
      </c>
      <c r="AB4" s="23">
        <v>12.28</v>
      </c>
      <c r="AC4" s="23">
        <v>0.2</v>
      </c>
      <c r="AD4" s="23">
        <v>16</v>
      </c>
      <c r="AE4" s="23">
        <v>9.1</v>
      </c>
      <c r="AF4" s="23">
        <v>13.6</v>
      </c>
      <c r="AG4" s="23">
        <v>15.48</v>
      </c>
      <c r="AH4" s="23">
        <v>0</v>
      </c>
      <c r="AI4" s="23">
        <v>16.5</v>
      </c>
      <c r="AJ4" s="23">
        <v>9.1999999999999993</v>
      </c>
      <c r="AK4" s="23">
        <v>13</v>
      </c>
      <c r="AL4" s="23">
        <v>15.43</v>
      </c>
      <c r="AM4" s="23">
        <v>0.2</v>
      </c>
      <c r="AN4" s="28"/>
      <c r="AO4" s="39">
        <f t="shared" ref="AO4:AO17" si="17">IF(AA4&gt;0,AA4,"")</f>
        <v>9.3000000000000007</v>
      </c>
      <c r="AP4" s="39">
        <f t="shared" ref="AP4:AP17" si="18">IF(AB4&gt;0,AB4,"")</f>
        <v>12.28</v>
      </c>
      <c r="AQ4" s="41">
        <f t="shared" ref="AQ4:AQ17" si="19">IF(SUM(Y4:AB4)-AC4&gt;0,SUM(Y4:AB4)-AC4,"")</f>
        <v>40.479999999999997</v>
      </c>
      <c r="AR4" s="41">
        <f t="shared" ref="AR4:AR17" si="20">IF(AF4&gt;0,AF4,"")</f>
        <v>13.6</v>
      </c>
      <c r="AS4" s="41">
        <f t="shared" ref="AS4:AS17" si="21">IF(AG4&gt;0,AG4,"")</f>
        <v>15.48</v>
      </c>
      <c r="AT4" s="41">
        <f t="shared" ref="AT4:AT17" si="22">IF(SUM(AD4:AG4)-AH4&gt;0,SUM(AD4:AG4)-AH4,"")</f>
        <v>54.180000000000007</v>
      </c>
      <c r="AU4" s="41">
        <f t="shared" ref="AU4:AU17" si="23">IF(AQ4="","",MAX(AQ4,AT4))</f>
        <v>54.180000000000007</v>
      </c>
      <c r="AV4" s="41">
        <f t="shared" ref="AV4:AV17" si="24">IF(AK4&gt;0,AK4,"")</f>
        <v>13</v>
      </c>
      <c r="AW4" s="41">
        <f t="shared" ref="AW4:AW17" si="25">IF(AL4&gt;0,AL4,"")</f>
        <v>15.43</v>
      </c>
      <c r="AX4" s="41">
        <f t="shared" ref="AX4:AX17" si="26">IF(SUM(AI4:AL4)-AM4&gt;0,SUM(AI4:AL4)-AM4,"")</f>
        <v>53.93</v>
      </c>
      <c r="AY4" s="41">
        <f t="shared" ref="AY4:AY17" si="27">IF(SUM(AU4,AX4)&gt;0,SUM(AU4,AX4),"")</f>
        <v>108.11000000000001</v>
      </c>
      <c r="AZ4" s="27">
        <v>16.2</v>
      </c>
      <c r="BA4" s="27">
        <v>9.1999999999999993</v>
      </c>
      <c r="BB4" s="27">
        <v>13</v>
      </c>
      <c r="BC4" s="27">
        <v>15.15</v>
      </c>
      <c r="BD4" s="27">
        <v>0</v>
      </c>
      <c r="BE4" s="27">
        <v>15.7</v>
      </c>
      <c r="BF4" s="27">
        <v>9.6</v>
      </c>
      <c r="BG4" s="27">
        <v>13.8</v>
      </c>
      <c r="BH4" s="27">
        <v>15.33</v>
      </c>
      <c r="BI4" s="27">
        <v>0</v>
      </c>
      <c r="BJ4" s="27">
        <v>4.62</v>
      </c>
      <c r="BK4" s="27">
        <v>2.8</v>
      </c>
      <c r="BL4" s="27">
        <v>4.7</v>
      </c>
      <c r="BM4" s="27">
        <v>4.83</v>
      </c>
      <c r="BN4" s="27">
        <v>0.2</v>
      </c>
      <c r="BO4" s="29"/>
      <c r="BP4" s="40">
        <f t="shared" ref="BP4:BP17" si="28">IF(BB4&gt;0,BB4,"")</f>
        <v>13</v>
      </c>
      <c r="BQ4" s="40">
        <f t="shared" ref="BQ4:BQ17" si="29">IF(BC4&gt;0,BC4,"")</f>
        <v>15.15</v>
      </c>
      <c r="BR4" s="11">
        <f t="shared" ref="BR4:BR17" si="30">IF(SUM(AZ4:BC4)-BD4&gt;0,SUM(AZ4:BC4)-BD4,"")</f>
        <v>53.55</v>
      </c>
      <c r="BS4" s="11">
        <f t="shared" ref="BS4:BS17" si="31">IF(BG4&gt;0,BG4,"")</f>
        <v>13.8</v>
      </c>
      <c r="BT4" s="11">
        <f t="shared" ref="BT4:BT17" si="32">IF(BH4&gt;0,BH4,"")</f>
        <v>15.33</v>
      </c>
      <c r="BU4" s="11">
        <f t="shared" ref="BU4:BU17" si="33">IF(SUM(BE4:BH4)-BI4&gt;0,SUM(BE4:BH4)-BI4,"")</f>
        <v>54.429999999999993</v>
      </c>
      <c r="BV4" s="11">
        <f t="shared" ref="BV4:BV17" si="34">IF(BR4="","",MAX(BR4,BU4))</f>
        <v>54.429999999999993</v>
      </c>
      <c r="BW4" s="11">
        <f t="shared" ref="BW4:BW17" si="35">IF(BL4&gt;0,BL4,"")</f>
        <v>4.7</v>
      </c>
      <c r="BX4" s="11">
        <f t="shared" ref="BX4:BX17" si="36">IF(BM4&gt;0,BM4,"")</f>
        <v>4.83</v>
      </c>
      <c r="BY4" s="11">
        <f t="shared" ref="BY4:BY17" si="37">IF(SUM(BJ4:BM4)-BN4&gt;0,SUM(BJ4:BM4)-BN4,"")</f>
        <v>16.750000000000004</v>
      </c>
      <c r="BZ4" s="11">
        <f t="shared" ref="BZ4:BZ17" si="38">IF(SUM(BV4,BY4)&gt;0,SUM(BV4,BY4),"")</f>
        <v>71.179999999999993</v>
      </c>
      <c r="CA4" s="23">
        <v>16</v>
      </c>
      <c r="CB4" s="23">
        <v>9.3000000000000007</v>
      </c>
      <c r="CC4" s="23">
        <v>14.4</v>
      </c>
      <c r="CD4" s="23">
        <v>15.56</v>
      </c>
      <c r="CE4" s="23">
        <v>0</v>
      </c>
      <c r="CF4" s="23">
        <v>15.4</v>
      </c>
      <c r="CG4" s="23">
        <v>9.3000000000000007</v>
      </c>
      <c r="CH4" s="23">
        <v>14.8</v>
      </c>
      <c r="CI4" s="23">
        <v>15.56</v>
      </c>
      <c r="CJ4" s="23">
        <v>0</v>
      </c>
      <c r="CK4" s="23">
        <v>16.8</v>
      </c>
      <c r="CL4" s="23">
        <v>9.4</v>
      </c>
      <c r="CM4" s="23">
        <v>14.4</v>
      </c>
      <c r="CN4" s="23">
        <v>15.86</v>
      </c>
      <c r="CO4" s="23">
        <v>0</v>
      </c>
      <c r="CP4" s="28"/>
      <c r="CQ4" s="39">
        <f t="shared" ref="CQ4:CQ17" si="39">IF(CC4&gt;0,CC4,"")</f>
        <v>14.4</v>
      </c>
      <c r="CR4" s="39">
        <f t="shared" ref="CR4:CR17" si="40">IF(CD4&gt;0,CD4,"")</f>
        <v>15.56</v>
      </c>
      <c r="CS4" s="41">
        <f t="shared" ref="CS4:CS17" si="41">IF(SUM(CA4:CD4)-CE4&gt;0,SUM(CA4:CD4)-CE4,"")</f>
        <v>55.260000000000005</v>
      </c>
      <c r="CT4" s="41">
        <f t="shared" ref="CT4:CT17" si="42">IF(CH4&gt;0,CH4,"")</f>
        <v>14.8</v>
      </c>
      <c r="CU4" s="41">
        <f t="shared" ref="CU4:CU17" si="43">IF(CI4&gt;0,CI4,"")</f>
        <v>15.56</v>
      </c>
      <c r="CV4" s="41">
        <f t="shared" ref="CV4:CV17" si="44">IF(SUM(CF4:CI4)-CJ4&gt;0,SUM(CF4:CI4)-CJ4,"")</f>
        <v>55.06</v>
      </c>
      <c r="CW4" s="41">
        <f t="shared" ref="CW4:CW17" si="45">IF(CS4="","",MAX(CS4,CV4))</f>
        <v>55.260000000000005</v>
      </c>
      <c r="CX4" s="41">
        <f t="shared" ref="CX4:CX17" si="46">IF(CM4&gt;0,CM4,"")</f>
        <v>14.4</v>
      </c>
      <c r="CY4" s="41">
        <f t="shared" ref="CY4:CY17" si="47">IF(CN4&gt;0,CN4,"")</f>
        <v>15.86</v>
      </c>
      <c r="CZ4" s="41">
        <f t="shared" ref="CZ4:CZ17" si="48">IF(SUM(CK4:CN4)-CO4&gt;0,SUM(CK4:CN4)-CO4,"")</f>
        <v>56.46</v>
      </c>
      <c r="DA4" s="41">
        <f t="shared" ref="DA4:DA17" si="49">IF(SUM(CW4,CZ4)&gt;0,SUM(CW4,CZ4),"")</f>
        <v>111.72</v>
      </c>
      <c r="DB4" s="52" t="str">
        <f t="shared" ref="DB4:DB17" si="50">IF(MAX(ED4,FL4,GT4,IB4,JJ4,KR4,LZ4,NH4,OP4,PX4,RF4,SN4)-IF(N4="",0,N4)&gt;0.001,MAX(ED4,FL4,GT4,IB4,JJ4,KR4,LZ4,NH4,OP4,PX4,RF4,SN4)-IF(N4="",0,N4),"")</f>
        <v/>
      </c>
      <c r="DC4" s="52" t="str">
        <f t="shared" ref="DC4:DC17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14.9</v>
      </c>
      <c r="DE4" s="17">
        <v>9.3000000000000007</v>
      </c>
      <c r="DF4" s="17">
        <v>13</v>
      </c>
      <c r="DG4" s="17">
        <v>14.53</v>
      </c>
      <c r="DH4" s="17">
        <v>0</v>
      </c>
      <c r="DI4" s="17">
        <v>14.9</v>
      </c>
      <c r="DJ4" s="17">
        <v>9.6999999999999993</v>
      </c>
      <c r="DK4" s="17">
        <v>12.8</v>
      </c>
      <c r="DL4" s="17">
        <v>14.81</v>
      </c>
      <c r="DM4" s="17">
        <v>0</v>
      </c>
      <c r="DN4" s="17">
        <v>1.6</v>
      </c>
      <c r="DO4" s="17">
        <v>0.9</v>
      </c>
      <c r="DP4" s="17">
        <v>2</v>
      </c>
      <c r="DQ4" s="17">
        <v>1.65</v>
      </c>
      <c r="DR4" s="17">
        <v>0</v>
      </c>
      <c r="DS4" s="17"/>
      <c r="DT4" s="17"/>
      <c r="DU4" s="17"/>
      <c r="DV4" s="17"/>
      <c r="DW4" s="17"/>
      <c r="DX4" s="41">
        <f t="shared" ref="DX4:DX17" si="52">IF(DF4&gt;0,DF4,"")</f>
        <v>13</v>
      </c>
      <c r="DY4" s="41">
        <f t="shared" ref="DY4:DY17" si="53">IF(DG4&gt;0,DG4,"")</f>
        <v>14.53</v>
      </c>
      <c r="DZ4" s="41">
        <f t="shared" ref="DZ4:DZ17" si="54">IF(SUM(DD4:DG4)-DH4&gt;0,SUM(DD4:DG4)-DH4,"")</f>
        <v>51.730000000000004</v>
      </c>
      <c r="EA4" s="41">
        <f t="shared" ref="EA4:EA17" si="55">IF(DK4&gt;0,DK4,"")</f>
        <v>12.8</v>
      </c>
      <c r="EB4" s="41">
        <f t="shared" ref="EB4:EB17" si="56">IF(DL4&gt;0,DL4,"")</f>
        <v>14.81</v>
      </c>
      <c r="EC4" s="41">
        <f t="shared" ref="EC4:EC17" si="57">IF(SUM(DI4:DL4)-DM4&gt;0,SUM(DI4:DL4)-DM4,"")</f>
        <v>52.210000000000008</v>
      </c>
      <c r="ED4" s="41">
        <f t="shared" ref="ED4:ED17" si="58">IF(MAX(DZ4,EC4)&gt;0,MAX(DZ4,EC4),"")</f>
        <v>52.210000000000008</v>
      </c>
      <c r="EE4" s="41">
        <f t="shared" ref="EE4:EE17" si="59">IF(DP4&gt;0,DP4,"")</f>
        <v>2</v>
      </c>
      <c r="EF4" s="41">
        <f t="shared" ref="EF4:EF17" si="60">IF(DQ4&gt;0,DQ4,"")</f>
        <v>1.65</v>
      </c>
      <c r="EG4" s="41">
        <f t="shared" ref="EG4:EG17" si="61">IF(SUM(DN4:DQ4)-DR4&gt;0,SUM(DN4:DQ4)-DR4,"")</f>
        <v>6.15</v>
      </c>
      <c r="EH4" s="41" t="str">
        <f t="shared" ref="EH4:EH17" si="62">IF(DU4&gt;0,DU4,"")</f>
        <v/>
      </c>
      <c r="EI4" s="41" t="str">
        <f t="shared" ref="EI4:EI17" si="63">IF(DV4&gt;0,DV4,"")</f>
        <v/>
      </c>
      <c r="EJ4" s="41" t="str">
        <f t="shared" ref="EJ4:EJ17" si="64">IF(SUM(DS4:DV4)-DW4&gt;0,SUM(DS4:DV4)-DW4,"")</f>
        <v/>
      </c>
      <c r="EK4" s="41">
        <f t="shared" ref="EK4:EK17" si="65">IF(SUM(ED4,EJ4)&gt;0,SUM(ED4,EJ4),"")</f>
        <v>52.210000000000008</v>
      </c>
      <c r="EL4" s="18">
        <v>15.2</v>
      </c>
      <c r="EM4" s="18">
        <v>9</v>
      </c>
      <c r="EN4" s="18">
        <v>13</v>
      </c>
      <c r="EO4" s="18">
        <v>15.48</v>
      </c>
      <c r="EP4" s="18">
        <v>0</v>
      </c>
      <c r="EQ4" s="18">
        <v>0</v>
      </c>
      <c r="ER4" s="18">
        <v>0</v>
      </c>
      <c r="ES4" s="18">
        <v>0</v>
      </c>
      <c r="ET4" s="18">
        <v>0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17" si="66">IF(EN4&gt;0,EN4,"")</f>
        <v>13</v>
      </c>
      <c r="FG4" s="11">
        <f t="shared" ref="FG4:FG17" si="67">IF(EO4&gt;0,EO4,"")</f>
        <v>15.48</v>
      </c>
      <c r="FH4" s="11">
        <f t="shared" ref="FH4:FH17" si="68">IF(SUM(EL4:EO4)-EP4&gt;0,SUM(EL4:EO4)-EP4,"")</f>
        <v>52.680000000000007</v>
      </c>
      <c r="FI4" s="11" t="str">
        <f t="shared" ref="FI4:FI17" si="69">IF(ES4&gt;0,ES4,"")</f>
        <v/>
      </c>
      <c r="FJ4" s="11" t="str">
        <f t="shared" ref="FJ4:FJ17" si="70">IF(ET4&gt;0,ET4,"")</f>
        <v/>
      </c>
      <c r="FK4" s="11" t="str">
        <f t="shared" ref="FK4:FK17" si="71">IF(SUM(EQ4:ET4)-EU4&gt;0,SUM(EQ4:ET4)-EU4,"")</f>
        <v/>
      </c>
      <c r="FL4" s="11">
        <f t="shared" ref="FL4:FL17" si="72">IF(MAX(FH4,FK4)&gt;0,MAX(FH4,FK4),"")</f>
        <v>52.680000000000007</v>
      </c>
      <c r="FM4" s="11" t="str">
        <f t="shared" ref="FM4:FM17" si="73">IF(EX4&gt;0,EX4,"")</f>
        <v/>
      </c>
      <c r="FN4" s="11" t="str">
        <f t="shared" ref="FN4:FN17" si="74">IF(EY4&gt;0,EY4,"")</f>
        <v/>
      </c>
      <c r="FO4" s="11" t="str">
        <f t="shared" ref="FO4:FO17" si="75">IF(SUM(EV4:EY4)-EZ4&gt;0,SUM(EV4:EY4)-EZ4,"")</f>
        <v/>
      </c>
      <c r="FP4" s="11" t="str">
        <f t="shared" ref="FP4:FP17" si="76">IF(FC4&gt;0,FC4,"")</f>
        <v/>
      </c>
      <c r="FQ4" s="11" t="str">
        <f t="shared" ref="FQ4:FQ17" si="77">IF(FD4&gt;0,FD4,"")</f>
        <v/>
      </c>
      <c r="FR4" s="11" t="str">
        <f t="shared" ref="FR4:FR17" si="78">IF(SUM(FA4:FD4)-FE4&gt;0,SUM(FA4:FD4)-FE4,"")</f>
        <v/>
      </c>
      <c r="FS4" s="11">
        <f t="shared" ref="FS4:FS17" si="79">IF(SUM(FL4,FR4)&gt;0,SUM(FL4,FR4),"")</f>
        <v>52.680000000000007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 t="shared" ref="GN4:GN17" si="80">IF(FV4&gt;0,FV4,"")</f>
        <v/>
      </c>
      <c r="GO4" s="41" t="str">
        <f t="shared" ref="GO4:GO17" si="81">IF(FW4&gt;0,FW4,"")</f>
        <v/>
      </c>
      <c r="GP4" s="41" t="str">
        <f t="shared" ref="GP4:GP17" si="82">IF(SUM(FT4:FW4)-FX4&gt;0,SUM(FT4:FW4)-FX4,"")</f>
        <v/>
      </c>
      <c r="GQ4" s="41" t="str">
        <f t="shared" ref="GQ4:GQ17" si="83">IF(GA4&gt;0,GA4,"")</f>
        <v/>
      </c>
      <c r="GR4" s="41" t="str">
        <f t="shared" ref="GR4:GR17" si="84">IF(GB4&gt;0,GB4,"")</f>
        <v/>
      </c>
      <c r="GS4" s="41" t="str">
        <f t="shared" ref="GS4:GS17" si="85">IF(SUM(FY4:GB4)-GC4&gt;0,SUM(FY4:GB4)-GC4,"")</f>
        <v/>
      </c>
      <c r="GT4" s="41" t="str">
        <f t="shared" ref="GT4:GT17" si="86">IF(MAX(GP4,GS4)&gt;0,MAX(GP4,GS4),"")</f>
        <v/>
      </c>
      <c r="GU4" s="41" t="str">
        <f t="shared" ref="GU4:GU17" si="87">IF(GF4&gt;0,GF4,"")</f>
        <v/>
      </c>
      <c r="GV4" s="41" t="str">
        <f t="shared" ref="GV4:GV17" si="88">IF(GG4&gt;0,GG4,"")</f>
        <v/>
      </c>
      <c r="GW4" s="41" t="str">
        <f t="shared" ref="GW4:GW17" si="89">IF(SUM(GD4:GG4)-GH4&gt;0,SUM(GD4:GG4)-GH4,"")</f>
        <v/>
      </c>
      <c r="GX4" s="41" t="str">
        <f t="shared" ref="GX4:GX17" si="90">IF(GK4&gt;0,GK4,"")</f>
        <v/>
      </c>
      <c r="GY4" s="41" t="str">
        <f t="shared" ref="GY4:GY17" si="91">IF(GL4&gt;0,GL4,"")</f>
        <v/>
      </c>
      <c r="GZ4" s="41" t="str">
        <f t="shared" ref="GZ4:GZ17" si="92">IF(SUM(GI4:GL4)-GM4&gt;0,SUM(GI4:GL4)-GM4,"")</f>
        <v/>
      </c>
      <c r="HA4" s="41" t="str">
        <f t="shared" ref="HA4:HA17" si="93"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7" si="94">IF(HD4&gt;0,HD4,"")</f>
        <v/>
      </c>
      <c r="HW4" s="11" t="str">
        <f t="shared" ref="HW4:HW17" si="95">IF(HE4&gt;0,HE4,"")</f>
        <v/>
      </c>
      <c r="HX4" s="11" t="str">
        <f t="shared" ref="HX4:HX17" si="96">IF(SUM(HB4:HE4)-HF4&gt;0,SUM(HB4:HE4)-HF4,"")</f>
        <v/>
      </c>
      <c r="HY4" s="11" t="str">
        <f t="shared" ref="HY4:HY17" si="97">IF(HI4&gt;0,HI4,"")</f>
        <v/>
      </c>
      <c r="HZ4" s="11" t="str">
        <f t="shared" ref="HZ4:HZ17" si="98">IF(HJ4&gt;0,HJ4,"")</f>
        <v/>
      </c>
      <c r="IA4" s="11" t="str">
        <f t="shared" ref="IA4:IA17" si="99">IF(SUM(HG4:HJ4)-HK4&gt;0,SUM(HG4:HJ4)-HK4,"")</f>
        <v/>
      </c>
      <c r="IB4" s="11" t="str">
        <f t="shared" ref="IB4:IB17" si="100">IF(MAX(HX4,IA4)&gt;0,MAX(HX4,IA4),"")</f>
        <v/>
      </c>
      <c r="IC4" s="11" t="str">
        <f t="shared" ref="IC4:IC17" si="101">IF(HN4&gt;0,HN4,"")</f>
        <v/>
      </c>
      <c r="ID4" s="11" t="str">
        <f t="shared" ref="ID4:ID17" si="102">IF(HO4&gt;0,HO4,"")</f>
        <v/>
      </c>
      <c r="IE4" s="11" t="str">
        <f t="shared" ref="IE4:IE17" si="103">IF(SUM(HL4:HO4)-HP4&gt;0,SUM(HL4:HO4)-HP4,"")</f>
        <v/>
      </c>
      <c r="IF4" s="11" t="str">
        <f t="shared" ref="IF4:IF17" si="104">IF(HS4&gt;0,HS4,"")</f>
        <v/>
      </c>
      <c r="IG4" s="11" t="str">
        <f t="shared" ref="IG4:IG17" si="105">IF(HT4&gt;0,HT4,"")</f>
        <v/>
      </c>
      <c r="IH4" s="11" t="str">
        <f t="shared" ref="IH4:IH17" si="106">IF(SUM(HQ4:HT4)-HU4&gt;0,SUM(HQ4:HT4)-HU4,"")</f>
        <v/>
      </c>
      <c r="II4" s="11" t="str">
        <f t="shared" ref="II4:II17" si="107">IF(SUM(IB4,IH4)&gt;0,SUM(IB4,IH4),"")</f>
        <v/>
      </c>
      <c r="IJ4" s="17">
        <v>1.6</v>
      </c>
      <c r="IK4" s="17">
        <v>0.8</v>
      </c>
      <c r="IL4" s="17">
        <v>2</v>
      </c>
      <c r="IM4" s="17">
        <v>1.675</v>
      </c>
      <c r="IN4" s="17">
        <v>0</v>
      </c>
      <c r="IO4" s="17">
        <v>15.9</v>
      </c>
      <c r="IP4" s="17">
        <v>9</v>
      </c>
      <c r="IQ4" s="17">
        <v>13.8</v>
      </c>
      <c r="IR4" s="17">
        <v>15.09</v>
      </c>
      <c r="IS4" s="17">
        <v>0</v>
      </c>
      <c r="IT4" s="17">
        <v>15.3</v>
      </c>
      <c r="IU4" s="17">
        <v>8.6999999999999993</v>
      </c>
      <c r="IV4" s="17">
        <v>13.2</v>
      </c>
      <c r="IW4" s="17">
        <v>15.115</v>
      </c>
      <c r="IX4" s="17">
        <v>0</v>
      </c>
      <c r="IY4" s="17"/>
      <c r="IZ4" s="17"/>
      <c r="JA4" s="17"/>
      <c r="JB4" s="17"/>
      <c r="JC4" s="17"/>
      <c r="JD4" s="41">
        <f t="shared" ref="JD4:JD17" si="108">IF(IL4&gt;0,IL4,"")</f>
        <v>2</v>
      </c>
      <c r="JE4" s="41">
        <f t="shared" ref="JE4:JE17" si="109">IF(IM4&gt;0,IM4,"")</f>
        <v>1.675</v>
      </c>
      <c r="JF4" s="41">
        <f t="shared" ref="JF4:JF17" si="110">IF(SUM(IJ4:IM4)-IN4&gt;0,SUM(IJ4:IM4)-IN4,"")</f>
        <v>6.0750000000000002</v>
      </c>
      <c r="JG4" s="41">
        <f t="shared" ref="JG4:JG17" si="111">IF(IQ4&gt;0,IQ4,"")</f>
        <v>13.8</v>
      </c>
      <c r="JH4" s="41">
        <f t="shared" ref="JH4:JH17" si="112">IF(IR4&gt;0,IR4,"")</f>
        <v>15.09</v>
      </c>
      <c r="JI4" s="41">
        <f t="shared" ref="JI4:JI17" si="113">IF(SUM(IO4:IR4)-IS4&gt;0,SUM(IO4:IR4)-IS4,"")</f>
        <v>53.790000000000006</v>
      </c>
      <c r="JJ4" s="41">
        <f t="shared" ref="JJ4:JJ17" si="114">IF(MAX(JF4,JI4)&gt;0,MAX(JF4,JI4),"")</f>
        <v>53.790000000000006</v>
      </c>
      <c r="JK4" s="41">
        <f t="shared" ref="JK4:JK17" si="115">IF(IV4&gt;0,IV4,"")</f>
        <v>13.2</v>
      </c>
      <c r="JL4" s="41">
        <f t="shared" ref="JL4:JL17" si="116">IF(IW4&gt;0,IW4,"")</f>
        <v>15.115</v>
      </c>
      <c r="JM4" s="41">
        <f t="shared" ref="JM4:JM17" si="117">IF(SUM(IT4:IW4)-IX4&gt;0,SUM(IT4:IW4)-IX4,"")</f>
        <v>52.315000000000005</v>
      </c>
      <c r="JN4" s="41" t="str">
        <f t="shared" ref="JN4:JN17" si="118">IF(JA4&gt;0,JA4,"")</f>
        <v/>
      </c>
      <c r="JO4" s="41" t="str">
        <f t="shared" ref="JO4:JO17" si="119">IF(JB4&gt;0,JB4,"")</f>
        <v/>
      </c>
      <c r="JP4" s="41" t="str">
        <f t="shared" ref="JP4:JP17" si="120">IF(SUM(IY4:JB4)-JC4&gt;0,SUM(IY4:JB4)-JC4,"")</f>
        <v/>
      </c>
      <c r="JQ4" s="41">
        <f t="shared" ref="JQ4:JQ17" si="121">IF(SUM(JJ4,JP4)&gt;0,SUM(JJ4,JP4),"")</f>
        <v>53.790000000000006</v>
      </c>
      <c r="JR4" s="18">
        <v>15.3</v>
      </c>
      <c r="JS4" s="18">
        <v>9.1999999999999993</v>
      </c>
      <c r="JT4" s="18">
        <v>13.2</v>
      </c>
      <c r="JU4" s="18">
        <v>15.33</v>
      </c>
      <c r="JV4" s="18">
        <v>0</v>
      </c>
      <c r="JW4" s="18">
        <v>15.4</v>
      </c>
      <c r="JX4" s="18">
        <v>9.1</v>
      </c>
      <c r="JY4" s="18">
        <v>14.4</v>
      </c>
      <c r="JZ4" s="18">
        <v>15.19</v>
      </c>
      <c r="KA4" s="18">
        <v>0</v>
      </c>
      <c r="KB4" s="18">
        <v>15.3</v>
      </c>
      <c r="KC4" s="18">
        <v>9.1999999999999993</v>
      </c>
      <c r="KD4" s="18">
        <v>14.2</v>
      </c>
      <c r="KE4" s="18">
        <v>15.24</v>
      </c>
      <c r="KF4" s="18">
        <v>0</v>
      </c>
      <c r="KG4" s="18"/>
      <c r="KH4" s="18"/>
      <c r="KI4" s="18"/>
      <c r="KJ4" s="18"/>
      <c r="KK4" s="18"/>
      <c r="KL4" s="11">
        <f t="shared" ref="KL4:KL17" si="122">IF(JT4&gt;0,JT4,"")</f>
        <v>13.2</v>
      </c>
      <c r="KM4" s="11">
        <f t="shared" ref="KM4:KM17" si="123">IF(JU4&gt;0,JU4,"")</f>
        <v>15.33</v>
      </c>
      <c r="KN4" s="11">
        <f t="shared" ref="KN4:KN17" si="124">IF(SUM(JR4:JU4)-JV4&gt;0,SUM(JR4:JU4)-JV4,"")</f>
        <v>53.03</v>
      </c>
      <c r="KO4" s="11">
        <f t="shared" ref="KO4:KO17" si="125">IF(JY4&gt;0,JY4,"")</f>
        <v>14.4</v>
      </c>
      <c r="KP4" s="11">
        <f t="shared" ref="KP4:KP17" si="126">IF(JZ4&gt;0,JZ4,"")</f>
        <v>15.19</v>
      </c>
      <c r="KQ4" s="11">
        <f t="shared" ref="KQ4:KQ17" si="127">IF(SUM(JW4:JZ4)-KA4&gt;0,SUM(JW4:JZ4)-KA4,"")</f>
        <v>54.089999999999996</v>
      </c>
      <c r="KR4" s="11">
        <f t="shared" ref="KR4:KR17" si="128">IF(MAX(KN4,KQ4)&gt;0,MAX(KN4,KQ4),"")</f>
        <v>54.089999999999996</v>
      </c>
      <c r="KS4" s="11">
        <f t="shared" ref="KS4:KS17" si="129">IF(KD4&gt;0,KD4,"")</f>
        <v>14.2</v>
      </c>
      <c r="KT4" s="11">
        <f t="shared" ref="KT4:KT17" si="130">IF(KE4&gt;0,KE4,"")</f>
        <v>15.24</v>
      </c>
      <c r="KU4" s="11">
        <f t="shared" ref="KU4:KU17" si="131">IF(SUM(KB4:KE4)-KF4&gt;0,SUM(KB4:KE4)-KF4,"")</f>
        <v>53.940000000000005</v>
      </c>
      <c r="KV4" s="11" t="str">
        <f t="shared" ref="KV4:KV17" si="132">IF(KI4&gt;0,KI4,"")</f>
        <v/>
      </c>
      <c r="KW4" s="11" t="str">
        <f t="shared" ref="KW4:KW17" si="133">IF(KJ4&gt;0,KJ4,"")</f>
        <v/>
      </c>
      <c r="KX4" s="11" t="str">
        <f t="shared" ref="KX4:KX17" si="134">IF(SUM(KG4:KJ4)-KK4&gt;0,SUM(KG4:KJ4)-KK4,"")</f>
        <v/>
      </c>
      <c r="KY4" s="11">
        <f t="shared" ref="KY4:KY17" si="135">IF(SUM(KR4,KX4)&gt;0,SUM(KR4,KX4),"")</f>
        <v>54.089999999999996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 t="shared" ref="LT4:LT17" si="136">IF(LB4&gt;0,LB4,"")</f>
        <v/>
      </c>
      <c r="LU4" s="41" t="str">
        <f t="shared" ref="LU4:LU17" si="137">IF(LC4&gt;0,LC4,"")</f>
        <v/>
      </c>
      <c r="LV4" s="41" t="str">
        <f t="shared" ref="LV4:LV17" si="138">IF(SUM(KZ4:LC4)-LD4&gt;0,SUM(KZ4:LC4)-LD4,"")</f>
        <v/>
      </c>
      <c r="LW4" s="41" t="str">
        <f t="shared" ref="LW4:LW17" si="139">IF(LG4&gt;0,LG4,"")</f>
        <v/>
      </c>
      <c r="LX4" s="41" t="str">
        <f t="shared" ref="LX4:LX17" si="140">IF(LH4&gt;0,LH4,"")</f>
        <v/>
      </c>
      <c r="LY4" s="41" t="str">
        <f t="shared" ref="LY4:LY17" si="141">IF(SUM(LE4:LH4)-LI4&gt;0,SUM(LE4:LH4)-LI4,"")</f>
        <v/>
      </c>
      <c r="LZ4" s="41" t="str">
        <f t="shared" ref="LZ4:LZ17" si="142">IF(MAX(LV4,LY4)&gt;0,MAX(LV4,LY4),"")</f>
        <v/>
      </c>
      <c r="MA4" s="41" t="str">
        <f t="shared" ref="MA4:MA17" si="143">IF(LL4&gt;0,LL4,"")</f>
        <v/>
      </c>
      <c r="MB4" s="41" t="str">
        <f t="shared" ref="MB4:MB17" si="144">IF(LM4&gt;0,LM4,"")</f>
        <v/>
      </c>
      <c r="MC4" s="41" t="str">
        <f t="shared" ref="MC4:MC17" si="145">IF(SUM(LJ4:LM4)-LN4&gt;0,SUM(LJ4:LM4)-LN4,"")</f>
        <v/>
      </c>
      <c r="MD4" s="41" t="str">
        <f t="shared" ref="MD4:MD17" si="146">IF(LQ4&gt;0,LQ4,"")</f>
        <v/>
      </c>
      <c r="ME4" s="41" t="str">
        <f t="shared" ref="ME4:ME17" si="147">IF(LR4&gt;0,LR4,"")</f>
        <v/>
      </c>
      <c r="MF4" s="41" t="str">
        <f t="shared" ref="MF4:MF17" si="148">IF(SUM(LO4:LR4)-LS4&gt;0,SUM(LO4:LR4)-LS4,"")</f>
        <v/>
      </c>
      <c r="MG4" s="41" t="str">
        <f t="shared" ref="MG4:MG17" si="149">IF(SUM(LZ4,MF4)&gt;0,SUM(LZ4,MF4),"")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7" si="150">IF(MJ4&gt;0,MJ4,"")</f>
        <v/>
      </c>
      <c r="NC4" s="11" t="str">
        <f t="shared" ref="NC4:NC17" si="151">IF(MK4&gt;0,MK4,"")</f>
        <v/>
      </c>
      <c r="ND4" s="11" t="str">
        <f t="shared" ref="ND4:ND17" si="152">IF(SUM(MH4:MK4)-ML4&gt;0,SUM(MH4:MK4)-ML4,"")</f>
        <v/>
      </c>
      <c r="NE4" s="11" t="str">
        <f t="shared" ref="NE4:NE17" si="153">IF(MO4&gt;0,MO4,"")</f>
        <v/>
      </c>
      <c r="NF4" s="11" t="str">
        <f t="shared" ref="NF4:NF17" si="154">IF(MP4&gt;0,MP4,"")</f>
        <v/>
      </c>
      <c r="NG4" s="11" t="str">
        <f t="shared" ref="NG4:NG17" si="155">IF(SUM(MM4:MP4)-MQ4&gt;0,SUM(MM4:MP4)-MQ4,"")</f>
        <v/>
      </c>
      <c r="NH4" s="11" t="str">
        <f t="shared" ref="NH4:NH17" si="156">IF(MAX(ND4,NG4)&gt;0,MAX(ND4,NG4),"")</f>
        <v/>
      </c>
      <c r="NI4" s="11" t="str">
        <f t="shared" ref="NI4:NI17" si="157">IF(MT4&gt;0,MT4,"")</f>
        <v/>
      </c>
      <c r="NJ4" s="11" t="str">
        <f t="shared" ref="NJ4:NJ17" si="158">IF(MU4&gt;0,MU4,"")</f>
        <v/>
      </c>
      <c r="NK4" s="11" t="str">
        <f t="shared" ref="NK4:NK17" si="159">IF(SUM(MR4:MU4)-MV4&gt;0,SUM(MR4:MU4)-MV4,"")</f>
        <v/>
      </c>
      <c r="NL4" s="11" t="str">
        <f t="shared" ref="NL4:NL17" si="160">IF(MY4&gt;0,MY4,"")</f>
        <v/>
      </c>
      <c r="NM4" s="11" t="str">
        <f t="shared" ref="NM4:NM17" si="161">IF(MZ4&gt;0,MZ4,"")</f>
        <v/>
      </c>
      <c r="NN4" s="11" t="str">
        <f t="shared" ref="NN4:NN17" si="162">IF(SUM(MW4:MZ4)-NA4&gt;0,SUM(MW4:MZ4)-NA4,"")</f>
        <v/>
      </c>
      <c r="NO4" s="11" t="str">
        <f t="shared" ref="NO4:NO17" si="163"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17" si="164">IF(NR4&gt;0,NR4,"")</f>
        <v/>
      </c>
      <c r="OK4" s="41" t="str">
        <f t="shared" ref="OK4:OK17" si="165">IF(NS4&gt;0,NS4,"")</f>
        <v/>
      </c>
      <c r="OL4" s="41" t="str">
        <f t="shared" ref="OL4:OL17" si="166">IF(SUM(NP4:NS4)-NT4&gt;0,SUM(NP4:NS4)-NT4,"")</f>
        <v/>
      </c>
      <c r="OM4" s="41" t="str">
        <f t="shared" ref="OM4:OM17" si="167">IF(NW4&gt;0,NW4,"")</f>
        <v/>
      </c>
      <c r="ON4" s="41" t="str">
        <f t="shared" ref="ON4:ON17" si="168">IF(NX4&gt;0,NX4,"")</f>
        <v/>
      </c>
      <c r="OO4" s="41" t="str">
        <f t="shared" ref="OO4:OO17" si="169">IF(SUM(NU4:NX4)-NY4&gt;0,SUM(NU4:NX4)-NY4,"")</f>
        <v/>
      </c>
      <c r="OP4" s="41" t="str">
        <f t="shared" ref="OP4:OP17" si="170">IF(MAX(OL4,OO4)&gt;0,MAX(OL4,OO4),"")</f>
        <v/>
      </c>
      <c r="OQ4" s="41" t="str">
        <f t="shared" ref="OQ4:OQ17" si="171">IF(OB4&gt;0,OB4,"")</f>
        <v/>
      </c>
      <c r="OR4" s="41" t="str">
        <f t="shared" ref="OR4:OR17" si="172">IF(OC4&gt;0,OC4,"")</f>
        <v/>
      </c>
      <c r="OS4" s="41" t="str">
        <f t="shared" ref="OS4:OS17" si="173">IF(SUM(NZ4:OC4)-OD4&gt;0,SUM(NZ4:OC4)-OD4,"")</f>
        <v/>
      </c>
      <c r="OT4" s="41" t="str">
        <f t="shared" ref="OT4:OT17" si="174">IF(OG4&gt;0,OG4,"")</f>
        <v/>
      </c>
      <c r="OU4" s="41" t="str">
        <f t="shared" ref="OU4:OU17" si="175">IF(OH4&gt;0,OH4,"")</f>
        <v/>
      </c>
      <c r="OV4" s="41" t="str">
        <f t="shared" ref="OV4:OV17" si="176">IF(SUM(OE4:OH4)-OI4&gt;0,SUM(OE4:OH4)-OI4,"")</f>
        <v/>
      </c>
      <c r="OW4" s="41" t="str">
        <f t="shared" ref="OW4:OW17" si="177"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7" si="178">IF(OZ4&gt;0,OZ4,"")</f>
        <v/>
      </c>
      <c r="PS4" s="11" t="str">
        <f t="shared" ref="PS4:PS17" si="179">IF(PA4&gt;0,PA4,"")</f>
        <v/>
      </c>
      <c r="PT4" s="11" t="str">
        <f t="shared" ref="PT4:PT17" si="180">IF(SUM(OX4:PA4)-PB4&gt;0,SUM(OX4:PA4)-PB4,"")</f>
        <v/>
      </c>
      <c r="PU4" s="11" t="str">
        <f t="shared" ref="PU4:PU17" si="181">IF(PE4&gt;0,PE4,"")</f>
        <v/>
      </c>
      <c r="PV4" s="11" t="str">
        <f t="shared" ref="PV4:PV17" si="182">IF(PF4&gt;0,PF4,"")</f>
        <v/>
      </c>
      <c r="PW4" s="11" t="str">
        <f t="shared" ref="PW4:PW17" si="183">IF(SUM(PC4:PF4)-PG4&gt;0,SUM(PC4:PF4)-PG4,"")</f>
        <v/>
      </c>
      <c r="PX4" s="11" t="str">
        <f t="shared" ref="PX4:PX17" si="184">IF(MAX(PT4,PW4)&gt;0,MAX(PT4,PW4),"")</f>
        <v/>
      </c>
      <c r="PY4" s="11" t="str">
        <f t="shared" ref="PY4:PY17" si="185">IF(PJ4&gt;0,PJ4,"")</f>
        <v/>
      </c>
      <c r="PZ4" s="11" t="str">
        <f t="shared" ref="PZ4:PZ17" si="186">IF(PK4&gt;0,PK4,"")</f>
        <v/>
      </c>
      <c r="QA4" s="11" t="str">
        <f t="shared" ref="QA4:QA17" si="187">IF(SUM(PH4:PK4)-PL4&gt;0,SUM(PH4:PK4)-PL4,"")</f>
        <v/>
      </c>
      <c r="QB4" s="11" t="str">
        <f t="shared" ref="QB4:QB17" si="188">IF(PO4&gt;0,PO4,"")</f>
        <v/>
      </c>
      <c r="QC4" s="11" t="str">
        <f t="shared" ref="QC4:QC17" si="189">IF(PP4&gt;0,PP4,"")</f>
        <v/>
      </c>
      <c r="QD4" s="11" t="str">
        <f t="shared" ref="QD4:QD17" si="190">IF(SUM(PM4:PP4)-PQ4&gt;0,SUM(PM4:PP4)-PQ4,"")</f>
        <v/>
      </c>
      <c r="QE4" s="11" t="str">
        <f t="shared" ref="QE4:QE17" si="191"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17" si="192">IF(QH4&gt;0,QH4,"")</f>
        <v/>
      </c>
      <c r="RA4" s="41" t="str">
        <f t="shared" ref="RA4:RA17" si="193">IF(QI4&gt;0,QI4,"")</f>
        <v/>
      </c>
      <c r="RB4" s="41" t="str">
        <f t="shared" ref="RB4:RB17" si="194">IF(SUM(QF4:QI4)-QJ4&gt;0,SUM(QF4:QI4)-QJ4,"")</f>
        <v/>
      </c>
      <c r="RC4" s="41" t="str">
        <f t="shared" ref="RC4:RC17" si="195">IF(QM4&gt;0,QM4,"")</f>
        <v/>
      </c>
      <c r="RD4" s="41" t="str">
        <f t="shared" ref="RD4:RD17" si="196">IF(QN4&gt;0,QN4,"")</f>
        <v/>
      </c>
      <c r="RE4" s="41" t="str">
        <f t="shared" ref="RE4:RE17" si="197">IF(SUM(QK4:QN4)-QO4&gt;0,SUM(QK4:QN4)-QO4,"")</f>
        <v/>
      </c>
      <c r="RF4" s="41" t="str">
        <f t="shared" ref="RF4:RF17" si="198">IF(MAX(RB4,RE4)&gt;0,MAX(RB4,RE4),"")</f>
        <v/>
      </c>
      <c r="RG4" s="41" t="str">
        <f t="shared" ref="RG4:RG17" si="199">IF(QR4&gt;0,QR4,"")</f>
        <v/>
      </c>
      <c r="RH4" s="41" t="str">
        <f t="shared" ref="RH4:RH17" si="200">IF(QS4&gt;0,QS4,"")</f>
        <v/>
      </c>
      <c r="RI4" s="41" t="str">
        <f t="shared" ref="RI4:RI17" si="201">IF(SUM(QP4:QS4)-QT4&gt;0,SUM(QP4:QS4)-QT4,"")</f>
        <v/>
      </c>
      <c r="RJ4" s="41" t="str">
        <f t="shared" ref="RJ4:RJ17" si="202">IF(QW4&gt;0,QW4,"")</f>
        <v/>
      </c>
      <c r="RK4" s="41" t="str">
        <f t="shared" ref="RK4:RK17" si="203">IF(QX4&gt;0,QX4,"")</f>
        <v/>
      </c>
      <c r="RL4" s="41" t="str">
        <f t="shared" ref="RL4:RL17" si="204">IF(SUM(QU4:QX4)-QY4&gt;0,SUM(QU4:QX4)-QY4,"")</f>
        <v/>
      </c>
      <c r="RM4" s="41" t="str">
        <f t="shared" ref="RM4:RM17" si="205"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7" si="206">IF(RP4&gt;0,RP4,"")</f>
        <v/>
      </c>
      <c r="SI4" s="11" t="str">
        <f t="shared" ref="SI4:SI17" si="207">IF(RQ4&gt;0,RQ4,"")</f>
        <v/>
      </c>
      <c r="SJ4" s="11" t="str">
        <f t="shared" ref="SJ4:SJ17" si="208">IF(SUM(RN4:RQ4)-RR4&gt;0,SUM(RN4:RQ4)-RR4,"")</f>
        <v/>
      </c>
      <c r="SK4" s="11" t="str">
        <f t="shared" ref="SK4:SK17" si="209">IF(RU4&gt;0,RU4,"")</f>
        <v/>
      </c>
      <c r="SL4" s="11" t="str">
        <f t="shared" ref="SL4:SL17" si="210">IF(RV4&gt;0,RV4,"")</f>
        <v/>
      </c>
      <c r="SM4" s="11" t="str">
        <f t="shared" ref="SM4:SM17" si="211">IF(SUM(RS4:RV4)-RW4&gt;0,SUM(RS4:RV4)-RW4,"")</f>
        <v/>
      </c>
      <c r="SN4" s="11" t="str">
        <f t="shared" ref="SN4:SN17" si="212">IF(MAX(SJ4,SM4)&gt;0,MAX(SJ4,SM4),"")</f>
        <v/>
      </c>
      <c r="SO4" s="11" t="str">
        <f t="shared" ref="SO4:SO17" si="213">IF(RZ4&gt;0,RZ4,"")</f>
        <v/>
      </c>
      <c r="SP4" s="11" t="str">
        <f t="shared" ref="SP4:SP17" si="214">IF(SA4&gt;0,SA4,"")</f>
        <v/>
      </c>
      <c r="SQ4" s="11" t="str">
        <f t="shared" ref="SQ4:SQ17" si="215">IF(SUM(RX4:SA4)-SB4&gt;0,SUM(RX4:SA4)-SB4,"")</f>
        <v/>
      </c>
      <c r="SR4" s="11" t="str">
        <f t="shared" ref="SR4:SR17" si="216">IF(SE4&gt;0,SE4,"")</f>
        <v/>
      </c>
      <c r="SS4" s="11" t="str">
        <f t="shared" ref="SS4:SS17" si="217">IF(SF4&gt;0,SF4,"")</f>
        <v/>
      </c>
      <c r="ST4" s="11" t="str">
        <f t="shared" ref="ST4:ST17" si="218">IF(SUM(SC4:SF4)-SG4&gt;0,SUM(SC4:SF4)-SG4,"")</f>
        <v/>
      </c>
      <c r="SU4" s="11" t="str">
        <f t="shared" ref="SU4:SU17" si="219">IF(SUM(SN4,ST4)&gt;0,SUM(SN4,ST4),"")</f>
        <v/>
      </c>
      <c r="SV4" s="23">
        <f t="shared" ref="SV4:SV17" si="220">IF($CP4="P",CA4,(CA4+AZ4)/2)</f>
        <v>16.100000000000001</v>
      </c>
      <c r="SW4" s="23">
        <f t="shared" ref="SW4:SW17" si="221">IF($CP4="P",CB4,(CB4+BA4)/2)</f>
        <v>9.25</v>
      </c>
      <c r="SX4" s="23">
        <f t="shared" ref="SX4:SX17" si="222">IF($CP4="P",CC4,(CC4+BB4)/2)</f>
        <v>13.7</v>
      </c>
      <c r="SY4" s="23">
        <f t="shared" ref="SY4:SY17" si="223">IF($CP4="P",CD4,(CD4+BC4)/2)</f>
        <v>15.355</v>
      </c>
      <c r="SZ4" s="23">
        <f t="shared" ref="SZ4:SZ17" si="224">IF($CP4="P",CE4,(CE4+BD4)/2)</f>
        <v>0</v>
      </c>
      <c r="TA4" s="23">
        <f t="shared" ref="TA4:TA17" si="225">IF($CP4="P",CF4,(CF4+BE4)/2)</f>
        <v>15.55</v>
      </c>
      <c r="TB4" s="23">
        <f t="shared" ref="TB4:TB17" si="226">IF($CP4="P",CG4,(CG4+BF4)/2)</f>
        <v>9.4499999999999993</v>
      </c>
      <c r="TC4" s="23">
        <f t="shared" ref="TC4:TC17" si="227">IF($CP4="P",CH4,(CH4+BG4)/2)</f>
        <v>14.3</v>
      </c>
      <c r="TD4" s="23">
        <f t="shared" ref="TD4:TD17" si="228">IF($CP4="P",CI4,(CI4+BH4)/2)</f>
        <v>15.445</v>
      </c>
      <c r="TE4" s="23">
        <f t="shared" ref="TE4:TE17" si="229">IF($CP4="P",CJ4,(CJ4+BI4)/2)</f>
        <v>0</v>
      </c>
      <c r="TF4" s="23">
        <f t="shared" ref="TF4:TF17" si="230">IF($CP4="P",CK4,(CK4+BJ4)/2)</f>
        <v>10.71</v>
      </c>
      <c r="TG4" s="23">
        <f t="shared" ref="TG4:TG17" si="231">IF($CP4="P",CL4,(CL4+BK4)/2)</f>
        <v>6.1</v>
      </c>
      <c r="TH4" s="23">
        <f t="shared" ref="TH4:TH17" si="232">IF($CP4="P",CM4,(CM4+BL4)/2)</f>
        <v>9.5500000000000007</v>
      </c>
      <c r="TI4" s="23">
        <f t="shared" ref="TI4:TI17" si="233">IF($CP4="P",CN4,(CN4+BM4)/2)</f>
        <v>10.344999999999999</v>
      </c>
      <c r="TJ4" s="23">
        <f t="shared" ref="TJ4:TJ17" si="234">IF($CP4="P",CO4,(CO4+BN4)/2)</f>
        <v>0.1</v>
      </c>
      <c r="TK4" s="28" t="s">
        <v>58</v>
      </c>
      <c r="TL4" s="41">
        <f t="shared" ref="TL4:TL17" si="235">IF(SX4&gt;0,SX4,"")</f>
        <v>13.7</v>
      </c>
      <c r="TM4" s="41">
        <f t="shared" ref="TM4:TM17" si="236">IF(SY4&gt;0,SY4,"")</f>
        <v>15.355</v>
      </c>
      <c r="TN4" s="41">
        <f t="shared" ref="TN4:TN17" si="237">IF(SUM(SV4:SY4)-SZ4&gt;0,SUM(SV4:SY4)-SZ4,"")</f>
        <v>54.405000000000001</v>
      </c>
      <c r="TO4" s="41">
        <f t="shared" ref="TO4:TO17" si="238">IF(TC4&gt;0,TC4,"")</f>
        <v>14.3</v>
      </c>
      <c r="TP4" s="41">
        <f t="shared" ref="TP4:TP17" si="239">IF(TD4&gt;0,TD4,"")</f>
        <v>15.445</v>
      </c>
      <c r="TQ4" s="41">
        <f t="shared" ref="TQ4:TQ17" si="240">IF(SUM(TA4:TD4)-TE4&gt;0,SUM(TA4:TD4)-TE4,"")</f>
        <v>54.744999999999997</v>
      </c>
      <c r="TR4" s="41">
        <f t="shared" ref="TR4:TR17" si="241">IF(MAX(TN4,TQ4)&gt;0,MAX(TN4,TQ4),"")</f>
        <v>54.744999999999997</v>
      </c>
      <c r="TS4" s="41">
        <f t="shared" ref="TS4:TS17" si="242">IF(TH4&gt;0,TH4,"")</f>
        <v>9.5500000000000007</v>
      </c>
      <c r="TT4" s="41">
        <f t="shared" ref="TT4:TT17" si="243">IF(TI4&gt;0,TI4,"")</f>
        <v>10.344999999999999</v>
      </c>
      <c r="TU4" s="41">
        <f t="shared" ref="TU4:TU17" si="244">IF(SUM(TF4:TI4)-TJ4&gt;0,SUM(TF4:TI4)-TJ4,"")</f>
        <v>36.604999999999997</v>
      </c>
      <c r="TV4" s="41">
        <f t="shared" ref="TV4:TV17" si="245">IF(SUM(TR4,TU4)&gt;0,SUM(TR4,TU4),"")</f>
        <v>91.35</v>
      </c>
    </row>
    <row r="5" spans="1:542" x14ac:dyDescent="0.2">
      <c r="A5" s="4" cm="1">
        <f t="array" ref="A5">IF(AND(F5&lt;&gt;"",G5&lt;&gt;""),SUMPRODUCT((F$4:F$18&lt;&gt;"")*(G$4:G$18&lt;&gt;"")*(E$4:E$18&gt;E5))+1,IF(G5&lt;&gt;"",SUMPRODUCT((H$4:H$18="No DD")*(E$4:E$18&gt;E5))+1+SUMPRODUCT((F$4:F$18&lt;&gt;"")*(G$4:G$18&lt;&gt;"")),""))</f>
        <v>2</v>
      </c>
      <c r="B5" s="5" t="s">
        <v>25</v>
      </c>
      <c r="C5" s="4" t="s">
        <v>8</v>
      </c>
      <c r="D5" s="4">
        <v>1998</v>
      </c>
      <c r="E5" s="9">
        <f t="shared" si="0"/>
        <v>251.24002507200552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55.19</v>
      </c>
      <c r="K5" s="8" t="str">
        <f t="shared" si="5"/>
        <v>2023 Elite Canada</v>
      </c>
      <c r="L5" s="8">
        <f>IF(COUNT(AQ5,AT5,BR5,BU5,CS5,CV5)&gt;1,LARGE((AQ5,AT5,BR5,BU5,CS5,CV5),2),0)</f>
        <v>55.160000000000004</v>
      </c>
      <c r="M5" s="8" t="str">
        <f t="shared" si="6"/>
        <v>2022 Nationals</v>
      </c>
      <c r="N5" s="8">
        <f>IF(COUNT(AQ5,AT5,BR5,BU5,CS5,CV5)&gt;2,LARGE((AQ5,AT5,BR5,BU5,CS5,CV5),3),0)</f>
        <v>54.58</v>
      </c>
      <c r="O5" s="8" t="str">
        <f t="shared" si="7"/>
        <v>2022 Nationals</v>
      </c>
      <c r="P5" s="8">
        <f t="shared" si="8"/>
        <v>55.33</v>
      </c>
      <c r="Q5" s="8" t="str">
        <f t="shared" si="9"/>
        <v>2023 Elite Canada</v>
      </c>
      <c r="R5" s="8">
        <f t="shared" si="10"/>
        <v>15</v>
      </c>
      <c r="S5" s="8" t="str">
        <f t="shared" si="11"/>
        <v>2022 World Cup POR (June 26)</v>
      </c>
      <c r="T5" s="8">
        <f t="shared" si="12"/>
        <v>15.46</v>
      </c>
      <c r="U5" s="8" t="str">
        <f t="shared" si="13"/>
        <v>2022 Nationals</v>
      </c>
      <c r="V5" s="8">
        <f t="shared" si="14"/>
        <v>0.52000000000000313</v>
      </c>
      <c r="W5" s="11" t="str">
        <f t="shared" si="15"/>
        <v>(Prelim)</v>
      </c>
      <c r="X5" s="8" t="str">
        <f t="shared" si="16"/>
        <v>2022 World Cup POR (June 26)</v>
      </c>
      <c r="Y5" s="23">
        <v>16.100000000000001</v>
      </c>
      <c r="Z5" s="23">
        <v>9.4</v>
      </c>
      <c r="AA5" s="23">
        <v>14.4</v>
      </c>
      <c r="AB5" s="23">
        <v>14.88</v>
      </c>
      <c r="AC5" s="23">
        <v>0.2</v>
      </c>
      <c r="AD5" s="23">
        <v>16</v>
      </c>
      <c r="AE5" s="23">
        <v>9.3000000000000007</v>
      </c>
      <c r="AF5" s="23">
        <v>14.4</v>
      </c>
      <c r="AG5" s="23">
        <v>15.46</v>
      </c>
      <c r="AH5" s="23">
        <v>0</v>
      </c>
      <c r="AI5" s="23">
        <v>16.100000000000001</v>
      </c>
      <c r="AJ5" s="23">
        <v>9.4</v>
      </c>
      <c r="AK5" s="23">
        <v>14.4</v>
      </c>
      <c r="AL5" s="23">
        <v>15.45</v>
      </c>
      <c r="AM5" s="23">
        <v>0.2</v>
      </c>
      <c r="AN5" s="28"/>
      <c r="AO5" s="39">
        <f t="shared" si="17"/>
        <v>14.4</v>
      </c>
      <c r="AP5" s="39">
        <f t="shared" si="18"/>
        <v>14.88</v>
      </c>
      <c r="AQ5" s="41">
        <f t="shared" si="19"/>
        <v>54.58</v>
      </c>
      <c r="AR5" s="41">
        <f t="shared" si="20"/>
        <v>14.4</v>
      </c>
      <c r="AS5" s="41">
        <f t="shared" si="21"/>
        <v>15.46</v>
      </c>
      <c r="AT5" s="41">
        <f t="shared" si="22"/>
        <v>55.160000000000004</v>
      </c>
      <c r="AU5" s="41">
        <f t="shared" si="23"/>
        <v>55.160000000000004</v>
      </c>
      <c r="AV5" s="41">
        <f t="shared" si="24"/>
        <v>14.4</v>
      </c>
      <c r="AW5" s="41">
        <f t="shared" si="25"/>
        <v>15.45</v>
      </c>
      <c r="AX5" s="41">
        <f t="shared" si="26"/>
        <v>55.149999999999991</v>
      </c>
      <c r="AY5" s="41">
        <f t="shared" si="27"/>
        <v>110.31</v>
      </c>
      <c r="AZ5" s="27">
        <v>15.78</v>
      </c>
      <c r="BA5" s="27">
        <v>9.4</v>
      </c>
      <c r="BB5" s="27">
        <v>14</v>
      </c>
      <c r="BC5" s="27">
        <v>15.1</v>
      </c>
      <c r="BD5" s="27">
        <v>0</v>
      </c>
      <c r="BE5" s="27">
        <v>15.6</v>
      </c>
      <c r="BF5" s="27">
        <v>9.1</v>
      </c>
      <c r="BG5" s="27">
        <v>14.4</v>
      </c>
      <c r="BH5" s="27">
        <v>15.05</v>
      </c>
      <c r="BI5" s="27">
        <v>0</v>
      </c>
      <c r="BJ5" s="27">
        <v>15.8</v>
      </c>
      <c r="BK5" s="27">
        <v>8.5</v>
      </c>
      <c r="BL5" s="27">
        <v>13.4</v>
      </c>
      <c r="BM5" s="27">
        <v>15</v>
      </c>
      <c r="BN5" s="27">
        <v>0</v>
      </c>
      <c r="BO5" s="29"/>
      <c r="BP5" s="40">
        <f t="shared" si="28"/>
        <v>14</v>
      </c>
      <c r="BQ5" s="40">
        <f t="shared" si="29"/>
        <v>15.1</v>
      </c>
      <c r="BR5" s="11">
        <f t="shared" si="30"/>
        <v>54.28</v>
      </c>
      <c r="BS5" s="11">
        <f t="shared" si="31"/>
        <v>14.4</v>
      </c>
      <c r="BT5" s="11">
        <f t="shared" si="32"/>
        <v>15.05</v>
      </c>
      <c r="BU5" s="11">
        <f t="shared" si="33"/>
        <v>54.150000000000006</v>
      </c>
      <c r="BV5" s="11">
        <f t="shared" si="34"/>
        <v>54.28</v>
      </c>
      <c r="BW5" s="11">
        <f t="shared" si="35"/>
        <v>13.4</v>
      </c>
      <c r="BX5" s="11">
        <f t="shared" si="36"/>
        <v>15</v>
      </c>
      <c r="BY5" s="11">
        <f t="shared" si="37"/>
        <v>52.7</v>
      </c>
      <c r="BZ5" s="11">
        <f t="shared" si="38"/>
        <v>106.98</v>
      </c>
      <c r="CA5" s="23">
        <v>16.399999999999999</v>
      </c>
      <c r="CB5" s="23">
        <v>9.1999999999999993</v>
      </c>
      <c r="CC5" s="23">
        <v>14.4</v>
      </c>
      <c r="CD5" s="23">
        <v>15.39</v>
      </c>
      <c r="CE5" s="23">
        <v>0.2</v>
      </c>
      <c r="CF5" s="23">
        <v>1.6</v>
      </c>
      <c r="CG5" s="23">
        <v>1</v>
      </c>
      <c r="CH5" s="23">
        <v>2</v>
      </c>
      <c r="CI5" s="23">
        <v>1.76</v>
      </c>
      <c r="CJ5" s="23">
        <v>0</v>
      </c>
      <c r="CK5" s="23">
        <v>16.399999999999999</v>
      </c>
      <c r="CL5" s="23">
        <v>9.3000000000000007</v>
      </c>
      <c r="CM5" s="23">
        <v>14.4</v>
      </c>
      <c r="CN5" s="23">
        <v>15.23</v>
      </c>
      <c r="CO5" s="23">
        <v>0</v>
      </c>
      <c r="CP5" s="28"/>
      <c r="CQ5" s="39">
        <f t="shared" si="39"/>
        <v>14.4</v>
      </c>
      <c r="CR5" s="39">
        <f t="shared" si="40"/>
        <v>15.39</v>
      </c>
      <c r="CS5" s="41">
        <f t="shared" si="41"/>
        <v>55.19</v>
      </c>
      <c r="CT5" s="41">
        <f t="shared" si="42"/>
        <v>2</v>
      </c>
      <c r="CU5" s="41">
        <f t="shared" si="43"/>
        <v>1.76</v>
      </c>
      <c r="CV5" s="41">
        <f t="shared" si="44"/>
        <v>6.3599999999999994</v>
      </c>
      <c r="CW5" s="41">
        <f t="shared" si="45"/>
        <v>55.19</v>
      </c>
      <c r="CX5" s="41">
        <f t="shared" si="46"/>
        <v>14.4</v>
      </c>
      <c r="CY5" s="41">
        <f t="shared" si="47"/>
        <v>15.23</v>
      </c>
      <c r="CZ5" s="41">
        <f t="shared" si="48"/>
        <v>55.33</v>
      </c>
      <c r="DA5" s="41">
        <f t="shared" si="49"/>
        <v>110.52</v>
      </c>
      <c r="DB5" s="52">
        <f t="shared" si="50"/>
        <v>0.52000000000000313</v>
      </c>
      <c r="DC5" s="52">
        <f t="shared" si="51"/>
        <v>0.28000000000000114</v>
      </c>
      <c r="DD5" s="17">
        <v>14.7</v>
      </c>
      <c r="DE5" s="17">
        <v>9.3000000000000007</v>
      </c>
      <c r="DF5" s="17">
        <v>14.2</v>
      </c>
      <c r="DG5" s="17">
        <v>14.38</v>
      </c>
      <c r="DH5" s="17">
        <v>0</v>
      </c>
      <c r="DI5" s="17"/>
      <c r="DJ5" s="17"/>
      <c r="DK5" s="17"/>
      <c r="DL5" s="17"/>
      <c r="DM5" s="17"/>
      <c r="DN5" s="17">
        <v>15.6</v>
      </c>
      <c r="DO5" s="17">
        <v>9.3000000000000007</v>
      </c>
      <c r="DP5" s="17">
        <v>14.4</v>
      </c>
      <c r="DQ5" s="17">
        <v>14.75</v>
      </c>
      <c r="DR5" s="17">
        <v>0</v>
      </c>
      <c r="DS5" s="17">
        <v>1.6</v>
      </c>
      <c r="DT5" s="17">
        <v>0.8</v>
      </c>
      <c r="DU5" s="17">
        <v>2</v>
      </c>
      <c r="DV5" s="17">
        <v>1.61</v>
      </c>
      <c r="DW5" s="17">
        <v>0</v>
      </c>
      <c r="DX5" s="41">
        <f t="shared" si="52"/>
        <v>14.2</v>
      </c>
      <c r="DY5" s="41">
        <f t="shared" si="53"/>
        <v>14.38</v>
      </c>
      <c r="DZ5" s="41">
        <f t="shared" si="54"/>
        <v>52.580000000000005</v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>
        <f t="shared" si="58"/>
        <v>52.580000000000005</v>
      </c>
      <c r="EE5" s="41">
        <f t="shared" si="59"/>
        <v>14.4</v>
      </c>
      <c r="EF5" s="41">
        <f t="shared" si="60"/>
        <v>14.75</v>
      </c>
      <c r="EG5" s="41">
        <f t="shared" si="61"/>
        <v>54.05</v>
      </c>
      <c r="EH5" s="41">
        <f t="shared" si="62"/>
        <v>2</v>
      </c>
      <c r="EI5" s="41">
        <f t="shared" si="63"/>
        <v>1.61</v>
      </c>
      <c r="EJ5" s="41">
        <f t="shared" si="64"/>
        <v>6.0100000000000007</v>
      </c>
      <c r="EK5" s="41">
        <f t="shared" si="65"/>
        <v>58.59</v>
      </c>
      <c r="EL5" s="18">
        <v>15.8</v>
      </c>
      <c r="EM5" s="18">
        <v>9.8000000000000007</v>
      </c>
      <c r="EN5" s="18">
        <v>14.4</v>
      </c>
      <c r="EO5" s="18">
        <v>15.1</v>
      </c>
      <c r="EP5" s="18">
        <v>0</v>
      </c>
      <c r="EQ5" s="18">
        <v>15.7</v>
      </c>
      <c r="ER5" s="18">
        <v>9.4</v>
      </c>
      <c r="ES5" s="18">
        <v>15</v>
      </c>
      <c r="ET5" s="18">
        <v>14.94</v>
      </c>
      <c r="EU5" s="18">
        <v>0.2</v>
      </c>
      <c r="EV5" s="18"/>
      <c r="EW5" s="18"/>
      <c r="EX5" s="18"/>
      <c r="EY5" s="18"/>
      <c r="EZ5" s="18"/>
      <c r="FA5" s="18">
        <v>15</v>
      </c>
      <c r="FB5" s="18">
        <v>9.6</v>
      </c>
      <c r="FC5" s="18">
        <v>14.2</v>
      </c>
      <c r="FD5" s="18">
        <v>15.19</v>
      </c>
      <c r="FE5" s="18">
        <v>0</v>
      </c>
      <c r="FF5" s="11">
        <f t="shared" si="66"/>
        <v>14.4</v>
      </c>
      <c r="FG5" s="11">
        <f t="shared" si="67"/>
        <v>15.1</v>
      </c>
      <c r="FH5" s="11">
        <f t="shared" si="68"/>
        <v>55.1</v>
      </c>
      <c r="FI5" s="11">
        <f t="shared" si="69"/>
        <v>15</v>
      </c>
      <c r="FJ5" s="11">
        <f t="shared" si="70"/>
        <v>14.94</v>
      </c>
      <c r="FK5" s="11">
        <f t="shared" si="71"/>
        <v>54.839999999999996</v>
      </c>
      <c r="FL5" s="11">
        <f t="shared" si="72"/>
        <v>55.1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>
        <f t="shared" si="76"/>
        <v>14.2</v>
      </c>
      <c r="FQ5" s="11">
        <f t="shared" si="77"/>
        <v>15.19</v>
      </c>
      <c r="FR5" s="11">
        <f t="shared" si="78"/>
        <v>53.989999999999995</v>
      </c>
      <c r="FS5" s="11">
        <f t="shared" si="79"/>
        <v>109.09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15.4</v>
      </c>
      <c r="IK5" s="17">
        <v>9.6</v>
      </c>
      <c r="IL5" s="17">
        <v>14.4</v>
      </c>
      <c r="IM5" s="17">
        <v>15.1</v>
      </c>
      <c r="IN5" s="17">
        <v>0.2</v>
      </c>
      <c r="IO5" s="17">
        <v>15.6</v>
      </c>
      <c r="IP5" s="17">
        <v>9</v>
      </c>
      <c r="IQ5" s="17">
        <v>14</v>
      </c>
      <c r="IR5" s="17">
        <v>14.99</v>
      </c>
      <c r="IS5" s="17">
        <v>0.2</v>
      </c>
      <c r="IT5" s="17">
        <v>16.399999999999999</v>
      </c>
      <c r="IU5" s="17">
        <v>9.6999999999999993</v>
      </c>
      <c r="IV5" s="17">
        <v>14.4</v>
      </c>
      <c r="IW5" s="17">
        <v>15.11</v>
      </c>
      <c r="IX5" s="17">
        <v>0</v>
      </c>
      <c r="IY5" s="17">
        <v>15.5</v>
      </c>
      <c r="IZ5" s="17">
        <v>9.3000000000000007</v>
      </c>
      <c r="JA5" s="17">
        <v>14.4</v>
      </c>
      <c r="JB5" s="17">
        <v>15.115</v>
      </c>
      <c r="JC5" s="17">
        <v>0</v>
      </c>
      <c r="JD5" s="41">
        <f t="shared" si="108"/>
        <v>14.4</v>
      </c>
      <c r="JE5" s="41">
        <f t="shared" si="109"/>
        <v>15.1</v>
      </c>
      <c r="JF5" s="41">
        <f t="shared" si="110"/>
        <v>54.3</v>
      </c>
      <c r="JG5" s="41">
        <f t="shared" si="111"/>
        <v>14</v>
      </c>
      <c r="JH5" s="41">
        <f t="shared" si="112"/>
        <v>14.99</v>
      </c>
      <c r="JI5" s="41">
        <f t="shared" si="113"/>
        <v>53.39</v>
      </c>
      <c r="JJ5" s="41">
        <f t="shared" si="114"/>
        <v>54.3</v>
      </c>
      <c r="JK5" s="41">
        <f t="shared" si="115"/>
        <v>14.4</v>
      </c>
      <c r="JL5" s="41">
        <f t="shared" si="116"/>
        <v>15.11</v>
      </c>
      <c r="JM5" s="41">
        <f t="shared" si="117"/>
        <v>55.61</v>
      </c>
      <c r="JN5" s="41">
        <f t="shared" si="118"/>
        <v>14.4</v>
      </c>
      <c r="JO5" s="41">
        <f t="shared" si="119"/>
        <v>15.115</v>
      </c>
      <c r="JP5" s="41">
        <f t="shared" si="120"/>
        <v>54.315000000000005</v>
      </c>
      <c r="JQ5" s="41">
        <f t="shared" si="121"/>
        <v>108.61500000000001</v>
      </c>
      <c r="JR5" s="18">
        <v>15.4</v>
      </c>
      <c r="JS5" s="18">
        <v>9.5</v>
      </c>
      <c r="JT5" s="18">
        <v>14.4</v>
      </c>
      <c r="JU5" s="18">
        <v>15.07</v>
      </c>
      <c r="JV5" s="18">
        <v>0</v>
      </c>
      <c r="JW5" s="18">
        <v>3.2</v>
      </c>
      <c r="JX5" s="18">
        <v>1.8</v>
      </c>
      <c r="JY5" s="18">
        <v>3.2</v>
      </c>
      <c r="JZ5" s="18">
        <v>3.31</v>
      </c>
      <c r="KA5" s="18">
        <v>0.2</v>
      </c>
      <c r="KB5" s="18">
        <v>1.6</v>
      </c>
      <c r="KC5" s="18">
        <v>1</v>
      </c>
      <c r="KD5" s="18">
        <v>2</v>
      </c>
      <c r="KE5" s="18">
        <v>1.63</v>
      </c>
      <c r="KF5" s="18">
        <v>0</v>
      </c>
      <c r="KG5" s="18"/>
      <c r="KH5" s="18"/>
      <c r="KI5" s="18"/>
      <c r="KJ5" s="18"/>
      <c r="KK5" s="18"/>
      <c r="KL5" s="11">
        <f t="shared" si="122"/>
        <v>14.4</v>
      </c>
      <c r="KM5" s="11">
        <f t="shared" si="123"/>
        <v>15.07</v>
      </c>
      <c r="KN5" s="11">
        <f t="shared" si="124"/>
        <v>54.37</v>
      </c>
      <c r="KO5" s="11">
        <f t="shared" si="125"/>
        <v>3.2</v>
      </c>
      <c r="KP5" s="11">
        <f t="shared" si="126"/>
        <v>3.31</v>
      </c>
      <c r="KQ5" s="11">
        <f t="shared" si="127"/>
        <v>11.31</v>
      </c>
      <c r="KR5" s="11">
        <f t="shared" si="128"/>
        <v>54.37</v>
      </c>
      <c r="KS5" s="11">
        <f t="shared" si="129"/>
        <v>2</v>
      </c>
      <c r="KT5" s="11">
        <f t="shared" si="130"/>
        <v>1.63</v>
      </c>
      <c r="KU5" s="11">
        <f t="shared" si="131"/>
        <v>6.2299999999999995</v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54.37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6.2</v>
      </c>
      <c r="LP5" s="17">
        <v>3.6</v>
      </c>
      <c r="LQ5" s="17">
        <v>5.9</v>
      </c>
      <c r="LR5" s="17">
        <v>6.21</v>
      </c>
      <c r="LS5" s="17">
        <v>0</v>
      </c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>
        <f t="shared" si="146"/>
        <v>5.9</v>
      </c>
      <c r="ME5" s="41">
        <f t="shared" si="147"/>
        <v>6.21</v>
      </c>
      <c r="MF5" s="41">
        <f t="shared" si="148"/>
        <v>21.91</v>
      </c>
      <c r="MG5" s="41">
        <f t="shared" si="149"/>
        <v>21.91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16.09</v>
      </c>
      <c r="SW5" s="23">
        <f t="shared" si="221"/>
        <v>9.3000000000000007</v>
      </c>
      <c r="SX5" s="23">
        <f t="shared" si="222"/>
        <v>14.2</v>
      </c>
      <c r="SY5" s="23">
        <f t="shared" si="223"/>
        <v>15.245000000000001</v>
      </c>
      <c r="SZ5" s="23">
        <f t="shared" si="224"/>
        <v>0.1</v>
      </c>
      <c r="TA5" s="23">
        <f t="shared" si="225"/>
        <v>8.6</v>
      </c>
      <c r="TB5" s="23">
        <f t="shared" si="226"/>
        <v>5.05</v>
      </c>
      <c r="TC5" s="23">
        <f t="shared" si="227"/>
        <v>8.1999999999999993</v>
      </c>
      <c r="TD5" s="23">
        <f t="shared" si="228"/>
        <v>8.4050000000000011</v>
      </c>
      <c r="TE5" s="23">
        <f t="shared" si="229"/>
        <v>0</v>
      </c>
      <c r="TF5" s="23">
        <f t="shared" si="230"/>
        <v>16.100000000000001</v>
      </c>
      <c r="TG5" s="23">
        <f t="shared" si="231"/>
        <v>8.9</v>
      </c>
      <c r="TH5" s="23">
        <f t="shared" si="232"/>
        <v>13.9</v>
      </c>
      <c r="TI5" s="23">
        <f t="shared" si="233"/>
        <v>15.115</v>
      </c>
      <c r="TJ5" s="23">
        <f t="shared" si="234"/>
        <v>0</v>
      </c>
      <c r="TK5" s="28" t="s">
        <v>58</v>
      </c>
      <c r="TL5" s="41">
        <f t="shared" si="235"/>
        <v>14.2</v>
      </c>
      <c r="TM5" s="41">
        <f t="shared" si="236"/>
        <v>15.245000000000001</v>
      </c>
      <c r="TN5" s="41">
        <f t="shared" si="237"/>
        <v>54.735000000000007</v>
      </c>
      <c r="TO5" s="41">
        <f t="shared" si="238"/>
        <v>8.1999999999999993</v>
      </c>
      <c r="TP5" s="41">
        <f t="shared" si="239"/>
        <v>8.4050000000000011</v>
      </c>
      <c r="TQ5" s="41">
        <f t="shared" si="240"/>
        <v>30.254999999999999</v>
      </c>
      <c r="TR5" s="41">
        <f t="shared" si="241"/>
        <v>54.735000000000007</v>
      </c>
      <c r="TS5" s="41">
        <f t="shared" si="242"/>
        <v>13.9</v>
      </c>
      <c r="TT5" s="41">
        <f t="shared" si="243"/>
        <v>15.115</v>
      </c>
      <c r="TU5" s="41">
        <f t="shared" si="244"/>
        <v>54.015000000000001</v>
      </c>
      <c r="TV5" s="41">
        <f t="shared" si="245"/>
        <v>108.75</v>
      </c>
    </row>
    <row r="6" spans="1:542" x14ac:dyDescent="0.2">
      <c r="A6" s="4" cm="1">
        <f t="array" ref="A6">IF(AND(F6&lt;&gt;"",G6&lt;&gt;""),SUMPRODUCT((F$4:F$18&lt;&gt;"")*(G$4:G$18&lt;&gt;"")*(E$4:E$18&gt;E6))+1,IF(G6&lt;&gt;"",SUMPRODUCT((H$4:H$18="No DD")*(E$4:E$18&gt;E6))+1+SUMPRODUCT((F$4:F$18&lt;&gt;"")*(G$4:G$18&lt;&gt;"")),""))</f>
        <v>3</v>
      </c>
      <c r="B6" s="5" t="s">
        <v>28</v>
      </c>
      <c r="C6" s="4" t="s">
        <v>3</v>
      </c>
      <c r="D6" s="4">
        <v>1998</v>
      </c>
      <c r="E6" s="9">
        <f t="shared" si="0"/>
        <v>244.58002445800548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54.720000000000006</v>
      </c>
      <c r="K6" s="8" t="str">
        <f t="shared" si="5"/>
        <v>2022 Nationals</v>
      </c>
      <c r="L6" s="8">
        <f>IF(COUNT(AQ6,AT6,BR6,BU6,CS6,CV6)&gt;1,LARGE((AQ6,AT6,BR6,BU6,CS6,CV6),2),0)</f>
        <v>53.569999999999993</v>
      </c>
      <c r="M6" s="8" t="str">
        <f t="shared" si="6"/>
        <v>2023 Elite Canada</v>
      </c>
      <c r="N6" s="8">
        <f>IF(COUNT(AQ6,AT6,BR6,BU6,CS6,CV6)&gt;2,LARGE((AQ6,AT6,BR6,BU6,CS6,CV6),3),0)</f>
        <v>53.06</v>
      </c>
      <c r="O6" s="8" t="str">
        <f t="shared" si="7"/>
        <v>2022 3rd Domestic Trial</v>
      </c>
      <c r="P6" s="8">
        <f t="shared" si="8"/>
        <v>53.759999999999991</v>
      </c>
      <c r="Q6" s="8" t="str">
        <f t="shared" si="9"/>
        <v>2022 3rd Domestic Trial</v>
      </c>
      <c r="R6" s="8">
        <f t="shared" si="10"/>
        <v>14.2</v>
      </c>
      <c r="S6" s="8" t="str">
        <f t="shared" si="11"/>
        <v>2023 Elite Canada</v>
      </c>
      <c r="T6" s="8">
        <f t="shared" si="12"/>
        <v>15.27</v>
      </c>
      <c r="U6" s="8" t="str">
        <f t="shared" si="13"/>
        <v>2023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16.3</v>
      </c>
      <c r="Z6" s="23">
        <v>9.4</v>
      </c>
      <c r="AA6" s="23">
        <v>14.2</v>
      </c>
      <c r="AB6" s="23">
        <v>14.82</v>
      </c>
      <c r="AC6" s="23">
        <v>0</v>
      </c>
      <c r="AD6" s="23">
        <v>1.6</v>
      </c>
      <c r="AE6" s="23">
        <v>1</v>
      </c>
      <c r="AF6" s="23">
        <v>2</v>
      </c>
      <c r="AG6" s="23">
        <v>1.77</v>
      </c>
      <c r="AH6" s="23">
        <v>0.4</v>
      </c>
      <c r="AI6" s="23">
        <v>4.5</v>
      </c>
      <c r="AJ6" s="23">
        <v>2.7</v>
      </c>
      <c r="AK6" s="23">
        <v>4.9000000000000004</v>
      </c>
      <c r="AL6" s="23">
        <v>4.7300000000000004</v>
      </c>
      <c r="AM6" s="23">
        <v>0</v>
      </c>
      <c r="AN6" s="28"/>
      <c r="AO6" s="39">
        <f t="shared" si="17"/>
        <v>14.2</v>
      </c>
      <c r="AP6" s="39">
        <f t="shared" si="18"/>
        <v>14.82</v>
      </c>
      <c r="AQ6" s="41">
        <f t="shared" si="19"/>
        <v>54.720000000000006</v>
      </c>
      <c r="AR6" s="41">
        <f t="shared" si="20"/>
        <v>2</v>
      </c>
      <c r="AS6" s="41">
        <f t="shared" si="21"/>
        <v>1.77</v>
      </c>
      <c r="AT6" s="41">
        <f t="shared" si="22"/>
        <v>5.9699999999999989</v>
      </c>
      <c r="AU6" s="41">
        <f t="shared" si="23"/>
        <v>54.720000000000006</v>
      </c>
      <c r="AV6" s="41">
        <f t="shared" si="24"/>
        <v>4.9000000000000004</v>
      </c>
      <c r="AW6" s="41">
        <f t="shared" si="25"/>
        <v>4.7300000000000004</v>
      </c>
      <c r="AX6" s="41">
        <f t="shared" si="26"/>
        <v>16.830000000000002</v>
      </c>
      <c r="AY6" s="41">
        <f t="shared" si="27"/>
        <v>71.550000000000011</v>
      </c>
      <c r="AZ6" s="27">
        <v>14.9</v>
      </c>
      <c r="BA6" s="27">
        <v>8.8000000000000007</v>
      </c>
      <c r="BB6" s="27">
        <v>14.2</v>
      </c>
      <c r="BC6" s="27">
        <v>15.16</v>
      </c>
      <c r="BD6" s="27">
        <v>0</v>
      </c>
      <c r="BE6" s="27">
        <v>1.5</v>
      </c>
      <c r="BF6" s="27">
        <v>1</v>
      </c>
      <c r="BG6" s="27">
        <v>2</v>
      </c>
      <c r="BH6" s="27">
        <v>1.66</v>
      </c>
      <c r="BI6" s="27">
        <v>0</v>
      </c>
      <c r="BJ6" s="27">
        <v>15.1</v>
      </c>
      <c r="BK6" s="27">
        <v>9.3000000000000007</v>
      </c>
      <c r="BL6" s="27">
        <v>14.2</v>
      </c>
      <c r="BM6" s="27">
        <v>15.16</v>
      </c>
      <c r="BN6" s="27">
        <v>0</v>
      </c>
      <c r="BO6" s="29"/>
      <c r="BP6" s="40">
        <f t="shared" si="28"/>
        <v>14.2</v>
      </c>
      <c r="BQ6" s="40">
        <f t="shared" si="29"/>
        <v>15.16</v>
      </c>
      <c r="BR6" s="11">
        <f t="shared" si="30"/>
        <v>53.06</v>
      </c>
      <c r="BS6" s="11">
        <f t="shared" si="31"/>
        <v>2</v>
      </c>
      <c r="BT6" s="11">
        <f t="shared" si="32"/>
        <v>1.66</v>
      </c>
      <c r="BU6" s="11">
        <f t="shared" si="33"/>
        <v>6.16</v>
      </c>
      <c r="BV6" s="11">
        <f t="shared" si="34"/>
        <v>53.06</v>
      </c>
      <c r="BW6" s="11">
        <f t="shared" si="35"/>
        <v>14.2</v>
      </c>
      <c r="BX6" s="11">
        <f t="shared" si="36"/>
        <v>15.16</v>
      </c>
      <c r="BY6" s="11">
        <f t="shared" si="37"/>
        <v>53.759999999999991</v>
      </c>
      <c r="BZ6" s="11">
        <f t="shared" si="38"/>
        <v>106.82</v>
      </c>
      <c r="CA6" s="23">
        <v>14.9</v>
      </c>
      <c r="CB6" s="23">
        <v>9.4</v>
      </c>
      <c r="CC6" s="23">
        <v>14</v>
      </c>
      <c r="CD6" s="23">
        <v>15.27</v>
      </c>
      <c r="CE6" s="23">
        <v>0</v>
      </c>
      <c r="CF6" s="23">
        <v>1.6</v>
      </c>
      <c r="CG6" s="23">
        <v>1</v>
      </c>
      <c r="CH6" s="23">
        <v>2</v>
      </c>
      <c r="CI6" s="23">
        <v>1.62</v>
      </c>
      <c r="CJ6" s="23">
        <v>0</v>
      </c>
      <c r="CK6" s="23">
        <v>14.9</v>
      </c>
      <c r="CL6" s="23">
        <v>8.8000000000000007</v>
      </c>
      <c r="CM6" s="23">
        <v>14.2</v>
      </c>
      <c r="CN6" s="23">
        <v>14.83</v>
      </c>
      <c r="CO6" s="23">
        <v>0</v>
      </c>
      <c r="CP6" s="28"/>
      <c r="CQ6" s="39">
        <f t="shared" si="39"/>
        <v>14</v>
      </c>
      <c r="CR6" s="39">
        <f t="shared" si="40"/>
        <v>15.27</v>
      </c>
      <c r="CS6" s="41">
        <f t="shared" si="41"/>
        <v>53.569999999999993</v>
      </c>
      <c r="CT6" s="41">
        <f t="shared" si="42"/>
        <v>2</v>
      </c>
      <c r="CU6" s="41">
        <f t="shared" si="43"/>
        <v>1.62</v>
      </c>
      <c r="CV6" s="41">
        <f t="shared" si="44"/>
        <v>6.22</v>
      </c>
      <c r="CW6" s="41">
        <f t="shared" si="45"/>
        <v>53.569999999999993</v>
      </c>
      <c r="CX6" s="41">
        <f t="shared" si="46"/>
        <v>14.2</v>
      </c>
      <c r="CY6" s="41">
        <f t="shared" si="47"/>
        <v>14.83</v>
      </c>
      <c r="CZ6" s="41">
        <f t="shared" si="48"/>
        <v>52.730000000000004</v>
      </c>
      <c r="DA6" s="41">
        <f t="shared" si="49"/>
        <v>106.3</v>
      </c>
      <c r="DB6" s="52" t="str">
        <f t="shared" si="50"/>
        <v/>
      </c>
      <c r="DC6" s="52" t="str">
        <f t="shared" si="51"/>
        <v/>
      </c>
      <c r="DD6" s="17">
        <v>13.7</v>
      </c>
      <c r="DE6" s="17">
        <v>8.9</v>
      </c>
      <c r="DF6" s="17">
        <v>14.2</v>
      </c>
      <c r="DG6" s="17">
        <v>14.04</v>
      </c>
      <c r="DH6" s="17">
        <v>0</v>
      </c>
      <c r="DI6" s="17">
        <v>14.3</v>
      </c>
      <c r="DJ6" s="17">
        <v>9.3000000000000007</v>
      </c>
      <c r="DK6" s="17">
        <v>14.2</v>
      </c>
      <c r="DL6" s="17">
        <v>14.15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 t="shared" si="52"/>
        <v>14.2</v>
      </c>
      <c r="DY6" s="41">
        <f t="shared" si="53"/>
        <v>14.04</v>
      </c>
      <c r="DZ6" s="41">
        <f t="shared" si="54"/>
        <v>50.839999999999996</v>
      </c>
      <c r="EA6" s="41">
        <f t="shared" si="55"/>
        <v>14.2</v>
      </c>
      <c r="EB6" s="41">
        <f t="shared" si="56"/>
        <v>14.15</v>
      </c>
      <c r="EC6" s="41">
        <f t="shared" si="57"/>
        <v>51.949999999999996</v>
      </c>
      <c r="ED6" s="41">
        <f t="shared" si="58"/>
        <v>51.949999999999996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>
        <f t="shared" si="65"/>
        <v>51.949999999999996</v>
      </c>
      <c r="EL6" s="18">
        <v>14.5</v>
      </c>
      <c r="EM6" s="18">
        <v>8.5</v>
      </c>
      <c r="EN6" s="18">
        <v>14.2</v>
      </c>
      <c r="EO6" s="18">
        <v>14.45</v>
      </c>
      <c r="EP6" s="18">
        <v>0</v>
      </c>
      <c r="EQ6" s="18">
        <v>14.6</v>
      </c>
      <c r="ER6" s="18">
        <v>8.6999999999999993</v>
      </c>
      <c r="ES6" s="18">
        <v>14.2</v>
      </c>
      <c r="ET6" s="18">
        <v>14.55</v>
      </c>
      <c r="EU6" s="18">
        <v>0.4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6"/>
        <v>14.2</v>
      </c>
      <c r="FG6" s="11">
        <f t="shared" si="67"/>
        <v>14.45</v>
      </c>
      <c r="FH6" s="11">
        <f t="shared" si="68"/>
        <v>51.650000000000006</v>
      </c>
      <c r="FI6" s="11">
        <f t="shared" si="69"/>
        <v>14.2</v>
      </c>
      <c r="FJ6" s="11">
        <f t="shared" si="70"/>
        <v>14.55</v>
      </c>
      <c r="FK6" s="11">
        <f t="shared" si="71"/>
        <v>51.65</v>
      </c>
      <c r="FL6" s="11">
        <f t="shared" si="72"/>
        <v>51.650000000000006</v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>
        <f t="shared" si="79"/>
        <v>51.650000000000006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15.1</v>
      </c>
      <c r="IK6" s="17">
        <v>9.1</v>
      </c>
      <c r="IL6" s="17">
        <v>14.2</v>
      </c>
      <c r="IM6" s="17">
        <v>14.29</v>
      </c>
      <c r="IN6" s="17">
        <v>0</v>
      </c>
      <c r="IO6" s="17">
        <v>1.7</v>
      </c>
      <c r="IP6" s="17">
        <v>1</v>
      </c>
      <c r="IQ6" s="17">
        <v>2</v>
      </c>
      <c r="IR6" s="17">
        <v>1.615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 t="shared" si="108"/>
        <v>14.2</v>
      </c>
      <c r="JE6" s="41">
        <f t="shared" si="109"/>
        <v>14.29</v>
      </c>
      <c r="JF6" s="41">
        <f t="shared" si="110"/>
        <v>52.69</v>
      </c>
      <c r="JG6" s="41">
        <f t="shared" si="111"/>
        <v>2</v>
      </c>
      <c r="JH6" s="41">
        <f t="shared" si="112"/>
        <v>1.615</v>
      </c>
      <c r="JI6" s="41">
        <f t="shared" si="113"/>
        <v>6.3150000000000004</v>
      </c>
      <c r="JJ6" s="41">
        <f t="shared" si="114"/>
        <v>52.69</v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52.69</v>
      </c>
      <c r="JR6" s="18">
        <v>15.2</v>
      </c>
      <c r="JS6" s="18">
        <v>9.3000000000000007</v>
      </c>
      <c r="JT6" s="18">
        <v>13.8</v>
      </c>
      <c r="JU6" s="18">
        <v>14.38</v>
      </c>
      <c r="JV6" s="18">
        <v>0</v>
      </c>
      <c r="JW6" s="18">
        <v>8.6</v>
      </c>
      <c r="JX6" s="18">
        <v>5.4</v>
      </c>
      <c r="JY6" s="18">
        <v>8.8000000000000007</v>
      </c>
      <c r="JZ6" s="18">
        <v>8.98</v>
      </c>
      <c r="KA6" s="18">
        <v>0</v>
      </c>
      <c r="KB6" s="18">
        <v>3</v>
      </c>
      <c r="KC6" s="18">
        <v>1.6</v>
      </c>
      <c r="KD6" s="18">
        <v>3.4</v>
      </c>
      <c r="KE6" s="18">
        <v>3.1</v>
      </c>
      <c r="KF6" s="18">
        <v>0</v>
      </c>
      <c r="KG6" s="18"/>
      <c r="KH6" s="18"/>
      <c r="KI6" s="18"/>
      <c r="KJ6" s="18"/>
      <c r="KK6" s="18"/>
      <c r="KL6" s="11">
        <f t="shared" si="122"/>
        <v>13.8</v>
      </c>
      <c r="KM6" s="11">
        <f t="shared" si="123"/>
        <v>14.38</v>
      </c>
      <c r="KN6" s="11">
        <f t="shared" si="124"/>
        <v>52.68</v>
      </c>
      <c r="KO6" s="11">
        <f t="shared" si="125"/>
        <v>8.8000000000000007</v>
      </c>
      <c r="KP6" s="11">
        <f t="shared" si="126"/>
        <v>8.98</v>
      </c>
      <c r="KQ6" s="11">
        <f t="shared" si="127"/>
        <v>31.78</v>
      </c>
      <c r="KR6" s="11">
        <f t="shared" si="128"/>
        <v>52.68</v>
      </c>
      <c r="KS6" s="11">
        <f t="shared" si="129"/>
        <v>3.4</v>
      </c>
      <c r="KT6" s="11">
        <f t="shared" si="130"/>
        <v>3.1</v>
      </c>
      <c r="KU6" s="11">
        <f t="shared" si="131"/>
        <v>11.1</v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52.68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14.9</v>
      </c>
      <c r="SW6" s="23">
        <f t="shared" si="221"/>
        <v>9.1000000000000014</v>
      </c>
      <c r="SX6" s="23">
        <f t="shared" si="222"/>
        <v>14.1</v>
      </c>
      <c r="SY6" s="23">
        <f t="shared" si="223"/>
        <v>15.215</v>
      </c>
      <c r="SZ6" s="23">
        <f t="shared" si="224"/>
        <v>0</v>
      </c>
      <c r="TA6" s="23">
        <f t="shared" si="225"/>
        <v>1.55</v>
      </c>
      <c r="TB6" s="23">
        <f t="shared" si="226"/>
        <v>1</v>
      </c>
      <c r="TC6" s="23">
        <f t="shared" si="227"/>
        <v>2</v>
      </c>
      <c r="TD6" s="23">
        <f t="shared" si="228"/>
        <v>1.6400000000000001</v>
      </c>
      <c r="TE6" s="23">
        <f t="shared" si="229"/>
        <v>0</v>
      </c>
      <c r="TF6" s="23">
        <f t="shared" si="230"/>
        <v>15</v>
      </c>
      <c r="TG6" s="23">
        <f t="shared" si="231"/>
        <v>9.0500000000000007</v>
      </c>
      <c r="TH6" s="23">
        <f t="shared" si="232"/>
        <v>14.2</v>
      </c>
      <c r="TI6" s="23">
        <f t="shared" si="233"/>
        <v>14.995000000000001</v>
      </c>
      <c r="TJ6" s="23">
        <f t="shared" si="234"/>
        <v>0</v>
      </c>
      <c r="TK6" s="28" t="s">
        <v>58</v>
      </c>
      <c r="TL6" s="41">
        <f t="shared" si="235"/>
        <v>14.1</v>
      </c>
      <c r="TM6" s="41">
        <f t="shared" si="236"/>
        <v>15.215</v>
      </c>
      <c r="TN6" s="41">
        <f t="shared" si="237"/>
        <v>53.314999999999998</v>
      </c>
      <c r="TO6" s="41">
        <f t="shared" si="238"/>
        <v>2</v>
      </c>
      <c r="TP6" s="41">
        <f t="shared" si="239"/>
        <v>1.6400000000000001</v>
      </c>
      <c r="TQ6" s="41">
        <f t="shared" si="240"/>
        <v>6.1899999999999995</v>
      </c>
      <c r="TR6" s="41">
        <f t="shared" si="241"/>
        <v>53.314999999999998</v>
      </c>
      <c r="TS6" s="41">
        <f t="shared" si="242"/>
        <v>14.2</v>
      </c>
      <c r="TT6" s="41">
        <f t="shared" si="243"/>
        <v>14.995000000000001</v>
      </c>
      <c r="TU6" s="41">
        <f t="shared" si="244"/>
        <v>53.245000000000005</v>
      </c>
      <c r="TV6" s="41">
        <f t="shared" si="245"/>
        <v>106.56</v>
      </c>
    </row>
    <row r="7" spans="1:542" x14ac:dyDescent="0.2">
      <c r="A7" s="4" cm="1">
        <f t="array" ref="A7">IF(AND(F7&lt;&gt;"",G7&lt;&gt;""),SUMPRODUCT((F$4:F$18&lt;&gt;"")*(G$4:G$18&lt;&gt;"")*(E$4:E$18&gt;E7))+1,IF(G7&lt;&gt;"",SUMPRODUCT((H$4:H$18="No DD")*(E$4:E$18&gt;E7))+1+SUMPRODUCT((F$4:F$18&lt;&gt;"")*(G$4:G$18&lt;&gt;"")),""))</f>
        <v>4</v>
      </c>
      <c r="B7" s="5" t="s">
        <v>27</v>
      </c>
      <c r="C7" s="4" t="s">
        <v>6</v>
      </c>
      <c r="D7" s="4">
        <v>1992</v>
      </c>
      <c r="E7" s="9">
        <f t="shared" si="0"/>
        <v>244.51002441000543</v>
      </c>
      <c r="F7" s="3" t="str">
        <f t="shared" si="1"/>
        <v>P</v>
      </c>
      <c r="G7" s="3" t="str">
        <f t="shared" si="2"/>
        <v>P</v>
      </c>
      <c r="H7" s="37" t="str">
        <f t="shared" si="3"/>
        <v>Merit</v>
      </c>
      <c r="I7" s="3" t="str">
        <f t="shared" si="4"/>
        <v>P</v>
      </c>
      <c r="J7" s="8">
        <f>IF(COUNT(AQ7,AT7,BR7,BU7,CS7,CV7)&gt;0,LARGE((AQ7,AT7,BR7,BU7,CS7,CV7),1),0)</f>
        <v>54.19</v>
      </c>
      <c r="K7" s="8" t="str">
        <f t="shared" si="5"/>
        <v>2022 Nationals</v>
      </c>
      <c r="L7" s="8">
        <f>IF(COUNT(AQ7,AT7,BR7,BU7,CS7,CV7)&gt;1,LARGE((AQ7,AT7,BR7,BU7,CS7,CV7),2),0)</f>
        <v>53.68</v>
      </c>
      <c r="M7" s="8" t="str">
        <f t="shared" si="6"/>
        <v>2022 3rd Domestic Trial</v>
      </c>
      <c r="N7" s="8">
        <f>IF(COUNT(AQ7,AT7,BR7,BU7,CS7,CV7)&gt;2,LARGE((AQ7,AT7,BR7,BU7,CS7,CV7),3),0)</f>
        <v>53.58</v>
      </c>
      <c r="O7" s="8" t="str">
        <f t="shared" si="7"/>
        <v>2022 Nationals</v>
      </c>
      <c r="P7" s="8">
        <f t="shared" si="8"/>
        <v>53.09</v>
      </c>
      <c r="Q7" s="8" t="str">
        <f t="shared" si="9"/>
        <v>2022 Nationals</v>
      </c>
      <c r="R7" s="8">
        <f t="shared" si="10"/>
        <v>14.6</v>
      </c>
      <c r="S7" s="8" t="str">
        <f t="shared" si="11"/>
        <v>2022 World Cup SUI (July 2)</v>
      </c>
      <c r="T7" s="8">
        <f t="shared" si="12"/>
        <v>14.96</v>
      </c>
      <c r="U7" s="8" t="str">
        <f t="shared" si="13"/>
        <v>2022 World Cup POR (June 26)</v>
      </c>
      <c r="V7" s="8">
        <f t="shared" si="14"/>
        <v>0.40999999999999659</v>
      </c>
      <c r="W7" s="11" t="str">
        <f t="shared" si="15"/>
        <v>(Final)</v>
      </c>
      <c r="X7" s="8" t="str">
        <f t="shared" si="16"/>
        <v>2022 World Cup SUI (July 2)</v>
      </c>
      <c r="Y7" s="23">
        <v>15.8</v>
      </c>
      <c r="Z7" s="23">
        <v>9.6</v>
      </c>
      <c r="AA7" s="23">
        <v>14</v>
      </c>
      <c r="AB7" s="23">
        <v>14.79</v>
      </c>
      <c r="AC7" s="23">
        <v>0</v>
      </c>
      <c r="AD7" s="23">
        <v>15.4</v>
      </c>
      <c r="AE7" s="23">
        <v>9.5</v>
      </c>
      <c r="AF7" s="23">
        <v>14</v>
      </c>
      <c r="AG7" s="23">
        <v>14.68</v>
      </c>
      <c r="AH7" s="23">
        <v>0</v>
      </c>
      <c r="AI7" s="23">
        <v>15.2</v>
      </c>
      <c r="AJ7" s="23">
        <v>9.3000000000000007</v>
      </c>
      <c r="AK7" s="23">
        <v>14</v>
      </c>
      <c r="AL7" s="23">
        <v>14.59</v>
      </c>
      <c r="AM7" s="23">
        <v>0</v>
      </c>
      <c r="AN7" s="28"/>
      <c r="AO7" s="39">
        <f t="shared" si="17"/>
        <v>14</v>
      </c>
      <c r="AP7" s="39">
        <f t="shared" si="18"/>
        <v>14.79</v>
      </c>
      <c r="AQ7" s="41">
        <f t="shared" si="19"/>
        <v>54.19</v>
      </c>
      <c r="AR7" s="41">
        <f t="shared" si="20"/>
        <v>14</v>
      </c>
      <c r="AS7" s="41">
        <f t="shared" si="21"/>
        <v>14.68</v>
      </c>
      <c r="AT7" s="41">
        <f t="shared" si="22"/>
        <v>53.58</v>
      </c>
      <c r="AU7" s="41">
        <f t="shared" si="23"/>
        <v>54.19</v>
      </c>
      <c r="AV7" s="41">
        <f t="shared" si="24"/>
        <v>14</v>
      </c>
      <c r="AW7" s="41">
        <f t="shared" si="25"/>
        <v>14.59</v>
      </c>
      <c r="AX7" s="41">
        <f t="shared" si="26"/>
        <v>53.09</v>
      </c>
      <c r="AY7" s="41">
        <f t="shared" si="27"/>
        <v>107.28</v>
      </c>
      <c r="AZ7" s="22">
        <v>14.8</v>
      </c>
      <c r="BA7" s="22">
        <v>9.3000000000000007</v>
      </c>
      <c r="BB7" s="22">
        <v>13.3</v>
      </c>
      <c r="BC7" s="22">
        <v>14.67</v>
      </c>
      <c r="BD7" s="22">
        <v>0</v>
      </c>
      <c r="BE7" s="22">
        <v>15.1</v>
      </c>
      <c r="BF7" s="22">
        <v>9.8000000000000007</v>
      </c>
      <c r="BG7" s="22">
        <v>14</v>
      </c>
      <c r="BH7" s="22">
        <v>14.78</v>
      </c>
      <c r="BI7" s="22">
        <v>0</v>
      </c>
      <c r="BJ7" s="22">
        <v>14.6</v>
      </c>
      <c r="BK7" s="22">
        <v>9.4</v>
      </c>
      <c r="BL7" s="22">
        <v>14</v>
      </c>
      <c r="BM7" s="22">
        <v>14.62</v>
      </c>
      <c r="BN7" s="22">
        <v>0</v>
      </c>
      <c r="BO7" s="29"/>
      <c r="BP7" s="40">
        <f t="shared" si="28"/>
        <v>13.3</v>
      </c>
      <c r="BQ7" s="40">
        <f t="shared" si="29"/>
        <v>14.67</v>
      </c>
      <c r="BR7" s="11">
        <f t="shared" si="30"/>
        <v>52.070000000000007</v>
      </c>
      <c r="BS7" s="11">
        <f t="shared" si="31"/>
        <v>14</v>
      </c>
      <c r="BT7" s="11">
        <f t="shared" si="32"/>
        <v>14.78</v>
      </c>
      <c r="BU7" s="11">
        <f t="shared" si="33"/>
        <v>53.68</v>
      </c>
      <c r="BV7" s="11">
        <f t="shared" si="34"/>
        <v>53.68</v>
      </c>
      <c r="BW7" s="11">
        <f t="shared" si="35"/>
        <v>14</v>
      </c>
      <c r="BX7" s="11">
        <f t="shared" si="36"/>
        <v>14.62</v>
      </c>
      <c r="BY7" s="11">
        <f t="shared" si="37"/>
        <v>52.62</v>
      </c>
      <c r="BZ7" s="11">
        <f t="shared" si="38"/>
        <v>106.3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 t="shared" si="39"/>
        <v/>
      </c>
      <c r="CR7" s="39" t="str">
        <f t="shared" si="40"/>
        <v/>
      </c>
      <c r="CS7" s="41" t="str">
        <f t="shared" si="41"/>
        <v/>
      </c>
      <c r="CT7" s="41" t="str">
        <f t="shared" si="42"/>
        <v/>
      </c>
      <c r="CU7" s="41" t="str">
        <f t="shared" si="43"/>
        <v/>
      </c>
      <c r="CV7" s="41" t="str">
        <f t="shared" si="44"/>
        <v/>
      </c>
      <c r="CW7" s="41" t="str">
        <f t="shared" si="45"/>
        <v/>
      </c>
      <c r="CX7" s="41" t="str">
        <f t="shared" si="46"/>
        <v/>
      </c>
      <c r="CY7" s="41" t="str">
        <f t="shared" si="47"/>
        <v/>
      </c>
      <c r="CZ7" s="41" t="str">
        <f t="shared" si="48"/>
        <v/>
      </c>
      <c r="DA7" s="41" t="str">
        <f t="shared" si="49"/>
        <v/>
      </c>
      <c r="DB7" s="52" t="str">
        <f t="shared" si="50"/>
        <v/>
      </c>
      <c r="DC7" s="52">
        <f t="shared" si="51"/>
        <v>0.40999999999999659</v>
      </c>
      <c r="DD7" s="17">
        <v>14.1</v>
      </c>
      <c r="DE7" s="17">
        <v>9.1999999999999993</v>
      </c>
      <c r="DF7" s="17">
        <v>14</v>
      </c>
      <c r="DG7" s="17">
        <v>14.28</v>
      </c>
      <c r="DH7" s="17">
        <v>0</v>
      </c>
      <c r="DI7" s="17">
        <v>15.1</v>
      </c>
      <c r="DJ7" s="17">
        <v>9.1</v>
      </c>
      <c r="DK7" s="17">
        <v>14</v>
      </c>
      <c r="DL7" s="17">
        <v>14.41</v>
      </c>
      <c r="DM7" s="17">
        <v>0</v>
      </c>
      <c r="DN7" s="17">
        <v>14.2</v>
      </c>
      <c r="DO7" s="17">
        <v>9.1</v>
      </c>
      <c r="DP7" s="17">
        <v>14</v>
      </c>
      <c r="DQ7" s="17">
        <v>13.89</v>
      </c>
      <c r="DR7" s="17">
        <v>0</v>
      </c>
      <c r="DS7" s="17"/>
      <c r="DT7" s="17"/>
      <c r="DU7" s="17"/>
      <c r="DV7" s="17"/>
      <c r="DW7" s="17"/>
      <c r="DX7" s="41">
        <f t="shared" si="52"/>
        <v>14</v>
      </c>
      <c r="DY7" s="41">
        <f t="shared" si="53"/>
        <v>14.28</v>
      </c>
      <c r="DZ7" s="41">
        <f t="shared" si="54"/>
        <v>51.58</v>
      </c>
      <c r="EA7" s="41">
        <f t="shared" si="55"/>
        <v>14</v>
      </c>
      <c r="EB7" s="41">
        <f t="shared" si="56"/>
        <v>14.41</v>
      </c>
      <c r="EC7" s="41">
        <f t="shared" si="57"/>
        <v>52.61</v>
      </c>
      <c r="ED7" s="41">
        <f t="shared" si="58"/>
        <v>52.61</v>
      </c>
      <c r="EE7" s="41">
        <f t="shared" si="59"/>
        <v>14</v>
      </c>
      <c r="EF7" s="41">
        <f t="shared" si="60"/>
        <v>13.89</v>
      </c>
      <c r="EG7" s="41">
        <f t="shared" si="61"/>
        <v>51.19</v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52.61</v>
      </c>
      <c r="EL7" s="18">
        <v>14.4</v>
      </c>
      <c r="EM7" s="18">
        <v>9.4</v>
      </c>
      <c r="EN7" s="18">
        <v>14</v>
      </c>
      <c r="EO7" s="18">
        <v>14.58</v>
      </c>
      <c r="EP7" s="18">
        <v>0</v>
      </c>
      <c r="EQ7" s="18">
        <v>15</v>
      </c>
      <c r="ER7" s="18">
        <v>9.6999999999999993</v>
      </c>
      <c r="ES7" s="18">
        <v>14</v>
      </c>
      <c r="ET7" s="18">
        <v>14.85</v>
      </c>
      <c r="EU7" s="18">
        <v>0</v>
      </c>
      <c r="EV7" s="18"/>
      <c r="EW7" s="18"/>
      <c r="EX7" s="18"/>
      <c r="EY7" s="18"/>
      <c r="EZ7" s="18"/>
      <c r="FA7" s="18">
        <v>14.7</v>
      </c>
      <c r="FB7" s="18">
        <v>9</v>
      </c>
      <c r="FC7" s="18">
        <v>14</v>
      </c>
      <c r="FD7" s="18">
        <v>14.96</v>
      </c>
      <c r="FE7" s="18">
        <v>0</v>
      </c>
      <c r="FF7" s="11">
        <f t="shared" si="66"/>
        <v>14</v>
      </c>
      <c r="FG7" s="11">
        <f t="shared" si="67"/>
        <v>14.58</v>
      </c>
      <c r="FH7" s="11">
        <f t="shared" si="68"/>
        <v>52.379999999999995</v>
      </c>
      <c r="FI7" s="11">
        <f t="shared" si="69"/>
        <v>14</v>
      </c>
      <c r="FJ7" s="11">
        <f t="shared" si="70"/>
        <v>14.85</v>
      </c>
      <c r="FK7" s="11">
        <f t="shared" si="71"/>
        <v>53.550000000000004</v>
      </c>
      <c r="FL7" s="11">
        <f t="shared" si="72"/>
        <v>53.550000000000004</v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>
        <f t="shared" si="76"/>
        <v>14</v>
      </c>
      <c r="FQ7" s="11">
        <f t="shared" si="77"/>
        <v>14.96</v>
      </c>
      <c r="FR7" s="11">
        <f t="shared" si="78"/>
        <v>52.660000000000004</v>
      </c>
      <c r="FS7" s="11">
        <f t="shared" si="79"/>
        <v>106.21000000000001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2.8</v>
      </c>
      <c r="IK7" s="17">
        <v>1.7</v>
      </c>
      <c r="IL7" s="17">
        <v>3.4</v>
      </c>
      <c r="IM7" s="17">
        <v>3.04</v>
      </c>
      <c r="IN7" s="17">
        <v>0</v>
      </c>
      <c r="IO7" s="17">
        <v>14.6</v>
      </c>
      <c r="IP7" s="17">
        <v>9.5</v>
      </c>
      <c r="IQ7" s="17">
        <v>14</v>
      </c>
      <c r="IR7" s="17">
        <v>14.605</v>
      </c>
      <c r="IS7" s="17">
        <v>0</v>
      </c>
      <c r="IT7" s="17">
        <v>14.8</v>
      </c>
      <c r="IU7" s="17">
        <v>9.5</v>
      </c>
      <c r="IV7" s="17">
        <v>14.6</v>
      </c>
      <c r="IW7" s="17">
        <v>14.6</v>
      </c>
      <c r="IX7" s="17">
        <v>0</v>
      </c>
      <c r="IY7" s="17"/>
      <c r="IZ7" s="17"/>
      <c r="JA7" s="17"/>
      <c r="JB7" s="17"/>
      <c r="JC7" s="17"/>
      <c r="JD7" s="41">
        <f t="shared" si="108"/>
        <v>3.4</v>
      </c>
      <c r="JE7" s="41">
        <f t="shared" si="109"/>
        <v>3.04</v>
      </c>
      <c r="JF7" s="41">
        <f t="shared" si="110"/>
        <v>10.940000000000001</v>
      </c>
      <c r="JG7" s="41">
        <f t="shared" si="111"/>
        <v>14</v>
      </c>
      <c r="JH7" s="41">
        <f t="shared" si="112"/>
        <v>14.605</v>
      </c>
      <c r="JI7" s="41">
        <f t="shared" si="113"/>
        <v>52.704999999999998</v>
      </c>
      <c r="JJ7" s="41">
        <f t="shared" si="114"/>
        <v>52.704999999999998</v>
      </c>
      <c r="JK7" s="41">
        <f t="shared" si="115"/>
        <v>14.6</v>
      </c>
      <c r="JL7" s="41">
        <f t="shared" si="116"/>
        <v>14.6</v>
      </c>
      <c r="JM7" s="41">
        <f t="shared" si="117"/>
        <v>53.5</v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52.704999999999998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7.4</v>
      </c>
      <c r="SW7" s="23">
        <f t="shared" si="221"/>
        <v>4.6500000000000004</v>
      </c>
      <c r="SX7" s="23">
        <f t="shared" si="222"/>
        <v>6.65</v>
      </c>
      <c r="SY7" s="23">
        <f t="shared" si="223"/>
        <v>7.335</v>
      </c>
      <c r="SZ7" s="23">
        <f t="shared" si="224"/>
        <v>0</v>
      </c>
      <c r="TA7" s="23">
        <f t="shared" si="225"/>
        <v>7.55</v>
      </c>
      <c r="TB7" s="23">
        <f t="shared" si="226"/>
        <v>4.9000000000000004</v>
      </c>
      <c r="TC7" s="23">
        <f t="shared" si="227"/>
        <v>7</v>
      </c>
      <c r="TD7" s="23">
        <f t="shared" si="228"/>
        <v>7.39</v>
      </c>
      <c r="TE7" s="23">
        <f t="shared" si="229"/>
        <v>0</v>
      </c>
      <c r="TF7" s="23">
        <f t="shared" si="230"/>
        <v>7.3</v>
      </c>
      <c r="TG7" s="23">
        <f t="shared" si="231"/>
        <v>4.7</v>
      </c>
      <c r="TH7" s="23">
        <f t="shared" si="232"/>
        <v>7</v>
      </c>
      <c r="TI7" s="23">
        <f t="shared" si="233"/>
        <v>7.31</v>
      </c>
      <c r="TJ7" s="23">
        <f t="shared" si="234"/>
        <v>0</v>
      </c>
      <c r="TK7" s="28" t="s">
        <v>58</v>
      </c>
      <c r="TL7" s="41">
        <f t="shared" si="235"/>
        <v>6.65</v>
      </c>
      <c r="TM7" s="41">
        <f t="shared" si="236"/>
        <v>7.335</v>
      </c>
      <c r="TN7" s="41">
        <f t="shared" si="237"/>
        <v>26.035000000000004</v>
      </c>
      <c r="TO7" s="41">
        <f t="shared" si="238"/>
        <v>7</v>
      </c>
      <c r="TP7" s="41">
        <f t="shared" si="239"/>
        <v>7.39</v>
      </c>
      <c r="TQ7" s="41">
        <f t="shared" si="240"/>
        <v>26.84</v>
      </c>
      <c r="TR7" s="41">
        <f t="shared" si="241"/>
        <v>26.84</v>
      </c>
      <c r="TS7" s="41">
        <f t="shared" si="242"/>
        <v>7</v>
      </c>
      <c r="TT7" s="41">
        <f t="shared" si="243"/>
        <v>7.31</v>
      </c>
      <c r="TU7" s="41">
        <f t="shared" si="244"/>
        <v>26.31</v>
      </c>
      <c r="TV7" s="41">
        <f t="shared" si="245"/>
        <v>53.15</v>
      </c>
    </row>
    <row r="8" spans="1:542" x14ac:dyDescent="0.2">
      <c r="A8" s="4" cm="1">
        <f t="array" ref="A8">IF(AND(F8&lt;&gt;"",G8&lt;&gt;""),SUMPRODUCT((F$4:F$18&lt;&gt;"")*(G$4:G$18&lt;&gt;"")*(E$4:E$18&gt;E8))+1,IF(G8&lt;&gt;"",SUMPRODUCT((H$4:H$18="No DD")*(E$4:E$18&gt;E8))+1+SUMPRODUCT((F$4:F$18&lt;&gt;"")*(G$4:G$18&lt;&gt;"")),""))</f>
        <v>5</v>
      </c>
      <c r="B8" s="5" t="s">
        <v>173</v>
      </c>
      <c r="C8" s="4" t="s">
        <v>3</v>
      </c>
      <c r="D8" s="4">
        <v>2004</v>
      </c>
      <c r="E8" s="9">
        <f t="shared" si="0"/>
        <v>230.94002309400511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51.149999999999991</v>
      </c>
      <c r="K8" s="8" t="str">
        <f t="shared" si="5"/>
        <v>2023 Elite Canada</v>
      </c>
      <c r="L8" s="8">
        <f>IF(COUNT(AQ8,AT8,BR8,BU8,CS8,CV8)&gt;1,LARGE((AQ8,AT8,BR8,BU8,CS8,CV8),2),0)</f>
        <v>50.72</v>
      </c>
      <c r="M8" s="8" t="str">
        <f t="shared" si="6"/>
        <v>2022 Nationals</v>
      </c>
      <c r="N8" s="8">
        <f>IF(COUNT(AQ8,AT8,BR8,BU8,CS8,CV8)&gt;2,LARGE((AQ8,AT8,BR8,BU8,CS8,CV8),3),0)</f>
        <v>50.410000000000004</v>
      </c>
      <c r="O8" s="8" t="str">
        <f t="shared" si="7"/>
        <v>2022 Nationals</v>
      </c>
      <c r="P8" s="8">
        <f t="shared" si="8"/>
        <v>51.629999999999995</v>
      </c>
      <c r="Q8" s="8" t="str">
        <f t="shared" si="9"/>
        <v>2023 Elite Canada</v>
      </c>
      <c r="R8" s="8">
        <f t="shared" si="10"/>
        <v>12.7</v>
      </c>
      <c r="S8" s="8" t="str">
        <f t="shared" si="11"/>
        <v>2023 Elite Canada</v>
      </c>
      <c r="T8" s="8">
        <f t="shared" si="12"/>
        <v>14.33</v>
      </c>
      <c r="U8" s="8" t="str">
        <f t="shared" si="13"/>
        <v>2023 Elite Canada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14.8</v>
      </c>
      <c r="Z8" s="23">
        <v>9.5</v>
      </c>
      <c r="AA8" s="23">
        <v>11.8</v>
      </c>
      <c r="AB8" s="23">
        <v>14.31</v>
      </c>
      <c r="AC8" s="23">
        <v>0</v>
      </c>
      <c r="AD8" s="23">
        <v>15</v>
      </c>
      <c r="AE8" s="23">
        <v>9.3000000000000007</v>
      </c>
      <c r="AF8" s="23">
        <v>11.8</v>
      </c>
      <c r="AG8" s="23">
        <v>14.62</v>
      </c>
      <c r="AH8" s="23">
        <v>0</v>
      </c>
      <c r="AI8" s="23">
        <v>15.2</v>
      </c>
      <c r="AJ8" s="23">
        <v>8.8000000000000007</v>
      </c>
      <c r="AK8" s="23">
        <v>11.8</v>
      </c>
      <c r="AL8" s="23">
        <v>14.22</v>
      </c>
      <c r="AM8" s="23">
        <v>0</v>
      </c>
      <c r="AN8" s="28"/>
      <c r="AO8" s="39">
        <f t="shared" si="17"/>
        <v>11.8</v>
      </c>
      <c r="AP8" s="39">
        <f t="shared" si="18"/>
        <v>14.31</v>
      </c>
      <c r="AQ8" s="41">
        <f t="shared" si="19"/>
        <v>50.410000000000004</v>
      </c>
      <c r="AR8" s="41">
        <f t="shared" si="20"/>
        <v>11.8</v>
      </c>
      <c r="AS8" s="41">
        <f t="shared" si="21"/>
        <v>14.62</v>
      </c>
      <c r="AT8" s="41">
        <f t="shared" si="22"/>
        <v>50.72</v>
      </c>
      <c r="AU8" s="41">
        <f t="shared" si="23"/>
        <v>50.72</v>
      </c>
      <c r="AV8" s="41">
        <f t="shared" si="24"/>
        <v>11.8</v>
      </c>
      <c r="AW8" s="41">
        <f t="shared" si="25"/>
        <v>14.22</v>
      </c>
      <c r="AX8" s="41">
        <f t="shared" si="26"/>
        <v>50.019999999999996</v>
      </c>
      <c r="AY8" s="41">
        <f t="shared" si="27"/>
        <v>100.74</v>
      </c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9"/>
      <c r="BP8" s="40" t="str">
        <f t="shared" si="28"/>
        <v/>
      </c>
      <c r="BQ8" s="40" t="str">
        <f t="shared" si="29"/>
        <v/>
      </c>
      <c r="BR8" s="11" t="str">
        <f t="shared" si="30"/>
        <v/>
      </c>
      <c r="BS8" s="11" t="str">
        <f t="shared" si="31"/>
        <v/>
      </c>
      <c r="BT8" s="11" t="str">
        <f t="shared" si="32"/>
        <v/>
      </c>
      <c r="BU8" s="11" t="str">
        <f t="shared" si="33"/>
        <v/>
      </c>
      <c r="BV8" s="11" t="str">
        <f t="shared" si="34"/>
        <v/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 t="str">
        <f t="shared" si="38"/>
        <v/>
      </c>
      <c r="CA8" s="23">
        <v>11.2</v>
      </c>
      <c r="CB8" s="23">
        <v>9.1</v>
      </c>
      <c r="CC8" s="23">
        <v>11.5</v>
      </c>
      <c r="CD8" s="23">
        <v>14.25</v>
      </c>
      <c r="CE8" s="23">
        <v>0</v>
      </c>
      <c r="CF8" s="23">
        <v>14.8</v>
      </c>
      <c r="CG8" s="23">
        <v>9.6</v>
      </c>
      <c r="CH8" s="23">
        <v>12.7</v>
      </c>
      <c r="CI8" s="23">
        <v>14.05</v>
      </c>
      <c r="CJ8" s="23">
        <v>0</v>
      </c>
      <c r="CK8" s="23">
        <v>14.9</v>
      </c>
      <c r="CL8" s="23">
        <v>9.6999999999999993</v>
      </c>
      <c r="CM8" s="23">
        <v>12.7</v>
      </c>
      <c r="CN8" s="23">
        <v>14.33</v>
      </c>
      <c r="CO8" s="23">
        <v>0</v>
      </c>
      <c r="CP8" s="28"/>
      <c r="CQ8" s="39">
        <f t="shared" si="39"/>
        <v>11.5</v>
      </c>
      <c r="CR8" s="39">
        <f t="shared" si="40"/>
        <v>14.25</v>
      </c>
      <c r="CS8" s="41">
        <f t="shared" si="41"/>
        <v>46.05</v>
      </c>
      <c r="CT8" s="41">
        <f t="shared" si="42"/>
        <v>12.7</v>
      </c>
      <c r="CU8" s="41">
        <f t="shared" si="43"/>
        <v>14.05</v>
      </c>
      <c r="CV8" s="41">
        <f t="shared" si="44"/>
        <v>51.149999999999991</v>
      </c>
      <c r="CW8" s="41">
        <f t="shared" si="45"/>
        <v>51.149999999999991</v>
      </c>
      <c r="CX8" s="41">
        <f t="shared" si="46"/>
        <v>12.7</v>
      </c>
      <c r="CY8" s="41">
        <f t="shared" si="47"/>
        <v>14.33</v>
      </c>
      <c r="CZ8" s="41">
        <f t="shared" si="48"/>
        <v>51.629999999999995</v>
      </c>
      <c r="DA8" s="41">
        <f t="shared" si="49"/>
        <v>102.77999999999999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5.6</v>
      </c>
      <c r="SW8" s="23">
        <f t="shared" si="221"/>
        <v>4.55</v>
      </c>
      <c r="SX8" s="23">
        <f t="shared" si="222"/>
        <v>5.75</v>
      </c>
      <c r="SY8" s="23">
        <f t="shared" si="223"/>
        <v>7.125</v>
      </c>
      <c r="SZ8" s="23">
        <f t="shared" si="224"/>
        <v>0</v>
      </c>
      <c r="TA8" s="23">
        <f t="shared" si="225"/>
        <v>7.4</v>
      </c>
      <c r="TB8" s="23">
        <f t="shared" si="226"/>
        <v>4.8</v>
      </c>
      <c r="TC8" s="23">
        <f t="shared" si="227"/>
        <v>6.35</v>
      </c>
      <c r="TD8" s="23">
        <f t="shared" si="228"/>
        <v>7.0250000000000004</v>
      </c>
      <c r="TE8" s="23">
        <f t="shared" si="229"/>
        <v>0</v>
      </c>
      <c r="TF8" s="23">
        <f t="shared" si="230"/>
        <v>7.45</v>
      </c>
      <c r="TG8" s="23">
        <f t="shared" si="231"/>
        <v>4.8499999999999996</v>
      </c>
      <c r="TH8" s="23">
        <f t="shared" si="232"/>
        <v>6.35</v>
      </c>
      <c r="TI8" s="23">
        <f t="shared" si="233"/>
        <v>7.165</v>
      </c>
      <c r="TJ8" s="23">
        <f t="shared" si="234"/>
        <v>0</v>
      </c>
      <c r="TK8" s="28" t="s">
        <v>58</v>
      </c>
      <c r="TL8" s="41">
        <f t="shared" si="235"/>
        <v>5.75</v>
      </c>
      <c r="TM8" s="41">
        <f t="shared" si="236"/>
        <v>7.125</v>
      </c>
      <c r="TN8" s="41">
        <f t="shared" si="237"/>
        <v>23.024999999999999</v>
      </c>
      <c r="TO8" s="41">
        <f t="shared" si="238"/>
        <v>6.35</v>
      </c>
      <c r="TP8" s="41">
        <f t="shared" si="239"/>
        <v>7.0250000000000004</v>
      </c>
      <c r="TQ8" s="41">
        <f t="shared" si="240"/>
        <v>25.574999999999996</v>
      </c>
      <c r="TR8" s="41">
        <f t="shared" si="241"/>
        <v>25.574999999999996</v>
      </c>
      <c r="TS8" s="41">
        <f t="shared" si="242"/>
        <v>6.35</v>
      </c>
      <c r="TT8" s="41">
        <f t="shared" si="243"/>
        <v>7.165</v>
      </c>
      <c r="TU8" s="41">
        <f t="shared" si="244"/>
        <v>25.814999999999998</v>
      </c>
      <c r="TV8" s="41">
        <f t="shared" si="245"/>
        <v>51.389999999999993</v>
      </c>
    </row>
    <row r="9" spans="1:542" x14ac:dyDescent="0.2">
      <c r="A9" s="4" cm="1">
        <f t="array" ref="A9">IF(AND(F9&lt;&gt;"",G9&lt;&gt;""),SUMPRODUCT((F$4:F$18&lt;&gt;"")*(G$4:G$18&lt;&gt;"")*(E$4:E$18&gt;E9))+1,IF(G9&lt;&gt;"",SUMPRODUCT((H$4:H$18="No DD")*(E$4:E$18&gt;E9))+1+SUMPRODUCT((F$4:F$18&lt;&gt;"")*(G$4:G$18&lt;&gt;"")),""))</f>
        <v>6</v>
      </c>
      <c r="B9" s="5" t="s">
        <v>75</v>
      </c>
      <c r="C9" s="4" t="s">
        <v>6</v>
      </c>
      <c r="D9" s="4">
        <v>2001</v>
      </c>
      <c r="E9" s="9">
        <f t="shared" si="0"/>
        <v>230.13002283900511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50.460000000000008</v>
      </c>
      <c r="K9" s="8" t="str">
        <f t="shared" si="5"/>
        <v>2022 Nationals</v>
      </c>
      <c r="L9" s="8">
        <f>IF(COUNT(AQ9,AT9,BR9,BU9,CS9,CV9)&gt;1,LARGE((AQ9,AT9,BR9,BU9,CS9,CV9),2),0)</f>
        <v>49.760000000000005</v>
      </c>
      <c r="M9" s="8" t="str">
        <f t="shared" si="6"/>
        <v>2023 Elite Canada</v>
      </c>
      <c r="N9" s="8">
        <f>IF(COUNT(AQ9,AT9,BR9,BU9,CS9,CV9)&gt;2,LARGE((AQ9,AT9,BR9,BU9,CS9,CV9),3),0)</f>
        <v>49.76</v>
      </c>
      <c r="O9" s="8" t="str">
        <f t="shared" si="7"/>
        <v>2023 Elite Canada</v>
      </c>
      <c r="P9" s="8">
        <f t="shared" si="8"/>
        <v>49.739999999999995</v>
      </c>
      <c r="Q9" s="8" t="str">
        <f t="shared" si="9"/>
        <v>2023 Elite Canada</v>
      </c>
      <c r="R9" s="8">
        <f t="shared" si="10"/>
        <v>13.8</v>
      </c>
      <c r="S9" s="8" t="str">
        <f t="shared" si="11"/>
        <v>2022 Pan Am Championships (June 28)</v>
      </c>
      <c r="T9" s="8">
        <f t="shared" si="12"/>
        <v>14.87</v>
      </c>
      <c r="U9" s="8" t="str">
        <f t="shared" si="13"/>
        <v>2022 3rd Domestic Trial</v>
      </c>
      <c r="V9" s="8">
        <f t="shared" si="14"/>
        <v>1.740000000000002</v>
      </c>
      <c r="W9" s="11" t="str">
        <f t="shared" si="15"/>
        <v>(Prelim)</v>
      </c>
      <c r="X9" s="8" t="str">
        <f t="shared" si="16"/>
        <v>2022 Pan Am Championships (June 28)</v>
      </c>
      <c r="Y9" s="23">
        <v>12.7</v>
      </c>
      <c r="Z9" s="23">
        <v>9.1</v>
      </c>
      <c r="AA9" s="23">
        <v>13.3</v>
      </c>
      <c r="AB9" s="23">
        <v>14.32</v>
      </c>
      <c r="AC9" s="23">
        <v>0</v>
      </c>
      <c r="AD9" s="23">
        <v>13.2</v>
      </c>
      <c r="AE9" s="23">
        <v>9.4</v>
      </c>
      <c r="AF9" s="23">
        <v>13.3</v>
      </c>
      <c r="AG9" s="23">
        <v>14.56</v>
      </c>
      <c r="AH9" s="23">
        <v>0</v>
      </c>
      <c r="AI9" s="23">
        <v>1.4</v>
      </c>
      <c r="AJ9" s="23">
        <v>0.8</v>
      </c>
      <c r="AK9" s="23">
        <v>1.7</v>
      </c>
      <c r="AL9" s="23">
        <v>1.67</v>
      </c>
      <c r="AM9" s="23">
        <v>0</v>
      </c>
      <c r="AN9" s="28"/>
      <c r="AO9" s="39">
        <f t="shared" si="17"/>
        <v>13.3</v>
      </c>
      <c r="AP9" s="39">
        <f t="shared" si="18"/>
        <v>14.32</v>
      </c>
      <c r="AQ9" s="41">
        <f t="shared" si="19"/>
        <v>49.419999999999995</v>
      </c>
      <c r="AR9" s="41">
        <f t="shared" si="20"/>
        <v>13.3</v>
      </c>
      <c r="AS9" s="41">
        <f t="shared" si="21"/>
        <v>14.56</v>
      </c>
      <c r="AT9" s="41">
        <f t="shared" si="22"/>
        <v>50.460000000000008</v>
      </c>
      <c r="AU9" s="41">
        <f t="shared" si="23"/>
        <v>50.460000000000008</v>
      </c>
      <c r="AV9" s="41">
        <f t="shared" si="24"/>
        <v>1.7</v>
      </c>
      <c r="AW9" s="41">
        <f t="shared" si="25"/>
        <v>1.67</v>
      </c>
      <c r="AX9" s="41">
        <f t="shared" si="26"/>
        <v>5.57</v>
      </c>
      <c r="AY9" s="41">
        <f t="shared" si="27"/>
        <v>56.030000000000008</v>
      </c>
      <c r="AZ9" s="27">
        <v>13.1</v>
      </c>
      <c r="BA9" s="27">
        <v>8.4</v>
      </c>
      <c r="BB9" s="27">
        <v>13.3</v>
      </c>
      <c r="BC9" s="27">
        <v>14.87</v>
      </c>
      <c r="BD9" s="27">
        <v>0</v>
      </c>
      <c r="BE9" s="27">
        <v>13.1</v>
      </c>
      <c r="BF9" s="27">
        <v>8.5</v>
      </c>
      <c r="BG9" s="27">
        <v>13.3</v>
      </c>
      <c r="BH9" s="27">
        <v>14.86</v>
      </c>
      <c r="BI9" s="27">
        <v>0</v>
      </c>
      <c r="BJ9" s="27">
        <v>5.2</v>
      </c>
      <c r="BK9" s="27">
        <v>3.4</v>
      </c>
      <c r="BL9" s="27">
        <v>5.8</v>
      </c>
      <c r="BM9" s="27">
        <v>6.06</v>
      </c>
      <c r="BN9" s="27">
        <v>0.2</v>
      </c>
      <c r="BO9" s="29"/>
      <c r="BP9" s="40">
        <f t="shared" si="28"/>
        <v>13.3</v>
      </c>
      <c r="BQ9" s="40">
        <f t="shared" si="29"/>
        <v>14.87</v>
      </c>
      <c r="BR9" s="11">
        <f t="shared" si="30"/>
        <v>49.669999999999995</v>
      </c>
      <c r="BS9" s="11">
        <f t="shared" si="31"/>
        <v>13.3</v>
      </c>
      <c r="BT9" s="11">
        <f t="shared" si="32"/>
        <v>14.86</v>
      </c>
      <c r="BU9" s="11">
        <f t="shared" si="33"/>
        <v>49.760000000000005</v>
      </c>
      <c r="BV9" s="11">
        <f t="shared" si="34"/>
        <v>49.760000000000005</v>
      </c>
      <c r="BW9" s="11">
        <f t="shared" si="35"/>
        <v>5.8</v>
      </c>
      <c r="BX9" s="11">
        <f t="shared" si="36"/>
        <v>6.06</v>
      </c>
      <c r="BY9" s="11">
        <f t="shared" si="37"/>
        <v>20.259999999999998</v>
      </c>
      <c r="BZ9" s="11">
        <f t="shared" si="38"/>
        <v>70.02000000000001</v>
      </c>
      <c r="CA9" s="23">
        <v>9.9</v>
      </c>
      <c r="CB9" s="23">
        <v>6.2</v>
      </c>
      <c r="CC9" s="23">
        <v>9.1999999999999993</v>
      </c>
      <c r="CD9" s="23">
        <v>10.6</v>
      </c>
      <c r="CE9" s="23">
        <v>0</v>
      </c>
      <c r="CF9" s="23">
        <v>12.9</v>
      </c>
      <c r="CG9" s="23">
        <v>9.1</v>
      </c>
      <c r="CH9" s="23">
        <v>13.3</v>
      </c>
      <c r="CI9" s="23">
        <v>14.46</v>
      </c>
      <c r="CJ9" s="23">
        <v>0</v>
      </c>
      <c r="CK9" s="23">
        <v>13.5</v>
      </c>
      <c r="CL9" s="23">
        <v>9.1999999999999993</v>
      </c>
      <c r="CM9" s="23">
        <v>12.7</v>
      </c>
      <c r="CN9" s="23">
        <v>14.34</v>
      </c>
      <c r="CO9" s="23">
        <v>0</v>
      </c>
      <c r="CP9" s="28"/>
      <c r="CQ9" s="39">
        <f t="shared" si="39"/>
        <v>9.1999999999999993</v>
      </c>
      <c r="CR9" s="39">
        <f t="shared" si="40"/>
        <v>10.6</v>
      </c>
      <c r="CS9" s="41">
        <f t="shared" si="41"/>
        <v>35.9</v>
      </c>
      <c r="CT9" s="41">
        <f t="shared" si="42"/>
        <v>13.3</v>
      </c>
      <c r="CU9" s="41">
        <f t="shared" si="43"/>
        <v>14.46</v>
      </c>
      <c r="CV9" s="41">
        <f t="shared" si="44"/>
        <v>49.76</v>
      </c>
      <c r="CW9" s="41">
        <f t="shared" si="45"/>
        <v>49.76</v>
      </c>
      <c r="CX9" s="41">
        <f t="shared" si="46"/>
        <v>12.7</v>
      </c>
      <c r="CY9" s="41">
        <f t="shared" si="47"/>
        <v>14.34</v>
      </c>
      <c r="CZ9" s="41">
        <f t="shared" si="48"/>
        <v>49.739999999999995</v>
      </c>
      <c r="DA9" s="41">
        <f t="shared" si="49"/>
        <v>99.5</v>
      </c>
      <c r="DB9" s="52">
        <f t="shared" si="50"/>
        <v>1.740000000000002</v>
      </c>
      <c r="DC9" s="52">
        <f t="shared" si="51"/>
        <v>0.32999999999999829</v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>
        <v>13.3</v>
      </c>
      <c r="HC9" s="18">
        <v>8.5</v>
      </c>
      <c r="HD9" s="18">
        <v>13.3</v>
      </c>
      <c r="HE9" s="18">
        <v>14.08</v>
      </c>
      <c r="HF9" s="18">
        <v>0</v>
      </c>
      <c r="HG9" s="18">
        <v>14.2</v>
      </c>
      <c r="HH9" s="18">
        <v>9.5</v>
      </c>
      <c r="HI9" s="18">
        <v>13.3</v>
      </c>
      <c r="HJ9" s="18">
        <v>14.5</v>
      </c>
      <c r="HK9" s="18">
        <v>0</v>
      </c>
      <c r="HL9" s="18"/>
      <c r="HM9" s="18"/>
      <c r="HN9" s="18"/>
      <c r="HO9" s="18"/>
      <c r="HP9" s="18"/>
      <c r="HQ9" s="18">
        <v>13.1</v>
      </c>
      <c r="HR9" s="18">
        <v>8.6999999999999993</v>
      </c>
      <c r="HS9" s="18">
        <v>13.8</v>
      </c>
      <c r="HT9" s="18">
        <v>14.47</v>
      </c>
      <c r="HU9" s="18">
        <v>0</v>
      </c>
      <c r="HV9" s="11">
        <f t="shared" si="94"/>
        <v>13.3</v>
      </c>
      <c r="HW9" s="11">
        <f t="shared" si="95"/>
        <v>14.08</v>
      </c>
      <c r="HX9" s="11">
        <f t="shared" si="96"/>
        <v>49.18</v>
      </c>
      <c r="HY9" s="11">
        <f t="shared" si="97"/>
        <v>13.3</v>
      </c>
      <c r="HZ9" s="11">
        <f t="shared" si="98"/>
        <v>14.5</v>
      </c>
      <c r="IA9" s="11">
        <f t="shared" si="99"/>
        <v>51.5</v>
      </c>
      <c r="IB9" s="11">
        <f t="shared" si="100"/>
        <v>51.5</v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>
        <f t="shared" si="104"/>
        <v>13.8</v>
      </c>
      <c r="IG9" s="11">
        <f t="shared" si="105"/>
        <v>14.47</v>
      </c>
      <c r="IH9" s="11">
        <f t="shared" si="106"/>
        <v>50.069999999999993</v>
      </c>
      <c r="II9" s="11">
        <f t="shared" si="107"/>
        <v>101.57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>
        <v>12.1</v>
      </c>
      <c r="MI9" s="18">
        <v>8.3000000000000007</v>
      </c>
      <c r="MJ9" s="18">
        <v>11.7</v>
      </c>
      <c r="MK9" s="18">
        <v>13.36</v>
      </c>
      <c r="ML9" s="18">
        <v>0</v>
      </c>
      <c r="MM9" s="18">
        <v>13.7</v>
      </c>
      <c r="MN9" s="18">
        <v>8.8000000000000007</v>
      </c>
      <c r="MO9" s="18">
        <v>13.3</v>
      </c>
      <c r="MP9" s="18">
        <v>14.87</v>
      </c>
      <c r="MQ9" s="18">
        <v>0</v>
      </c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>
        <f t="shared" si="150"/>
        <v>11.7</v>
      </c>
      <c r="NC9" s="11">
        <f t="shared" si="151"/>
        <v>13.36</v>
      </c>
      <c r="ND9" s="11">
        <f t="shared" si="152"/>
        <v>45.459999999999994</v>
      </c>
      <c r="NE9" s="11">
        <f t="shared" si="153"/>
        <v>13.3</v>
      </c>
      <c r="NF9" s="11">
        <f t="shared" si="154"/>
        <v>14.87</v>
      </c>
      <c r="NG9" s="11">
        <f t="shared" si="155"/>
        <v>50.669999999999995</v>
      </c>
      <c r="NH9" s="11">
        <f t="shared" si="156"/>
        <v>50.669999999999995</v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>
        <f t="shared" si="163"/>
        <v>50.669999999999995</v>
      </c>
      <c r="NP9" s="17">
        <v>13.3</v>
      </c>
      <c r="NQ9" s="17">
        <v>9</v>
      </c>
      <c r="NR9" s="17">
        <v>13.3</v>
      </c>
      <c r="NS9" s="17">
        <v>14.51</v>
      </c>
      <c r="NT9" s="17">
        <v>0</v>
      </c>
      <c r="NU9" s="17">
        <v>12.8</v>
      </c>
      <c r="NV9" s="17">
        <v>8.1999999999999993</v>
      </c>
      <c r="NW9" s="17">
        <v>11.7</v>
      </c>
      <c r="NX9" s="17">
        <v>13.3</v>
      </c>
      <c r="NY9" s="17">
        <v>0</v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>
        <f t="shared" si="164"/>
        <v>13.3</v>
      </c>
      <c r="OK9" s="41">
        <f t="shared" si="165"/>
        <v>14.51</v>
      </c>
      <c r="OL9" s="41">
        <f t="shared" si="166"/>
        <v>50.11</v>
      </c>
      <c r="OM9" s="41">
        <f t="shared" si="167"/>
        <v>11.7</v>
      </c>
      <c r="ON9" s="41">
        <f t="shared" si="168"/>
        <v>13.3</v>
      </c>
      <c r="OO9" s="41">
        <f t="shared" si="169"/>
        <v>46</v>
      </c>
      <c r="OP9" s="41">
        <f t="shared" si="170"/>
        <v>50.11</v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>
        <f t="shared" si="177"/>
        <v>50.11</v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11.5</v>
      </c>
      <c r="SW9" s="23">
        <f t="shared" si="221"/>
        <v>7.3000000000000007</v>
      </c>
      <c r="SX9" s="23">
        <f t="shared" si="222"/>
        <v>11.25</v>
      </c>
      <c r="SY9" s="23">
        <f t="shared" si="223"/>
        <v>12.734999999999999</v>
      </c>
      <c r="SZ9" s="23">
        <f t="shared" si="224"/>
        <v>0</v>
      </c>
      <c r="TA9" s="23">
        <f t="shared" si="225"/>
        <v>13</v>
      </c>
      <c r="TB9" s="23">
        <f t="shared" si="226"/>
        <v>8.8000000000000007</v>
      </c>
      <c r="TC9" s="23">
        <f t="shared" si="227"/>
        <v>13.3</v>
      </c>
      <c r="TD9" s="23">
        <f t="shared" si="228"/>
        <v>14.66</v>
      </c>
      <c r="TE9" s="23">
        <f t="shared" si="229"/>
        <v>0</v>
      </c>
      <c r="TF9" s="23">
        <f t="shared" si="230"/>
        <v>9.35</v>
      </c>
      <c r="TG9" s="23">
        <f t="shared" si="231"/>
        <v>6.3</v>
      </c>
      <c r="TH9" s="23">
        <f t="shared" si="232"/>
        <v>9.25</v>
      </c>
      <c r="TI9" s="23">
        <f t="shared" si="233"/>
        <v>10.199999999999999</v>
      </c>
      <c r="TJ9" s="23">
        <f t="shared" si="234"/>
        <v>0.1</v>
      </c>
      <c r="TK9" s="28" t="s">
        <v>58</v>
      </c>
      <c r="TL9" s="41">
        <f t="shared" si="235"/>
        <v>11.25</v>
      </c>
      <c r="TM9" s="41">
        <f t="shared" si="236"/>
        <v>12.734999999999999</v>
      </c>
      <c r="TN9" s="41">
        <f t="shared" si="237"/>
        <v>42.784999999999997</v>
      </c>
      <c r="TO9" s="41">
        <f t="shared" si="238"/>
        <v>13.3</v>
      </c>
      <c r="TP9" s="41">
        <f t="shared" si="239"/>
        <v>14.66</v>
      </c>
      <c r="TQ9" s="41">
        <f t="shared" si="240"/>
        <v>49.760000000000005</v>
      </c>
      <c r="TR9" s="41">
        <f t="shared" si="241"/>
        <v>49.760000000000005</v>
      </c>
      <c r="TS9" s="41">
        <f t="shared" si="242"/>
        <v>9.25</v>
      </c>
      <c r="TT9" s="41">
        <f t="shared" si="243"/>
        <v>10.199999999999999</v>
      </c>
      <c r="TU9" s="41">
        <f t="shared" si="244"/>
        <v>34.999999999999993</v>
      </c>
      <c r="TV9" s="41">
        <f t="shared" si="245"/>
        <v>84.759999999999991</v>
      </c>
    </row>
    <row r="10" spans="1:542" x14ac:dyDescent="0.2">
      <c r="A10" s="4" cm="1">
        <f t="array" ref="A10">IF(AND(F10&lt;&gt;"",G10&lt;&gt;""),SUMPRODUCT((F$4:F$18&lt;&gt;"")*(G$4:G$18&lt;&gt;"")*(E$4:E$18&gt;E10))+1,IF(G10&lt;&gt;"",SUMPRODUCT((H$4:H$18="No DD")*(E$4:E$18&gt;E10))+1+SUMPRODUCT((F$4:F$18&lt;&gt;"")*(G$4:G$18&lt;&gt;"")),""))</f>
        <v>7</v>
      </c>
      <c r="B10" s="5" t="s">
        <v>102</v>
      </c>
      <c r="C10" s="4" t="s">
        <v>5</v>
      </c>
      <c r="D10" s="4">
        <v>1999</v>
      </c>
      <c r="E10" s="9">
        <f t="shared" si="0"/>
        <v>224.72002247200504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IF(COUNT(AQ10,AT10,BR10,BU10,CS10,CV10)&gt;0,LARGE((AQ10,AT10,BR10,BU10,CS10,CV10),1),0)</f>
        <v>50.620000000000005</v>
      </c>
      <c r="K10" s="8" t="str">
        <f t="shared" si="5"/>
        <v>2022 Nationals</v>
      </c>
      <c r="L10" s="8">
        <f>IF(COUNT(AQ10,AT10,BR10,BU10,CS10,CV10)&gt;1,LARGE((AQ10,AT10,BR10,BU10,CS10,CV10),2),0)</f>
        <v>50.019999999999996</v>
      </c>
      <c r="M10" s="8" t="str">
        <f t="shared" si="6"/>
        <v>2022 Nationals</v>
      </c>
      <c r="N10" s="8">
        <f>IF(COUNT(AQ10,AT10,BR10,BU10,CS10,CV10)&gt;2,LARGE((AQ10,AT10,BR10,BU10,CS10,CV10),3),0)</f>
        <v>49.43</v>
      </c>
      <c r="O10" s="8" t="str">
        <f t="shared" si="7"/>
        <v>2022 3rd Domestic Trial</v>
      </c>
      <c r="P10" s="8">
        <f t="shared" si="8"/>
        <v>48.32</v>
      </c>
      <c r="Q10" s="8" t="str">
        <f t="shared" si="9"/>
        <v>2022 3rd Domestic Trial</v>
      </c>
      <c r="R10" s="8">
        <f t="shared" si="10"/>
        <v>12.7</v>
      </c>
      <c r="S10" s="8" t="str">
        <f t="shared" si="11"/>
        <v>2022 3rd Domestic Trial</v>
      </c>
      <c r="T10" s="8">
        <f t="shared" si="12"/>
        <v>13.63</v>
      </c>
      <c r="U10" s="8" t="str">
        <f t="shared" si="13"/>
        <v>2022 3rd Domestic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14.8</v>
      </c>
      <c r="Z10" s="23">
        <v>9.1</v>
      </c>
      <c r="AA10" s="23">
        <v>12</v>
      </c>
      <c r="AB10" s="23">
        <v>14.12</v>
      </c>
      <c r="AC10" s="23">
        <v>0</v>
      </c>
      <c r="AD10" s="23">
        <v>15.3</v>
      </c>
      <c r="AE10" s="23">
        <v>9.4</v>
      </c>
      <c r="AF10" s="23">
        <v>12</v>
      </c>
      <c r="AG10" s="23">
        <v>13.92</v>
      </c>
      <c r="AH10" s="23">
        <v>0</v>
      </c>
      <c r="AI10" s="23">
        <v>1.6</v>
      </c>
      <c r="AJ10" s="23">
        <v>0.9</v>
      </c>
      <c r="AK10" s="23">
        <v>1.7</v>
      </c>
      <c r="AL10" s="23">
        <v>1.67</v>
      </c>
      <c r="AM10" s="23">
        <v>0</v>
      </c>
      <c r="AN10" s="28"/>
      <c r="AO10" s="39">
        <f t="shared" si="17"/>
        <v>12</v>
      </c>
      <c r="AP10" s="39">
        <f t="shared" si="18"/>
        <v>14.12</v>
      </c>
      <c r="AQ10" s="41">
        <f t="shared" si="19"/>
        <v>50.019999999999996</v>
      </c>
      <c r="AR10" s="41">
        <f t="shared" si="20"/>
        <v>12</v>
      </c>
      <c r="AS10" s="41">
        <f t="shared" si="21"/>
        <v>13.92</v>
      </c>
      <c r="AT10" s="41">
        <f t="shared" si="22"/>
        <v>50.620000000000005</v>
      </c>
      <c r="AU10" s="41">
        <f t="shared" si="23"/>
        <v>50.620000000000005</v>
      </c>
      <c r="AV10" s="41">
        <f t="shared" si="24"/>
        <v>1.7</v>
      </c>
      <c r="AW10" s="41">
        <f t="shared" si="25"/>
        <v>1.67</v>
      </c>
      <c r="AX10" s="41">
        <f t="shared" si="26"/>
        <v>5.87</v>
      </c>
      <c r="AY10" s="41">
        <f t="shared" si="27"/>
        <v>56.49</v>
      </c>
      <c r="AZ10" s="27">
        <v>12.7</v>
      </c>
      <c r="BA10" s="27">
        <v>7.5</v>
      </c>
      <c r="BB10" s="27">
        <v>11.3</v>
      </c>
      <c r="BC10" s="27">
        <v>12.49</v>
      </c>
      <c r="BD10" s="27">
        <v>0</v>
      </c>
      <c r="BE10" s="27">
        <v>13.8</v>
      </c>
      <c r="BF10" s="27">
        <v>9.3000000000000007</v>
      </c>
      <c r="BG10" s="27">
        <v>12.7</v>
      </c>
      <c r="BH10" s="27">
        <v>13.63</v>
      </c>
      <c r="BI10" s="27">
        <v>0</v>
      </c>
      <c r="BJ10" s="27">
        <v>13.3</v>
      </c>
      <c r="BK10" s="27">
        <v>9.5</v>
      </c>
      <c r="BL10" s="27">
        <v>12.7</v>
      </c>
      <c r="BM10" s="27">
        <v>12.82</v>
      </c>
      <c r="BN10" s="27">
        <v>0</v>
      </c>
      <c r="BO10" s="29"/>
      <c r="BP10" s="40">
        <f t="shared" si="28"/>
        <v>11.3</v>
      </c>
      <c r="BQ10" s="40">
        <f t="shared" si="29"/>
        <v>12.49</v>
      </c>
      <c r="BR10" s="11">
        <f t="shared" si="30"/>
        <v>43.99</v>
      </c>
      <c r="BS10" s="11">
        <f t="shared" si="31"/>
        <v>12.7</v>
      </c>
      <c r="BT10" s="11">
        <f t="shared" si="32"/>
        <v>13.63</v>
      </c>
      <c r="BU10" s="11">
        <f t="shared" si="33"/>
        <v>49.43</v>
      </c>
      <c r="BV10" s="11">
        <f t="shared" si="34"/>
        <v>49.43</v>
      </c>
      <c r="BW10" s="11">
        <f t="shared" si="35"/>
        <v>12.7</v>
      </c>
      <c r="BX10" s="11">
        <f t="shared" si="36"/>
        <v>12.82</v>
      </c>
      <c r="BY10" s="11">
        <f t="shared" si="37"/>
        <v>48.32</v>
      </c>
      <c r="BZ10" s="11">
        <f t="shared" si="38"/>
        <v>97.75</v>
      </c>
      <c r="CA10" s="23">
        <v>4.0999999999999996</v>
      </c>
      <c r="CB10" s="23">
        <v>2.8</v>
      </c>
      <c r="CC10" s="23">
        <v>3.8</v>
      </c>
      <c r="CD10" s="23">
        <v>4.32</v>
      </c>
      <c r="CE10" s="23">
        <v>0</v>
      </c>
      <c r="CF10" s="23">
        <v>13.5</v>
      </c>
      <c r="CG10" s="23">
        <v>9.3000000000000007</v>
      </c>
      <c r="CH10" s="23">
        <v>12</v>
      </c>
      <c r="CI10" s="23">
        <v>13.11</v>
      </c>
      <c r="CJ10" s="23">
        <v>0</v>
      </c>
      <c r="CK10" s="23">
        <v>12.2</v>
      </c>
      <c r="CL10" s="23">
        <v>8.6</v>
      </c>
      <c r="CM10" s="23">
        <v>11.3</v>
      </c>
      <c r="CN10" s="23">
        <v>12.49</v>
      </c>
      <c r="CO10" s="23">
        <v>0</v>
      </c>
      <c r="CP10" s="28"/>
      <c r="CQ10" s="39">
        <f t="shared" si="39"/>
        <v>3.8</v>
      </c>
      <c r="CR10" s="39">
        <f t="shared" si="40"/>
        <v>4.32</v>
      </c>
      <c r="CS10" s="41">
        <f t="shared" si="41"/>
        <v>15.02</v>
      </c>
      <c r="CT10" s="41">
        <f t="shared" si="42"/>
        <v>12</v>
      </c>
      <c r="CU10" s="41">
        <f t="shared" si="43"/>
        <v>13.11</v>
      </c>
      <c r="CV10" s="41">
        <f t="shared" si="44"/>
        <v>47.91</v>
      </c>
      <c r="CW10" s="41">
        <f t="shared" si="45"/>
        <v>47.91</v>
      </c>
      <c r="CX10" s="41">
        <f t="shared" si="46"/>
        <v>11.3</v>
      </c>
      <c r="CY10" s="41">
        <f t="shared" si="47"/>
        <v>12.49</v>
      </c>
      <c r="CZ10" s="41">
        <f t="shared" si="48"/>
        <v>44.589999999999996</v>
      </c>
      <c r="DA10" s="41">
        <f t="shared" si="49"/>
        <v>92.5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8.3999999999999986</v>
      </c>
      <c r="SW10" s="23">
        <f t="shared" si="221"/>
        <v>5.15</v>
      </c>
      <c r="SX10" s="23">
        <f t="shared" si="222"/>
        <v>7.5500000000000007</v>
      </c>
      <c r="SY10" s="23">
        <f t="shared" si="223"/>
        <v>8.4050000000000011</v>
      </c>
      <c r="SZ10" s="23">
        <f t="shared" si="224"/>
        <v>0</v>
      </c>
      <c r="TA10" s="23">
        <f t="shared" si="225"/>
        <v>13.65</v>
      </c>
      <c r="TB10" s="23">
        <f t="shared" si="226"/>
        <v>9.3000000000000007</v>
      </c>
      <c r="TC10" s="23">
        <f t="shared" si="227"/>
        <v>12.35</v>
      </c>
      <c r="TD10" s="23">
        <f t="shared" si="228"/>
        <v>13.370000000000001</v>
      </c>
      <c r="TE10" s="23">
        <f t="shared" si="229"/>
        <v>0</v>
      </c>
      <c r="TF10" s="23">
        <f t="shared" si="230"/>
        <v>12.75</v>
      </c>
      <c r="TG10" s="23">
        <f t="shared" si="231"/>
        <v>9.0500000000000007</v>
      </c>
      <c r="TH10" s="23">
        <f t="shared" si="232"/>
        <v>12</v>
      </c>
      <c r="TI10" s="23">
        <f t="shared" si="233"/>
        <v>12.655000000000001</v>
      </c>
      <c r="TJ10" s="23">
        <f t="shared" si="234"/>
        <v>0</v>
      </c>
      <c r="TK10" s="28" t="s">
        <v>58</v>
      </c>
      <c r="TL10" s="41">
        <f t="shared" si="235"/>
        <v>7.5500000000000007</v>
      </c>
      <c r="TM10" s="41">
        <f t="shared" si="236"/>
        <v>8.4050000000000011</v>
      </c>
      <c r="TN10" s="41">
        <f t="shared" si="237"/>
        <v>29.505000000000003</v>
      </c>
      <c r="TO10" s="41">
        <f t="shared" si="238"/>
        <v>12.35</v>
      </c>
      <c r="TP10" s="41">
        <f t="shared" si="239"/>
        <v>13.370000000000001</v>
      </c>
      <c r="TQ10" s="41">
        <f t="shared" si="240"/>
        <v>48.67</v>
      </c>
      <c r="TR10" s="41">
        <f t="shared" si="241"/>
        <v>48.67</v>
      </c>
      <c r="TS10" s="41">
        <f t="shared" si="242"/>
        <v>12</v>
      </c>
      <c r="TT10" s="41">
        <f t="shared" si="243"/>
        <v>12.655000000000001</v>
      </c>
      <c r="TU10" s="41">
        <f t="shared" si="244"/>
        <v>46.454999999999998</v>
      </c>
      <c r="TV10" s="41">
        <f t="shared" si="245"/>
        <v>95.125</v>
      </c>
    </row>
    <row r="11" spans="1:542" x14ac:dyDescent="0.2">
      <c r="A11" s="4" cm="1">
        <f t="array" ref="A11">IF(AND(F11&lt;&gt;"",G11&lt;&gt;""),SUMPRODUCT((F$4:F$18&lt;&gt;"")*(G$4:G$18&lt;&gt;"")*(E$4:E$18&gt;E11))+1,IF(G11&lt;&gt;"",SUMPRODUCT((H$4:H$18="No DD")*(E$4:E$18&gt;E11))+1+SUMPRODUCT((F$4:F$18&lt;&gt;"")*(G$4:G$18&lt;&gt;"")),""))</f>
        <v>8</v>
      </c>
      <c r="B11" s="5" t="s">
        <v>85</v>
      </c>
      <c r="C11" s="4" t="s">
        <v>6</v>
      </c>
      <c r="D11" s="4">
        <v>2002</v>
      </c>
      <c r="E11" s="9">
        <f t="shared" si="0"/>
        <v>214.22502084400517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IF(COUNT(AQ11,AT11,BR11,BU11,CS11,CV11)&gt;0,LARGE((AQ11,AT11,BR11,BU11,CS11,CV11),1),0)</f>
        <v>51.75</v>
      </c>
      <c r="K11" s="8" t="str">
        <f t="shared" si="5"/>
        <v>2022 Nationals</v>
      </c>
      <c r="L11" s="8">
        <f>IF(COUNT(AQ11,AT11,BR11,BU11,CS11,CV11)&gt;1,LARGE((AQ11,AT11,BR11,BU11,CS11,CV11),2),0)</f>
        <v>50.309999999999995</v>
      </c>
      <c r="M11" s="8" t="str">
        <f t="shared" si="6"/>
        <v>2022 Nationals</v>
      </c>
      <c r="N11" s="8">
        <f>IF(COUNT(AQ11,AT11,BR11,BU11,CS11,CV11)&gt;2,LARGE((AQ11,AT11,BR11,BU11,CS11,CV11),3),0)</f>
        <v>44.22</v>
      </c>
      <c r="O11" s="8" t="str">
        <f t="shared" si="7"/>
        <v>2022 3rd Domestic Trial</v>
      </c>
      <c r="P11" s="8">
        <f t="shared" si="8"/>
        <v>50.16</v>
      </c>
      <c r="Q11" s="8" t="str">
        <f t="shared" si="9"/>
        <v>2022 Nationals</v>
      </c>
      <c r="R11" s="8">
        <f t="shared" si="10"/>
        <v>12</v>
      </c>
      <c r="S11" s="8" t="str">
        <f t="shared" si="11"/>
        <v>2022 Nationals</v>
      </c>
      <c r="T11" s="8">
        <f t="shared" si="12"/>
        <v>0</v>
      </c>
      <c r="U11" s="8" t="str">
        <f t="shared" si="13"/>
        <v/>
      </c>
      <c r="V11" s="8">
        <f t="shared" si="14"/>
        <v>5.7850000000000037</v>
      </c>
      <c r="W11" s="11" t="str">
        <f t="shared" si="15"/>
        <v>(Prelim)</v>
      </c>
      <c r="X11" s="8" t="str">
        <f t="shared" si="16"/>
        <v>2022 Pan Am Championships (June 28)</v>
      </c>
      <c r="Y11" s="23">
        <v>14.5</v>
      </c>
      <c r="Z11" s="23">
        <v>9.3000000000000007</v>
      </c>
      <c r="AA11" s="23">
        <v>12</v>
      </c>
      <c r="AB11" s="23">
        <v>14.51</v>
      </c>
      <c r="AC11" s="23">
        <v>0</v>
      </c>
      <c r="AD11" s="23">
        <v>15.6</v>
      </c>
      <c r="AE11" s="23">
        <v>9.3000000000000007</v>
      </c>
      <c r="AF11" s="23">
        <v>12</v>
      </c>
      <c r="AG11" s="23">
        <v>14.85</v>
      </c>
      <c r="AH11" s="23">
        <v>0</v>
      </c>
      <c r="AI11" s="23">
        <v>15.2</v>
      </c>
      <c r="AJ11" s="23">
        <v>9</v>
      </c>
      <c r="AK11" s="23">
        <v>11.3</v>
      </c>
      <c r="AL11" s="23">
        <v>14.66</v>
      </c>
      <c r="AM11" s="23">
        <v>0</v>
      </c>
      <c r="AN11" s="28"/>
      <c r="AO11" s="39">
        <f t="shared" si="17"/>
        <v>12</v>
      </c>
      <c r="AP11" s="39">
        <f t="shared" si="18"/>
        <v>14.51</v>
      </c>
      <c r="AQ11" s="41">
        <f t="shared" si="19"/>
        <v>50.309999999999995</v>
      </c>
      <c r="AR11" s="41">
        <f t="shared" si="20"/>
        <v>12</v>
      </c>
      <c r="AS11" s="41">
        <f t="shared" si="21"/>
        <v>14.85</v>
      </c>
      <c r="AT11" s="41">
        <f t="shared" si="22"/>
        <v>51.75</v>
      </c>
      <c r="AU11" s="41">
        <f t="shared" si="23"/>
        <v>51.75</v>
      </c>
      <c r="AV11" s="41">
        <f t="shared" si="24"/>
        <v>11.3</v>
      </c>
      <c r="AW11" s="41">
        <f t="shared" si="25"/>
        <v>14.66</v>
      </c>
      <c r="AX11" s="41">
        <f t="shared" si="26"/>
        <v>50.16</v>
      </c>
      <c r="AY11" s="41">
        <f t="shared" si="27"/>
        <v>101.91</v>
      </c>
      <c r="AZ11" s="27">
        <v>11.6</v>
      </c>
      <c r="BA11" s="27">
        <v>8.1999999999999993</v>
      </c>
      <c r="BB11" s="27">
        <v>11.7</v>
      </c>
      <c r="BC11" s="27">
        <v>12.72</v>
      </c>
      <c r="BD11" s="27">
        <v>0</v>
      </c>
      <c r="BE11" s="27">
        <v>2.2000000000000002</v>
      </c>
      <c r="BF11" s="27">
        <v>1.7</v>
      </c>
      <c r="BG11" s="27">
        <v>2.7</v>
      </c>
      <c r="BH11" s="27">
        <v>2.89</v>
      </c>
      <c r="BI11" s="27">
        <v>0</v>
      </c>
      <c r="BJ11" s="27">
        <v>7.7</v>
      </c>
      <c r="BK11" s="27">
        <v>5.6</v>
      </c>
      <c r="BL11" s="27">
        <v>8.1</v>
      </c>
      <c r="BM11" s="27">
        <v>8.7899999999999991</v>
      </c>
      <c r="BN11" s="27">
        <v>0</v>
      </c>
      <c r="BO11" s="29"/>
      <c r="BP11" s="40">
        <f t="shared" si="28"/>
        <v>11.7</v>
      </c>
      <c r="BQ11" s="40">
        <f t="shared" si="29"/>
        <v>12.72</v>
      </c>
      <c r="BR11" s="11">
        <f t="shared" si="30"/>
        <v>44.22</v>
      </c>
      <c r="BS11" s="11">
        <f t="shared" si="31"/>
        <v>2.7</v>
      </c>
      <c r="BT11" s="11">
        <f t="shared" si="32"/>
        <v>2.89</v>
      </c>
      <c r="BU11" s="11">
        <f t="shared" si="33"/>
        <v>9.49</v>
      </c>
      <c r="BV11" s="11">
        <f t="shared" si="34"/>
        <v>44.22</v>
      </c>
      <c r="BW11" s="11">
        <f t="shared" si="35"/>
        <v>8.1</v>
      </c>
      <c r="BX11" s="11">
        <f t="shared" si="36"/>
        <v>8.7899999999999991</v>
      </c>
      <c r="BY11" s="11">
        <f t="shared" si="37"/>
        <v>30.189999999999998</v>
      </c>
      <c r="BZ11" s="11">
        <f t="shared" si="38"/>
        <v>74.41</v>
      </c>
      <c r="CA11" s="23">
        <v>7.8</v>
      </c>
      <c r="CB11" s="23">
        <v>5.4</v>
      </c>
      <c r="CC11" s="23">
        <v>8.1</v>
      </c>
      <c r="CD11" s="23">
        <v>8.59</v>
      </c>
      <c r="CE11" s="23">
        <v>0</v>
      </c>
      <c r="CF11" s="23">
        <v>2</v>
      </c>
      <c r="CG11" s="23">
        <v>0.9</v>
      </c>
      <c r="CH11" s="23">
        <v>0.6</v>
      </c>
      <c r="CI11" s="23">
        <v>1.59</v>
      </c>
      <c r="CJ11" s="23">
        <v>0</v>
      </c>
      <c r="CK11" s="23"/>
      <c r="CL11" s="23"/>
      <c r="CM11" s="23"/>
      <c r="CN11" s="23"/>
      <c r="CO11" s="23"/>
      <c r="CP11" s="28"/>
      <c r="CQ11" s="39">
        <f t="shared" si="39"/>
        <v>8.1</v>
      </c>
      <c r="CR11" s="39">
        <f t="shared" si="40"/>
        <v>8.59</v>
      </c>
      <c r="CS11" s="41">
        <f t="shared" si="41"/>
        <v>29.889999999999997</v>
      </c>
      <c r="CT11" s="41">
        <f t="shared" si="42"/>
        <v>0.6</v>
      </c>
      <c r="CU11" s="41">
        <f t="shared" si="43"/>
        <v>1.59</v>
      </c>
      <c r="CV11" s="41">
        <f t="shared" si="44"/>
        <v>5.09</v>
      </c>
      <c r="CW11" s="41">
        <f t="shared" si="45"/>
        <v>29.889999999999997</v>
      </c>
      <c r="CX11" s="41" t="str">
        <f t="shared" si="46"/>
        <v/>
      </c>
      <c r="CY11" s="41" t="str">
        <f t="shared" si="47"/>
        <v/>
      </c>
      <c r="CZ11" s="41" t="str">
        <f t="shared" si="48"/>
        <v/>
      </c>
      <c r="DA11" s="41">
        <f t="shared" si="49"/>
        <v>29.889999999999997</v>
      </c>
      <c r="DB11" s="52">
        <f t="shared" si="50"/>
        <v>5.7850000000000037</v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>
        <v>15.2</v>
      </c>
      <c r="HC11" s="18">
        <v>11.3</v>
      </c>
      <c r="HD11" s="18">
        <v>9.1999999999999993</v>
      </c>
      <c r="HE11" s="18">
        <v>14.305</v>
      </c>
      <c r="HF11" s="18">
        <v>0</v>
      </c>
      <c r="HG11" s="18">
        <v>9.1</v>
      </c>
      <c r="HH11" s="18">
        <v>7.2</v>
      </c>
      <c r="HI11" s="18">
        <v>5.3</v>
      </c>
      <c r="HJ11" s="18">
        <v>8.59</v>
      </c>
      <c r="HK11" s="18">
        <v>0</v>
      </c>
      <c r="HL11" s="18"/>
      <c r="HM11" s="18"/>
      <c r="HN11" s="18"/>
      <c r="HO11" s="18"/>
      <c r="HP11" s="18"/>
      <c r="HQ11" s="18">
        <v>9.6999999999999993</v>
      </c>
      <c r="HR11" s="18">
        <v>6.4</v>
      </c>
      <c r="HS11" s="18">
        <v>9.4</v>
      </c>
      <c r="HT11" s="18">
        <v>9.8949999999999996</v>
      </c>
      <c r="HU11" s="18">
        <v>0</v>
      </c>
      <c r="HV11" s="11">
        <f t="shared" si="94"/>
        <v>9.1999999999999993</v>
      </c>
      <c r="HW11" s="11">
        <f t="shared" si="95"/>
        <v>14.305</v>
      </c>
      <c r="HX11" s="11">
        <f t="shared" si="96"/>
        <v>50.005000000000003</v>
      </c>
      <c r="HY11" s="11">
        <f t="shared" si="97"/>
        <v>5.3</v>
      </c>
      <c r="HZ11" s="11">
        <f t="shared" si="98"/>
        <v>8.59</v>
      </c>
      <c r="IA11" s="11">
        <f t="shared" si="99"/>
        <v>30.19</v>
      </c>
      <c r="IB11" s="11">
        <f t="shared" si="100"/>
        <v>50.005000000000003</v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>
        <f t="shared" si="104"/>
        <v>9.4</v>
      </c>
      <c r="IG11" s="11">
        <f t="shared" si="105"/>
        <v>9.8949999999999996</v>
      </c>
      <c r="IH11" s="11">
        <f t="shared" si="106"/>
        <v>35.394999999999996</v>
      </c>
      <c r="II11" s="11">
        <f t="shared" si="107"/>
        <v>85.4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>
        <v>13.7</v>
      </c>
      <c r="MI11" s="18">
        <v>9.3000000000000007</v>
      </c>
      <c r="MJ11" s="18">
        <v>11.8</v>
      </c>
      <c r="MK11" s="18">
        <v>13.62</v>
      </c>
      <c r="ML11" s="18">
        <v>0</v>
      </c>
      <c r="MM11" s="18">
        <v>1.2</v>
      </c>
      <c r="MN11" s="18">
        <v>0.7</v>
      </c>
      <c r="MO11" s="18">
        <v>1.7</v>
      </c>
      <c r="MP11" s="18">
        <v>1.52</v>
      </c>
      <c r="MQ11" s="18">
        <v>0</v>
      </c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>
        <f t="shared" si="150"/>
        <v>11.8</v>
      </c>
      <c r="NC11" s="11">
        <f t="shared" si="151"/>
        <v>13.62</v>
      </c>
      <c r="ND11" s="11">
        <f t="shared" si="152"/>
        <v>48.419999999999995</v>
      </c>
      <c r="NE11" s="11">
        <f t="shared" si="153"/>
        <v>1.7</v>
      </c>
      <c r="NF11" s="11">
        <f t="shared" si="154"/>
        <v>1.52</v>
      </c>
      <c r="NG11" s="11">
        <f t="shared" si="155"/>
        <v>5.1199999999999992</v>
      </c>
      <c r="NH11" s="11">
        <f t="shared" si="156"/>
        <v>48.419999999999995</v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>
        <f t="shared" si="163"/>
        <v>48.419999999999995</v>
      </c>
      <c r="NP11" s="17">
        <v>11.6</v>
      </c>
      <c r="NQ11" s="17">
        <v>8.9</v>
      </c>
      <c r="NR11" s="17">
        <v>11.7</v>
      </c>
      <c r="NS11" s="17">
        <v>13.42</v>
      </c>
      <c r="NT11" s="17">
        <v>0</v>
      </c>
      <c r="NU11" s="17">
        <v>1.2</v>
      </c>
      <c r="NV11" s="17">
        <v>1</v>
      </c>
      <c r="NW11" s="17">
        <v>1.7</v>
      </c>
      <c r="NX11" s="17">
        <v>1.5</v>
      </c>
      <c r="NY11" s="17">
        <v>0</v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>
        <f t="shared" si="164"/>
        <v>11.7</v>
      </c>
      <c r="OK11" s="41">
        <f t="shared" si="165"/>
        <v>13.42</v>
      </c>
      <c r="OL11" s="41">
        <f t="shared" si="166"/>
        <v>45.620000000000005</v>
      </c>
      <c r="OM11" s="41">
        <f t="shared" si="167"/>
        <v>1.7</v>
      </c>
      <c r="ON11" s="41">
        <f t="shared" si="168"/>
        <v>1.5</v>
      </c>
      <c r="OO11" s="41">
        <f t="shared" si="169"/>
        <v>5.4</v>
      </c>
      <c r="OP11" s="41">
        <f t="shared" si="170"/>
        <v>45.620000000000005</v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>
        <f t="shared" si="177"/>
        <v>45.620000000000005</v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9.6999999999999993</v>
      </c>
      <c r="SW11" s="23">
        <f t="shared" si="221"/>
        <v>6.8</v>
      </c>
      <c r="SX11" s="23">
        <f t="shared" si="222"/>
        <v>9.8999999999999986</v>
      </c>
      <c r="SY11" s="23">
        <f t="shared" si="223"/>
        <v>10.655000000000001</v>
      </c>
      <c r="SZ11" s="23">
        <f t="shared" si="224"/>
        <v>0</v>
      </c>
      <c r="TA11" s="23">
        <f t="shared" si="225"/>
        <v>2.1</v>
      </c>
      <c r="TB11" s="23">
        <f t="shared" si="226"/>
        <v>1.3</v>
      </c>
      <c r="TC11" s="23">
        <f t="shared" si="227"/>
        <v>1.6500000000000001</v>
      </c>
      <c r="TD11" s="23">
        <f t="shared" si="228"/>
        <v>2.2400000000000002</v>
      </c>
      <c r="TE11" s="23">
        <f t="shared" si="229"/>
        <v>0</v>
      </c>
      <c r="TF11" s="23">
        <f t="shared" si="230"/>
        <v>3.85</v>
      </c>
      <c r="TG11" s="23">
        <f t="shared" si="231"/>
        <v>2.8</v>
      </c>
      <c r="TH11" s="23">
        <f t="shared" si="232"/>
        <v>4.05</v>
      </c>
      <c r="TI11" s="23">
        <f t="shared" si="233"/>
        <v>4.3949999999999996</v>
      </c>
      <c r="TJ11" s="23">
        <f t="shared" si="234"/>
        <v>0</v>
      </c>
      <c r="TK11" s="28" t="s">
        <v>58</v>
      </c>
      <c r="TL11" s="41">
        <f t="shared" si="235"/>
        <v>9.8999999999999986</v>
      </c>
      <c r="TM11" s="41">
        <f t="shared" si="236"/>
        <v>10.655000000000001</v>
      </c>
      <c r="TN11" s="41">
        <f t="shared" si="237"/>
        <v>37.055</v>
      </c>
      <c r="TO11" s="41">
        <f t="shared" si="238"/>
        <v>1.6500000000000001</v>
      </c>
      <c r="TP11" s="41">
        <f t="shared" si="239"/>
        <v>2.2400000000000002</v>
      </c>
      <c r="TQ11" s="41">
        <f t="shared" si="240"/>
        <v>7.2900000000000009</v>
      </c>
      <c r="TR11" s="41">
        <f t="shared" si="241"/>
        <v>37.055</v>
      </c>
      <c r="TS11" s="41">
        <f t="shared" si="242"/>
        <v>4.05</v>
      </c>
      <c r="TT11" s="41">
        <f t="shared" si="243"/>
        <v>4.3949999999999996</v>
      </c>
      <c r="TU11" s="41">
        <f t="shared" si="244"/>
        <v>15.094999999999999</v>
      </c>
      <c r="TV11" s="41">
        <f t="shared" si="245"/>
        <v>52.15</v>
      </c>
    </row>
    <row r="12" spans="1:542" x14ac:dyDescent="0.2">
      <c r="A12" s="4" cm="1">
        <f t="array" ref="A12">IF(AND(F12&lt;&gt;"",G12&lt;&gt;""),SUMPRODUCT((F$4:F$18&lt;&gt;"")*(G$4:G$18&lt;&gt;"")*(E$4:E$18&gt;E12))+1,IF(G12&lt;&gt;"",SUMPRODUCT((H$4:H$18="No DD")*(E$4:E$18&gt;E12))+1+SUMPRODUCT((F$4:F$18&lt;&gt;"")*(G$4:G$18&lt;&gt;"")),""))</f>
        <v>9</v>
      </c>
      <c r="B12" s="5" t="s">
        <v>132</v>
      </c>
      <c r="C12" s="4" t="s">
        <v>3</v>
      </c>
      <c r="D12" s="4">
        <v>2001</v>
      </c>
      <c r="E12" s="9">
        <f t="shared" si="0"/>
        <v>213.60002124900504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IF(COUNT(AQ12,AT12,BR12,BU12,CS12,CV12)&gt;0,LARGE((AQ12,AT12,BR12,BU12,CS12,CV12),1),0)</f>
        <v>50.42</v>
      </c>
      <c r="K12" s="8" t="str">
        <f t="shared" si="5"/>
        <v>2023 Elite Canada</v>
      </c>
      <c r="L12" s="8">
        <f>IF(COUNT(AQ12,AT12,BR12,BU12,CS12,CV12)&gt;1,LARGE((AQ12,AT12,BR12,BU12,CS12,CV12),2),0)</f>
        <v>49.519999999999996</v>
      </c>
      <c r="M12" s="8" t="str">
        <f t="shared" si="6"/>
        <v>2022 3rd Domestic Trial</v>
      </c>
      <c r="N12" s="8">
        <f>IF(COUNT(AQ12,AT12,BR12,BU12,CS12,CV12)&gt;2,LARGE((AQ12,AT12,BR12,BU12,CS12,CV12),3),0)</f>
        <v>48.769999999999996</v>
      </c>
      <c r="O12" s="8" t="str">
        <f t="shared" si="7"/>
        <v>2022 Nationals</v>
      </c>
      <c r="P12" s="8">
        <f t="shared" si="8"/>
        <v>51.379999999999995</v>
      </c>
      <c r="Q12" s="8" t="str">
        <f t="shared" si="9"/>
        <v>2022 3rd Domestic Trial</v>
      </c>
      <c r="R12" s="8">
        <f t="shared" si="10"/>
        <v>12.4</v>
      </c>
      <c r="S12" s="8" t="str">
        <f t="shared" si="11"/>
        <v>2022 3rd Domestic Trial</v>
      </c>
      <c r="T12" s="8">
        <f t="shared" si="12"/>
        <v>0</v>
      </c>
      <c r="U12" s="8" t="str">
        <f t="shared" si="13"/>
        <v/>
      </c>
      <c r="V12" s="8">
        <f t="shared" si="14"/>
        <v>1.1100000000000065</v>
      </c>
      <c r="W12" s="11" t="str">
        <f t="shared" si="15"/>
        <v>(Prelim)</v>
      </c>
      <c r="X12" s="8" t="str">
        <f t="shared" si="16"/>
        <v>2022 Coimbra Gym Fest (June 26)</v>
      </c>
      <c r="Y12" s="23">
        <v>5.6</v>
      </c>
      <c r="Z12" s="23">
        <v>3.5</v>
      </c>
      <c r="AA12" s="23">
        <v>5</v>
      </c>
      <c r="AB12" s="23">
        <v>6.16</v>
      </c>
      <c r="AC12" s="23">
        <v>0</v>
      </c>
      <c r="AD12" s="23">
        <v>13.4</v>
      </c>
      <c r="AE12" s="23">
        <v>8.9</v>
      </c>
      <c r="AF12" s="23">
        <v>12.2</v>
      </c>
      <c r="AG12" s="23">
        <v>14.27</v>
      </c>
      <c r="AH12" s="23">
        <v>0</v>
      </c>
      <c r="AI12" s="23">
        <v>12.7</v>
      </c>
      <c r="AJ12" s="23">
        <v>8.3000000000000007</v>
      </c>
      <c r="AK12" s="23">
        <v>10.8</v>
      </c>
      <c r="AL12" s="23">
        <v>13.2</v>
      </c>
      <c r="AM12" s="23">
        <v>0</v>
      </c>
      <c r="AN12" s="28"/>
      <c r="AO12" s="39">
        <f t="shared" si="17"/>
        <v>5</v>
      </c>
      <c r="AP12" s="39">
        <f t="shared" si="18"/>
        <v>6.16</v>
      </c>
      <c r="AQ12" s="41">
        <f t="shared" si="19"/>
        <v>20.259999999999998</v>
      </c>
      <c r="AR12" s="41">
        <f t="shared" si="20"/>
        <v>12.2</v>
      </c>
      <c r="AS12" s="41">
        <f t="shared" si="21"/>
        <v>14.27</v>
      </c>
      <c r="AT12" s="41">
        <f t="shared" si="22"/>
        <v>48.769999999999996</v>
      </c>
      <c r="AU12" s="41">
        <f t="shared" si="23"/>
        <v>48.769999999999996</v>
      </c>
      <c r="AV12" s="41">
        <f t="shared" si="24"/>
        <v>10.8</v>
      </c>
      <c r="AW12" s="41">
        <f t="shared" si="25"/>
        <v>13.2</v>
      </c>
      <c r="AX12" s="41">
        <f t="shared" si="26"/>
        <v>45</v>
      </c>
      <c r="AY12" s="41">
        <f t="shared" si="27"/>
        <v>93.77</v>
      </c>
      <c r="AZ12" s="27">
        <v>12.1</v>
      </c>
      <c r="BA12" s="27">
        <v>8.3000000000000007</v>
      </c>
      <c r="BB12" s="27">
        <v>12.4</v>
      </c>
      <c r="BC12" s="27">
        <v>14.95</v>
      </c>
      <c r="BD12" s="27">
        <v>0</v>
      </c>
      <c r="BE12" s="27">
        <v>13.3</v>
      </c>
      <c r="BF12" s="27">
        <v>9.1</v>
      </c>
      <c r="BG12" s="27">
        <v>12.2</v>
      </c>
      <c r="BH12" s="27">
        <v>14.92</v>
      </c>
      <c r="BI12" s="27">
        <v>0</v>
      </c>
      <c r="BJ12" s="27">
        <v>14.7</v>
      </c>
      <c r="BK12" s="27">
        <v>9.1999999999999993</v>
      </c>
      <c r="BL12" s="27">
        <v>12.4</v>
      </c>
      <c r="BM12" s="27">
        <v>15.08</v>
      </c>
      <c r="BN12" s="27">
        <v>0</v>
      </c>
      <c r="BO12" s="29"/>
      <c r="BP12" s="40">
        <f t="shared" si="28"/>
        <v>12.4</v>
      </c>
      <c r="BQ12" s="40">
        <f t="shared" si="29"/>
        <v>14.95</v>
      </c>
      <c r="BR12" s="11">
        <f t="shared" si="30"/>
        <v>47.75</v>
      </c>
      <c r="BS12" s="11">
        <f t="shared" si="31"/>
        <v>12.2</v>
      </c>
      <c r="BT12" s="11">
        <f t="shared" si="32"/>
        <v>14.92</v>
      </c>
      <c r="BU12" s="11">
        <f t="shared" si="33"/>
        <v>49.519999999999996</v>
      </c>
      <c r="BV12" s="11">
        <f t="shared" si="34"/>
        <v>49.519999999999996</v>
      </c>
      <c r="BW12" s="11">
        <f t="shared" si="35"/>
        <v>12.4</v>
      </c>
      <c r="BX12" s="11">
        <f t="shared" si="36"/>
        <v>15.08</v>
      </c>
      <c r="BY12" s="11">
        <f t="shared" si="37"/>
        <v>51.379999999999995</v>
      </c>
      <c r="BZ12" s="11">
        <f t="shared" si="38"/>
        <v>100.89999999999999</v>
      </c>
      <c r="CA12" s="23">
        <v>11.3</v>
      </c>
      <c r="CB12" s="23">
        <v>8.6</v>
      </c>
      <c r="CC12" s="23">
        <v>11.6</v>
      </c>
      <c r="CD12" s="23">
        <v>14.67</v>
      </c>
      <c r="CE12" s="23">
        <v>0</v>
      </c>
      <c r="CF12" s="23">
        <v>14.4</v>
      </c>
      <c r="CG12" s="23">
        <v>9.3000000000000007</v>
      </c>
      <c r="CH12" s="23">
        <v>12.2</v>
      </c>
      <c r="CI12" s="23">
        <v>14.52</v>
      </c>
      <c r="CJ12" s="23">
        <v>0</v>
      </c>
      <c r="CK12" s="23">
        <v>12</v>
      </c>
      <c r="CL12" s="23">
        <v>7.2</v>
      </c>
      <c r="CM12" s="23">
        <v>10.4</v>
      </c>
      <c r="CN12" s="23">
        <v>12.07</v>
      </c>
      <c r="CO12" s="23">
        <v>0</v>
      </c>
      <c r="CP12" s="28"/>
      <c r="CQ12" s="39">
        <f t="shared" si="39"/>
        <v>11.6</v>
      </c>
      <c r="CR12" s="39">
        <f t="shared" si="40"/>
        <v>14.67</v>
      </c>
      <c r="CS12" s="41">
        <f t="shared" si="41"/>
        <v>46.17</v>
      </c>
      <c r="CT12" s="41">
        <f t="shared" si="42"/>
        <v>12.2</v>
      </c>
      <c r="CU12" s="41">
        <f t="shared" si="43"/>
        <v>14.52</v>
      </c>
      <c r="CV12" s="41">
        <f t="shared" si="44"/>
        <v>50.42</v>
      </c>
      <c r="CW12" s="41">
        <f t="shared" si="45"/>
        <v>50.42</v>
      </c>
      <c r="CX12" s="41">
        <f t="shared" si="46"/>
        <v>10.4</v>
      </c>
      <c r="CY12" s="41">
        <f t="shared" si="47"/>
        <v>12.07</v>
      </c>
      <c r="CZ12" s="41">
        <f t="shared" si="48"/>
        <v>41.67</v>
      </c>
      <c r="DA12" s="41">
        <f t="shared" si="49"/>
        <v>92.09</v>
      </c>
      <c r="DB12" s="52">
        <f t="shared" si="50"/>
        <v>1.1100000000000065</v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>
        <v>13</v>
      </c>
      <c r="FU12" s="17">
        <v>8.8000000000000007</v>
      </c>
      <c r="FV12" s="17">
        <v>11.5</v>
      </c>
      <c r="FW12" s="17">
        <v>14.27</v>
      </c>
      <c r="FX12" s="17">
        <v>0</v>
      </c>
      <c r="FY12" s="17">
        <v>14.2</v>
      </c>
      <c r="FZ12" s="17">
        <v>8.8000000000000007</v>
      </c>
      <c r="GA12" s="17">
        <v>12.2</v>
      </c>
      <c r="GB12" s="17">
        <v>14.68</v>
      </c>
      <c r="GC12" s="17">
        <v>0</v>
      </c>
      <c r="GD12" s="17"/>
      <c r="GE12" s="17"/>
      <c r="GF12" s="17"/>
      <c r="GG12" s="17"/>
      <c r="GH12" s="17"/>
      <c r="GI12" s="17">
        <v>13.4</v>
      </c>
      <c r="GJ12" s="17">
        <v>9.1</v>
      </c>
      <c r="GK12" s="17">
        <v>12.2</v>
      </c>
      <c r="GL12" s="17">
        <v>14.36</v>
      </c>
      <c r="GM12" s="17">
        <v>0</v>
      </c>
      <c r="GN12" s="41">
        <f t="shared" si="80"/>
        <v>11.5</v>
      </c>
      <c r="GO12" s="41">
        <f t="shared" si="81"/>
        <v>14.27</v>
      </c>
      <c r="GP12" s="41">
        <f t="shared" si="82"/>
        <v>47.569999999999993</v>
      </c>
      <c r="GQ12" s="41">
        <f t="shared" si="83"/>
        <v>12.2</v>
      </c>
      <c r="GR12" s="41">
        <f t="shared" si="84"/>
        <v>14.68</v>
      </c>
      <c r="GS12" s="41">
        <f t="shared" si="85"/>
        <v>49.88</v>
      </c>
      <c r="GT12" s="41">
        <f t="shared" si="86"/>
        <v>49.88</v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>
        <f t="shared" si="90"/>
        <v>12.2</v>
      </c>
      <c r="GY12" s="41">
        <f t="shared" si="91"/>
        <v>14.36</v>
      </c>
      <c r="GZ12" s="41">
        <f t="shared" si="92"/>
        <v>49.06</v>
      </c>
      <c r="HA12" s="41">
        <f t="shared" si="93"/>
        <v>98.94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11.7</v>
      </c>
      <c r="SW12" s="23">
        <f t="shared" si="221"/>
        <v>8.4499999999999993</v>
      </c>
      <c r="SX12" s="23">
        <f t="shared" si="222"/>
        <v>12</v>
      </c>
      <c r="SY12" s="23">
        <f t="shared" si="223"/>
        <v>14.809999999999999</v>
      </c>
      <c r="SZ12" s="23">
        <f t="shared" si="224"/>
        <v>0</v>
      </c>
      <c r="TA12" s="23">
        <f t="shared" si="225"/>
        <v>13.850000000000001</v>
      </c>
      <c r="TB12" s="23">
        <f t="shared" si="226"/>
        <v>9.1999999999999993</v>
      </c>
      <c r="TC12" s="23">
        <f t="shared" si="227"/>
        <v>12.2</v>
      </c>
      <c r="TD12" s="23">
        <f t="shared" si="228"/>
        <v>14.719999999999999</v>
      </c>
      <c r="TE12" s="23">
        <f t="shared" si="229"/>
        <v>0</v>
      </c>
      <c r="TF12" s="23">
        <f t="shared" si="230"/>
        <v>13.35</v>
      </c>
      <c r="TG12" s="23">
        <f t="shared" si="231"/>
        <v>8.1999999999999993</v>
      </c>
      <c r="TH12" s="23">
        <f t="shared" si="232"/>
        <v>11.4</v>
      </c>
      <c r="TI12" s="23">
        <f t="shared" si="233"/>
        <v>13.574999999999999</v>
      </c>
      <c r="TJ12" s="23">
        <f t="shared" si="234"/>
        <v>0</v>
      </c>
      <c r="TK12" s="28" t="s">
        <v>58</v>
      </c>
      <c r="TL12" s="41">
        <f t="shared" si="235"/>
        <v>12</v>
      </c>
      <c r="TM12" s="41">
        <f t="shared" si="236"/>
        <v>14.809999999999999</v>
      </c>
      <c r="TN12" s="41">
        <f t="shared" si="237"/>
        <v>46.959999999999994</v>
      </c>
      <c r="TO12" s="41">
        <f t="shared" si="238"/>
        <v>12.2</v>
      </c>
      <c r="TP12" s="41">
        <f t="shared" si="239"/>
        <v>14.719999999999999</v>
      </c>
      <c r="TQ12" s="41">
        <f t="shared" si="240"/>
        <v>49.97</v>
      </c>
      <c r="TR12" s="41">
        <f t="shared" si="241"/>
        <v>49.97</v>
      </c>
      <c r="TS12" s="41">
        <f t="shared" si="242"/>
        <v>11.4</v>
      </c>
      <c r="TT12" s="41">
        <f t="shared" si="243"/>
        <v>13.574999999999999</v>
      </c>
      <c r="TU12" s="41">
        <f t="shared" si="244"/>
        <v>46.524999999999991</v>
      </c>
      <c r="TV12" s="41">
        <f t="shared" si="245"/>
        <v>96.49499999999999</v>
      </c>
    </row>
    <row r="13" spans="1:542" x14ac:dyDescent="0.2">
      <c r="A13" s="4" cm="1">
        <f t="array" ref="A13">IF(AND(F13&lt;&gt;"",G13&lt;&gt;""),SUMPRODUCT((F$4:F$18&lt;&gt;"")*(G$4:G$18&lt;&gt;"")*(E$4:E$18&gt;E13))+1,IF(G13&lt;&gt;"",SUMPRODUCT((H$4:H$18="No DD")*(E$4:E$18&gt;E13))+1+SUMPRODUCT((F$4:F$18&lt;&gt;"")*(G$4:G$18&lt;&gt;"")),""))</f>
        <v>10</v>
      </c>
      <c r="B13" s="5" t="s">
        <v>216</v>
      </c>
      <c r="C13" s="4" t="s">
        <v>8</v>
      </c>
      <c r="D13" s="4">
        <v>2006</v>
      </c>
      <c r="E13" s="9">
        <f t="shared" si="0"/>
        <v>211.16002060400513</v>
      </c>
      <c r="F13" s="3" t="str">
        <f t="shared" si="1"/>
        <v/>
      </c>
      <c r="G13" s="3" t="str">
        <f t="shared" si="2"/>
        <v>P</v>
      </c>
      <c r="H13" s="37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50.75</v>
      </c>
      <c r="K13" s="8" t="str">
        <f t="shared" si="5"/>
        <v>2023 Elite Canada</v>
      </c>
      <c r="L13" s="8">
        <f>IF(COUNT(AQ13,AT13,BR13,BU13,CS13,CV13)&gt;1,LARGE((AQ13,AT13,BR13,BU13,CS13,CV13),2),0)</f>
        <v>48.97</v>
      </c>
      <c r="M13" s="8" t="str">
        <f t="shared" si="6"/>
        <v>2023 Elite Canada</v>
      </c>
      <c r="N13" s="8">
        <f>IF(COUNT(AQ13,AT13,BR13,BU13,CS13,CV13)&gt;2,LARGE((AQ13,AT13,BR13,BU13,CS13,CV13),3),0)</f>
        <v>43.95</v>
      </c>
      <c r="O13" s="8" t="str">
        <f t="shared" si="7"/>
        <v>2022 3rd Domestic Trial</v>
      </c>
      <c r="P13" s="8">
        <f t="shared" si="8"/>
        <v>51.17</v>
      </c>
      <c r="Q13" s="8" t="str">
        <f t="shared" si="9"/>
        <v>2023 Elite Canada</v>
      </c>
      <c r="R13" s="8">
        <f t="shared" si="10"/>
        <v>11.2</v>
      </c>
      <c r="S13" s="8" t="str">
        <f t="shared" si="11"/>
        <v>2023 Elite Canada</v>
      </c>
      <c r="T13" s="8">
        <f t="shared" si="12"/>
        <v>0</v>
      </c>
      <c r="U13" s="8" t="str">
        <f t="shared" si="13"/>
        <v/>
      </c>
      <c r="V13" s="8">
        <f t="shared" si="14"/>
        <v>5.1199999999999974</v>
      </c>
      <c r="W13" s="11" t="str">
        <f t="shared" si="15"/>
        <v>(Prelim)</v>
      </c>
      <c r="X13" s="8" t="str">
        <f t="shared" si="16"/>
        <v>2022 WAGC (Nov 25)</v>
      </c>
      <c r="Y13" s="23"/>
      <c r="Z13" s="23"/>
      <c r="AA13" s="23"/>
      <c r="AB13" s="23"/>
      <c r="AC13" s="23"/>
      <c r="AD13" s="23">
        <v>5.8</v>
      </c>
      <c r="AE13" s="23">
        <v>3.5</v>
      </c>
      <c r="AF13" s="23">
        <v>5</v>
      </c>
      <c r="AG13" s="23">
        <v>5.8</v>
      </c>
      <c r="AH13" s="23">
        <v>0</v>
      </c>
      <c r="AI13" s="23">
        <v>4.5999999999999996</v>
      </c>
      <c r="AJ13" s="23">
        <v>2.8</v>
      </c>
      <c r="AK13" s="23">
        <v>3.8</v>
      </c>
      <c r="AL13" s="23">
        <v>4.62</v>
      </c>
      <c r="AM13" s="23">
        <v>0</v>
      </c>
      <c r="AN13" s="28"/>
      <c r="AO13" s="39" t="str">
        <f t="shared" si="17"/>
        <v/>
      </c>
      <c r="AP13" s="39" t="str">
        <f t="shared" si="18"/>
        <v/>
      </c>
      <c r="AQ13" s="41" t="str">
        <f t="shared" si="19"/>
        <v/>
      </c>
      <c r="AR13" s="41">
        <f t="shared" si="20"/>
        <v>5</v>
      </c>
      <c r="AS13" s="41">
        <f t="shared" si="21"/>
        <v>5.8</v>
      </c>
      <c r="AT13" s="41">
        <f t="shared" si="22"/>
        <v>20.100000000000001</v>
      </c>
      <c r="AU13" s="41" t="str">
        <f t="shared" si="23"/>
        <v/>
      </c>
      <c r="AV13" s="41">
        <f t="shared" si="24"/>
        <v>3.8</v>
      </c>
      <c r="AW13" s="41">
        <f t="shared" si="25"/>
        <v>4.62</v>
      </c>
      <c r="AX13" s="41">
        <f t="shared" si="26"/>
        <v>15.82</v>
      </c>
      <c r="AY13" s="41">
        <f t="shared" si="27"/>
        <v>15.82</v>
      </c>
      <c r="AZ13" s="27"/>
      <c r="BA13" s="27"/>
      <c r="BB13" s="27"/>
      <c r="BC13" s="27"/>
      <c r="BD13" s="27"/>
      <c r="BE13" s="27">
        <v>12.5</v>
      </c>
      <c r="BF13" s="27">
        <v>8</v>
      </c>
      <c r="BG13" s="27">
        <v>9.8000000000000007</v>
      </c>
      <c r="BH13" s="27">
        <v>13.65</v>
      </c>
      <c r="BI13" s="27">
        <v>0</v>
      </c>
      <c r="BJ13" s="27">
        <v>9.6</v>
      </c>
      <c r="BK13" s="27">
        <v>5.6</v>
      </c>
      <c r="BL13" s="27">
        <v>6.2</v>
      </c>
      <c r="BM13" s="27">
        <v>9.23</v>
      </c>
      <c r="BN13" s="27">
        <v>0</v>
      </c>
      <c r="BO13" s="29"/>
      <c r="BP13" s="40" t="str">
        <f t="shared" si="28"/>
        <v/>
      </c>
      <c r="BQ13" s="40" t="str">
        <f t="shared" si="29"/>
        <v/>
      </c>
      <c r="BR13" s="11" t="str">
        <f t="shared" si="30"/>
        <v/>
      </c>
      <c r="BS13" s="11">
        <f t="shared" si="31"/>
        <v>9.8000000000000007</v>
      </c>
      <c r="BT13" s="11">
        <f t="shared" si="32"/>
        <v>13.65</v>
      </c>
      <c r="BU13" s="11">
        <f t="shared" si="33"/>
        <v>43.95</v>
      </c>
      <c r="BV13" s="11" t="str">
        <f t="shared" si="34"/>
        <v/>
      </c>
      <c r="BW13" s="11">
        <f t="shared" si="35"/>
        <v>6.2</v>
      </c>
      <c r="BX13" s="11">
        <f t="shared" si="36"/>
        <v>9.23</v>
      </c>
      <c r="BY13" s="11">
        <f t="shared" si="37"/>
        <v>30.63</v>
      </c>
      <c r="BZ13" s="11">
        <f t="shared" si="38"/>
        <v>30.63</v>
      </c>
      <c r="CA13" s="23">
        <v>14.6</v>
      </c>
      <c r="CB13" s="23">
        <v>9.6</v>
      </c>
      <c r="CC13" s="23">
        <v>11.2</v>
      </c>
      <c r="CD13" s="23">
        <v>15.35</v>
      </c>
      <c r="CE13" s="23">
        <v>0</v>
      </c>
      <c r="CF13" s="23">
        <v>14.2</v>
      </c>
      <c r="CG13" s="23">
        <v>9</v>
      </c>
      <c r="CH13" s="23">
        <v>11.2</v>
      </c>
      <c r="CI13" s="23">
        <v>14.57</v>
      </c>
      <c r="CJ13" s="23">
        <v>0</v>
      </c>
      <c r="CK13" s="23">
        <v>15.4</v>
      </c>
      <c r="CL13" s="23">
        <v>9.3000000000000007</v>
      </c>
      <c r="CM13" s="23">
        <v>11.2</v>
      </c>
      <c r="CN13" s="23">
        <v>15.27</v>
      </c>
      <c r="CO13" s="23">
        <v>0</v>
      </c>
      <c r="CP13" s="28"/>
      <c r="CQ13" s="39">
        <f t="shared" si="39"/>
        <v>11.2</v>
      </c>
      <c r="CR13" s="39">
        <f t="shared" si="40"/>
        <v>15.35</v>
      </c>
      <c r="CS13" s="41">
        <f t="shared" si="41"/>
        <v>50.75</v>
      </c>
      <c r="CT13" s="41">
        <f t="shared" si="42"/>
        <v>11.2</v>
      </c>
      <c r="CU13" s="41">
        <f t="shared" si="43"/>
        <v>14.57</v>
      </c>
      <c r="CV13" s="41">
        <f t="shared" si="44"/>
        <v>48.97</v>
      </c>
      <c r="CW13" s="41">
        <f t="shared" si="45"/>
        <v>50.75</v>
      </c>
      <c r="CX13" s="41">
        <f t="shared" si="46"/>
        <v>11.2</v>
      </c>
      <c r="CY13" s="41">
        <f t="shared" si="47"/>
        <v>15.27</v>
      </c>
      <c r="CZ13" s="41">
        <f t="shared" si="48"/>
        <v>51.17</v>
      </c>
      <c r="DA13" s="41">
        <f t="shared" si="49"/>
        <v>101.92</v>
      </c>
      <c r="DB13" s="52">
        <f t="shared" si="50"/>
        <v>5.1199999999999974</v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>
        <v>14.6</v>
      </c>
      <c r="MN13" s="18">
        <v>9.5</v>
      </c>
      <c r="MO13" s="18">
        <v>10.5</v>
      </c>
      <c r="MP13" s="18">
        <v>14.47</v>
      </c>
      <c r="MQ13" s="18">
        <v>0</v>
      </c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>
        <f t="shared" si="153"/>
        <v>10.5</v>
      </c>
      <c r="NF13" s="11">
        <f t="shared" si="154"/>
        <v>14.47</v>
      </c>
      <c r="NG13" s="11">
        <f t="shared" si="155"/>
        <v>49.07</v>
      </c>
      <c r="NH13" s="11">
        <f t="shared" si="156"/>
        <v>49.07</v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>
        <f t="shared" si="163"/>
        <v>49.07</v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7.3</v>
      </c>
      <c r="SW13" s="23">
        <f t="shared" si="221"/>
        <v>4.8</v>
      </c>
      <c r="SX13" s="23">
        <f t="shared" si="222"/>
        <v>5.6</v>
      </c>
      <c r="SY13" s="23">
        <f t="shared" si="223"/>
        <v>7.6749999999999998</v>
      </c>
      <c r="SZ13" s="23">
        <f t="shared" si="224"/>
        <v>0</v>
      </c>
      <c r="TA13" s="23">
        <f t="shared" si="225"/>
        <v>13.35</v>
      </c>
      <c r="TB13" s="23">
        <f t="shared" si="226"/>
        <v>8.5</v>
      </c>
      <c r="TC13" s="23">
        <f t="shared" si="227"/>
        <v>10.5</v>
      </c>
      <c r="TD13" s="23">
        <f t="shared" si="228"/>
        <v>14.11</v>
      </c>
      <c r="TE13" s="23">
        <f t="shared" si="229"/>
        <v>0</v>
      </c>
      <c r="TF13" s="23">
        <f t="shared" si="230"/>
        <v>12.5</v>
      </c>
      <c r="TG13" s="23">
        <f t="shared" si="231"/>
        <v>7.45</v>
      </c>
      <c r="TH13" s="23">
        <f t="shared" si="232"/>
        <v>8.6999999999999993</v>
      </c>
      <c r="TI13" s="23">
        <f t="shared" si="233"/>
        <v>12.25</v>
      </c>
      <c r="TJ13" s="23">
        <f t="shared" si="234"/>
        <v>0</v>
      </c>
      <c r="TK13" s="28" t="s">
        <v>58</v>
      </c>
      <c r="TL13" s="41">
        <f t="shared" si="235"/>
        <v>5.6</v>
      </c>
      <c r="TM13" s="41">
        <f t="shared" si="236"/>
        <v>7.6749999999999998</v>
      </c>
      <c r="TN13" s="41">
        <f t="shared" si="237"/>
        <v>25.375</v>
      </c>
      <c r="TO13" s="41">
        <f t="shared" si="238"/>
        <v>10.5</v>
      </c>
      <c r="TP13" s="41">
        <f t="shared" si="239"/>
        <v>14.11</v>
      </c>
      <c r="TQ13" s="41">
        <f t="shared" si="240"/>
        <v>46.46</v>
      </c>
      <c r="TR13" s="41">
        <f t="shared" si="241"/>
        <v>46.46</v>
      </c>
      <c r="TS13" s="41">
        <f t="shared" si="242"/>
        <v>8.6999999999999993</v>
      </c>
      <c r="TT13" s="41">
        <f t="shared" si="243"/>
        <v>12.25</v>
      </c>
      <c r="TU13" s="41">
        <f t="shared" si="244"/>
        <v>40.9</v>
      </c>
      <c r="TV13" s="41">
        <f t="shared" si="245"/>
        <v>87.36</v>
      </c>
    </row>
    <row r="14" spans="1:542" x14ac:dyDescent="0.2">
      <c r="A14" s="4" cm="1">
        <f t="array" ref="A14">IF(AND(F14&lt;&gt;"",G14&lt;&gt;""),SUMPRODUCT((F$4:F$18&lt;&gt;"")*(G$4:G$18&lt;&gt;"")*(E$4:E$18&gt;E14))+1,IF(G14&lt;&gt;"",SUMPRODUCT((H$4:H$18="No DD")*(E$4:E$18&gt;E14))+1+SUMPRODUCT((F$4:F$18&lt;&gt;"")*(G$4:G$18&lt;&gt;"")),""))</f>
        <v>11</v>
      </c>
      <c r="B14" s="5" t="s">
        <v>215</v>
      </c>
      <c r="C14" s="4" t="s">
        <v>3</v>
      </c>
      <c r="D14" s="4">
        <v>2006</v>
      </c>
      <c r="E14" s="9">
        <f t="shared" si="0"/>
        <v>210.53002105300493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49.31</v>
      </c>
      <c r="K14" s="8" t="str">
        <f t="shared" si="5"/>
        <v>2023 Elite Canada</v>
      </c>
      <c r="L14" s="8">
        <f>IF(COUNT(AQ14,AT14,BR14,BU14,CS14,CV14)&gt;1,LARGE((AQ14,AT14,BR14,BU14,CS14,CV14),2),0)</f>
        <v>49.180000000000007</v>
      </c>
      <c r="M14" s="8" t="str">
        <f t="shared" si="6"/>
        <v>2022 3rd Domestic Trial</v>
      </c>
      <c r="N14" s="8">
        <f>IF(COUNT(AQ14,AT14,BR14,BU14,CS14,CV14)&gt;2,LARGE((AQ14,AT14,BR14,BU14,CS14,CV14),3),0)</f>
        <v>49.09</v>
      </c>
      <c r="O14" s="8" t="str">
        <f t="shared" si="7"/>
        <v>2023 Elite Canada</v>
      </c>
      <c r="P14" s="8">
        <f t="shared" si="8"/>
        <v>50.55</v>
      </c>
      <c r="Q14" s="8" t="str">
        <f t="shared" si="9"/>
        <v>2023 Elite Canada</v>
      </c>
      <c r="R14" s="8">
        <f t="shared" si="10"/>
        <v>12.4</v>
      </c>
      <c r="S14" s="8" t="str">
        <f t="shared" si="11"/>
        <v>2023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3"/>
      <c r="Z14" s="23"/>
      <c r="AA14" s="23"/>
      <c r="AB14" s="23"/>
      <c r="AC14" s="23"/>
      <c r="AD14" s="23">
        <v>13.8</v>
      </c>
      <c r="AE14" s="23">
        <v>8.9</v>
      </c>
      <c r="AF14" s="23">
        <v>11.3</v>
      </c>
      <c r="AG14" s="23">
        <v>14.06</v>
      </c>
      <c r="AH14" s="23">
        <v>0</v>
      </c>
      <c r="AI14" s="23">
        <v>14.1</v>
      </c>
      <c r="AJ14" s="23">
        <v>9</v>
      </c>
      <c r="AK14" s="23">
        <v>11.3</v>
      </c>
      <c r="AL14" s="23">
        <v>13.9</v>
      </c>
      <c r="AM14" s="23">
        <v>0</v>
      </c>
      <c r="AN14" s="28"/>
      <c r="AO14" s="39" t="str">
        <f t="shared" si="17"/>
        <v/>
      </c>
      <c r="AP14" s="39" t="str">
        <f t="shared" si="18"/>
        <v/>
      </c>
      <c r="AQ14" s="41" t="str">
        <f t="shared" si="19"/>
        <v/>
      </c>
      <c r="AR14" s="41">
        <f t="shared" si="20"/>
        <v>11.3</v>
      </c>
      <c r="AS14" s="41">
        <f t="shared" si="21"/>
        <v>14.06</v>
      </c>
      <c r="AT14" s="41">
        <f t="shared" si="22"/>
        <v>48.06</v>
      </c>
      <c r="AU14" s="41" t="str">
        <f t="shared" si="23"/>
        <v/>
      </c>
      <c r="AV14" s="41">
        <f t="shared" si="24"/>
        <v>11.3</v>
      </c>
      <c r="AW14" s="41">
        <f t="shared" si="25"/>
        <v>13.9</v>
      </c>
      <c r="AX14" s="41">
        <f t="shared" si="26"/>
        <v>48.300000000000004</v>
      </c>
      <c r="AY14" s="41">
        <f t="shared" si="27"/>
        <v>48.300000000000004</v>
      </c>
      <c r="AZ14" s="27"/>
      <c r="BA14" s="27"/>
      <c r="BB14" s="27"/>
      <c r="BC14" s="27"/>
      <c r="BD14" s="27"/>
      <c r="BE14" s="27">
        <v>13.1</v>
      </c>
      <c r="BF14" s="27">
        <v>8.9</v>
      </c>
      <c r="BG14" s="27">
        <v>12.2</v>
      </c>
      <c r="BH14" s="27">
        <v>14.98</v>
      </c>
      <c r="BI14" s="27">
        <v>0</v>
      </c>
      <c r="BJ14" s="27">
        <v>12.7</v>
      </c>
      <c r="BK14" s="27">
        <v>8.8000000000000007</v>
      </c>
      <c r="BL14" s="27">
        <v>12</v>
      </c>
      <c r="BM14" s="27">
        <v>14.13</v>
      </c>
      <c r="BN14" s="27">
        <v>0</v>
      </c>
      <c r="BO14" s="29"/>
      <c r="BP14" s="40" t="str">
        <f t="shared" si="28"/>
        <v/>
      </c>
      <c r="BQ14" s="40" t="str">
        <f t="shared" si="29"/>
        <v/>
      </c>
      <c r="BR14" s="11" t="str">
        <f t="shared" si="30"/>
        <v/>
      </c>
      <c r="BS14" s="11">
        <f t="shared" si="31"/>
        <v>12.2</v>
      </c>
      <c r="BT14" s="11">
        <f t="shared" si="32"/>
        <v>14.98</v>
      </c>
      <c r="BU14" s="11">
        <f t="shared" si="33"/>
        <v>49.180000000000007</v>
      </c>
      <c r="BV14" s="11" t="str">
        <f t="shared" si="34"/>
        <v/>
      </c>
      <c r="BW14" s="11">
        <f t="shared" si="35"/>
        <v>12</v>
      </c>
      <c r="BX14" s="11">
        <f t="shared" si="36"/>
        <v>14.13</v>
      </c>
      <c r="BY14" s="11">
        <f t="shared" si="37"/>
        <v>47.63</v>
      </c>
      <c r="BZ14" s="11">
        <f t="shared" si="38"/>
        <v>47.63</v>
      </c>
      <c r="CA14" s="23">
        <v>14.8</v>
      </c>
      <c r="CB14" s="23">
        <v>9</v>
      </c>
      <c r="CC14" s="23">
        <v>11.3</v>
      </c>
      <c r="CD14" s="23">
        <v>13.99</v>
      </c>
      <c r="CE14" s="23">
        <v>0</v>
      </c>
      <c r="CF14" s="23">
        <v>14.7</v>
      </c>
      <c r="CG14" s="23">
        <v>9.6</v>
      </c>
      <c r="CH14" s="23">
        <v>11.1</v>
      </c>
      <c r="CI14" s="23">
        <v>13.91</v>
      </c>
      <c r="CJ14" s="23">
        <v>0</v>
      </c>
      <c r="CK14" s="23">
        <v>14.3</v>
      </c>
      <c r="CL14" s="23">
        <v>9.1</v>
      </c>
      <c r="CM14" s="23">
        <v>12.4</v>
      </c>
      <c r="CN14" s="23">
        <v>14.75</v>
      </c>
      <c r="CO14" s="23">
        <v>0</v>
      </c>
      <c r="CP14" s="28"/>
      <c r="CQ14" s="39">
        <f t="shared" si="39"/>
        <v>11.3</v>
      </c>
      <c r="CR14" s="39">
        <f t="shared" si="40"/>
        <v>13.99</v>
      </c>
      <c r="CS14" s="41">
        <f t="shared" si="41"/>
        <v>49.09</v>
      </c>
      <c r="CT14" s="41">
        <f t="shared" si="42"/>
        <v>11.1</v>
      </c>
      <c r="CU14" s="41">
        <f t="shared" si="43"/>
        <v>13.91</v>
      </c>
      <c r="CV14" s="41">
        <f t="shared" si="44"/>
        <v>49.31</v>
      </c>
      <c r="CW14" s="41">
        <f t="shared" si="45"/>
        <v>49.31</v>
      </c>
      <c r="CX14" s="41">
        <f t="shared" si="46"/>
        <v>12.4</v>
      </c>
      <c r="CY14" s="41">
        <f t="shared" si="47"/>
        <v>14.75</v>
      </c>
      <c r="CZ14" s="41">
        <f t="shared" si="48"/>
        <v>50.55</v>
      </c>
      <c r="DA14" s="41">
        <f t="shared" si="49"/>
        <v>99.86</v>
      </c>
      <c r="DB14" s="52" t="str">
        <f t="shared" si="50"/>
        <v/>
      </c>
      <c r="DC14" s="52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 t="str">
        <f t="shared" si="58"/>
        <v/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>
        <v>12.1</v>
      </c>
      <c r="MN14" s="18">
        <v>9.1</v>
      </c>
      <c r="MO14" s="18">
        <v>11.3</v>
      </c>
      <c r="MP14" s="18">
        <v>13.48</v>
      </c>
      <c r="MQ14" s="18">
        <v>0</v>
      </c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>
        <f t="shared" si="153"/>
        <v>11.3</v>
      </c>
      <c r="NF14" s="11">
        <f t="shared" si="154"/>
        <v>13.48</v>
      </c>
      <c r="NG14" s="11">
        <f t="shared" si="155"/>
        <v>45.980000000000004</v>
      </c>
      <c r="NH14" s="11">
        <f t="shared" si="156"/>
        <v>45.980000000000004</v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>
        <f t="shared" si="163"/>
        <v>45.980000000000004</v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7.4</v>
      </c>
      <c r="SW14" s="23">
        <f t="shared" si="221"/>
        <v>4.5</v>
      </c>
      <c r="SX14" s="23">
        <f t="shared" si="222"/>
        <v>5.65</v>
      </c>
      <c r="SY14" s="23">
        <f t="shared" si="223"/>
        <v>6.9950000000000001</v>
      </c>
      <c r="SZ14" s="23">
        <f t="shared" si="224"/>
        <v>0</v>
      </c>
      <c r="TA14" s="23">
        <f t="shared" si="225"/>
        <v>13.899999999999999</v>
      </c>
      <c r="TB14" s="23">
        <f t="shared" si="226"/>
        <v>9.25</v>
      </c>
      <c r="TC14" s="23">
        <f t="shared" si="227"/>
        <v>11.649999999999999</v>
      </c>
      <c r="TD14" s="23">
        <f t="shared" si="228"/>
        <v>14.445</v>
      </c>
      <c r="TE14" s="23">
        <f t="shared" si="229"/>
        <v>0</v>
      </c>
      <c r="TF14" s="23">
        <f t="shared" si="230"/>
        <v>13.5</v>
      </c>
      <c r="TG14" s="23">
        <f t="shared" si="231"/>
        <v>8.9499999999999993</v>
      </c>
      <c r="TH14" s="23">
        <f t="shared" si="232"/>
        <v>12.2</v>
      </c>
      <c r="TI14" s="23">
        <f t="shared" si="233"/>
        <v>14.440000000000001</v>
      </c>
      <c r="TJ14" s="23">
        <f t="shared" si="234"/>
        <v>0</v>
      </c>
      <c r="TK14" s="28" t="s">
        <v>58</v>
      </c>
      <c r="TL14" s="41">
        <f t="shared" si="235"/>
        <v>5.65</v>
      </c>
      <c r="TM14" s="41">
        <f t="shared" si="236"/>
        <v>6.9950000000000001</v>
      </c>
      <c r="TN14" s="41">
        <f t="shared" si="237"/>
        <v>24.545000000000002</v>
      </c>
      <c r="TO14" s="41">
        <f t="shared" si="238"/>
        <v>11.649999999999999</v>
      </c>
      <c r="TP14" s="41">
        <f t="shared" si="239"/>
        <v>14.445</v>
      </c>
      <c r="TQ14" s="41">
        <f t="shared" si="240"/>
        <v>49.244999999999997</v>
      </c>
      <c r="TR14" s="41">
        <f t="shared" si="241"/>
        <v>49.244999999999997</v>
      </c>
      <c r="TS14" s="41">
        <f t="shared" si="242"/>
        <v>12.2</v>
      </c>
      <c r="TT14" s="41">
        <f t="shared" si="243"/>
        <v>14.440000000000001</v>
      </c>
      <c r="TU14" s="41">
        <f t="shared" si="244"/>
        <v>49.09</v>
      </c>
      <c r="TV14" s="41">
        <f t="shared" si="245"/>
        <v>98.335000000000008</v>
      </c>
    </row>
    <row r="15" spans="1:542" x14ac:dyDescent="0.2">
      <c r="A15" s="4" t="str" cm="1">
        <f t="array" ref="A15">IF(AND(F15&lt;&gt;"",G15&lt;&gt;""),SUMPRODUCT((F$4:F$18&lt;&gt;"")*(G$4:G$18&lt;&gt;"")*(E$4:E$18&gt;E15))+1,IF(G15&lt;&gt;"",SUMPRODUCT((H$4:H$18="No DD")*(E$4:E$18&gt;E15))+1+SUMPRODUCT((F$4:F$18&lt;&gt;"")*(G$4:G$18&lt;&gt;"")),""))</f>
        <v/>
      </c>
      <c r="B15" s="5" t="s">
        <v>84</v>
      </c>
      <c r="C15" s="4" t="s">
        <v>3</v>
      </c>
      <c r="D15" s="4">
        <v>2002</v>
      </c>
      <c r="E15" s="9">
        <f t="shared" si="0"/>
        <v>168.86001688600484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48.37</v>
      </c>
      <c r="K15" s="8" t="str">
        <f t="shared" si="5"/>
        <v>2022 Nationals</v>
      </c>
      <c r="L15" s="8">
        <f>IF(COUNT(AQ15,AT15,BR15,BU15,CS15,CV15)&gt;1,LARGE((AQ15,AT15,BR15,BU15,CS15,CV15),2),0)</f>
        <v>48.36</v>
      </c>
      <c r="M15" s="8" t="str">
        <f t="shared" si="6"/>
        <v>2022 3rd Domestic Trial</v>
      </c>
      <c r="N15" s="8">
        <f>IF(COUNT(AQ15,AT15,BR15,BU15,CS15,CV15)&gt;2,LARGE((AQ15,AT15,BR15,BU15,CS15,CV15),3),0)</f>
        <v>46.029999999999994</v>
      </c>
      <c r="O15" s="8" t="str">
        <f t="shared" si="7"/>
        <v>2022 Nationals</v>
      </c>
      <c r="P15" s="8">
        <f t="shared" si="8"/>
        <v>14.799999999999999</v>
      </c>
      <c r="Q15" s="8" t="str">
        <f t="shared" si="9"/>
        <v>2022 3rd Domestic Trial</v>
      </c>
      <c r="R15" s="8">
        <f t="shared" si="10"/>
        <v>11.3</v>
      </c>
      <c r="S15" s="8" t="str">
        <f t="shared" si="11"/>
        <v>2022 3rd Domestic Trial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>
        <v>14.3</v>
      </c>
      <c r="Z15" s="23">
        <v>8.9</v>
      </c>
      <c r="AA15" s="23">
        <v>11.3</v>
      </c>
      <c r="AB15" s="23">
        <v>13.87</v>
      </c>
      <c r="AC15" s="23">
        <v>0</v>
      </c>
      <c r="AD15" s="23">
        <v>13.3</v>
      </c>
      <c r="AE15" s="23">
        <v>9</v>
      </c>
      <c r="AF15" s="23">
        <v>10.6</v>
      </c>
      <c r="AG15" s="23">
        <v>13.73</v>
      </c>
      <c r="AH15" s="23">
        <v>0.6</v>
      </c>
      <c r="AI15" s="23"/>
      <c r="AJ15" s="23"/>
      <c r="AK15" s="23"/>
      <c r="AL15" s="23"/>
      <c r="AM15" s="23"/>
      <c r="AN15" s="28"/>
      <c r="AO15" s="39">
        <f t="shared" si="17"/>
        <v>11.3</v>
      </c>
      <c r="AP15" s="39">
        <f t="shared" si="18"/>
        <v>13.87</v>
      </c>
      <c r="AQ15" s="41">
        <f t="shared" si="19"/>
        <v>48.37</v>
      </c>
      <c r="AR15" s="41">
        <f t="shared" si="20"/>
        <v>10.6</v>
      </c>
      <c r="AS15" s="41">
        <f t="shared" si="21"/>
        <v>13.73</v>
      </c>
      <c r="AT15" s="41">
        <f t="shared" si="22"/>
        <v>46.029999999999994</v>
      </c>
      <c r="AU15" s="41">
        <f t="shared" si="23"/>
        <v>48.37</v>
      </c>
      <c r="AV15" s="41" t="str">
        <f t="shared" si="24"/>
        <v/>
      </c>
      <c r="AW15" s="41" t="str">
        <f t="shared" si="25"/>
        <v/>
      </c>
      <c r="AX15" s="41" t="str">
        <f t="shared" si="26"/>
        <v/>
      </c>
      <c r="AY15" s="41">
        <f t="shared" si="27"/>
        <v>48.37</v>
      </c>
      <c r="AZ15" s="27">
        <v>13.7</v>
      </c>
      <c r="BA15" s="27">
        <v>9</v>
      </c>
      <c r="BB15" s="27">
        <v>11.3</v>
      </c>
      <c r="BC15" s="27">
        <v>14.36</v>
      </c>
      <c r="BD15" s="27">
        <v>0</v>
      </c>
      <c r="BE15" s="27">
        <v>10.8</v>
      </c>
      <c r="BF15" s="27">
        <v>7.2</v>
      </c>
      <c r="BG15" s="27">
        <v>8.8000000000000007</v>
      </c>
      <c r="BH15" s="27">
        <v>11.63</v>
      </c>
      <c r="BI15" s="27">
        <v>0</v>
      </c>
      <c r="BJ15" s="27">
        <v>3.9</v>
      </c>
      <c r="BK15" s="27">
        <v>2.8</v>
      </c>
      <c r="BL15" s="27">
        <v>3.5</v>
      </c>
      <c r="BM15" s="27">
        <v>4.5999999999999996</v>
      </c>
      <c r="BN15" s="27">
        <v>0</v>
      </c>
      <c r="BO15" s="29"/>
      <c r="BP15" s="40">
        <f t="shared" si="28"/>
        <v>11.3</v>
      </c>
      <c r="BQ15" s="40">
        <f t="shared" si="29"/>
        <v>14.36</v>
      </c>
      <c r="BR15" s="11">
        <f t="shared" si="30"/>
        <v>48.36</v>
      </c>
      <c r="BS15" s="11">
        <f t="shared" si="31"/>
        <v>8.8000000000000007</v>
      </c>
      <c r="BT15" s="11">
        <f t="shared" si="32"/>
        <v>11.63</v>
      </c>
      <c r="BU15" s="11">
        <f t="shared" si="33"/>
        <v>38.43</v>
      </c>
      <c r="BV15" s="11">
        <f t="shared" si="34"/>
        <v>48.36</v>
      </c>
      <c r="BW15" s="11">
        <f t="shared" si="35"/>
        <v>3.5</v>
      </c>
      <c r="BX15" s="11">
        <f t="shared" si="36"/>
        <v>4.5999999999999996</v>
      </c>
      <c r="BY15" s="11">
        <f t="shared" si="37"/>
        <v>14.799999999999999</v>
      </c>
      <c r="BZ15" s="11">
        <f t="shared" si="38"/>
        <v>63.16</v>
      </c>
      <c r="CA15" s="23">
        <v>14</v>
      </c>
      <c r="CB15" s="23">
        <v>8.5</v>
      </c>
      <c r="CC15" s="23">
        <v>9.9</v>
      </c>
      <c r="CD15" s="23">
        <v>12.8</v>
      </c>
      <c r="CE15" s="23">
        <v>0</v>
      </c>
      <c r="CF15" s="23">
        <v>1.4</v>
      </c>
      <c r="CG15" s="23">
        <v>0.9</v>
      </c>
      <c r="CH15" s="23">
        <v>1.5</v>
      </c>
      <c r="CI15" s="23">
        <v>1.55</v>
      </c>
      <c r="CJ15" s="23">
        <v>0</v>
      </c>
      <c r="CK15" s="23"/>
      <c r="CL15" s="23"/>
      <c r="CM15" s="23"/>
      <c r="CN15" s="23"/>
      <c r="CO15" s="23"/>
      <c r="CP15" s="28"/>
      <c r="CQ15" s="39">
        <f t="shared" si="39"/>
        <v>9.9</v>
      </c>
      <c r="CR15" s="39">
        <f t="shared" si="40"/>
        <v>12.8</v>
      </c>
      <c r="CS15" s="41">
        <f t="shared" si="41"/>
        <v>45.2</v>
      </c>
      <c r="CT15" s="41">
        <f t="shared" si="42"/>
        <v>1.5</v>
      </c>
      <c r="CU15" s="41">
        <f t="shared" si="43"/>
        <v>1.55</v>
      </c>
      <c r="CV15" s="41">
        <f t="shared" si="44"/>
        <v>5.35</v>
      </c>
      <c r="CW15" s="41">
        <f t="shared" si="45"/>
        <v>45.2</v>
      </c>
      <c r="CX15" s="41" t="str">
        <f t="shared" si="46"/>
        <v/>
      </c>
      <c r="CY15" s="41" t="str">
        <f t="shared" si="47"/>
        <v/>
      </c>
      <c r="CZ15" s="41" t="str">
        <f t="shared" si="48"/>
        <v/>
      </c>
      <c r="DA15" s="41">
        <f t="shared" si="49"/>
        <v>45.2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13.85</v>
      </c>
      <c r="SW15" s="23">
        <f t="shared" si="221"/>
        <v>8.75</v>
      </c>
      <c r="SX15" s="23">
        <f t="shared" si="222"/>
        <v>10.600000000000001</v>
      </c>
      <c r="SY15" s="23">
        <f t="shared" si="223"/>
        <v>13.58</v>
      </c>
      <c r="SZ15" s="23">
        <f t="shared" si="224"/>
        <v>0</v>
      </c>
      <c r="TA15" s="23">
        <f t="shared" si="225"/>
        <v>6.1000000000000005</v>
      </c>
      <c r="TB15" s="23">
        <f t="shared" si="226"/>
        <v>4.05</v>
      </c>
      <c r="TC15" s="23">
        <f t="shared" si="227"/>
        <v>5.15</v>
      </c>
      <c r="TD15" s="23">
        <f t="shared" si="228"/>
        <v>6.5900000000000007</v>
      </c>
      <c r="TE15" s="23">
        <f t="shared" si="229"/>
        <v>0</v>
      </c>
      <c r="TF15" s="23">
        <f t="shared" si="230"/>
        <v>1.95</v>
      </c>
      <c r="TG15" s="23">
        <f t="shared" si="231"/>
        <v>1.4</v>
      </c>
      <c r="TH15" s="23">
        <f t="shared" si="232"/>
        <v>1.75</v>
      </c>
      <c r="TI15" s="23">
        <f t="shared" si="233"/>
        <v>2.2999999999999998</v>
      </c>
      <c r="TJ15" s="23">
        <f t="shared" si="234"/>
        <v>0</v>
      </c>
      <c r="TK15" s="28" t="s">
        <v>58</v>
      </c>
      <c r="TL15" s="41">
        <f t="shared" si="235"/>
        <v>10.600000000000001</v>
      </c>
      <c r="TM15" s="41">
        <f t="shared" si="236"/>
        <v>13.58</v>
      </c>
      <c r="TN15" s="41">
        <f t="shared" si="237"/>
        <v>46.78</v>
      </c>
      <c r="TO15" s="41">
        <f t="shared" si="238"/>
        <v>5.15</v>
      </c>
      <c r="TP15" s="41">
        <f t="shared" si="239"/>
        <v>6.5900000000000007</v>
      </c>
      <c r="TQ15" s="41">
        <f t="shared" si="240"/>
        <v>21.89</v>
      </c>
      <c r="TR15" s="41">
        <f t="shared" si="241"/>
        <v>46.78</v>
      </c>
      <c r="TS15" s="41">
        <f t="shared" si="242"/>
        <v>1.75</v>
      </c>
      <c r="TT15" s="41">
        <f t="shared" si="243"/>
        <v>2.2999999999999998</v>
      </c>
      <c r="TU15" s="41">
        <f t="shared" si="244"/>
        <v>7.3999999999999995</v>
      </c>
      <c r="TV15" s="41">
        <f t="shared" si="245"/>
        <v>54.18</v>
      </c>
    </row>
    <row r="16" spans="1:542" x14ac:dyDescent="0.2">
      <c r="A16" s="4" t="str" cm="1">
        <f t="array" ref="A16">IF(AND(F16&lt;&gt;"",G16&lt;&gt;""),SUMPRODUCT((F$4:F$18&lt;&gt;"")*(G$4:G$18&lt;&gt;"")*(E$4:E$18&gt;E16))+1,IF(G16&lt;&gt;"",SUMPRODUCT((H$4:H$18="No DD")*(E$4:E$18&gt;E16))+1+SUMPRODUCT((F$4:F$18&lt;&gt;"")*(G$4:G$18&lt;&gt;"")),""))</f>
        <v/>
      </c>
      <c r="B16" s="5" t="s">
        <v>140</v>
      </c>
      <c r="C16" s="4" t="s">
        <v>40</v>
      </c>
      <c r="D16" s="4">
        <v>2000</v>
      </c>
      <c r="E16" s="9">
        <f t="shared" si="0"/>
        <v>163.71001637100491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48.79</v>
      </c>
      <c r="K16" s="8" t="str">
        <f t="shared" si="5"/>
        <v>2022 Nationals</v>
      </c>
      <c r="L16" s="8">
        <f>IF(COUNT(AQ16,AT16,BR16,BU16,CS16,CV16)&gt;1,LARGE((AQ16,AT16,BR16,BU16,CS16,CV16),2),0)</f>
        <v>45.39</v>
      </c>
      <c r="M16" s="8" t="str">
        <f t="shared" si="6"/>
        <v>2023 Elite Canada</v>
      </c>
      <c r="N16" s="8">
        <f>IF(COUNT(AQ16,AT16,BR16,BU16,CS16,CV16)&gt;2,LARGE((AQ16,AT16,BR16,BU16,CS16,CV16),3),0)</f>
        <v>10.129999999999999</v>
      </c>
      <c r="O16" s="8" t="str">
        <f t="shared" si="7"/>
        <v>2023 Elite Canada</v>
      </c>
      <c r="P16" s="8">
        <f t="shared" si="8"/>
        <v>48.100000000000009</v>
      </c>
      <c r="Q16" s="8" t="str">
        <f t="shared" si="9"/>
        <v>2022 Nationals</v>
      </c>
      <c r="R16" s="8">
        <f t="shared" si="10"/>
        <v>11.3</v>
      </c>
      <c r="S16" s="8" t="str">
        <f t="shared" si="11"/>
        <v>2022 Nationals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/>
      <c r="Z16" s="23"/>
      <c r="AA16" s="23"/>
      <c r="AB16" s="23"/>
      <c r="AC16" s="23"/>
      <c r="AD16" s="23">
        <v>14.4</v>
      </c>
      <c r="AE16" s="23">
        <v>8.9</v>
      </c>
      <c r="AF16" s="23">
        <v>11.3</v>
      </c>
      <c r="AG16" s="23">
        <v>14.19</v>
      </c>
      <c r="AH16" s="23">
        <v>0</v>
      </c>
      <c r="AI16" s="23">
        <v>13.8</v>
      </c>
      <c r="AJ16" s="23">
        <v>9.3000000000000007</v>
      </c>
      <c r="AK16" s="23">
        <v>11.3</v>
      </c>
      <c r="AL16" s="23">
        <v>13.7</v>
      </c>
      <c r="AM16" s="23">
        <v>0</v>
      </c>
      <c r="AN16" s="28"/>
      <c r="AO16" s="39" t="str">
        <f t="shared" si="17"/>
        <v/>
      </c>
      <c r="AP16" s="39" t="str">
        <f t="shared" si="18"/>
        <v/>
      </c>
      <c r="AQ16" s="41" t="str">
        <f t="shared" si="19"/>
        <v/>
      </c>
      <c r="AR16" s="41">
        <f t="shared" si="20"/>
        <v>11.3</v>
      </c>
      <c r="AS16" s="41">
        <f t="shared" si="21"/>
        <v>14.19</v>
      </c>
      <c r="AT16" s="41">
        <f t="shared" si="22"/>
        <v>48.79</v>
      </c>
      <c r="AU16" s="41" t="str">
        <f t="shared" si="23"/>
        <v/>
      </c>
      <c r="AV16" s="41">
        <f t="shared" si="24"/>
        <v>11.3</v>
      </c>
      <c r="AW16" s="41">
        <f t="shared" si="25"/>
        <v>13.7</v>
      </c>
      <c r="AX16" s="41">
        <f t="shared" si="26"/>
        <v>48.100000000000009</v>
      </c>
      <c r="AY16" s="41">
        <f t="shared" si="27"/>
        <v>48.100000000000009</v>
      </c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9"/>
      <c r="BP16" s="40" t="str">
        <f t="shared" si="28"/>
        <v/>
      </c>
      <c r="BQ16" s="40" t="str">
        <f t="shared" si="29"/>
        <v/>
      </c>
      <c r="BR16" s="11" t="str">
        <f t="shared" si="30"/>
        <v/>
      </c>
      <c r="BS16" s="11" t="str">
        <f t="shared" si="31"/>
        <v/>
      </c>
      <c r="BT16" s="11" t="str">
        <f t="shared" si="32"/>
        <v/>
      </c>
      <c r="BU16" s="11" t="str">
        <f t="shared" si="33"/>
        <v/>
      </c>
      <c r="BV16" s="11" t="str">
        <f t="shared" si="34"/>
        <v/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 t="str">
        <f t="shared" si="38"/>
        <v/>
      </c>
      <c r="CA16" s="23">
        <v>12.4</v>
      </c>
      <c r="CB16" s="23">
        <v>8.6</v>
      </c>
      <c r="CC16" s="23">
        <v>10.4</v>
      </c>
      <c r="CD16" s="23">
        <v>13.99</v>
      </c>
      <c r="CE16" s="23">
        <v>0</v>
      </c>
      <c r="CF16" s="23">
        <v>2.6</v>
      </c>
      <c r="CG16" s="23">
        <v>2</v>
      </c>
      <c r="CH16" s="23">
        <v>2.5</v>
      </c>
      <c r="CI16" s="23">
        <v>3.03</v>
      </c>
      <c r="CJ16" s="23">
        <v>0</v>
      </c>
      <c r="CK16" s="23">
        <v>8.4</v>
      </c>
      <c r="CL16" s="23">
        <v>5.8</v>
      </c>
      <c r="CM16" s="23">
        <v>6.8</v>
      </c>
      <c r="CN16" s="23">
        <v>9.52</v>
      </c>
      <c r="CO16" s="23">
        <v>0</v>
      </c>
      <c r="CP16" s="28"/>
      <c r="CQ16" s="39">
        <f t="shared" si="39"/>
        <v>10.4</v>
      </c>
      <c r="CR16" s="39">
        <f t="shared" si="40"/>
        <v>13.99</v>
      </c>
      <c r="CS16" s="41">
        <f t="shared" si="41"/>
        <v>45.39</v>
      </c>
      <c r="CT16" s="41">
        <f t="shared" si="42"/>
        <v>2.5</v>
      </c>
      <c r="CU16" s="41">
        <f t="shared" si="43"/>
        <v>3.03</v>
      </c>
      <c r="CV16" s="41">
        <f t="shared" si="44"/>
        <v>10.129999999999999</v>
      </c>
      <c r="CW16" s="41">
        <f t="shared" si="45"/>
        <v>45.39</v>
      </c>
      <c r="CX16" s="41">
        <f t="shared" si="46"/>
        <v>6.8</v>
      </c>
      <c r="CY16" s="41">
        <f t="shared" si="47"/>
        <v>9.52</v>
      </c>
      <c r="CZ16" s="41">
        <f t="shared" si="48"/>
        <v>30.52</v>
      </c>
      <c r="DA16" s="41">
        <f t="shared" si="49"/>
        <v>75.91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6.2</v>
      </c>
      <c r="SW16" s="23">
        <f t="shared" si="221"/>
        <v>4.3</v>
      </c>
      <c r="SX16" s="23">
        <f t="shared" si="222"/>
        <v>5.2</v>
      </c>
      <c r="SY16" s="23">
        <f t="shared" si="223"/>
        <v>6.9950000000000001</v>
      </c>
      <c r="SZ16" s="23">
        <f t="shared" si="224"/>
        <v>0</v>
      </c>
      <c r="TA16" s="23">
        <f t="shared" si="225"/>
        <v>1.3</v>
      </c>
      <c r="TB16" s="23">
        <f t="shared" si="226"/>
        <v>1</v>
      </c>
      <c r="TC16" s="23">
        <f t="shared" si="227"/>
        <v>1.25</v>
      </c>
      <c r="TD16" s="23">
        <f t="shared" si="228"/>
        <v>1.5149999999999999</v>
      </c>
      <c r="TE16" s="23">
        <f t="shared" si="229"/>
        <v>0</v>
      </c>
      <c r="TF16" s="23">
        <f t="shared" si="230"/>
        <v>4.2</v>
      </c>
      <c r="TG16" s="23">
        <f t="shared" si="231"/>
        <v>2.9</v>
      </c>
      <c r="TH16" s="23">
        <f t="shared" si="232"/>
        <v>3.4</v>
      </c>
      <c r="TI16" s="23">
        <f t="shared" si="233"/>
        <v>4.76</v>
      </c>
      <c r="TJ16" s="23">
        <f t="shared" si="234"/>
        <v>0</v>
      </c>
      <c r="TK16" s="28" t="s">
        <v>58</v>
      </c>
      <c r="TL16" s="41">
        <f t="shared" si="235"/>
        <v>5.2</v>
      </c>
      <c r="TM16" s="41">
        <f t="shared" si="236"/>
        <v>6.9950000000000001</v>
      </c>
      <c r="TN16" s="41">
        <f t="shared" si="237"/>
        <v>22.695</v>
      </c>
      <c r="TO16" s="41">
        <f t="shared" si="238"/>
        <v>1.25</v>
      </c>
      <c r="TP16" s="41">
        <f t="shared" si="239"/>
        <v>1.5149999999999999</v>
      </c>
      <c r="TQ16" s="41">
        <f t="shared" si="240"/>
        <v>5.0649999999999995</v>
      </c>
      <c r="TR16" s="41">
        <f t="shared" si="241"/>
        <v>22.695</v>
      </c>
      <c r="TS16" s="41">
        <f t="shared" si="242"/>
        <v>3.4</v>
      </c>
      <c r="TT16" s="41">
        <f t="shared" si="243"/>
        <v>4.76</v>
      </c>
      <c r="TU16" s="41">
        <f t="shared" si="244"/>
        <v>15.26</v>
      </c>
      <c r="TV16" s="41">
        <f t="shared" si="245"/>
        <v>37.954999999999998</v>
      </c>
    </row>
    <row r="17" spans="1:544" x14ac:dyDescent="0.2">
      <c r="A17" s="4" t="str" cm="1">
        <f t="array" ref="A17">IF(AND(F17&lt;&gt;"",G17&lt;&gt;""),SUMPRODUCT((F$4:F$18&lt;&gt;"")*(G$4:G$18&lt;&gt;"")*(E$4:E$18&gt;E17))+1,IF(G17&lt;&gt;"",SUMPRODUCT((H$4:H$18="No DD")*(E$4:E$18&gt;E17))+1+SUMPRODUCT((F$4:F$18&lt;&gt;"")*(G$4:G$18&lt;&gt;"")),""))</f>
        <v/>
      </c>
      <c r="B17" s="5" t="s">
        <v>172</v>
      </c>
      <c r="C17" s="4" t="s">
        <v>5</v>
      </c>
      <c r="D17" s="4">
        <v>2004</v>
      </c>
      <c r="E17" s="9">
        <f t="shared" si="0"/>
        <v>139.93001399300488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48.730000000000004</v>
      </c>
      <c r="K17" s="8" t="str">
        <f t="shared" si="5"/>
        <v>2022 Nationals</v>
      </c>
      <c r="L17" s="8">
        <f>IF(COUNT(AQ17,AT17,BR17,BU17,CS17,CV17)&gt;1,LARGE((AQ17,AT17,BR17,BU17,CS17,CV17),2),0)</f>
        <v>10.46</v>
      </c>
      <c r="M17" s="8" t="str">
        <f t="shared" si="6"/>
        <v>2022 3rd Domestic Trial</v>
      </c>
      <c r="N17" s="8">
        <f>IF(COUNT(AQ17,AT17,BR17,BU17,CS17,CV17)&gt;2,LARGE((AQ17,AT17,BR17,BU17,CS17,CV17),3),0)</f>
        <v>10.16</v>
      </c>
      <c r="O17" s="8" t="str">
        <f t="shared" si="7"/>
        <v>2022 3rd Domestic Trial</v>
      </c>
      <c r="P17" s="8">
        <f t="shared" si="8"/>
        <v>43.849999999999994</v>
      </c>
      <c r="Q17" s="8" t="str">
        <f t="shared" si="9"/>
        <v>2022 Nationals</v>
      </c>
      <c r="R17" s="8">
        <f t="shared" si="10"/>
        <v>12.7</v>
      </c>
      <c r="S17" s="8" t="str">
        <f t="shared" si="11"/>
        <v>2022 Nationals</v>
      </c>
      <c r="T17" s="8">
        <f t="shared" si="12"/>
        <v>14.03</v>
      </c>
      <c r="U17" s="8" t="str">
        <f t="shared" si="13"/>
        <v>2022 Nationals</v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1.4</v>
      </c>
      <c r="Z17" s="23">
        <v>1</v>
      </c>
      <c r="AA17" s="23">
        <v>1.5</v>
      </c>
      <c r="AB17" s="23">
        <v>1.58</v>
      </c>
      <c r="AC17" s="23">
        <v>0</v>
      </c>
      <c r="AD17" s="23">
        <v>13</v>
      </c>
      <c r="AE17" s="23">
        <v>9</v>
      </c>
      <c r="AF17" s="23">
        <v>12.7</v>
      </c>
      <c r="AG17" s="23">
        <v>14.03</v>
      </c>
      <c r="AH17" s="23">
        <v>0</v>
      </c>
      <c r="AI17" s="23">
        <v>11.7</v>
      </c>
      <c r="AJ17" s="23">
        <v>8.1</v>
      </c>
      <c r="AK17" s="23">
        <v>11.3</v>
      </c>
      <c r="AL17" s="23">
        <v>12.75</v>
      </c>
      <c r="AM17" s="23">
        <v>0</v>
      </c>
      <c r="AN17" s="28"/>
      <c r="AO17" s="39">
        <f t="shared" si="17"/>
        <v>1.5</v>
      </c>
      <c r="AP17" s="39">
        <f t="shared" si="18"/>
        <v>1.58</v>
      </c>
      <c r="AQ17" s="41">
        <f t="shared" si="19"/>
        <v>5.48</v>
      </c>
      <c r="AR17" s="41">
        <f t="shared" si="20"/>
        <v>12.7</v>
      </c>
      <c r="AS17" s="41">
        <f t="shared" si="21"/>
        <v>14.03</v>
      </c>
      <c r="AT17" s="41">
        <f t="shared" si="22"/>
        <v>48.730000000000004</v>
      </c>
      <c r="AU17" s="41">
        <f t="shared" si="23"/>
        <v>48.730000000000004</v>
      </c>
      <c r="AV17" s="41">
        <f t="shared" si="24"/>
        <v>11.3</v>
      </c>
      <c r="AW17" s="41">
        <f t="shared" si="25"/>
        <v>12.75</v>
      </c>
      <c r="AX17" s="41">
        <f t="shared" si="26"/>
        <v>43.849999999999994</v>
      </c>
      <c r="AY17" s="41">
        <f t="shared" si="27"/>
        <v>92.58</v>
      </c>
      <c r="AZ17" s="27">
        <v>2.9</v>
      </c>
      <c r="BA17" s="27">
        <v>1.7</v>
      </c>
      <c r="BB17" s="27">
        <v>2.7</v>
      </c>
      <c r="BC17" s="27">
        <v>3.16</v>
      </c>
      <c r="BD17" s="27">
        <v>0</v>
      </c>
      <c r="BE17" s="27">
        <v>2.6</v>
      </c>
      <c r="BF17" s="27">
        <v>1.8</v>
      </c>
      <c r="BG17" s="27">
        <v>2.7</v>
      </c>
      <c r="BH17" s="27">
        <v>3.06</v>
      </c>
      <c r="BI17" s="27">
        <v>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9"/>
      <c r="BP17" s="40">
        <f t="shared" si="28"/>
        <v>2.7</v>
      </c>
      <c r="BQ17" s="40">
        <f t="shared" si="29"/>
        <v>3.16</v>
      </c>
      <c r="BR17" s="11">
        <f t="shared" si="30"/>
        <v>10.46</v>
      </c>
      <c r="BS17" s="11">
        <f t="shared" si="31"/>
        <v>2.7</v>
      </c>
      <c r="BT17" s="11">
        <f t="shared" si="32"/>
        <v>3.06</v>
      </c>
      <c r="BU17" s="11">
        <f t="shared" si="33"/>
        <v>10.16</v>
      </c>
      <c r="BV17" s="11">
        <f t="shared" si="34"/>
        <v>10.46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10.46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1.45</v>
      </c>
      <c r="SW17" s="23">
        <f t="shared" si="221"/>
        <v>0.85</v>
      </c>
      <c r="SX17" s="23">
        <f t="shared" si="222"/>
        <v>1.35</v>
      </c>
      <c r="SY17" s="23">
        <f t="shared" si="223"/>
        <v>1.58</v>
      </c>
      <c r="SZ17" s="23">
        <f t="shared" si="224"/>
        <v>0</v>
      </c>
      <c r="TA17" s="23">
        <f t="shared" si="225"/>
        <v>1.3</v>
      </c>
      <c r="TB17" s="23">
        <f t="shared" si="226"/>
        <v>0.9</v>
      </c>
      <c r="TC17" s="23">
        <f t="shared" si="227"/>
        <v>1.35</v>
      </c>
      <c r="TD17" s="23">
        <f t="shared" si="228"/>
        <v>1.53</v>
      </c>
      <c r="TE17" s="23">
        <f t="shared" si="229"/>
        <v>0</v>
      </c>
      <c r="TF17" s="23">
        <f t="shared" si="230"/>
        <v>0</v>
      </c>
      <c r="TG17" s="23">
        <f t="shared" si="231"/>
        <v>0</v>
      </c>
      <c r="TH17" s="23">
        <f t="shared" si="232"/>
        <v>0</v>
      </c>
      <c r="TI17" s="23">
        <f t="shared" si="233"/>
        <v>0</v>
      </c>
      <c r="TJ17" s="23">
        <f t="shared" si="234"/>
        <v>0</v>
      </c>
      <c r="TK17" s="28" t="s">
        <v>58</v>
      </c>
      <c r="TL17" s="41">
        <f t="shared" si="235"/>
        <v>1.35</v>
      </c>
      <c r="TM17" s="41">
        <f t="shared" si="236"/>
        <v>1.58</v>
      </c>
      <c r="TN17" s="41">
        <f t="shared" si="237"/>
        <v>5.23</v>
      </c>
      <c r="TO17" s="41">
        <f t="shared" si="238"/>
        <v>1.35</v>
      </c>
      <c r="TP17" s="41">
        <f t="shared" si="239"/>
        <v>1.53</v>
      </c>
      <c r="TQ17" s="41">
        <f t="shared" si="240"/>
        <v>5.08</v>
      </c>
      <c r="TR17" s="41">
        <f t="shared" si="241"/>
        <v>5.23</v>
      </c>
      <c r="TS17" s="41" t="str">
        <f t="shared" si="242"/>
        <v/>
      </c>
      <c r="TT17" s="41" t="str">
        <f t="shared" si="243"/>
        <v/>
      </c>
      <c r="TU17" s="41" t="str">
        <f t="shared" si="244"/>
        <v/>
      </c>
      <c r="TV17" s="41">
        <f t="shared" si="245"/>
        <v>5.23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55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54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68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81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52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53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67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36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59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117</v>
      </c>
      <c r="K1" s="68" t="s">
        <v>34</v>
      </c>
      <c r="L1" s="70" t="s">
        <v>211</v>
      </c>
      <c r="M1" s="68" t="s">
        <v>34</v>
      </c>
      <c r="N1" s="72" t="s">
        <v>14</v>
      </c>
      <c r="O1" s="68" t="s">
        <v>35</v>
      </c>
      <c r="P1" s="68" t="s">
        <v>34</v>
      </c>
      <c r="Q1" s="65" t="s">
        <v>168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194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214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143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159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160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161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200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198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207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69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ht="16" customHeight="1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109</v>
      </c>
      <c r="AH2" s="14" t="s">
        <v>153</v>
      </c>
      <c r="AI2" s="14" t="s">
        <v>21</v>
      </c>
      <c r="AJ2" s="14" t="s">
        <v>82</v>
      </c>
      <c r="AK2" s="14" t="s">
        <v>152</v>
      </c>
      <c r="AL2" s="14" t="s">
        <v>22</v>
      </c>
      <c r="AM2" s="14" t="s">
        <v>24</v>
      </c>
      <c r="AN2" s="14" t="s">
        <v>112</v>
      </c>
      <c r="AO2" s="14" t="s">
        <v>154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109</v>
      </c>
      <c r="BI2" s="13" t="s">
        <v>153</v>
      </c>
      <c r="BJ2" s="13" t="s">
        <v>21</v>
      </c>
      <c r="BK2" s="13" t="s">
        <v>82</v>
      </c>
      <c r="BL2" s="13" t="s">
        <v>152</v>
      </c>
      <c r="BM2" s="13" t="s">
        <v>22</v>
      </c>
      <c r="BN2" s="13" t="s">
        <v>24</v>
      </c>
      <c r="BO2" s="13" t="s">
        <v>112</v>
      </c>
      <c r="BP2" s="13" t="s">
        <v>154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109</v>
      </c>
      <c r="CJ2" s="14" t="s">
        <v>153</v>
      </c>
      <c r="CK2" s="14" t="s">
        <v>21</v>
      </c>
      <c r="CL2" s="14" t="s">
        <v>82</v>
      </c>
      <c r="CM2" s="14" t="s">
        <v>152</v>
      </c>
      <c r="CN2" s="14" t="s">
        <v>22</v>
      </c>
      <c r="CO2" s="14" t="s">
        <v>24</v>
      </c>
      <c r="CP2" s="14" t="s">
        <v>112</v>
      </c>
      <c r="CQ2" s="14" t="s">
        <v>154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114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109</v>
      </c>
      <c r="DQ2" s="14" t="s">
        <v>153</v>
      </c>
      <c r="DR2" s="14" t="s">
        <v>21</v>
      </c>
      <c r="DS2" s="14" t="s">
        <v>82</v>
      </c>
      <c r="DT2" s="14" t="s">
        <v>152</v>
      </c>
      <c r="DU2" s="14" t="s">
        <v>22</v>
      </c>
      <c r="DV2" s="14" t="s">
        <v>24</v>
      </c>
      <c r="DW2" s="14" t="s">
        <v>115</v>
      </c>
      <c r="DX2" s="14" t="s">
        <v>155</v>
      </c>
      <c r="DY2" s="14" t="s">
        <v>114</v>
      </c>
      <c r="DZ2" s="14" t="s">
        <v>112</v>
      </c>
      <c r="EA2" s="14" t="s">
        <v>154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114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109</v>
      </c>
      <c r="EY2" s="13" t="s">
        <v>153</v>
      </c>
      <c r="EZ2" s="13" t="s">
        <v>21</v>
      </c>
      <c r="FA2" s="13" t="s">
        <v>82</v>
      </c>
      <c r="FB2" s="13" t="s">
        <v>152</v>
      </c>
      <c r="FC2" s="13" t="s">
        <v>22</v>
      </c>
      <c r="FD2" s="13" t="s">
        <v>24</v>
      </c>
      <c r="FE2" s="13" t="s">
        <v>115</v>
      </c>
      <c r="FF2" s="13" t="s">
        <v>155</v>
      </c>
      <c r="FG2" s="13" t="s">
        <v>114</v>
      </c>
      <c r="FH2" s="13" t="s">
        <v>112</v>
      </c>
      <c r="FI2" s="13" t="s">
        <v>154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114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109</v>
      </c>
      <c r="GG2" s="14" t="s">
        <v>153</v>
      </c>
      <c r="GH2" s="14" t="s">
        <v>21</v>
      </c>
      <c r="GI2" s="14" t="s">
        <v>82</v>
      </c>
      <c r="GJ2" s="14" t="s">
        <v>152</v>
      </c>
      <c r="GK2" s="14" t="s">
        <v>22</v>
      </c>
      <c r="GL2" s="14" t="s">
        <v>24</v>
      </c>
      <c r="GM2" s="14" t="s">
        <v>115</v>
      </c>
      <c r="GN2" s="14" t="s">
        <v>155</v>
      </c>
      <c r="GO2" s="14" t="s">
        <v>114</v>
      </c>
      <c r="GP2" s="14" t="s">
        <v>112</v>
      </c>
      <c r="GQ2" s="14" t="s">
        <v>154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114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109</v>
      </c>
      <c r="HO2" s="13" t="s">
        <v>153</v>
      </c>
      <c r="HP2" s="13" t="s">
        <v>21</v>
      </c>
      <c r="HQ2" s="13" t="s">
        <v>82</v>
      </c>
      <c r="HR2" s="13" t="s">
        <v>152</v>
      </c>
      <c r="HS2" s="13" t="s">
        <v>22</v>
      </c>
      <c r="HT2" s="13" t="s">
        <v>24</v>
      </c>
      <c r="HU2" s="13" t="s">
        <v>115</v>
      </c>
      <c r="HV2" s="13" t="s">
        <v>155</v>
      </c>
      <c r="HW2" s="13" t="s">
        <v>114</v>
      </c>
      <c r="HX2" s="13" t="s">
        <v>112</v>
      </c>
      <c r="HY2" s="13" t="s">
        <v>154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114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109</v>
      </c>
      <c r="IW2" s="14" t="s">
        <v>153</v>
      </c>
      <c r="IX2" s="14" t="s">
        <v>21</v>
      </c>
      <c r="IY2" s="14" t="s">
        <v>82</v>
      </c>
      <c r="IZ2" s="14" t="s">
        <v>152</v>
      </c>
      <c r="JA2" s="14" t="s">
        <v>22</v>
      </c>
      <c r="JB2" s="14" t="s">
        <v>24</v>
      </c>
      <c r="JC2" s="14" t="s">
        <v>115</v>
      </c>
      <c r="JD2" s="14" t="s">
        <v>155</v>
      </c>
      <c r="JE2" s="14" t="s">
        <v>114</v>
      </c>
      <c r="JF2" s="14" t="s">
        <v>112</v>
      </c>
      <c r="JG2" s="14" t="s">
        <v>154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114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109</v>
      </c>
      <c r="KE2" s="13" t="s">
        <v>153</v>
      </c>
      <c r="KF2" s="13" t="s">
        <v>21</v>
      </c>
      <c r="KG2" s="13" t="s">
        <v>82</v>
      </c>
      <c r="KH2" s="13" t="s">
        <v>152</v>
      </c>
      <c r="KI2" s="13" t="s">
        <v>22</v>
      </c>
      <c r="KJ2" s="13" t="s">
        <v>24</v>
      </c>
      <c r="KK2" s="13" t="s">
        <v>115</v>
      </c>
      <c r="KL2" s="13" t="s">
        <v>155</v>
      </c>
      <c r="KM2" s="13" t="s">
        <v>114</v>
      </c>
      <c r="KN2" s="13" t="s">
        <v>112</v>
      </c>
      <c r="KO2" s="13" t="s">
        <v>154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114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109</v>
      </c>
      <c r="LM2" s="14" t="s">
        <v>153</v>
      </c>
      <c r="LN2" s="14" t="s">
        <v>21</v>
      </c>
      <c r="LO2" s="14" t="s">
        <v>82</v>
      </c>
      <c r="LP2" s="14" t="s">
        <v>152</v>
      </c>
      <c r="LQ2" s="14" t="s">
        <v>22</v>
      </c>
      <c r="LR2" s="14" t="s">
        <v>24</v>
      </c>
      <c r="LS2" s="14" t="s">
        <v>115</v>
      </c>
      <c r="LT2" s="14" t="s">
        <v>155</v>
      </c>
      <c r="LU2" s="14" t="s">
        <v>114</v>
      </c>
      <c r="LV2" s="14" t="s">
        <v>112</v>
      </c>
      <c r="LW2" s="14" t="s">
        <v>154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114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109</v>
      </c>
      <c r="MU2" s="13" t="s">
        <v>153</v>
      </c>
      <c r="MV2" s="13" t="s">
        <v>21</v>
      </c>
      <c r="MW2" s="13" t="s">
        <v>82</v>
      </c>
      <c r="MX2" s="13" t="s">
        <v>152</v>
      </c>
      <c r="MY2" s="13" t="s">
        <v>22</v>
      </c>
      <c r="MZ2" s="13" t="s">
        <v>24</v>
      </c>
      <c r="NA2" s="13" t="s">
        <v>115</v>
      </c>
      <c r="NB2" s="13" t="s">
        <v>155</v>
      </c>
      <c r="NC2" s="13" t="s">
        <v>114</v>
      </c>
      <c r="ND2" s="13" t="s">
        <v>112</v>
      </c>
      <c r="NE2" s="13" t="s">
        <v>154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114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109</v>
      </c>
      <c r="OC2" s="14" t="s">
        <v>153</v>
      </c>
      <c r="OD2" s="14" t="s">
        <v>21</v>
      </c>
      <c r="OE2" s="14" t="s">
        <v>82</v>
      </c>
      <c r="OF2" s="14" t="s">
        <v>152</v>
      </c>
      <c r="OG2" s="14" t="s">
        <v>22</v>
      </c>
      <c r="OH2" s="14" t="s">
        <v>24</v>
      </c>
      <c r="OI2" s="14" t="s">
        <v>115</v>
      </c>
      <c r="OJ2" s="14" t="s">
        <v>155</v>
      </c>
      <c r="OK2" s="14" t="s">
        <v>114</v>
      </c>
      <c r="OL2" s="14" t="s">
        <v>112</v>
      </c>
      <c r="OM2" s="14" t="s">
        <v>154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114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109</v>
      </c>
      <c r="PK2" s="13" t="s">
        <v>153</v>
      </c>
      <c r="PL2" s="13" t="s">
        <v>21</v>
      </c>
      <c r="PM2" s="13" t="s">
        <v>82</v>
      </c>
      <c r="PN2" s="13" t="s">
        <v>152</v>
      </c>
      <c r="PO2" s="13" t="s">
        <v>22</v>
      </c>
      <c r="PP2" s="13" t="s">
        <v>24</v>
      </c>
      <c r="PQ2" s="13" t="s">
        <v>115</v>
      </c>
      <c r="PR2" s="13" t="s">
        <v>155</v>
      </c>
      <c r="PS2" s="13" t="s">
        <v>114</v>
      </c>
      <c r="PT2" s="13" t="s">
        <v>112</v>
      </c>
      <c r="PU2" s="13" t="s">
        <v>154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114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109</v>
      </c>
      <c r="QS2" s="14" t="s">
        <v>153</v>
      </c>
      <c r="QT2" s="14" t="s">
        <v>21</v>
      </c>
      <c r="QU2" s="14" t="s">
        <v>82</v>
      </c>
      <c r="QV2" s="14" t="s">
        <v>152</v>
      </c>
      <c r="QW2" s="14" t="s">
        <v>22</v>
      </c>
      <c r="QX2" s="14" t="s">
        <v>24</v>
      </c>
      <c r="QY2" s="14" t="s">
        <v>115</v>
      </c>
      <c r="QZ2" s="14" t="s">
        <v>155</v>
      </c>
      <c r="RA2" s="14" t="s">
        <v>114</v>
      </c>
      <c r="RB2" s="14" t="s">
        <v>112</v>
      </c>
      <c r="RC2" s="14" t="s">
        <v>154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114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109</v>
      </c>
      <c r="SA2" s="13" t="s">
        <v>153</v>
      </c>
      <c r="SB2" s="13" t="s">
        <v>21</v>
      </c>
      <c r="SC2" s="13" t="s">
        <v>82</v>
      </c>
      <c r="SD2" s="13" t="s">
        <v>152</v>
      </c>
      <c r="SE2" s="13" t="s">
        <v>22</v>
      </c>
      <c r="SF2" s="13" t="s">
        <v>24</v>
      </c>
      <c r="SG2" s="13" t="s">
        <v>115</v>
      </c>
      <c r="SH2" s="13" t="s">
        <v>155</v>
      </c>
      <c r="SI2" s="13" t="s">
        <v>114</v>
      </c>
      <c r="SJ2" s="13" t="s">
        <v>112</v>
      </c>
      <c r="SK2" s="13" t="s">
        <v>154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109</v>
      </c>
      <c r="TE2" s="14" t="s">
        <v>153</v>
      </c>
      <c r="TF2" s="14" t="s">
        <v>21</v>
      </c>
      <c r="TG2" s="14" t="s">
        <v>82</v>
      </c>
      <c r="TH2" s="14" t="s">
        <v>152</v>
      </c>
      <c r="TI2" s="14" t="s">
        <v>22</v>
      </c>
      <c r="TJ2" s="14" t="s">
        <v>24</v>
      </c>
      <c r="TK2" s="14" t="s">
        <v>112</v>
      </c>
      <c r="TL2" s="14" t="s">
        <v>154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151</v>
      </c>
      <c r="U3" s="14" t="s">
        <v>31</v>
      </c>
      <c r="V3" s="14" t="s">
        <v>15</v>
      </c>
      <c r="W3" s="14" t="s">
        <v>16</v>
      </c>
      <c r="X3" s="14" t="s">
        <v>10</v>
      </c>
      <c r="Y3" s="14" t="s">
        <v>151</v>
      </c>
      <c r="Z3" s="14" t="s">
        <v>31</v>
      </c>
      <c r="AA3" s="14" t="s">
        <v>15</v>
      </c>
      <c r="AB3" s="14" t="s">
        <v>16</v>
      </c>
      <c r="AC3" s="14" t="s">
        <v>10</v>
      </c>
      <c r="AD3" s="14" t="s">
        <v>151</v>
      </c>
      <c r="AE3" s="14" t="s">
        <v>31</v>
      </c>
      <c r="AF3" s="14" t="s">
        <v>57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151</v>
      </c>
      <c r="AV3" s="13" t="s">
        <v>31</v>
      </c>
      <c r="AW3" s="13" t="s">
        <v>15</v>
      </c>
      <c r="AX3" s="13" t="s">
        <v>16</v>
      </c>
      <c r="AY3" s="13" t="s">
        <v>10</v>
      </c>
      <c r="AZ3" s="13" t="s">
        <v>151</v>
      </c>
      <c r="BA3" s="13" t="s">
        <v>31</v>
      </c>
      <c r="BB3" s="13" t="s">
        <v>15</v>
      </c>
      <c r="BC3" s="13" t="s">
        <v>16</v>
      </c>
      <c r="BD3" s="13" t="s">
        <v>10</v>
      </c>
      <c r="BE3" s="13" t="s">
        <v>151</v>
      </c>
      <c r="BF3" s="13" t="s">
        <v>31</v>
      </c>
      <c r="BG3" s="13" t="s">
        <v>57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151</v>
      </c>
      <c r="BW3" s="14" t="s">
        <v>31</v>
      </c>
      <c r="BX3" s="14" t="s">
        <v>15</v>
      </c>
      <c r="BY3" s="14" t="s">
        <v>16</v>
      </c>
      <c r="BZ3" s="14" t="s">
        <v>10</v>
      </c>
      <c r="CA3" s="14" t="s">
        <v>151</v>
      </c>
      <c r="CB3" s="14" t="s">
        <v>31</v>
      </c>
      <c r="CC3" s="14" t="s">
        <v>15</v>
      </c>
      <c r="CD3" s="14" t="s">
        <v>16</v>
      </c>
      <c r="CE3" s="14" t="s">
        <v>10</v>
      </c>
      <c r="CF3" s="14" t="s">
        <v>151</v>
      </c>
      <c r="CG3" s="14" t="s">
        <v>31</v>
      </c>
      <c r="CH3" s="14" t="s">
        <v>57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151</v>
      </c>
      <c r="CZ3" s="14" t="s">
        <v>31</v>
      </c>
      <c r="DA3" s="14" t="s">
        <v>15</v>
      </c>
      <c r="DB3" s="14" t="s">
        <v>16</v>
      </c>
      <c r="DC3" s="14" t="s">
        <v>10</v>
      </c>
      <c r="DD3" s="14" t="s">
        <v>151</v>
      </c>
      <c r="DE3" s="14" t="s">
        <v>31</v>
      </c>
      <c r="DF3" s="14" t="s">
        <v>15</v>
      </c>
      <c r="DG3" s="14" t="s">
        <v>16</v>
      </c>
      <c r="DH3" s="14" t="s">
        <v>10</v>
      </c>
      <c r="DI3" s="14" t="s">
        <v>151</v>
      </c>
      <c r="DJ3" s="14" t="s">
        <v>31</v>
      </c>
      <c r="DK3" s="14" t="s">
        <v>15</v>
      </c>
      <c r="DL3" s="14" t="s">
        <v>16</v>
      </c>
      <c r="DM3" s="14" t="s">
        <v>10</v>
      </c>
      <c r="DN3" s="14" t="s">
        <v>151</v>
      </c>
      <c r="DO3" s="14" t="s">
        <v>31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151</v>
      </c>
      <c r="EH3" s="13" t="s">
        <v>31</v>
      </c>
      <c r="EI3" s="13" t="s">
        <v>15</v>
      </c>
      <c r="EJ3" s="13" t="s">
        <v>16</v>
      </c>
      <c r="EK3" s="13" t="s">
        <v>10</v>
      </c>
      <c r="EL3" s="13" t="s">
        <v>151</v>
      </c>
      <c r="EM3" s="13" t="s">
        <v>31</v>
      </c>
      <c r="EN3" s="13" t="s">
        <v>15</v>
      </c>
      <c r="EO3" s="13" t="s">
        <v>16</v>
      </c>
      <c r="EP3" s="13" t="s">
        <v>10</v>
      </c>
      <c r="EQ3" s="13" t="s">
        <v>151</v>
      </c>
      <c r="ER3" s="13" t="s">
        <v>31</v>
      </c>
      <c r="ES3" s="13" t="s">
        <v>15</v>
      </c>
      <c r="ET3" s="13" t="s">
        <v>16</v>
      </c>
      <c r="EU3" s="13" t="s">
        <v>10</v>
      </c>
      <c r="EV3" s="13" t="s">
        <v>151</v>
      </c>
      <c r="EW3" s="13" t="s">
        <v>31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151</v>
      </c>
      <c r="FP3" s="14" t="s">
        <v>31</v>
      </c>
      <c r="FQ3" s="14" t="s">
        <v>15</v>
      </c>
      <c r="FR3" s="14" t="s">
        <v>16</v>
      </c>
      <c r="FS3" s="14" t="s">
        <v>10</v>
      </c>
      <c r="FT3" s="14" t="s">
        <v>151</v>
      </c>
      <c r="FU3" s="14" t="s">
        <v>31</v>
      </c>
      <c r="FV3" s="14" t="s">
        <v>15</v>
      </c>
      <c r="FW3" s="14" t="s">
        <v>16</v>
      </c>
      <c r="FX3" s="14" t="s">
        <v>10</v>
      </c>
      <c r="FY3" s="14" t="s">
        <v>151</v>
      </c>
      <c r="FZ3" s="14" t="s">
        <v>31</v>
      </c>
      <c r="GA3" s="14" t="s">
        <v>15</v>
      </c>
      <c r="GB3" s="14" t="s">
        <v>16</v>
      </c>
      <c r="GC3" s="14" t="s">
        <v>10</v>
      </c>
      <c r="GD3" s="14" t="s">
        <v>151</v>
      </c>
      <c r="GE3" s="14" t="s">
        <v>31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151</v>
      </c>
      <c r="GX3" s="13" t="s">
        <v>31</v>
      </c>
      <c r="GY3" s="13" t="s">
        <v>15</v>
      </c>
      <c r="GZ3" s="13" t="s">
        <v>16</v>
      </c>
      <c r="HA3" s="13" t="s">
        <v>10</v>
      </c>
      <c r="HB3" s="13" t="s">
        <v>151</v>
      </c>
      <c r="HC3" s="13" t="s">
        <v>31</v>
      </c>
      <c r="HD3" s="13" t="s">
        <v>15</v>
      </c>
      <c r="HE3" s="13" t="s">
        <v>16</v>
      </c>
      <c r="HF3" s="13" t="s">
        <v>10</v>
      </c>
      <c r="HG3" s="13" t="s">
        <v>151</v>
      </c>
      <c r="HH3" s="13" t="s">
        <v>31</v>
      </c>
      <c r="HI3" s="13" t="s">
        <v>15</v>
      </c>
      <c r="HJ3" s="13" t="s">
        <v>16</v>
      </c>
      <c r="HK3" s="13" t="s">
        <v>10</v>
      </c>
      <c r="HL3" s="13" t="s">
        <v>151</v>
      </c>
      <c r="HM3" s="13" t="s">
        <v>31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151</v>
      </c>
      <c r="IF3" s="14" t="s">
        <v>31</v>
      </c>
      <c r="IG3" s="14" t="s">
        <v>15</v>
      </c>
      <c r="IH3" s="14" t="s">
        <v>16</v>
      </c>
      <c r="II3" s="14" t="s">
        <v>10</v>
      </c>
      <c r="IJ3" s="14" t="s">
        <v>151</v>
      </c>
      <c r="IK3" s="14" t="s">
        <v>31</v>
      </c>
      <c r="IL3" s="14" t="s">
        <v>15</v>
      </c>
      <c r="IM3" s="14" t="s">
        <v>16</v>
      </c>
      <c r="IN3" s="14" t="s">
        <v>10</v>
      </c>
      <c r="IO3" s="14" t="s">
        <v>151</v>
      </c>
      <c r="IP3" s="14" t="s">
        <v>31</v>
      </c>
      <c r="IQ3" s="14" t="s">
        <v>15</v>
      </c>
      <c r="IR3" s="14" t="s">
        <v>16</v>
      </c>
      <c r="IS3" s="14" t="s">
        <v>10</v>
      </c>
      <c r="IT3" s="14" t="s">
        <v>151</v>
      </c>
      <c r="IU3" s="14" t="s">
        <v>31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151</v>
      </c>
      <c r="JN3" s="13" t="s">
        <v>31</v>
      </c>
      <c r="JO3" s="13" t="s">
        <v>15</v>
      </c>
      <c r="JP3" s="13" t="s">
        <v>16</v>
      </c>
      <c r="JQ3" s="13" t="s">
        <v>10</v>
      </c>
      <c r="JR3" s="13" t="s">
        <v>151</v>
      </c>
      <c r="JS3" s="13" t="s">
        <v>31</v>
      </c>
      <c r="JT3" s="13" t="s">
        <v>15</v>
      </c>
      <c r="JU3" s="13" t="s">
        <v>16</v>
      </c>
      <c r="JV3" s="13" t="s">
        <v>10</v>
      </c>
      <c r="JW3" s="13" t="s">
        <v>151</v>
      </c>
      <c r="JX3" s="13" t="s">
        <v>31</v>
      </c>
      <c r="JY3" s="13" t="s">
        <v>15</v>
      </c>
      <c r="JZ3" s="13" t="s">
        <v>16</v>
      </c>
      <c r="KA3" s="13" t="s">
        <v>10</v>
      </c>
      <c r="KB3" s="13" t="s">
        <v>151</v>
      </c>
      <c r="KC3" s="13" t="s">
        <v>31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151</v>
      </c>
      <c r="KV3" s="14" t="s">
        <v>31</v>
      </c>
      <c r="KW3" s="14" t="s">
        <v>15</v>
      </c>
      <c r="KX3" s="14" t="s">
        <v>16</v>
      </c>
      <c r="KY3" s="14" t="s">
        <v>10</v>
      </c>
      <c r="KZ3" s="14" t="s">
        <v>151</v>
      </c>
      <c r="LA3" s="14" t="s">
        <v>31</v>
      </c>
      <c r="LB3" s="14" t="s">
        <v>15</v>
      </c>
      <c r="LC3" s="14" t="s">
        <v>16</v>
      </c>
      <c r="LD3" s="14" t="s">
        <v>10</v>
      </c>
      <c r="LE3" s="14" t="s">
        <v>151</v>
      </c>
      <c r="LF3" s="14" t="s">
        <v>31</v>
      </c>
      <c r="LG3" s="14" t="s">
        <v>15</v>
      </c>
      <c r="LH3" s="14" t="s">
        <v>16</v>
      </c>
      <c r="LI3" s="14" t="s">
        <v>10</v>
      </c>
      <c r="LJ3" s="14" t="s">
        <v>151</v>
      </c>
      <c r="LK3" s="14" t="s">
        <v>31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151</v>
      </c>
      <c r="MD3" s="13" t="s">
        <v>31</v>
      </c>
      <c r="ME3" s="13" t="s">
        <v>15</v>
      </c>
      <c r="MF3" s="13" t="s">
        <v>16</v>
      </c>
      <c r="MG3" s="13" t="s">
        <v>10</v>
      </c>
      <c r="MH3" s="13" t="s">
        <v>151</v>
      </c>
      <c r="MI3" s="13" t="s">
        <v>31</v>
      </c>
      <c r="MJ3" s="13" t="s">
        <v>15</v>
      </c>
      <c r="MK3" s="13" t="s">
        <v>16</v>
      </c>
      <c r="ML3" s="13" t="s">
        <v>10</v>
      </c>
      <c r="MM3" s="13" t="s">
        <v>151</v>
      </c>
      <c r="MN3" s="13" t="s">
        <v>31</v>
      </c>
      <c r="MO3" s="13" t="s">
        <v>15</v>
      </c>
      <c r="MP3" s="13" t="s">
        <v>16</v>
      </c>
      <c r="MQ3" s="13" t="s">
        <v>10</v>
      </c>
      <c r="MR3" s="13" t="s">
        <v>151</v>
      </c>
      <c r="MS3" s="13" t="s">
        <v>31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151</v>
      </c>
      <c r="NL3" s="14" t="s">
        <v>31</v>
      </c>
      <c r="NM3" s="14" t="s">
        <v>15</v>
      </c>
      <c r="NN3" s="14" t="s">
        <v>16</v>
      </c>
      <c r="NO3" s="14" t="s">
        <v>10</v>
      </c>
      <c r="NP3" s="14" t="s">
        <v>151</v>
      </c>
      <c r="NQ3" s="14" t="s">
        <v>31</v>
      </c>
      <c r="NR3" s="14" t="s">
        <v>15</v>
      </c>
      <c r="NS3" s="14" t="s">
        <v>16</v>
      </c>
      <c r="NT3" s="14" t="s">
        <v>10</v>
      </c>
      <c r="NU3" s="14" t="s">
        <v>151</v>
      </c>
      <c r="NV3" s="14" t="s">
        <v>31</v>
      </c>
      <c r="NW3" s="14" t="s">
        <v>15</v>
      </c>
      <c r="NX3" s="14" t="s">
        <v>16</v>
      </c>
      <c r="NY3" s="14" t="s">
        <v>10</v>
      </c>
      <c r="NZ3" s="14" t="s">
        <v>151</v>
      </c>
      <c r="OA3" s="14" t="s">
        <v>31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151</v>
      </c>
      <c r="OT3" s="13" t="s">
        <v>31</v>
      </c>
      <c r="OU3" s="13" t="s">
        <v>15</v>
      </c>
      <c r="OV3" s="13" t="s">
        <v>16</v>
      </c>
      <c r="OW3" s="13" t="s">
        <v>10</v>
      </c>
      <c r="OX3" s="13" t="s">
        <v>151</v>
      </c>
      <c r="OY3" s="13" t="s">
        <v>31</v>
      </c>
      <c r="OZ3" s="13" t="s">
        <v>15</v>
      </c>
      <c r="PA3" s="13" t="s">
        <v>16</v>
      </c>
      <c r="PB3" s="13" t="s">
        <v>10</v>
      </c>
      <c r="PC3" s="13" t="s">
        <v>151</v>
      </c>
      <c r="PD3" s="13" t="s">
        <v>31</v>
      </c>
      <c r="PE3" s="13" t="s">
        <v>15</v>
      </c>
      <c r="PF3" s="13" t="s">
        <v>16</v>
      </c>
      <c r="PG3" s="13" t="s">
        <v>10</v>
      </c>
      <c r="PH3" s="13" t="s">
        <v>151</v>
      </c>
      <c r="PI3" s="13" t="s">
        <v>31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151</v>
      </c>
      <c r="QB3" s="14" t="s">
        <v>31</v>
      </c>
      <c r="QC3" s="14" t="s">
        <v>15</v>
      </c>
      <c r="QD3" s="14" t="s">
        <v>16</v>
      </c>
      <c r="QE3" s="14" t="s">
        <v>10</v>
      </c>
      <c r="QF3" s="14" t="s">
        <v>151</v>
      </c>
      <c r="QG3" s="14" t="s">
        <v>31</v>
      </c>
      <c r="QH3" s="14" t="s">
        <v>15</v>
      </c>
      <c r="QI3" s="14" t="s">
        <v>16</v>
      </c>
      <c r="QJ3" s="14" t="s">
        <v>10</v>
      </c>
      <c r="QK3" s="14" t="s">
        <v>151</v>
      </c>
      <c r="QL3" s="14" t="s">
        <v>31</v>
      </c>
      <c r="QM3" s="14" t="s">
        <v>15</v>
      </c>
      <c r="QN3" s="14" t="s">
        <v>16</v>
      </c>
      <c r="QO3" s="14" t="s">
        <v>10</v>
      </c>
      <c r="QP3" s="14" t="s">
        <v>151</v>
      </c>
      <c r="QQ3" s="14" t="s">
        <v>31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151</v>
      </c>
      <c r="RJ3" s="13" t="s">
        <v>31</v>
      </c>
      <c r="RK3" s="13" t="s">
        <v>15</v>
      </c>
      <c r="RL3" s="13" t="s">
        <v>16</v>
      </c>
      <c r="RM3" s="13" t="s">
        <v>10</v>
      </c>
      <c r="RN3" s="13" t="s">
        <v>151</v>
      </c>
      <c r="RO3" s="13" t="s">
        <v>31</v>
      </c>
      <c r="RP3" s="13" t="s">
        <v>15</v>
      </c>
      <c r="RQ3" s="13" t="s">
        <v>16</v>
      </c>
      <c r="RR3" s="13" t="s">
        <v>10</v>
      </c>
      <c r="RS3" s="13" t="s">
        <v>151</v>
      </c>
      <c r="RT3" s="13" t="s">
        <v>31</v>
      </c>
      <c r="RU3" s="13" t="s">
        <v>15</v>
      </c>
      <c r="RV3" s="13" t="s">
        <v>16</v>
      </c>
      <c r="RW3" s="13" t="s">
        <v>10</v>
      </c>
      <c r="RX3" s="13" t="s">
        <v>151</v>
      </c>
      <c r="RY3" s="13" t="s">
        <v>31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151</v>
      </c>
      <c r="SR3" s="14" t="s">
        <v>31</v>
      </c>
      <c r="SS3" s="14" t="s">
        <v>15</v>
      </c>
      <c r="ST3" s="14" t="s">
        <v>16</v>
      </c>
      <c r="SU3" s="14" t="s">
        <v>10</v>
      </c>
      <c r="SV3" s="14" t="s">
        <v>151</v>
      </c>
      <c r="SW3" s="14" t="s">
        <v>31</v>
      </c>
      <c r="SX3" s="14" t="s">
        <v>15</v>
      </c>
      <c r="SY3" s="14" t="s">
        <v>16</v>
      </c>
      <c r="SZ3" s="14" t="s">
        <v>10</v>
      </c>
      <c r="TA3" s="14" t="s">
        <v>151</v>
      </c>
      <c r="TB3" s="14" t="s">
        <v>31</v>
      </c>
      <c r="TC3" s="14" t="s">
        <v>57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IF(AND(F4&lt;&gt;"",G4&lt;&gt;""),SUMPRODUCT((F$4:F$11&lt;&gt;"")*(G$4:G$11&lt;&gt;"")*(E$4:E$11&gt;E4))+1,IF(G4&lt;&gt;"",SUMPRODUCT((H$4:H$11="No DD")*(E$4:E$11&gt;E4))+1+SUMPRODUCT((F$4:F$11&lt;&gt;"")*(G$4:G$11&lt;&gt;"")),""))</f>
        <v>1</v>
      </c>
      <c r="B4" s="5" t="s">
        <v>150</v>
      </c>
      <c r="C4" s="4" t="s">
        <v>8</v>
      </c>
      <c r="D4" s="4">
        <v>2001</v>
      </c>
      <c r="E4" s="9">
        <f t="shared" ref="E4:E10" si="0">SUM(J4,L4,N4)</f>
        <v>83.65</v>
      </c>
      <c r="F4" s="3" t="str">
        <f t="shared" ref="F4:F10" si="1"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),"P","")</f>
        <v>P</v>
      </c>
      <c r="G4" s="3" t="str">
        <f t="shared" ref="G4:G10" si="2">IF(OR(AND(AI4&gt;=AQ$17,AI4&lt;&gt;"",AF4=""),AND(AL4&gt;=AQ$17,AL4&lt;&gt;"",AF4=""),AND(AP4&gt;=AQ$17,AP4&lt;&gt;"",AF4=""),AND(BJ4&gt;=BR$17,BJ4&lt;&gt;"",BG4=""),AND(BM4&gt;=BR$17,BM4&lt;&gt;"",BG4=""),AND(BQ4&gt;=BR$17,BQ4&lt;&gt;"",BG4=""),AND(CK4&gt;=CS$17,CK4&lt;&gt;"",CH4=""),AND(CN4&gt;=CS$17,CN4&lt;&gt;"",CH4=""),AND(CR4&gt;=CS$17,CR4&lt;&gt;"",CH4=""),AND(DR4&gt;=EC$17,DR4&lt;&gt;""),AND(DU4&gt;=EC$17,DU4&lt;&gt;""),AND(DY4&gt;=EC$17,DY4&lt;&gt;""),AND(EB4&gt;=EC$17,EB4&lt;&gt;""),AND(EZ4&gt;=FK$17,EZ4&lt;&gt;""),AND(FC4&gt;=FK$17,FC4&lt;&gt;""),AND(FG4&gt;=FK$17,FG4&lt;&gt;""),AND(FJ4&gt;=FK$17,FJ4&lt;&gt;""),AND(GH4&gt;=GS$17,GH4&lt;&gt;""),AND(GK4&gt;=GS$17,GK4&lt;&gt;""),AND(GO4&gt;=GS$17,GO4&lt;&gt;""),AND(GR4&gt;=GS$17,GR4&lt;&gt;""),AND(HP4&gt;=IA$17,HP4&lt;&gt;""),AND(HS4&gt;=IA$17,HS4&lt;&gt;""),AND(HW4&gt;=IA$17,HW4&lt;&gt;""),AND(HZ4&gt;=IA$17,HZ4&lt;&gt;""),AND(IX4&gt;=JI$17,IX4&lt;&gt;""),AND(JA4&gt;=JI$17,JA4&lt;&gt;""),AND(JE4&gt;=JI$17,JE4&lt;&gt;""),AND(JH4&gt;=JI$17,JH4&lt;&gt;""),AND(KF4&gt;=KQ$17,KF4&lt;&gt;""),AND(KI4&gt;=KQ$17,KI4&lt;&gt;""),AND(KM4&gt;=KQ$17,KM4&lt;&gt;""),AND(KP4&gt;=KQ$17,KP4&lt;&gt;""),AND(LN4&gt;=LY$17,LN4&lt;&gt;""),AND(LQ4&gt;=LY$17,LQ4&lt;&gt;""),AND(LU4&gt;=LY$17,LU4&lt;&gt;""),AND(LX4&gt;=LY$17,LX4&lt;&gt;""),AND(MV4&gt;=NG$17,MV4&lt;&gt;""),AND(MY4&gt;=NG$17,MY4&lt;&gt;""),AND(NC4&gt;=NG$17,NC4&lt;&gt;""),AND(NF4&gt;=NG$17,NF4&lt;&gt;""),AND(OD4&gt;=OO$17,OD4&lt;&gt;""),AND(OG4&gt;=OO$17,OG4&lt;&gt;""),AND(OK4&gt;=OO$17,OK4&lt;&gt;""),AND(ON4&gt;=OO$17,ON4&lt;&gt;""),AND(PL4&gt;=PW$17,PL4&lt;&gt;""),AND(PO4&gt;=PW$17,PO4&lt;&gt;""),AND(PS4&gt;=PW$17,PS4&lt;&gt;""),AND(PV4&gt;=PW$17,PV4&lt;&gt;""),AND(QT4&gt;=RE$17,QT4&lt;&gt;""),AND(QW4&gt;=RE$17,QW4&lt;&gt;""),AND(RA4&gt;=RE$17,RA4&lt;&gt;""),AND(RD4&gt;=RE$17,RD4&lt;&gt;""),AND(SB4&gt;=SM$17,SB4&lt;&gt;""),AND(SE4&gt;=SM$17,SE4&lt;&gt;""),AND(SI4&gt;=SM$17,SI4&lt;&gt;""),AND(SL4&gt;=SM$17,SL4&lt;&gt;"")),"P","")</f>
        <v>P</v>
      </c>
      <c r="H4" s="37" t="str">
        <f t="shared" ref="H4:H10" si="3">IF(AND(G4="P",F4=""),"No DD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),"Merit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),"Excellence",IF(I4="P","Worlds Team",IF(F4="P","National Team","")))))</f>
        <v>National Team</v>
      </c>
      <c r="I4" s="3" t="str">
        <f t="shared" ref="I4:I10" si="4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),"P","")</f>
        <v/>
      </c>
      <c r="J4" s="8">
        <f>IF(COUNT(AI4,AL4,AP4,BJ4,BM4,BQ4,CK4,CN4,CR4)&gt;0,LARGE((AI4,AL4,AP4,BJ4,BM4,BQ4,CK4,CN4,CR4),1),0)</f>
        <v>33.730000000000004</v>
      </c>
      <c r="K4" s="8" t="str">
        <f t="shared" ref="K4:K10" si="5">IF(J4="","",IF(OR(J4=CK4,J4=CN4,J4=CR4),$BS$1,IF(OR(J4=BJ4,J4=BM4,J4=BQ4),$AR$1,IF(OR(J4=AI4,J4=AL4,J4=AP4),$Q$1,""))))</f>
        <v>2022 Nationals</v>
      </c>
      <c r="L4" s="8">
        <f>IF(COUNT(AI4,AL4,AP4,BJ4,BM4,BQ4,CK4,CN4,CR4)&gt;1,LARGE((AI4,AL4,AP4,BJ4,BM4,BQ4,CK4,CN4,CR4),2),0)</f>
        <v>15.8</v>
      </c>
      <c r="M4" s="8" t="str">
        <f t="shared" ref="M4:M10" si="6">IF(L4="","",IF(OR(L4=CK4,L4=CN4,L4=CR4),$BS$1,IF(OR(L4=BJ4,L4=BM4,L4=BQ4),$AR$1,IF(OR(L4=AI4,L4=AL4,L4=AP4),$Q$1,""))))</f>
        <v>2022 Nationals</v>
      </c>
      <c r="N4" s="8">
        <f t="shared" ref="N4:N10" si="7">IF(MAX(CT4,CU4)&gt;0,MAX(CT4,CU4),"")</f>
        <v>34.120000000000005</v>
      </c>
      <c r="O4" s="11" t="str">
        <f t="shared" ref="O4:O10" si="8">IF(N4="","",IF(N4=CT4,"("&amp;CT$2&amp;")",IF(N4=CU4,"("&amp;CU$2&amp;")")))</f>
        <v>(Final)</v>
      </c>
      <c r="P4" s="8" t="str">
        <f t="shared" ref="P4:P10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 Cup SUI (July 2)</v>
      </c>
      <c r="Q4" s="23">
        <v>5.75</v>
      </c>
      <c r="R4" s="23">
        <v>6.2</v>
      </c>
      <c r="S4" s="23">
        <v>10.3</v>
      </c>
      <c r="T4" s="23">
        <v>11.48</v>
      </c>
      <c r="U4" s="23">
        <v>0</v>
      </c>
      <c r="V4" s="23">
        <v>2.65</v>
      </c>
      <c r="W4" s="23">
        <v>2.85</v>
      </c>
      <c r="X4" s="23">
        <v>5.0999999999999996</v>
      </c>
      <c r="Y4" s="23">
        <v>5.2</v>
      </c>
      <c r="Z4" s="23">
        <v>0</v>
      </c>
      <c r="AA4" s="23">
        <v>1.8</v>
      </c>
      <c r="AB4" s="23">
        <v>1.6</v>
      </c>
      <c r="AC4" s="23">
        <v>3.4</v>
      </c>
      <c r="AD4" s="23">
        <v>2.2799999999999998</v>
      </c>
      <c r="AE4" s="23">
        <v>0</v>
      </c>
      <c r="AF4" s="28"/>
      <c r="AG4" s="39">
        <f t="shared" ref="AG4:AH10" si="10">IF(S4&gt;0,S4,"")</f>
        <v>10.3</v>
      </c>
      <c r="AH4" s="39">
        <f t="shared" si="10"/>
        <v>11.48</v>
      </c>
      <c r="AI4" s="41">
        <f t="shared" ref="AI4:AI10" si="11">IF(SUM(Q4:T4)-U4&gt;0,SUM(Q4:T4)-U4,"")</f>
        <v>33.730000000000004</v>
      </c>
      <c r="AJ4" s="41">
        <f t="shared" ref="AJ4:AK10" si="12">IF(X4&gt;0,X4,"")</f>
        <v>5.0999999999999996</v>
      </c>
      <c r="AK4" s="41">
        <f t="shared" si="12"/>
        <v>5.2</v>
      </c>
      <c r="AL4" s="41">
        <f t="shared" ref="AL4:AL10" si="13">IF(SUM(V4:Y4)-Z4&gt;0,SUM(V4:Y4)-Z4,"")</f>
        <v>15.8</v>
      </c>
      <c r="AM4" s="41">
        <f t="shared" ref="AM4:AM10" si="14">IF(AI4="","",MAX(AI4,AL4))</f>
        <v>33.730000000000004</v>
      </c>
      <c r="AN4" s="41">
        <f t="shared" ref="AN4:AO10" si="15">IF(AC4&gt;0,AC4,"")</f>
        <v>3.4</v>
      </c>
      <c r="AO4" s="41">
        <f t="shared" si="15"/>
        <v>2.2799999999999998</v>
      </c>
      <c r="AP4" s="41">
        <f t="shared" ref="AP4:AP10" si="16">IF(SUM(AA4:AD4)-AE4&gt;0,SUM(AA4:AD4)-AE4,"")</f>
        <v>9.08</v>
      </c>
      <c r="AQ4" s="41">
        <f t="shared" ref="AQ4:AQ10" si="17">IF(SUM(AM4,AP4)&gt;0,SUM(AM4,AP4),"")</f>
        <v>42.81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I10" si="18">IF(AT4&gt;0,AT4,"")</f>
        <v/>
      </c>
      <c r="BI4" s="40" t="str">
        <f t="shared" si="18"/>
        <v/>
      </c>
      <c r="BJ4" s="11" t="str">
        <f t="shared" ref="BJ4:BJ10" si="19">IF(SUM(AR4:AU4)-AV4&gt;0,SUM(AR4:AU4)-AV4,"")</f>
        <v/>
      </c>
      <c r="BK4" s="11" t="str">
        <f t="shared" ref="BK4:BL10" si="20">IF(AY4&gt;0,AY4,"")</f>
        <v/>
      </c>
      <c r="BL4" s="11" t="str">
        <f t="shared" si="20"/>
        <v/>
      </c>
      <c r="BM4" s="11" t="str">
        <f t="shared" ref="BM4:BM10" si="21">IF(SUM(AW4:AZ4)-BA4&gt;0,SUM(AW4:AZ4)-BA4,"")</f>
        <v/>
      </c>
      <c r="BN4" s="11" t="str">
        <f t="shared" ref="BN4:BN10" si="22">IF(BJ4="","",MAX(BJ4,BM4))</f>
        <v/>
      </c>
      <c r="BO4" s="11" t="str">
        <f t="shared" ref="BO4:BP10" si="23">IF(BD4&gt;0,BD4,"")</f>
        <v/>
      </c>
      <c r="BP4" s="11" t="str">
        <f t="shared" si="23"/>
        <v/>
      </c>
      <c r="BQ4" s="11" t="str">
        <f t="shared" ref="BQ4:BQ10" si="24">IF(SUM(BB4:BE4)-BF4&gt;0,SUM(BB4:BE4)-BF4,"")</f>
        <v/>
      </c>
      <c r="BR4" s="11" t="str">
        <f t="shared" ref="BR4:BR10" si="25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J10" si="26">IF(BU4&gt;0,BU4,"")</f>
        <v/>
      </c>
      <c r="CJ4" s="39" t="str">
        <f t="shared" si="26"/>
        <v/>
      </c>
      <c r="CK4" s="41" t="str">
        <f t="shared" ref="CK4:CK10" si="27">IF(SUM(BS4:BV4)-BW4&gt;0,SUM(BS4:BV4)-BW4,"")</f>
        <v/>
      </c>
      <c r="CL4" s="41" t="str">
        <f t="shared" ref="CL4:CM10" si="28">IF(BZ4&gt;0,BZ4,"")</f>
        <v/>
      </c>
      <c r="CM4" s="41" t="str">
        <f t="shared" si="28"/>
        <v/>
      </c>
      <c r="CN4" s="41" t="str">
        <f t="shared" ref="CN4:CN10" si="29">IF(SUM(BX4:CA4)-CB4&gt;0,SUM(BX4:CA4)-CB4,"")</f>
        <v/>
      </c>
      <c r="CO4" s="41" t="str">
        <f t="shared" ref="CO4:CO10" si="30">IF(CK4="","",MAX(CK4,CN4))</f>
        <v/>
      </c>
      <c r="CP4" s="41" t="str">
        <f t="shared" ref="CP4:CQ10" si="31">IF(CE4&gt;0,CE4,"")</f>
        <v/>
      </c>
      <c r="CQ4" s="41" t="str">
        <f t="shared" si="31"/>
        <v/>
      </c>
      <c r="CR4" s="41" t="str">
        <f t="shared" ref="CR4:CR10" si="32">IF(SUM(CC4:CF4)-CG4&gt;0,SUM(CC4:CF4)-CG4,"")</f>
        <v/>
      </c>
      <c r="CS4" s="41" t="str">
        <f t="shared" ref="CS4:CS10" si="33">IF(SUM(CO4,CR4)&gt;0,SUM(CO4,CR4),"")</f>
        <v/>
      </c>
      <c r="CT4" s="52">
        <f t="shared" ref="CT4:CT10" si="34">IF(MAX(DV4,FD4,GL4,HT4,JB4,KJ4,LR4,MZ4,OH4,PP4,QX4,SF4)-IF(L4="",0,L4)&gt;0.001,MAX(DV4,FD4,GL4,HT4,JB4,KJ4,LR4,MZ4,OH4,PP4,QX4,SF4)-IF(L4="",0,L4),"")</f>
        <v>32.590000000000003</v>
      </c>
      <c r="CU4" s="52">
        <f t="shared" ref="CU4:CU10" si="35">IF(MAX(DY4,EB4,FG4,FJ4,GO4,GR4,HW4,HZ4,JE4,JH4,KM4,KP4,LU4,LX4,NC4,NF4,OK4,ON4,PS4,PV4,RA4,RD4,SI4,SL4)-IF(L4="",0,L4)&gt;0.001,MAX(DY4,EB4,FG4,FJ4,GO4,GR4,HW4,HZ4,JE4,JH4,KM4,KP4,LU4,LX4,NC4,NF4,OK4,ON4,PS4,PV4,RA4,RD4,SI4,SL4)-IF(L4="",0,L4),"")</f>
        <v>34.120000000000005</v>
      </c>
      <c r="CV4" s="17">
        <v>3.7</v>
      </c>
      <c r="CW4" s="17">
        <v>4.3</v>
      </c>
      <c r="CX4" s="17">
        <v>8.1999999999999993</v>
      </c>
      <c r="CY4" s="17">
        <v>9.02</v>
      </c>
      <c r="CZ4" s="17">
        <v>0</v>
      </c>
      <c r="DA4" s="17">
        <v>1.45</v>
      </c>
      <c r="DB4" s="17">
        <v>1.9</v>
      </c>
      <c r="DC4" s="17">
        <v>3.4</v>
      </c>
      <c r="DD4" s="17">
        <v>3.46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 t="shared" ref="DP4:DQ10" si="36">IF(CX4&gt;0,CX4,"")</f>
        <v>8.1999999999999993</v>
      </c>
      <c r="DQ4" s="41">
        <f t="shared" si="36"/>
        <v>9.02</v>
      </c>
      <c r="DR4" s="41">
        <f t="shared" ref="DR4:DR10" si="37">IF(SUM(CV4:CY4)-CZ4&gt;0,SUM(CV4:CY4)-CZ4,"")</f>
        <v>25.22</v>
      </c>
      <c r="DS4" s="41">
        <f t="shared" ref="DS4:DT10" si="38">IF(DC4&gt;0,DC4,"")</f>
        <v>3.4</v>
      </c>
      <c r="DT4" s="41">
        <f t="shared" si="38"/>
        <v>3.46</v>
      </c>
      <c r="DU4" s="41">
        <f t="shared" ref="DU4:DU10" si="39">IF(SUM(DA4:DD4)-DE4&gt;0,SUM(DA4:DD4)-DE4,"")</f>
        <v>10.210000000000001</v>
      </c>
      <c r="DV4" s="41">
        <f t="shared" ref="DV4:DV10" si="40">IF(MAX(DR4,DU4)&gt;0,MAX(DR4,DU4),"")</f>
        <v>25.22</v>
      </c>
      <c r="DW4" s="41" t="str">
        <f t="shared" ref="DW4:DX10" si="41">IF(DH4&gt;0,DH4,"")</f>
        <v/>
      </c>
      <c r="DX4" s="41" t="str">
        <f t="shared" si="41"/>
        <v/>
      </c>
      <c r="DY4" s="41" t="str">
        <f t="shared" ref="DY4:DY10" si="42">IF(SUM(DF4:DI4)-DJ4&gt;0,SUM(DF4:DI4)-DJ4,"")</f>
        <v/>
      </c>
      <c r="DZ4" s="41" t="str">
        <f t="shared" ref="DZ4:EA10" si="43">IF(DM4&gt;0,DM4,"")</f>
        <v/>
      </c>
      <c r="EA4" s="41" t="str">
        <f t="shared" si="43"/>
        <v/>
      </c>
      <c r="EB4" s="41" t="str">
        <f t="shared" ref="EB4:EB10" si="44">IF(SUM(DK4:DN4)-DO4&gt;0,SUM(DK4:DN4)-DO4,"")</f>
        <v/>
      </c>
      <c r="EC4" s="41">
        <f t="shared" ref="EC4:EC10" si="45">IF(SUM(DV4,EB4)&gt;0,SUM(DV4,EB4),"")</f>
        <v>25.22</v>
      </c>
      <c r="ED4" s="18">
        <v>3.15</v>
      </c>
      <c r="EE4" s="18">
        <v>3.6</v>
      </c>
      <c r="EF4" s="18">
        <v>6.7</v>
      </c>
      <c r="EG4" s="18">
        <v>7.08</v>
      </c>
      <c r="EH4" s="18">
        <v>0</v>
      </c>
      <c r="EI4" s="18">
        <v>3.15</v>
      </c>
      <c r="EJ4" s="18">
        <v>3.5</v>
      </c>
      <c r="EK4" s="18">
        <v>6.7</v>
      </c>
      <c r="EL4" s="18">
        <v>7.48</v>
      </c>
      <c r="EM4" s="18">
        <v>0</v>
      </c>
      <c r="EN4" s="18"/>
      <c r="EO4" s="18"/>
      <c r="EP4" s="18"/>
      <c r="EQ4" s="18"/>
      <c r="ER4" s="18"/>
      <c r="ES4" s="18">
        <v>7.5</v>
      </c>
      <c r="ET4" s="18">
        <v>9.15</v>
      </c>
      <c r="EU4" s="18">
        <v>14.2</v>
      </c>
      <c r="EV4" s="18">
        <v>17.88</v>
      </c>
      <c r="EW4" s="18">
        <v>0</v>
      </c>
      <c r="EX4" s="11">
        <f t="shared" ref="EX4:EY10" si="46">IF(EF4&gt;0,EF4,"")</f>
        <v>6.7</v>
      </c>
      <c r="EY4" s="11">
        <f t="shared" si="46"/>
        <v>7.08</v>
      </c>
      <c r="EZ4" s="11">
        <f t="shared" ref="EZ4:EZ10" si="47">IF(SUM(ED4:EG4)-EH4&gt;0,SUM(ED4:EG4)-EH4,"")</f>
        <v>20.53</v>
      </c>
      <c r="FA4" s="11">
        <f t="shared" ref="FA4:FB10" si="48">IF(EK4&gt;0,EK4,"")</f>
        <v>6.7</v>
      </c>
      <c r="FB4" s="11">
        <f t="shared" si="48"/>
        <v>7.48</v>
      </c>
      <c r="FC4" s="11">
        <f t="shared" ref="FC4:FC10" si="49">IF(SUM(EI4:EL4)-EM4&gt;0,SUM(EI4:EL4)-EM4,"")</f>
        <v>20.830000000000002</v>
      </c>
      <c r="FD4" s="11">
        <f t="shared" ref="FD4:FD10" si="50">IF(MAX(EZ4,FC4)&gt;0,MAX(EZ4,FC4),"")</f>
        <v>20.830000000000002</v>
      </c>
      <c r="FE4" s="11" t="str">
        <f t="shared" ref="FE4:FF10" si="51">IF(EP4&gt;0,EP4,"")</f>
        <v/>
      </c>
      <c r="FF4" s="11" t="str">
        <f t="shared" si="51"/>
        <v/>
      </c>
      <c r="FG4" s="11" t="str">
        <f t="shared" ref="FG4:FG10" si="52">IF(SUM(EN4:EQ4)-ER4&gt;0,SUM(EN4:EQ4)-ER4,"")</f>
        <v/>
      </c>
      <c r="FH4" s="11">
        <f t="shared" ref="FH4:FI10" si="53">IF(EU4&gt;0,EU4,"")</f>
        <v>14.2</v>
      </c>
      <c r="FI4" s="11">
        <f t="shared" si="53"/>
        <v>17.88</v>
      </c>
      <c r="FJ4" s="11">
        <f t="shared" ref="FJ4:FJ10" si="54">IF(SUM(ES4:EV4)-EW4&gt;0,SUM(ES4:EV4)-EW4,"")</f>
        <v>48.73</v>
      </c>
      <c r="FK4" s="11">
        <f t="shared" ref="FK4:FK10" si="55">IF(SUM(FD4,FJ4)&gt;0,SUM(FD4,FJ4),"")</f>
        <v>69.56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G10" si="56">IF(FN4&gt;0,FN4,"")</f>
        <v/>
      </c>
      <c r="GG4" s="41" t="str">
        <f t="shared" si="56"/>
        <v/>
      </c>
      <c r="GH4" s="41" t="str">
        <f t="shared" ref="GH4:GH10" si="57">IF(SUM(FL4:FO4)-FP4&gt;0,SUM(FL4:FO4)-FP4,"")</f>
        <v/>
      </c>
      <c r="GI4" s="41" t="str">
        <f t="shared" ref="GI4:GJ10" si="58">IF(FS4&gt;0,FS4,"")</f>
        <v/>
      </c>
      <c r="GJ4" s="41" t="str">
        <f t="shared" si="58"/>
        <v/>
      </c>
      <c r="GK4" s="41" t="str">
        <f t="shared" ref="GK4:GK10" si="59">IF(SUM(FQ4:FT4)-FU4&gt;0,SUM(FQ4:FT4)-FU4,"")</f>
        <v/>
      </c>
      <c r="GL4" s="41" t="str">
        <f t="shared" ref="GL4:GL10" si="60">IF(MAX(GH4,GK4)&gt;0,MAX(GH4,GK4),"")</f>
        <v/>
      </c>
      <c r="GM4" s="41" t="str">
        <f t="shared" ref="GM4:GN10" si="61">IF(FX4&gt;0,FX4,"")</f>
        <v/>
      </c>
      <c r="GN4" s="41" t="str">
        <f t="shared" si="61"/>
        <v/>
      </c>
      <c r="GO4" s="41" t="str">
        <f t="shared" ref="GO4:GO10" si="62">IF(SUM(FV4:FY4)-FZ4&gt;0,SUM(FV4:FY4)-FZ4,"")</f>
        <v/>
      </c>
      <c r="GP4" s="41" t="str">
        <f t="shared" ref="GP4:GQ10" si="63">IF(GC4&gt;0,GC4,"")</f>
        <v/>
      </c>
      <c r="GQ4" s="41" t="str">
        <f t="shared" si="63"/>
        <v/>
      </c>
      <c r="GR4" s="41" t="str">
        <f t="shared" ref="GR4:GR10" si="64">IF(SUM(GA4:GD4)-GE4&gt;0,SUM(GA4:GD4)-GE4,"")</f>
        <v/>
      </c>
      <c r="GS4" s="41" t="str">
        <f t="shared" ref="GS4:GS10" si="65">IF(SUM(GL4,GR4)&gt;0,SUM(GL4,GR4),"")</f>
        <v/>
      </c>
      <c r="GT4" s="18">
        <v>7.65</v>
      </c>
      <c r="GU4" s="18">
        <v>9</v>
      </c>
      <c r="GV4" s="18">
        <v>14.2</v>
      </c>
      <c r="GW4" s="18">
        <v>17.54</v>
      </c>
      <c r="GX4" s="18">
        <v>0</v>
      </c>
      <c r="GY4" s="18">
        <v>3.35</v>
      </c>
      <c r="GZ4" s="18">
        <v>3.55</v>
      </c>
      <c r="HA4" s="18">
        <v>6.3</v>
      </c>
      <c r="HB4" s="18">
        <v>7.22</v>
      </c>
      <c r="HC4" s="18">
        <v>0</v>
      </c>
      <c r="HD4" s="18"/>
      <c r="HE4" s="18"/>
      <c r="HF4" s="18"/>
      <c r="HG4" s="18"/>
      <c r="HH4" s="18"/>
      <c r="HI4" s="18">
        <v>8</v>
      </c>
      <c r="HJ4" s="18">
        <v>9.1</v>
      </c>
      <c r="HK4" s="18">
        <v>14.2</v>
      </c>
      <c r="HL4" s="18">
        <v>18.62</v>
      </c>
      <c r="HM4" s="18">
        <v>0</v>
      </c>
      <c r="HN4" s="11">
        <f t="shared" ref="HN4:HO10" si="66">IF(GV4&gt;0,GV4,"")</f>
        <v>14.2</v>
      </c>
      <c r="HO4" s="11">
        <f t="shared" si="66"/>
        <v>17.54</v>
      </c>
      <c r="HP4" s="11">
        <f t="shared" ref="HP4:HP10" si="67">IF(SUM(GT4:GW4)-GX4&gt;0,SUM(GT4:GW4)-GX4,"")</f>
        <v>48.39</v>
      </c>
      <c r="HQ4" s="11">
        <f t="shared" ref="HQ4:HR10" si="68">IF(HA4&gt;0,HA4,"")</f>
        <v>6.3</v>
      </c>
      <c r="HR4" s="11">
        <f t="shared" si="68"/>
        <v>7.22</v>
      </c>
      <c r="HS4" s="11">
        <f t="shared" ref="HS4:HS10" si="69">IF(SUM(GY4:HB4)-HC4&gt;0,SUM(GY4:HB4)-HC4,"")</f>
        <v>20.419999999999998</v>
      </c>
      <c r="HT4" s="11">
        <f t="shared" ref="HT4:HT10" si="70">IF(MAX(HP4,HS4)&gt;0,MAX(HP4,HS4),"")</f>
        <v>48.39</v>
      </c>
      <c r="HU4" s="11" t="str">
        <f t="shared" ref="HU4:HV10" si="71">IF(HF4&gt;0,HF4,"")</f>
        <v/>
      </c>
      <c r="HV4" s="11" t="str">
        <f t="shared" si="71"/>
        <v/>
      </c>
      <c r="HW4" s="11" t="str">
        <f t="shared" ref="HW4:HW10" si="72">IF(SUM(HD4:HG4)-HH4&gt;0,SUM(HD4:HG4)-HH4,"")</f>
        <v/>
      </c>
      <c r="HX4" s="11">
        <f t="shared" ref="HX4:HY10" si="73">IF(HK4&gt;0,HK4,"")</f>
        <v>14.2</v>
      </c>
      <c r="HY4" s="11">
        <f t="shared" si="73"/>
        <v>18.62</v>
      </c>
      <c r="HZ4" s="11">
        <f t="shared" ref="HZ4:HZ10" si="74">IF(SUM(HI4:HL4)-HM4&gt;0,SUM(HI4:HL4)-HM4,"")</f>
        <v>49.92</v>
      </c>
      <c r="IA4" s="11">
        <f t="shared" ref="IA4:IA10" si="75">IF(SUM(HT4,HZ4)&gt;0,SUM(HT4,HZ4),"")</f>
        <v>98.31</v>
      </c>
      <c r="IB4" s="17">
        <v>4.6500000000000004</v>
      </c>
      <c r="IC4" s="17">
        <v>5.6</v>
      </c>
      <c r="ID4" s="17">
        <v>9</v>
      </c>
      <c r="IE4" s="17">
        <v>10.199999999999999</v>
      </c>
      <c r="IF4" s="17">
        <v>0</v>
      </c>
      <c r="IG4" s="17">
        <v>3.95</v>
      </c>
      <c r="IH4" s="17">
        <v>4.6500000000000004</v>
      </c>
      <c r="II4" s="17">
        <v>7.8</v>
      </c>
      <c r="IJ4" s="17">
        <v>9.76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>
        <f t="shared" ref="IV4:IW10" si="76">IF(ID4&gt;0,ID4,"")</f>
        <v>9</v>
      </c>
      <c r="IW4" s="41">
        <f t="shared" si="76"/>
        <v>10.199999999999999</v>
      </c>
      <c r="IX4" s="41">
        <f t="shared" ref="IX4:IX10" si="77">IF(SUM(IB4:IE4)-IF4&gt;0,SUM(IB4:IE4)-IF4,"")</f>
        <v>29.45</v>
      </c>
      <c r="IY4" s="41">
        <f t="shared" ref="IY4:IZ10" si="78">IF(II4&gt;0,II4,"")</f>
        <v>7.8</v>
      </c>
      <c r="IZ4" s="41">
        <f t="shared" si="78"/>
        <v>9.76</v>
      </c>
      <c r="JA4" s="41">
        <f t="shared" ref="JA4:JA10" si="79">IF(SUM(IG4:IJ4)-IK4&gt;0,SUM(IG4:IJ4)-IK4,"")</f>
        <v>26.160000000000004</v>
      </c>
      <c r="JB4" s="41">
        <f t="shared" ref="JB4:JB10" si="80">IF(MAX(IX4,JA4)&gt;0,MAX(IX4,JA4),"")</f>
        <v>29.45</v>
      </c>
      <c r="JC4" s="41" t="str">
        <f t="shared" ref="JC4:JD10" si="81">IF(IN4&gt;0,IN4,"")</f>
        <v/>
      </c>
      <c r="JD4" s="41" t="str">
        <f t="shared" si="81"/>
        <v/>
      </c>
      <c r="JE4" s="41" t="str">
        <f t="shared" ref="JE4:JE10" si="82">IF(SUM(IL4:IO4)-IP4&gt;0,SUM(IL4:IO4)-IP4,"")</f>
        <v/>
      </c>
      <c r="JF4" s="41" t="str">
        <f t="shared" ref="JF4:JG10" si="83">IF(IS4&gt;0,IS4,"")</f>
        <v/>
      </c>
      <c r="JG4" s="41" t="str">
        <f t="shared" si="83"/>
        <v/>
      </c>
      <c r="JH4" s="41" t="str">
        <f t="shared" ref="JH4:JH10" si="84">IF(SUM(IQ4:IT4)-IU4&gt;0,SUM(IQ4:IT4)-IU4,"")</f>
        <v/>
      </c>
      <c r="JI4" s="41">
        <f t="shared" ref="JI4:JI10" si="85">IF(SUM(JB4,JH4)&gt;0,SUM(JB4,JH4),"")</f>
        <v>29.45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>
        <v>3.1</v>
      </c>
      <c r="JZ4" s="18">
        <v>3.7</v>
      </c>
      <c r="KA4" s="18">
        <v>6.3</v>
      </c>
      <c r="KB4" s="18">
        <v>7.26</v>
      </c>
      <c r="KC4" s="18">
        <v>0</v>
      </c>
      <c r="KD4" s="11" t="str">
        <f t="shared" ref="KD4:KE10" si="86">IF(JL4&gt;0,JL4,"")</f>
        <v/>
      </c>
      <c r="KE4" s="11" t="str">
        <f t="shared" si="86"/>
        <v/>
      </c>
      <c r="KF4" s="11" t="str">
        <f t="shared" ref="KF4:KF10" si="87">IF(SUM(JJ4:JM4)-JN4&gt;0,SUM(JJ4:JM4)-JN4,"")</f>
        <v/>
      </c>
      <c r="KG4" s="11" t="str">
        <f t="shared" ref="KG4:KH10" si="88">IF(JQ4&gt;0,JQ4,"")</f>
        <v/>
      </c>
      <c r="KH4" s="11" t="str">
        <f t="shared" si="88"/>
        <v/>
      </c>
      <c r="KI4" s="11" t="str">
        <f t="shared" ref="KI4:KI10" si="89">IF(SUM(JO4:JR4)-JS4&gt;0,SUM(JO4:JR4)-JS4,"")</f>
        <v/>
      </c>
      <c r="KJ4" s="11" t="str">
        <f t="shared" ref="KJ4:KJ10" si="90">IF(MAX(KF4,KI4)&gt;0,MAX(KF4,KI4),"")</f>
        <v/>
      </c>
      <c r="KK4" s="11" t="str">
        <f t="shared" ref="KK4:KL10" si="91">IF(JV4&gt;0,JV4,"")</f>
        <v/>
      </c>
      <c r="KL4" s="11" t="str">
        <f t="shared" si="91"/>
        <v/>
      </c>
      <c r="KM4" s="11" t="str">
        <f t="shared" ref="KM4:KM10" si="92">IF(SUM(JT4:JW4)-JX4&gt;0,SUM(JT4:JW4)-JX4,"")</f>
        <v/>
      </c>
      <c r="KN4" s="11">
        <f t="shared" ref="KN4:KO10" si="93">IF(KA4&gt;0,KA4,"")</f>
        <v>6.3</v>
      </c>
      <c r="KO4" s="11">
        <f t="shared" si="93"/>
        <v>7.26</v>
      </c>
      <c r="KP4" s="11">
        <f t="shared" ref="KP4:KP10" si="94">IF(SUM(JY4:KB4)-KC4&gt;0,SUM(JY4:KB4)-KC4,"")</f>
        <v>20.36</v>
      </c>
      <c r="KQ4" s="11">
        <f t="shared" ref="KQ4:KQ10" si="95">IF(SUM(KJ4,KP4)&gt;0,SUM(KJ4,KP4),"")</f>
        <v>20.36</v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M10" si="96">IF(KT4&gt;0,KT4,"")</f>
        <v/>
      </c>
      <c r="LM4" s="41" t="str">
        <f t="shared" si="96"/>
        <v/>
      </c>
      <c r="LN4" s="41" t="str">
        <f t="shared" ref="LN4:LN10" si="97">IF(SUM(KR4:KU4)-KV4&gt;0,SUM(KR4:KU4)-KV4,"")</f>
        <v/>
      </c>
      <c r="LO4" s="41" t="str">
        <f t="shared" ref="LO4:LP10" si="98">IF(KY4&gt;0,KY4,"")</f>
        <v/>
      </c>
      <c r="LP4" s="41" t="str">
        <f t="shared" si="98"/>
        <v/>
      </c>
      <c r="LQ4" s="41" t="str">
        <f t="shared" ref="LQ4:LQ10" si="99">IF(SUM(KW4:KZ4)-LA4&gt;0,SUM(KW4:KZ4)-LA4,"")</f>
        <v/>
      </c>
      <c r="LR4" s="41" t="str">
        <f t="shared" ref="LR4:LR10" si="100">IF(MAX(LN4,LQ4)&gt;0,MAX(LN4,LQ4),"")</f>
        <v/>
      </c>
      <c r="LS4" s="41" t="str">
        <f t="shared" ref="LS4:LT10" si="101">IF(LD4&gt;0,LD4,"")</f>
        <v/>
      </c>
      <c r="LT4" s="41" t="str">
        <f t="shared" si="101"/>
        <v/>
      </c>
      <c r="LU4" s="41" t="str">
        <f t="shared" ref="LU4:LU10" si="102">IF(SUM(LB4:LE4)-LF4&gt;0,SUM(LB4:LE4)-LF4,"")</f>
        <v/>
      </c>
      <c r="LV4" s="41" t="str">
        <f t="shared" ref="LV4:LW10" si="103">IF(LI4&gt;0,LI4,"")</f>
        <v/>
      </c>
      <c r="LW4" s="41" t="str">
        <f t="shared" si="103"/>
        <v/>
      </c>
      <c r="LX4" s="41" t="str">
        <f t="shared" ref="LX4:LX10" si="104">IF(SUM(LG4:LJ4)-LK4&gt;0,SUM(LG4:LJ4)-LK4,"")</f>
        <v/>
      </c>
      <c r="LY4" s="41" t="str">
        <f t="shared" ref="LY4:LY10" si="105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10" si="106">IF(MB4&gt;0,MB4,"")</f>
        <v/>
      </c>
      <c r="MU4" s="11" t="str">
        <f t="shared" si="106"/>
        <v/>
      </c>
      <c r="MV4" s="11" t="str">
        <f t="shared" ref="MV4:MV10" si="107">IF(SUM(LZ4:MC4)-MD4&gt;0,SUM(LZ4:MC4)-MD4,"")</f>
        <v/>
      </c>
      <c r="MW4" s="11" t="str">
        <f t="shared" ref="MW4:MX10" si="108">IF(MG4&gt;0,MG4,"")</f>
        <v/>
      </c>
      <c r="MX4" s="11" t="str">
        <f t="shared" si="108"/>
        <v/>
      </c>
      <c r="MY4" s="11" t="str">
        <f t="shared" ref="MY4:MY10" si="109">IF(SUM(ME4:MH4)-MI4&gt;0,SUM(ME4:MH4)-MI4,"")</f>
        <v/>
      </c>
      <c r="MZ4" s="11" t="str">
        <f t="shared" ref="MZ4:MZ10" si="110">IF(MAX(MV4,MY4)&gt;0,MAX(MV4,MY4),"")</f>
        <v/>
      </c>
      <c r="NA4" s="11" t="str">
        <f t="shared" ref="NA4:NB10" si="111">IF(ML4&gt;0,ML4,"")</f>
        <v/>
      </c>
      <c r="NB4" s="11" t="str">
        <f t="shared" si="111"/>
        <v/>
      </c>
      <c r="NC4" s="11" t="str">
        <f t="shared" ref="NC4:NC10" si="112">IF(SUM(MJ4:MM4)-MN4&gt;0,SUM(MJ4:MM4)-MN4,"")</f>
        <v/>
      </c>
      <c r="ND4" s="11" t="str">
        <f t="shared" ref="ND4:NE10" si="113">IF(MQ4&gt;0,MQ4,"")</f>
        <v/>
      </c>
      <c r="NE4" s="11" t="str">
        <f t="shared" si="113"/>
        <v/>
      </c>
      <c r="NF4" s="11" t="str">
        <f t="shared" ref="NF4:NF10" si="114">IF(SUM(MO4:MR4)-MS4&gt;0,SUM(MO4:MR4)-MS4,"")</f>
        <v/>
      </c>
      <c r="NG4" s="11" t="str">
        <f t="shared" ref="NG4:NG10" si="115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C10" si="116">IF(NJ4&gt;0,NJ4,"")</f>
        <v/>
      </c>
      <c r="OC4" s="41" t="str">
        <f t="shared" si="116"/>
        <v/>
      </c>
      <c r="OD4" s="41" t="str">
        <f t="shared" ref="OD4:OD10" si="117">IF(SUM(NH4:NK4)-NL4&gt;0,SUM(NH4:NK4)-NL4,"")</f>
        <v/>
      </c>
      <c r="OE4" s="41" t="str">
        <f t="shared" ref="OE4:OF10" si="118">IF(NO4&gt;0,NO4,"")</f>
        <v/>
      </c>
      <c r="OF4" s="41" t="str">
        <f t="shared" si="118"/>
        <v/>
      </c>
      <c r="OG4" s="41" t="str">
        <f t="shared" ref="OG4:OG10" si="119">IF(SUM(NM4:NP4)-NQ4&gt;0,SUM(NM4:NP4)-NQ4,"")</f>
        <v/>
      </c>
      <c r="OH4" s="41" t="str">
        <f t="shared" ref="OH4:OH10" si="120">IF(MAX(OD4,OG4)&gt;0,MAX(OD4,OG4),"")</f>
        <v/>
      </c>
      <c r="OI4" s="41" t="str">
        <f t="shared" ref="OI4:OJ10" si="121">IF(NT4&gt;0,NT4,"")</f>
        <v/>
      </c>
      <c r="OJ4" s="41" t="str">
        <f t="shared" si="121"/>
        <v/>
      </c>
      <c r="OK4" s="41" t="str">
        <f t="shared" ref="OK4:OK10" si="122">IF(SUM(NR4:NU4)-NV4&gt;0,SUM(NR4:NU4)-NV4,"")</f>
        <v/>
      </c>
      <c r="OL4" s="41" t="str">
        <f t="shared" ref="OL4:OM10" si="123">IF(NY4&gt;0,NY4,"")</f>
        <v/>
      </c>
      <c r="OM4" s="41" t="str">
        <f t="shared" si="123"/>
        <v/>
      </c>
      <c r="ON4" s="41" t="str">
        <f t="shared" ref="ON4:ON10" si="124">IF(SUM(NW4:NZ4)-OA4&gt;0,SUM(NW4:NZ4)-OA4,"")</f>
        <v/>
      </c>
      <c r="OO4" s="41" t="str">
        <f t="shared" ref="OO4:OO10" si="125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10" si="126">IF(OR4&gt;0,OR4,"")</f>
        <v/>
      </c>
      <c r="PK4" s="11" t="str">
        <f t="shared" si="126"/>
        <v/>
      </c>
      <c r="PL4" s="11" t="str">
        <f t="shared" ref="PL4:PL10" si="127">IF(SUM(OP4:OS4)-OT4&gt;0,SUM(OP4:OS4)-OT4,"")</f>
        <v/>
      </c>
      <c r="PM4" s="11" t="str">
        <f t="shared" ref="PM4:PN10" si="128">IF(OW4&gt;0,OW4,"")</f>
        <v/>
      </c>
      <c r="PN4" s="11" t="str">
        <f t="shared" si="128"/>
        <v/>
      </c>
      <c r="PO4" s="11" t="str">
        <f t="shared" ref="PO4:PO10" si="129">IF(SUM(OU4:OX4)-OY4&gt;0,SUM(OU4:OX4)-OY4,"")</f>
        <v/>
      </c>
      <c r="PP4" s="11" t="str">
        <f t="shared" ref="PP4:PP10" si="130">IF(MAX(PL4,PO4)&gt;0,MAX(PL4,PO4),"")</f>
        <v/>
      </c>
      <c r="PQ4" s="11" t="str">
        <f t="shared" ref="PQ4:PR10" si="131">IF(PB4&gt;0,PB4,"")</f>
        <v/>
      </c>
      <c r="PR4" s="11" t="str">
        <f t="shared" si="131"/>
        <v/>
      </c>
      <c r="PS4" s="11" t="str">
        <f t="shared" ref="PS4:PS10" si="132">IF(SUM(OZ4:PC4)-PD4&gt;0,SUM(OZ4:PC4)-PD4,"")</f>
        <v/>
      </c>
      <c r="PT4" s="11" t="str">
        <f t="shared" ref="PT4:PU10" si="133">IF(PG4&gt;0,PG4,"")</f>
        <v/>
      </c>
      <c r="PU4" s="11" t="str">
        <f t="shared" si="133"/>
        <v/>
      </c>
      <c r="PV4" s="11" t="str">
        <f t="shared" ref="PV4:PV10" si="134">IF(SUM(PE4:PH4)-PI4&gt;0,SUM(PE4:PH4)-PI4,"")</f>
        <v/>
      </c>
      <c r="PW4" s="11" t="str">
        <f t="shared" ref="PW4:PW10" si="135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S10" si="136">IF(PZ4&gt;0,PZ4,"")</f>
        <v/>
      </c>
      <c r="QS4" s="41" t="str">
        <f t="shared" si="136"/>
        <v/>
      </c>
      <c r="QT4" s="41" t="str">
        <f t="shared" ref="QT4:QT10" si="137">IF(SUM(PX4:QA4)-QB4&gt;0,SUM(PX4:QA4)-QB4,"")</f>
        <v/>
      </c>
      <c r="QU4" s="41" t="str">
        <f t="shared" ref="QU4:QV10" si="138">IF(QE4&gt;0,QE4,"")</f>
        <v/>
      </c>
      <c r="QV4" s="41" t="str">
        <f t="shared" si="138"/>
        <v/>
      </c>
      <c r="QW4" s="41" t="str">
        <f t="shared" ref="QW4:QW10" si="139">IF(SUM(QC4:QF4)-QG4&gt;0,SUM(QC4:QF4)-QG4,"")</f>
        <v/>
      </c>
      <c r="QX4" s="41" t="str">
        <f t="shared" ref="QX4:QX10" si="140">IF(MAX(QT4,QW4)&gt;0,MAX(QT4,QW4),"")</f>
        <v/>
      </c>
      <c r="QY4" s="41" t="str">
        <f t="shared" ref="QY4:QZ10" si="141">IF(QJ4&gt;0,QJ4,"")</f>
        <v/>
      </c>
      <c r="QZ4" s="41" t="str">
        <f t="shared" si="141"/>
        <v/>
      </c>
      <c r="RA4" s="41" t="str">
        <f t="shared" ref="RA4:RA10" si="142">IF(SUM(QH4:QK4)-QL4&gt;0,SUM(QH4:QK4)-QL4,"")</f>
        <v/>
      </c>
      <c r="RB4" s="41" t="str">
        <f t="shared" ref="RB4:RC10" si="143">IF(QO4&gt;0,QO4,"")</f>
        <v/>
      </c>
      <c r="RC4" s="41" t="str">
        <f t="shared" si="143"/>
        <v/>
      </c>
      <c r="RD4" s="41" t="str">
        <f t="shared" ref="RD4:RD10" si="144">IF(SUM(QM4:QP4)-QQ4&gt;0,SUM(QM4:QP4)-QQ4,"")</f>
        <v/>
      </c>
      <c r="RE4" s="41" t="str">
        <f t="shared" ref="RE4:RE10" si="145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10" si="146">IF(RH4&gt;0,RH4,"")</f>
        <v/>
      </c>
      <c r="SA4" s="11" t="str">
        <f t="shared" si="146"/>
        <v/>
      </c>
      <c r="SB4" s="11" t="str">
        <f t="shared" ref="SB4:SB10" si="147">IF(SUM(RF4:RI4)-RJ4&gt;0,SUM(RF4:RI4)-RJ4,"")</f>
        <v/>
      </c>
      <c r="SC4" s="11" t="str">
        <f t="shared" ref="SC4:SD10" si="148">IF(RM4&gt;0,RM4,"")</f>
        <v/>
      </c>
      <c r="SD4" s="11" t="str">
        <f t="shared" si="148"/>
        <v/>
      </c>
      <c r="SE4" s="11" t="str">
        <f t="shared" ref="SE4:SE10" si="149">IF(SUM(RK4:RN4)-RO4&gt;0,SUM(RK4:RN4)-RO4,"")</f>
        <v/>
      </c>
      <c r="SF4" s="11" t="str">
        <f t="shared" ref="SF4:SF10" si="150">IF(MAX(SB4,SE4)&gt;0,MAX(SB4,SE4),"")</f>
        <v/>
      </c>
      <c r="SG4" s="11" t="str">
        <f t="shared" ref="SG4:SH10" si="151">IF(RR4&gt;0,RR4,"")</f>
        <v/>
      </c>
      <c r="SH4" s="11" t="str">
        <f t="shared" si="151"/>
        <v/>
      </c>
      <c r="SI4" s="11" t="str">
        <f t="shared" ref="SI4:SI10" si="152">IF(SUM(RP4:RS4)-RT4&gt;0,SUM(RP4:RS4)-RT4,"")</f>
        <v/>
      </c>
      <c r="SJ4" s="11" t="str">
        <f t="shared" ref="SJ4:SK10" si="153">IF(RW4&gt;0,RW4,"")</f>
        <v/>
      </c>
      <c r="SK4" s="11" t="str">
        <f t="shared" si="153"/>
        <v/>
      </c>
      <c r="SL4" s="11" t="str">
        <f t="shared" ref="SL4:SL10" si="154">IF(SUM(RU4:RX4)-RY4&gt;0,SUM(RU4:RX4)-RY4,"")</f>
        <v/>
      </c>
      <c r="SM4" s="11" t="str">
        <f t="shared" ref="SM4:SM10" si="155">IF(SUM(SF4,SL4)&gt;0,SUM(SF4,SL4),"")</f>
        <v/>
      </c>
      <c r="SN4" s="23">
        <f t="shared" ref="SN4:TB10" si="156">IF($CH4="P",BS4,(BS4+AR4)/2)</f>
        <v>0</v>
      </c>
      <c r="SO4" s="23">
        <f t="shared" si="156"/>
        <v>0</v>
      </c>
      <c r="SP4" s="23">
        <f t="shared" si="156"/>
        <v>0</v>
      </c>
      <c r="SQ4" s="23">
        <f t="shared" si="156"/>
        <v>0</v>
      </c>
      <c r="SR4" s="23">
        <f t="shared" si="156"/>
        <v>0</v>
      </c>
      <c r="SS4" s="23">
        <f t="shared" si="156"/>
        <v>0</v>
      </c>
      <c r="ST4" s="23">
        <f t="shared" si="156"/>
        <v>0</v>
      </c>
      <c r="SU4" s="23">
        <f t="shared" si="156"/>
        <v>0</v>
      </c>
      <c r="SV4" s="23">
        <f t="shared" si="156"/>
        <v>0</v>
      </c>
      <c r="SW4" s="23">
        <f t="shared" si="156"/>
        <v>0</v>
      </c>
      <c r="SX4" s="23">
        <f t="shared" si="156"/>
        <v>0</v>
      </c>
      <c r="SY4" s="23">
        <f t="shared" si="156"/>
        <v>0</v>
      </c>
      <c r="SZ4" s="23">
        <f t="shared" si="156"/>
        <v>0</v>
      </c>
      <c r="TA4" s="23">
        <f t="shared" si="156"/>
        <v>0</v>
      </c>
      <c r="TB4" s="23">
        <f t="shared" si="156"/>
        <v>0</v>
      </c>
      <c r="TC4" s="28" t="s">
        <v>58</v>
      </c>
      <c r="TD4" s="41" t="str">
        <f t="shared" ref="TD4:TE10" si="157">IF(SP4&gt;0,SP4,"")</f>
        <v/>
      </c>
      <c r="TE4" s="41" t="str">
        <f t="shared" si="157"/>
        <v/>
      </c>
      <c r="TF4" s="41" t="str">
        <f t="shared" ref="TF4:TF10" si="158">IF(SUM(SN4:SQ4)-SR4&gt;0,SUM(SN4:SQ4)-SR4,"")</f>
        <v/>
      </c>
      <c r="TG4" s="41" t="str">
        <f t="shared" ref="TG4:TH10" si="159">IF(SU4&gt;0,SU4,"")</f>
        <v/>
      </c>
      <c r="TH4" s="41" t="str">
        <f t="shared" si="159"/>
        <v/>
      </c>
      <c r="TI4" s="41" t="str">
        <f t="shared" ref="TI4:TI10" si="160">IF(SUM(SS4:SV4)-SW4&gt;0,SUM(SS4:SV4)-SW4,"")</f>
        <v/>
      </c>
      <c r="TJ4" s="41" t="str">
        <f t="shared" ref="TJ4:TJ10" si="161">IF(MAX(TF4,TI4)&gt;0,MAX(TF4,TI4),"")</f>
        <v/>
      </c>
      <c r="TK4" s="41" t="str">
        <f t="shared" ref="TK4:TL10" si="162">IF(SZ4&gt;0,SZ4,"")</f>
        <v/>
      </c>
      <c r="TL4" s="41" t="str">
        <f t="shared" si="162"/>
        <v/>
      </c>
      <c r="TM4" s="41" t="str">
        <f t="shared" ref="TM4:TM10" si="163">IF(SUM(SX4:TA4)-TB4&gt;0,SUM(SX4:TA4)-TB4,"")</f>
        <v/>
      </c>
      <c r="TN4" s="41" t="str">
        <f t="shared" ref="TN4:TN10" si="164">IF(SUM(TJ4,TM4)&gt;0,SUM(TJ4,TM4),"")</f>
        <v/>
      </c>
    </row>
    <row r="5" spans="1:534" x14ac:dyDescent="0.2">
      <c r="A5" s="4" cm="1">
        <f t="array" ref="A5">IF(AND(F5&lt;&gt;"",G5&lt;&gt;""),SUMPRODUCT((F$4:F$11&lt;&gt;"")*(G$4:G$11&lt;&gt;"")*(E$4:E$11&gt;E5))+1,IF(G5&lt;&gt;"",SUMPRODUCT((H$4:H$11="No DD")*(E$4:E$11&gt;E5))+1+SUMPRODUCT((F$4:F$11&lt;&gt;"")*(G$4:G$11&lt;&gt;"")),""))</f>
        <v>2</v>
      </c>
      <c r="B5" s="5" t="s">
        <v>149</v>
      </c>
      <c r="C5" s="4" t="s">
        <v>148</v>
      </c>
      <c r="D5" s="4" t="s">
        <v>147</v>
      </c>
      <c r="E5" s="9">
        <f t="shared" si="0"/>
        <v>50.09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0</v>
      </c>
      <c r="K5" s="8" t="str">
        <f t="shared" si="5"/>
        <v/>
      </c>
      <c r="L5" s="8">
        <f>IF(COUNT(AI5,AL5,AP5,BJ5,BM5,BQ5,CK5,CN5,CR5)&gt;1,LARGE((AI5,AL5,AP5,BJ5,BM5,BQ5,CK5,CN5,CR5),2),0)</f>
        <v>0</v>
      </c>
      <c r="M5" s="8" t="str">
        <f t="shared" si="6"/>
        <v/>
      </c>
      <c r="N5" s="8">
        <f t="shared" si="7"/>
        <v>50.09</v>
      </c>
      <c r="O5" s="11" t="str">
        <f t="shared" si="8"/>
        <v>(Prelim)</v>
      </c>
      <c r="P5" s="8" t="str">
        <f t="shared" si="9"/>
        <v>2022 Pan Am Championships (June 28)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0"/>
        <v/>
      </c>
      <c r="AI5" s="41" t="str">
        <f t="shared" si="11"/>
        <v/>
      </c>
      <c r="AJ5" s="41" t="str">
        <f t="shared" si="12"/>
        <v/>
      </c>
      <c r="AK5" s="41" t="str">
        <f t="shared" si="12"/>
        <v/>
      </c>
      <c r="AL5" s="41" t="str">
        <f t="shared" si="13"/>
        <v/>
      </c>
      <c r="AM5" s="41" t="str">
        <f t="shared" si="14"/>
        <v/>
      </c>
      <c r="AN5" s="41" t="str">
        <f t="shared" si="15"/>
        <v/>
      </c>
      <c r="AO5" s="41" t="str">
        <f t="shared" si="15"/>
        <v/>
      </c>
      <c r="AP5" s="41" t="str">
        <f t="shared" si="16"/>
        <v/>
      </c>
      <c r="AQ5" s="41" t="str">
        <f t="shared" si="17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18"/>
        <v/>
      </c>
      <c r="BI5" s="40" t="str">
        <f t="shared" si="18"/>
        <v/>
      </c>
      <c r="BJ5" s="11" t="str">
        <f t="shared" si="19"/>
        <v/>
      </c>
      <c r="BK5" s="11" t="str">
        <f t="shared" si="20"/>
        <v/>
      </c>
      <c r="BL5" s="11" t="str">
        <f t="shared" si="20"/>
        <v/>
      </c>
      <c r="BM5" s="11" t="str">
        <f t="shared" si="21"/>
        <v/>
      </c>
      <c r="BN5" s="11" t="str">
        <f t="shared" si="22"/>
        <v/>
      </c>
      <c r="BO5" s="11" t="str">
        <f t="shared" si="23"/>
        <v/>
      </c>
      <c r="BP5" s="11" t="str">
        <f t="shared" si="23"/>
        <v/>
      </c>
      <c r="BQ5" s="11" t="str">
        <f t="shared" si="24"/>
        <v/>
      </c>
      <c r="BR5" s="11" t="str">
        <f t="shared" si="25"/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26"/>
        <v/>
      </c>
      <c r="CJ5" s="39" t="str">
        <f t="shared" si="26"/>
        <v/>
      </c>
      <c r="CK5" s="41" t="str">
        <f t="shared" si="27"/>
        <v/>
      </c>
      <c r="CL5" s="41" t="str">
        <f t="shared" si="28"/>
        <v/>
      </c>
      <c r="CM5" s="41" t="str">
        <f t="shared" si="28"/>
        <v/>
      </c>
      <c r="CN5" s="41" t="str">
        <f t="shared" si="29"/>
        <v/>
      </c>
      <c r="CO5" s="41" t="str">
        <f t="shared" si="30"/>
        <v/>
      </c>
      <c r="CP5" s="41" t="str">
        <f t="shared" si="31"/>
        <v/>
      </c>
      <c r="CQ5" s="41" t="str">
        <f t="shared" si="31"/>
        <v/>
      </c>
      <c r="CR5" s="41" t="str">
        <f t="shared" si="32"/>
        <v/>
      </c>
      <c r="CS5" s="41" t="str">
        <f t="shared" si="33"/>
        <v/>
      </c>
      <c r="CT5" s="52">
        <f t="shared" si="34"/>
        <v>50.09</v>
      </c>
      <c r="CU5" s="52">
        <f t="shared" si="35"/>
        <v>48.7</v>
      </c>
      <c r="CV5" s="17">
        <v>7.2</v>
      </c>
      <c r="CW5" s="17">
        <v>9.3000000000000007</v>
      </c>
      <c r="CX5" s="17">
        <v>15.2</v>
      </c>
      <c r="CY5" s="17">
        <v>17.62</v>
      </c>
      <c r="CZ5" s="17">
        <v>0.4</v>
      </c>
      <c r="DA5" s="17">
        <v>1.55</v>
      </c>
      <c r="DB5" s="17">
        <v>1.85</v>
      </c>
      <c r="DC5" s="17">
        <v>3.4</v>
      </c>
      <c r="DD5" s="17">
        <v>3.5</v>
      </c>
      <c r="DE5" s="17">
        <v>0</v>
      </c>
      <c r="DF5" s="17"/>
      <c r="DG5" s="17"/>
      <c r="DH5" s="17"/>
      <c r="DI5" s="17"/>
      <c r="DJ5" s="17"/>
      <c r="DK5" s="17">
        <v>7.15</v>
      </c>
      <c r="DL5" s="17">
        <v>9.25</v>
      </c>
      <c r="DM5" s="17">
        <v>15.2</v>
      </c>
      <c r="DN5" s="17">
        <v>16.48</v>
      </c>
      <c r="DO5" s="17">
        <v>0</v>
      </c>
      <c r="DP5" s="41">
        <f t="shared" si="36"/>
        <v>15.2</v>
      </c>
      <c r="DQ5" s="41">
        <f t="shared" si="36"/>
        <v>17.62</v>
      </c>
      <c r="DR5" s="41">
        <f t="shared" si="37"/>
        <v>48.92</v>
      </c>
      <c r="DS5" s="41">
        <f t="shared" si="38"/>
        <v>3.4</v>
      </c>
      <c r="DT5" s="41">
        <f t="shared" si="38"/>
        <v>3.5</v>
      </c>
      <c r="DU5" s="41">
        <f t="shared" si="39"/>
        <v>10.3</v>
      </c>
      <c r="DV5" s="41">
        <f t="shared" si="40"/>
        <v>48.92</v>
      </c>
      <c r="DW5" s="41" t="str">
        <f t="shared" si="41"/>
        <v/>
      </c>
      <c r="DX5" s="41" t="str">
        <f t="shared" si="41"/>
        <v/>
      </c>
      <c r="DY5" s="41" t="str">
        <f t="shared" si="42"/>
        <v/>
      </c>
      <c r="DZ5" s="41">
        <f t="shared" si="43"/>
        <v>15.2</v>
      </c>
      <c r="EA5" s="41">
        <f t="shared" si="43"/>
        <v>16.48</v>
      </c>
      <c r="EB5" s="41">
        <f t="shared" si="44"/>
        <v>48.08</v>
      </c>
      <c r="EC5" s="41">
        <f t="shared" si="45"/>
        <v>97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>
        <v>7.35</v>
      </c>
      <c r="FM5" s="17">
        <v>9.4</v>
      </c>
      <c r="FN5" s="17">
        <v>15.2</v>
      </c>
      <c r="FO5" s="17">
        <v>15.06</v>
      </c>
      <c r="FP5" s="17">
        <v>0</v>
      </c>
      <c r="FQ5" s="17">
        <v>7.6</v>
      </c>
      <c r="FR5" s="17">
        <v>9.35</v>
      </c>
      <c r="FS5" s="17">
        <v>15.2</v>
      </c>
      <c r="FT5" s="17">
        <v>17.940000000000001</v>
      </c>
      <c r="FU5" s="17">
        <v>0</v>
      </c>
      <c r="FV5" s="17"/>
      <c r="FW5" s="17"/>
      <c r="FX5" s="17"/>
      <c r="FY5" s="17"/>
      <c r="FZ5" s="17"/>
      <c r="GA5" s="17">
        <v>7.45</v>
      </c>
      <c r="GB5" s="17">
        <v>9.35</v>
      </c>
      <c r="GC5" s="17">
        <v>15.2</v>
      </c>
      <c r="GD5" s="17">
        <v>16.7</v>
      </c>
      <c r="GE5" s="17">
        <v>0</v>
      </c>
      <c r="GF5" s="41">
        <f t="shared" si="56"/>
        <v>15.2</v>
      </c>
      <c r="GG5" s="41">
        <f t="shared" si="56"/>
        <v>15.06</v>
      </c>
      <c r="GH5" s="41">
        <f t="shared" si="57"/>
        <v>47.01</v>
      </c>
      <c r="GI5" s="41">
        <f t="shared" si="58"/>
        <v>15.2</v>
      </c>
      <c r="GJ5" s="41">
        <f t="shared" si="58"/>
        <v>17.940000000000001</v>
      </c>
      <c r="GK5" s="41">
        <f t="shared" si="59"/>
        <v>50.09</v>
      </c>
      <c r="GL5" s="41">
        <f t="shared" si="60"/>
        <v>50.09</v>
      </c>
      <c r="GM5" s="41" t="str">
        <f t="shared" si="61"/>
        <v/>
      </c>
      <c r="GN5" s="41" t="str">
        <f t="shared" si="61"/>
        <v/>
      </c>
      <c r="GO5" s="41" t="str">
        <f t="shared" si="62"/>
        <v/>
      </c>
      <c r="GP5" s="41">
        <f t="shared" si="63"/>
        <v>15.2</v>
      </c>
      <c r="GQ5" s="41">
        <f t="shared" si="63"/>
        <v>16.7</v>
      </c>
      <c r="GR5" s="41">
        <f t="shared" si="64"/>
        <v>48.7</v>
      </c>
      <c r="GS5" s="41">
        <f t="shared" si="65"/>
        <v>98.79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66"/>
        <v/>
      </c>
      <c r="HO5" s="11" t="str">
        <f t="shared" si="66"/>
        <v/>
      </c>
      <c r="HP5" s="11" t="str">
        <f t="shared" si="67"/>
        <v/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 t="str">
        <f t="shared" si="70"/>
        <v/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 t="str">
        <f t="shared" si="73"/>
        <v/>
      </c>
      <c r="HY5" s="11" t="str">
        <f t="shared" si="73"/>
        <v/>
      </c>
      <c r="HZ5" s="11" t="str">
        <f t="shared" si="74"/>
        <v/>
      </c>
      <c r="IA5" s="11" t="str">
        <f t="shared" si="75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76"/>
        <v/>
      </c>
      <c r="IW5" s="41" t="str">
        <f t="shared" si="76"/>
        <v/>
      </c>
      <c r="IX5" s="41" t="str">
        <f t="shared" si="77"/>
        <v/>
      </c>
      <c r="IY5" s="41" t="str">
        <f t="shared" si="78"/>
        <v/>
      </c>
      <c r="IZ5" s="41" t="str">
        <f t="shared" si="78"/>
        <v/>
      </c>
      <c r="JA5" s="41" t="str">
        <f t="shared" si="79"/>
        <v/>
      </c>
      <c r="JB5" s="41" t="str">
        <f t="shared" si="80"/>
        <v/>
      </c>
      <c r="JC5" s="41" t="str">
        <f t="shared" si="81"/>
        <v/>
      </c>
      <c r="JD5" s="41" t="str">
        <f t="shared" si="81"/>
        <v/>
      </c>
      <c r="JE5" s="41" t="str">
        <f t="shared" si="82"/>
        <v/>
      </c>
      <c r="JF5" s="41" t="str">
        <f t="shared" si="83"/>
        <v/>
      </c>
      <c r="JG5" s="41" t="str">
        <f t="shared" si="83"/>
        <v/>
      </c>
      <c r="JH5" s="41" t="str">
        <f t="shared" si="84"/>
        <v/>
      </c>
      <c r="JI5" s="41" t="str">
        <f t="shared" si="85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 t="str">
        <f t="shared" si="93"/>
        <v/>
      </c>
      <c r="KO5" s="11" t="str">
        <f t="shared" si="93"/>
        <v/>
      </c>
      <c r="KP5" s="11" t="str">
        <f t="shared" si="94"/>
        <v/>
      </c>
      <c r="KQ5" s="11" t="str">
        <f t="shared" si="95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96"/>
        <v/>
      </c>
      <c r="LM5" s="41" t="str">
        <f t="shared" si="96"/>
        <v/>
      </c>
      <c r="LN5" s="41" t="str">
        <f t="shared" si="97"/>
        <v/>
      </c>
      <c r="LO5" s="41" t="str">
        <f t="shared" si="98"/>
        <v/>
      </c>
      <c r="LP5" s="41" t="str">
        <f t="shared" si="98"/>
        <v/>
      </c>
      <c r="LQ5" s="41" t="str">
        <f t="shared" si="99"/>
        <v/>
      </c>
      <c r="LR5" s="41" t="str">
        <f t="shared" si="100"/>
        <v/>
      </c>
      <c r="LS5" s="41" t="str">
        <f t="shared" si="101"/>
        <v/>
      </c>
      <c r="LT5" s="41" t="str">
        <f t="shared" si="101"/>
        <v/>
      </c>
      <c r="LU5" s="41" t="str">
        <f t="shared" si="102"/>
        <v/>
      </c>
      <c r="LV5" s="41" t="str">
        <f t="shared" si="103"/>
        <v/>
      </c>
      <c r="LW5" s="41" t="str">
        <f t="shared" si="103"/>
        <v/>
      </c>
      <c r="LX5" s="41" t="str">
        <f t="shared" si="104"/>
        <v/>
      </c>
      <c r="LY5" s="41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16"/>
        <v/>
      </c>
      <c r="OC5" s="41" t="str">
        <f t="shared" si="116"/>
        <v/>
      </c>
      <c r="OD5" s="41" t="str">
        <f t="shared" si="117"/>
        <v/>
      </c>
      <c r="OE5" s="41" t="str">
        <f t="shared" si="118"/>
        <v/>
      </c>
      <c r="OF5" s="41" t="str">
        <f t="shared" si="118"/>
        <v/>
      </c>
      <c r="OG5" s="41" t="str">
        <f t="shared" si="119"/>
        <v/>
      </c>
      <c r="OH5" s="41" t="str">
        <f t="shared" si="120"/>
        <v/>
      </c>
      <c r="OI5" s="41" t="str">
        <f t="shared" si="121"/>
        <v/>
      </c>
      <c r="OJ5" s="41" t="str">
        <f t="shared" si="121"/>
        <v/>
      </c>
      <c r="OK5" s="41" t="str">
        <f t="shared" si="122"/>
        <v/>
      </c>
      <c r="OL5" s="41" t="str">
        <f t="shared" si="123"/>
        <v/>
      </c>
      <c r="OM5" s="41" t="str">
        <f t="shared" si="123"/>
        <v/>
      </c>
      <c r="ON5" s="41" t="str">
        <f t="shared" si="124"/>
        <v/>
      </c>
      <c r="OO5" s="41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36"/>
        <v/>
      </c>
      <c r="QS5" s="41" t="str">
        <f t="shared" si="136"/>
        <v/>
      </c>
      <c r="QT5" s="41" t="str">
        <f t="shared" si="137"/>
        <v/>
      </c>
      <c r="QU5" s="41" t="str">
        <f t="shared" si="138"/>
        <v/>
      </c>
      <c r="QV5" s="41" t="str">
        <f t="shared" si="138"/>
        <v/>
      </c>
      <c r="QW5" s="41" t="str">
        <f t="shared" si="139"/>
        <v/>
      </c>
      <c r="QX5" s="41" t="str">
        <f t="shared" si="140"/>
        <v/>
      </c>
      <c r="QY5" s="41" t="str">
        <f t="shared" si="141"/>
        <v/>
      </c>
      <c r="QZ5" s="41" t="str">
        <f t="shared" si="141"/>
        <v/>
      </c>
      <c r="RA5" s="41" t="str">
        <f t="shared" si="142"/>
        <v/>
      </c>
      <c r="RB5" s="41" t="str">
        <f t="shared" si="143"/>
        <v/>
      </c>
      <c r="RC5" s="41" t="str">
        <f t="shared" si="143"/>
        <v/>
      </c>
      <c r="RD5" s="41" t="str">
        <f t="shared" si="144"/>
        <v/>
      </c>
      <c r="RE5" s="41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23">
        <f t="shared" si="156"/>
        <v>0</v>
      </c>
      <c r="SO5" s="23">
        <f t="shared" si="156"/>
        <v>0</v>
      </c>
      <c r="SP5" s="23">
        <f t="shared" si="156"/>
        <v>0</v>
      </c>
      <c r="SQ5" s="23">
        <f t="shared" si="156"/>
        <v>0</v>
      </c>
      <c r="SR5" s="23">
        <f t="shared" si="156"/>
        <v>0</v>
      </c>
      <c r="SS5" s="23">
        <f t="shared" si="156"/>
        <v>0</v>
      </c>
      <c r="ST5" s="23">
        <f t="shared" si="156"/>
        <v>0</v>
      </c>
      <c r="SU5" s="23">
        <f t="shared" si="156"/>
        <v>0</v>
      </c>
      <c r="SV5" s="23">
        <f t="shared" si="156"/>
        <v>0</v>
      </c>
      <c r="SW5" s="23">
        <f t="shared" si="156"/>
        <v>0</v>
      </c>
      <c r="SX5" s="23">
        <f t="shared" si="156"/>
        <v>0</v>
      </c>
      <c r="SY5" s="23">
        <f t="shared" si="156"/>
        <v>0</v>
      </c>
      <c r="SZ5" s="23">
        <f t="shared" si="156"/>
        <v>0</v>
      </c>
      <c r="TA5" s="23">
        <f t="shared" si="156"/>
        <v>0</v>
      </c>
      <c r="TB5" s="23">
        <f t="shared" si="156"/>
        <v>0</v>
      </c>
      <c r="TC5" s="28" t="s">
        <v>58</v>
      </c>
      <c r="TD5" s="41" t="str">
        <f t="shared" si="157"/>
        <v/>
      </c>
      <c r="TE5" s="41" t="str">
        <f t="shared" si="157"/>
        <v/>
      </c>
      <c r="TF5" s="41" t="str">
        <f t="shared" si="158"/>
        <v/>
      </c>
      <c r="TG5" s="41" t="str">
        <f t="shared" si="159"/>
        <v/>
      </c>
      <c r="TH5" s="41" t="str">
        <f t="shared" si="159"/>
        <v/>
      </c>
      <c r="TI5" s="41" t="str">
        <f t="shared" si="160"/>
        <v/>
      </c>
      <c r="TJ5" s="41" t="str">
        <f t="shared" si="161"/>
        <v/>
      </c>
      <c r="TK5" s="41" t="str">
        <f t="shared" si="162"/>
        <v/>
      </c>
      <c r="TL5" s="41" t="str">
        <f t="shared" si="162"/>
        <v/>
      </c>
      <c r="TM5" s="41" t="str">
        <f t="shared" si="163"/>
        <v/>
      </c>
      <c r="TN5" s="41" t="str">
        <f t="shared" si="164"/>
        <v/>
      </c>
    </row>
    <row r="6" spans="1:534" x14ac:dyDescent="0.2">
      <c r="A6" s="4" cm="1">
        <f t="array" ref="A6">IF(AND(F6&lt;&gt;"",G6&lt;&gt;""),SUMPRODUCT((F$4:F$11&lt;&gt;"")*(G$4:G$11&lt;&gt;"")*(E$4:E$11&gt;E6))+1,IF(G6&lt;&gt;"",SUMPRODUCT((H$4:H$11="No DD")*(E$4:E$11&gt;E6))+1+SUMPRODUCT((F$4:F$11&lt;&gt;"")*(G$4:G$11&lt;&gt;"")),""))</f>
        <v>3</v>
      </c>
      <c r="B6" s="5" t="s">
        <v>174</v>
      </c>
      <c r="C6" s="4" t="s">
        <v>8</v>
      </c>
      <c r="D6" s="4" t="s">
        <v>177</v>
      </c>
      <c r="E6" s="9">
        <f t="shared" si="0"/>
        <v>94.859999999999985</v>
      </c>
      <c r="F6" s="3" t="str">
        <f t="shared" si="1"/>
        <v/>
      </c>
      <c r="G6" s="3" t="str">
        <f t="shared" si="2"/>
        <v>P</v>
      </c>
      <c r="H6" s="37" t="str">
        <f t="shared" si="3"/>
        <v>No DD</v>
      </c>
      <c r="I6" s="3" t="str">
        <f t="shared" si="4"/>
        <v/>
      </c>
      <c r="J6" s="8">
        <f>IF(COUNT(AI6,AL6,AP6,BJ6,BM6,BQ6,CK6,CN6,CR6)&gt;0,LARGE((AI6,AL6,AP6,BJ6,BM6,BQ6,CK6,CN6,CR6),1),0)</f>
        <v>47.599999999999994</v>
      </c>
      <c r="K6" s="8" t="str">
        <f t="shared" si="5"/>
        <v>2022 Nationals</v>
      </c>
      <c r="L6" s="8">
        <f>IF(COUNT(AI6,AL6,AP6,BJ6,BM6,BQ6,CK6,CN6,CR6)&gt;1,LARGE((AI6,AL6,AP6,BJ6,BM6,BQ6,CK6,CN6,CR6),2),0)</f>
        <v>47.26</v>
      </c>
      <c r="M6" s="8" t="str">
        <f t="shared" si="6"/>
        <v>2023 Elite Canada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3">
        <v>7.95</v>
      </c>
      <c r="R6" s="23">
        <v>9.1</v>
      </c>
      <c r="S6" s="23">
        <v>10.5</v>
      </c>
      <c r="T6" s="23">
        <v>18.54</v>
      </c>
      <c r="U6" s="23">
        <v>0</v>
      </c>
      <c r="V6" s="23">
        <v>8.35</v>
      </c>
      <c r="W6" s="23">
        <v>9.4499999999999993</v>
      </c>
      <c r="X6" s="23">
        <v>10.5</v>
      </c>
      <c r="Y6" s="23">
        <v>19.3</v>
      </c>
      <c r="Z6" s="23">
        <v>0</v>
      </c>
      <c r="AA6" s="23">
        <v>8.5500000000000007</v>
      </c>
      <c r="AB6" s="23">
        <v>9.15</v>
      </c>
      <c r="AC6" s="23">
        <v>10.5</v>
      </c>
      <c r="AD6" s="23">
        <v>18.72</v>
      </c>
      <c r="AE6" s="23">
        <v>0</v>
      </c>
      <c r="AF6" s="28"/>
      <c r="AG6" s="39">
        <f t="shared" si="10"/>
        <v>10.5</v>
      </c>
      <c r="AH6" s="39">
        <f t="shared" si="10"/>
        <v>18.54</v>
      </c>
      <c r="AI6" s="41">
        <f t="shared" si="11"/>
        <v>46.09</v>
      </c>
      <c r="AJ6" s="41">
        <f t="shared" si="12"/>
        <v>10.5</v>
      </c>
      <c r="AK6" s="41">
        <f t="shared" si="12"/>
        <v>19.3</v>
      </c>
      <c r="AL6" s="41">
        <f t="shared" si="13"/>
        <v>47.599999999999994</v>
      </c>
      <c r="AM6" s="41">
        <f t="shared" si="14"/>
        <v>47.599999999999994</v>
      </c>
      <c r="AN6" s="41">
        <f t="shared" si="15"/>
        <v>10.5</v>
      </c>
      <c r="AO6" s="41">
        <f t="shared" si="15"/>
        <v>18.72</v>
      </c>
      <c r="AP6" s="41">
        <f t="shared" si="16"/>
        <v>46.92</v>
      </c>
      <c r="AQ6" s="41">
        <f t="shared" si="17"/>
        <v>94.52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18"/>
        <v/>
      </c>
      <c r="BI6" s="40" t="str">
        <f t="shared" si="18"/>
        <v/>
      </c>
      <c r="BJ6" s="11" t="str">
        <f t="shared" si="19"/>
        <v/>
      </c>
      <c r="BK6" s="11" t="str">
        <f t="shared" si="20"/>
        <v/>
      </c>
      <c r="BL6" s="11" t="str">
        <f t="shared" si="20"/>
        <v/>
      </c>
      <c r="BM6" s="11" t="str">
        <f t="shared" si="21"/>
        <v/>
      </c>
      <c r="BN6" s="11" t="str">
        <f t="shared" si="22"/>
        <v/>
      </c>
      <c r="BO6" s="11" t="str">
        <f t="shared" si="23"/>
        <v/>
      </c>
      <c r="BP6" s="11" t="str">
        <f t="shared" si="23"/>
        <v/>
      </c>
      <c r="BQ6" s="11" t="str">
        <f t="shared" si="24"/>
        <v/>
      </c>
      <c r="BR6" s="11" t="str">
        <f t="shared" si="25"/>
        <v/>
      </c>
      <c r="BS6" s="23">
        <v>1.6</v>
      </c>
      <c r="BT6" s="23">
        <v>1.8</v>
      </c>
      <c r="BU6" s="23">
        <v>2.5</v>
      </c>
      <c r="BV6" s="23">
        <v>3.64</v>
      </c>
      <c r="BW6" s="23">
        <v>0</v>
      </c>
      <c r="BX6" s="23">
        <v>8.1</v>
      </c>
      <c r="BY6" s="23">
        <v>9.6</v>
      </c>
      <c r="BZ6" s="23">
        <v>11.2</v>
      </c>
      <c r="CA6" s="23">
        <v>18.36</v>
      </c>
      <c r="CB6" s="23">
        <v>0</v>
      </c>
      <c r="CC6" s="23">
        <v>8.4499999999999993</v>
      </c>
      <c r="CD6" s="23">
        <v>9.25</v>
      </c>
      <c r="CE6" s="23">
        <v>11.2</v>
      </c>
      <c r="CF6" s="23">
        <v>17.32</v>
      </c>
      <c r="CG6" s="23">
        <v>0</v>
      </c>
      <c r="CH6" s="28"/>
      <c r="CI6" s="39">
        <f t="shared" si="26"/>
        <v>2.5</v>
      </c>
      <c r="CJ6" s="39">
        <f t="shared" si="26"/>
        <v>3.64</v>
      </c>
      <c r="CK6" s="41">
        <f t="shared" si="27"/>
        <v>9.5400000000000009</v>
      </c>
      <c r="CL6" s="41">
        <f t="shared" si="28"/>
        <v>11.2</v>
      </c>
      <c r="CM6" s="41">
        <f t="shared" si="28"/>
        <v>18.36</v>
      </c>
      <c r="CN6" s="41">
        <f t="shared" si="29"/>
        <v>47.26</v>
      </c>
      <c r="CO6" s="41">
        <f t="shared" si="30"/>
        <v>47.26</v>
      </c>
      <c r="CP6" s="41">
        <f t="shared" si="31"/>
        <v>11.2</v>
      </c>
      <c r="CQ6" s="41">
        <f t="shared" si="31"/>
        <v>17.32</v>
      </c>
      <c r="CR6" s="41">
        <f t="shared" si="32"/>
        <v>46.22</v>
      </c>
      <c r="CS6" s="41">
        <f t="shared" si="33"/>
        <v>93.47999999999999</v>
      </c>
      <c r="CT6" s="52" t="str">
        <f t="shared" si="34"/>
        <v/>
      </c>
      <c r="CU6" s="52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36"/>
        <v/>
      </c>
      <c r="DQ6" s="41" t="str">
        <f t="shared" si="36"/>
        <v/>
      </c>
      <c r="DR6" s="41" t="str">
        <f t="shared" si="37"/>
        <v/>
      </c>
      <c r="DS6" s="41" t="str">
        <f t="shared" si="38"/>
        <v/>
      </c>
      <c r="DT6" s="41" t="str">
        <f t="shared" si="38"/>
        <v/>
      </c>
      <c r="DU6" s="41" t="str">
        <f t="shared" si="39"/>
        <v/>
      </c>
      <c r="DV6" s="41" t="str">
        <f t="shared" si="40"/>
        <v/>
      </c>
      <c r="DW6" s="41" t="str">
        <f t="shared" si="41"/>
        <v/>
      </c>
      <c r="DX6" s="41" t="str">
        <f t="shared" si="41"/>
        <v/>
      </c>
      <c r="DY6" s="41" t="str">
        <f t="shared" si="42"/>
        <v/>
      </c>
      <c r="DZ6" s="41" t="str">
        <f t="shared" si="43"/>
        <v/>
      </c>
      <c r="EA6" s="41" t="str">
        <f t="shared" si="43"/>
        <v/>
      </c>
      <c r="EB6" s="41" t="str">
        <f t="shared" si="44"/>
        <v/>
      </c>
      <c r="EC6" s="41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56"/>
        <v/>
      </c>
      <c r="GG6" s="41" t="str">
        <f t="shared" si="56"/>
        <v/>
      </c>
      <c r="GH6" s="41" t="str">
        <f t="shared" si="57"/>
        <v/>
      </c>
      <c r="GI6" s="41" t="str">
        <f t="shared" si="58"/>
        <v/>
      </c>
      <c r="GJ6" s="41" t="str">
        <f t="shared" si="58"/>
        <v/>
      </c>
      <c r="GK6" s="41" t="str">
        <f t="shared" si="59"/>
        <v/>
      </c>
      <c r="GL6" s="41" t="str">
        <f t="shared" si="60"/>
        <v/>
      </c>
      <c r="GM6" s="41" t="str">
        <f t="shared" si="61"/>
        <v/>
      </c>
      <c r="GN6" s="41" t="str">
        <f t="shared" si="61"/>
        <v/>
      </c>
      <c r="GO6" s="41" t="str">
        <f t="shared" si="62"/>
        <v/>
      </c>
      <c r="GP6" s="41" t="str">
        <f t="shared" si="63"/>
        <v/>
      </c>
      <c r="GQ6" s="41" t="str">
        <f t="shared" si="63"/>
        <v/>
      </c>
      <c r="GR6" s="41" t="str">
        <f t="shared" si="64"/>
        <v/>
      </c>
      <c r="GS6" s="41" t="str">
        <f t="shared" si="65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76"/>
        <v/>
      </c>
      <c r="IW6" s="41" t="str">
        <f t="shared" si="76"/>
        <v/>
      </c>
      <c r="IX6" s="41" t="str">
        <f t="shared" si="77"/>
        <v/>
      </c>
      <c r="IY6" s="41" t="str">
        <f t="shared" si="78"/>
        <v/>
      </c>
      <c r="IZ6" s="41" t="str">
        <f t="shared" si="78"/>
        <v/>
      </c>
      <c r="JA6" s="41" t="str">
        <f t="shared" si="79"/>
        <v/>
      </c>
      <c r="JB6" s="41" t="str">
        <f t="shared" si="80"/>
        <v/>
      </c>
      <c r="JC6" s="41" t="str">
        <f t="shared" si="81"/>
        <v/>
      </c>
      <c r="JD6" s="41" t="str">
        <f t="shared" si="81"/>
        <v/>
      </c>
      <c r="JE6" s="41" t="str">
        <f t="shared" si="82"/>
        <v/>
      </c>
      <c r="JF6" s="41" t="str">
        <f t="shared" si="83"/>
        <v/>
      </c>
      <c r="JG6" s="41" t="str">
        <f t="shared" si="83"/>
        <v/>
      </c>
      <c r="JH6" s="41" t="str">
        <f t="shared" si="84"/>
        <v/>
      </c>
      <c r="JI6" s="41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>
        <v>7.85</v>
      </c>
      <c r="KS6" s="17">
        <v>9.15</v>
      </c>
      <c r="KT6" s="17">
        <v>11.2</v>
      </c>
      <c r="KU6" s="17">
        <v>18.84</v>
      </c>
      <c r="KV6" s="17">
        <v>0</v>
      </c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>
        <v>5.15</v>
      </c>
      <c r="LH6" s="17">
        <v>6.55</v>
      </c>
      <c r="LI6" s="17">
        <v>8.4</v>
      </c>
      <c r="LJ6" s="17">
        <v>12.62</v>
      </c>
      <c r="LK6" s="17">
        <v>0</v>
      </c>
      <c r="LL6" s="41">
        <f t="shared" si="96"/>
        <v>11.2</v>
      </c>
      <c r="LM6" s="41">
        <f t="shared" si="96"/>
        <v>18.84</v>
      </c>
      <c r="LN6" s="41">
        <f t="shared" si="97"/>
        <v>47.04</v>
      </c>
      <c r="LO6" s="41" t="str">
        <f t="shared" si="98"/>
        <v/>
      </c>
      <c r="LP6" s="41" t="str">
        <f t="shared" si="98"/>
        <v/>
      </c>
      <c r="LQ6" s="41" t="str">
        <f t="shared" si="99"/>
        <v/>
      </c>
      <c r="LR6" s="41">
        <f t="shared" si="100"/>
        <v>47.04</v>
      </c>
      <c r="LS6" s="41" t="str">
        <f t="shared" si="101"/>
        <v/>
      </c>
      <c r="LT6" s="41" t="str">
        <f t="shared" si="101"/>
        <v/>
      </c>
      <c r="LU6" s="41" t="str">
        <f t="shared" si="102"/>
        <v/>
      </c>
      <c r="LV6" s="41">
        <f t="shared" si="103"/>
        <v>8.4</v>
      </c>
      <c r="LW6" s="41">
        <f t="shared" si="103"/>
        <v>12.62</v>
      </c>
      <c r="LX6" s="41">
        <f t="shared" si="104"/>
        <v>32.72</v>
      </c>
      <c r="LY6" s="41">
        <f t="shared" si="105"/>
        <v>79.759999999999991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06"/>
        <v/>
      </c>
      <c r="MU6" s="11" t="str">
        <f t="shared" si="106"/>
        <v/>
      </c>
      <c r="MV6" s="11" t="str">
        <f t="shared" si="107"/>
        <v/>
      </c>
      <c r="MW6" s="11" t="str">
        <f t="shared" si="108"/>
        <v/>
      </c>
      <c r="MX6" s="11" t="str">
        <f t="shared" si="108"/>
        <v/>
      </c>
      <c r="MY6" s="11" t="str">
        <f t="shared" si="109"/>
        <v/>
      </c>
      <c r="MZ6" s="11" t="str">
        <f t="shared" si="110"/>
        <v/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 t="str">
        <f t="shared" si="113"/>
        <v/>
      </c>
      <c r="NE6" s="11" t="str">
        <f t="shared" si="113"/>
        <v/>
      </c>
      <c r="NF6" s="11" t="str">
        <f t="shared" si="114"/>
        <v/>
      </c>
      <c r="NG6" s="11" t="str">
        <f t="shared" si="115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16"/>
        <v/>
      </c>
      <c r="OC6" s="41" t="str">
        <f t="shared" si="116"/>
        <v/>
      </c>
      <c r="OD6" s="41" t="str">
        <f t="shared" si="117"/>
        <v/>
      </c>
      <c r="OE6" s="41" t="str">
        <f t="shared" si="118"/>
        <v/>
      </c>
      <c r="OF6" s="41" t="str">
        <f t="shared" si="118"/>
        <v/>
      </c>
      <c r="OG6" s="41" t="str">
        <f t="shared" si="119"/>
        <v/>
      </c>
      <c r="OH6" s="41" t="str">
        <f t="shared" si="120"/>
        <v/>
      </c>
      <c r="OI6" s="41" t="str">
        <f t="shared" si="121"/>
        <v/>
      </c>
      <c r="OJ6" s="41" t="str">
        <f t="shared" si="121"/>
        <v/>
      </c>
      <c r="OK6" s="41" t="str">
        <f t="shared" si="122"/>
        <v/>
      </c>
      <c r="OL6" s="41" t="str">
        <f t="shared" si="123"/>
        <v/>
      </c>
      <c r="OM6" s="41" t="str">
        <f t="shared" si="123"/>
        <v/>
      </c>
      <c r="ON6" s="41" t="str">
        <f t="shared" si="124"/>
        <v/>
      </c>
      <c r="OO6" s="41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36"/>
        <v/>
      </c>
      <c r="QS6" s="41" t="str">
        <f t="shared" si="136"/>
        <v/>
      </c>
      <c r="QT6" s="41" t="str">
        <f t="shared" si="137"/>
        <v/>
      </c>
      <c r="QU6" s="41" t="str">
        <f t="shared" si="138"/>
        <v/>
      </c>
      <c r="QV6" s="41" t="str">
        <f t="shared" si="138"/>
        <v/>
      </c>
      <c r="QW6" s="41" t="str">
        <f t="shared" si="139"/>
        <v/>
      </c>
      <c r="QX6" s="41" t="str">
        <f t="shared" si="140"/>
        <v/>
      </c>
      <c r="QY6" s="41" t="str">
        <f t="shared" si="141"/>
        <v/>
      </c>
      <c r="QZ6" s="41" t="str">
        <f t="shared" si="141"/>
        <v/>
      </c>
      <c r="RA6" s="41" t="str">
        <f t="shared" si="142"/>
        <v/>
      </c>
      <c r="RB6" s="41" t="str">
        <f t="shared" si="143"/>
        <v/>
      </c>
      <c r="RC6" s="41" t="str">
        <f t="shared" si="143"/>
        <v/>
      </c>
      <c r="RD6" s="41" t="str">
        <f t="shared" si="144"/>
        <v/>
      </c>
      <c r="RE6" s="41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23">
        <f t="shared" si="156"/>
        <v>0.8</v>
      </c>
      <c r="SO6" s="23">
        <f t="shared" si="156"/>
        <v>0.9</v>
      </c>
      <c r="SP6" s="23">
        <f t="shared" si="156"/>
        <v>1.25</v>
      </c>
      <c r="SQ6" s="23">
        <f t="shared" si="156"/>
        <v>1.82</v>
      </c>
      <c r="SR6" s="23">
        <f t="shared" si="156"/>
        <v>0</v>
      </c>
      <c r="SS6" s="23">
        <f t="shared" si="156"/>
        <v>4.05</v>
      </c>
      <c r="ST6" s="23">
        <f t="shared" si="156"/>
        <v>4.8</v>
      </c>
      <c r="SU6" s="23">
        <f t="shared" si="156"/>
        <v>5.6</v>
      </c>
      <c r="SV6" s="23">
        <f t="shared" si="156"/>
        <v>9.18</v>
      </c>
      <c r="SW6" s="23">
        <f t="shared" si="156"/>
        <v>0</v>
      </c>
      <c r="SX6" s="23">
        <f t="shared" si="156"/>
        <v>4.2249999999999996</v>
      </c>
      <c r="SY6" s="23">
        <f t="shared" si="156"/>
        <v>4.625</v>
      </c>
      <c r="SZ6" s="23">
        <f t="shared" si="156"/>
        <v>5.6</v>
      </c>
      <c r="TA6" s="23">
        <f t="shared" si="156"/>
        <v>8.66</v>
      </c>
      <c r="TB6" s="23">
        <f t="shared" si="156"/>
        <v>0</v>
      </c>
      <c r="TC6" s="28" t="s">
        <v>58</v>
      </c>
      <c r="TD6" s="41">
        <f t="shared" si="157"/>
        <v>1.25</v>
      </c>
      <c r="TE6" s="41">
        <f t="shared" si="157"/>
        <v>1.82</v>
      </c>
      <c r="TF6" s="41">
        <f t="shared" si="158"/>
        <v>4.7700000000000005</v>
      </c>
      <c r="TG6" s="41">
        <f t="shared" si="159"/>
        <v>5.6</v>
      </c>
      <c r="TH6" s="41">
        <f t="shared" si="159"/>
        <v>9.18</v>
      </c>
      <c r="TI6" s="41">
        <f t="shared" si="160"/>
        <v>23.63</v>
      </c>
      <c r="TJ6" s="41">
        <f t="shared" si="161"/>
        <v>23.63</v>
      </c>
      <c r="TK6" s="41">
        <f t="shared" si="162"/>
        <v>5.6</v>
      </c>
      <c r="TL6" s="41">
        <f t="shared" si="162"/>
        <v>8.66</v>
      </c>
      <c r="TM6" s="41">
        <f t="shared" si="163"/>
        <v>23.11</v>
      </c>
      <c r="TN6" s="41">
        <f t="shared" si="164"/>
        <v>46.739999999999995</v>
      </c>
    </row>
    <row r="7" spans="1:534" x14ac:dyDescent="0.2">
      <c r="A7" s="4" t="str" cm="1">
        <f t="array" ref="A7">IF(AND(F7&lt;&gt;"",G7&lt;&gt;""),SUMPRODUCT((F$4:F$11&lt;&gt;"")*(G$4:G$11&lt;&gt;"")*(E$4:E$11&gt;E7))+1,IF(G7&lt;&gt;"",SUMPRODUCT((H$4:H$11="No DD")*(E$4:E$11&gt;E7))+1+SUMPRODUCT((F$4:F$11&lt;&gt;"")*(G$4:G$11&lt;&gt;"")),""))</f>
        <v/>
      </c>
      <c r="B7" s="5" t="s">
        <v>233</v>
      </c>
      <c r="C7" s="4" t="s">
        <v>232</v>
      </c>
      <c r="D7" s="4" t="s">
        <v>231</v>
      </c>
      <c r="E7" s="9">
        <f t="shared" si="0"/>
        <v>89.539999999999992</v>
      </c>
      <c r="F7" s="3" t="str">
        <f t="shared" si="1"/>
        <v/>
      </c>
      <c r="G7" s="3" t="str">
        <f t="shared" si="2"/>
        <v/>
      </c>
      <c r="H7" s="37" t="str">
        <f t="shared" si="3"/>
        <v/>
      </c>
      <c r="I7" s="3" t="str">
        <f t="shared" si="4"/>
        <v/>
      </c>
      <c r="J7" s="8">
        <f>IF(COUNT(AI7,AL7,AP7,BJ7,BM7,BQ7,CK7,CN7,CR7)&gt;0,LARGE((AI7,AL7,AP7,BJ7,BM7,BQ7,CK7,CN7,CR7),1),0)</f>
        <v>45.97</v>
      </c>
      <c r="K7" s="8" t="str">
        <f t="shared" si="5"/>
        <v>2023 Elite Canada</v>
      </c>
      <c r="L7" s="8">
        <f>IF(COUNT(AI7,AL7,AP7,BJ7,BM7,BQ7,CK7,CN7,CR7)&gt;1,LARGE((AI7,AL7,AP7,BJ7,BM7,BQ7,CK7,CN7,CR7),2),0)</f>
        <v>43.569999999999993</v>
      </c>
      <c r="M7" s="8" t="str">
        <f t="shared" si="6"/>
        <v>2023 Elite Canada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0"/>
        <v/>
      </c>
      <c r="AI7" s="41" t="str">
        <f t="shared" si="11"/>
        <v/>
      </c>
      <c r="AJ7" s="41" t="str">
        <f t="shared" si="12"/>
        <v/>
      </c>
      <c r="AK7" s="41" t="str">
        <f t="shared" si="12"/>
        <v/>
      </c>
      <c r="AL7" s="41" t="str">
        <f t="shared" si="13"/>
        <v/>
      </c>
      <c r="AM7" s="41" t="str">
        <f t="shared" si="14"/>
        <v/>
      </c>
      <c r="AN7" s="41" t="str">
        <f t="shared" si="15"/>
        <v/>
      </c>
      <c r="AO7" s="41" t="str">
        <f t="shared" si="15"/>
        <v/>
      </c>
      <c r="AP7" s="41" t="str">
        <f t="shared" si="16"/>
        <v/>
      </c>
      <c r="AQ7" s="41" t="str">
        <f t="shared" si="17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18"/>
        <v/>
      </c>
      <c r="BI7" s="40" t="str">
        <f t="shared" si="18"/>
        <v/>
      </c>
      <c r="BJ7" s="11" t="str">
        <f t="shared" si="19"/>
        <v/>
      </c>
      <c r="BK7" s="11" t="str">
        <f t="shared" si="20"/>
        <v/>
      </c>
      <c r="BL7" s="11" t="str">
        <f t="shared" si="20"/>
        <v/>
      </c>
      <c r="BM7" s="11" t="str">
        <f t="shared" si="21"/>
        <v/>
      </c>
      <c r="BN7" s="11" t="str">
        <f t="shared" si="22"/>
        <v/>
      </c>
      <c r="BO7" s="11" t="str">
        <f t="shared" si="23"/>
        <v/>
      </c>
      <c r="BP7" s="11" t="str">
        <f t="shared" si="23"/>
        <v/>
      </c>
      <c r="BQ7" s="11" t="str">
        <f t="shared" si="24"/>
        <v/>
      </c>
      <c r="BR7" s="11" t="str">
        <f t="shared" si="25"/>
        <v/>
      </c>
      <c r="BS7" s="23">
        <v>8.1999999999999993</v>
      </c>
      <c r="BT7" s="23">
        <v>9.35</v>
      </c>
      <c r="BU7" s="23">
        <v>10.7</v>
      </c>
      <c r="BV7" s="23">
        <v>15.32</v>
      </c>
      <c r="BW7" s="23">
        <v>0</v>
      </c>
      <c r="BX7" s="23">
        <v>7.95</v>
      </c>
      <c r="BY7" s="23">
        <v>9.1999999999999993</v>
      </c>
      <c r="BZ7" s="23">
        <v>11.8</v>
      </c>
      <c r="CA7" s="23">
        <v>17.02</v>
      </c>
      <c r="CB7" s="23">
        <v>0</v>
      </c>
      <c r="CC7" s="23">
        <v>4.7</v>
      </c>
      <c r="CD7" s="23">
        <v>5.35</v>
      </c>
      <c r="CE7" s="23">
        <v>7.5</v>
      </c>
      <c r="CF7" s="23">
        <v>8.7799999999999994</v>
      </c>
      <c r="CG7" s="23">
        <v>0</v>
      </c>
      <c r="CH7" s="28"/>
      <c r="CI7" s="39">
        <f t="shared" si="26"/>
        <v>10.7</v>
      </c>
      <c r="CJ7" s="39">
        <f t="shared" si="26"/>
        <v>15.32</v>
      </c>
      <c r="CK7" s="41">
        <f t="shared" si="27"/>
        <v>43.569999999999993</v>
      </c>
      <c r="CL7" s="41">
        <f t="shared" si="28"/>
        <v>11.8</v>
      </c>
      <c r="CM7" s="41">
        <f t="shared" si="28"/>
        <v>17.02</v>
      </c>
      <c r="CN7" s="41">
        <f t="shared" si="29"/>
        <v>45.97</v>
      </c>
      <c r="CO7" s="41">
        <f t="shared" si="30"/>
        <v>45.97</v>
      </c>
      <c r="CP7" s="41">
        <f t="shared" si="31"/>
        <v>7.5</v>
      </c>
      <c r="CQ7" s="41">
        <f t="shared" si="31"/>
        <v>8.7799999999999994</v>
      </c>
      <c r="CR7" s="41">
        <f t="shared" si="32"/>
        <v>26.33</v>
      </c>
      <c r="CS7" s="41">
        <f t="shared" si="33"/>
        <v>72.3</v>
      </c>
      <c r="CT7" s="52" t="str">
        <f t="shared" si="34"/>
        <v/>
      </c>
      <c r="CU7" s="52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36"/>
        <v/>
      </c>
      <c r="DQ7" s="41" t="str">
        <f t="shared" si="36"/>
        <v/>
      </c>
      <c r="DR7" s="41" t="str">
        <f t="shared" si="37"/>
        <v/>
      </c>
      <c r="DS7" s="41" t="str">
        <f t="shared" si="38"/>
        <v/>
      </c>
      <c r="DT7" s="41" t="str">
        <f t="shared" si="38"/>
        <v/>
      </c>
      <c r="DU7" s="41" t="str">
        <f t="shared" si="39"/>
        <v/>
      </c>
      <c r="DV7" s="41" t="str">
        <f t="shared" si="40"/>
        <v/>
      </c>
      <c r="DW7" s="41" t="str">
        <f t="shared" si="41"/>
        <v/>
      </c>
      <c r="DX7" s="41" t="str">
        <f t="shared" si="41"/>
        <v/>
      </c>
      <c r="DY7" s="41" t="str">
        <f t="shared" si="42"/>
        <v/>
      </c>
      <c r="DZ7" s="41" t="str">
        <f t="shared" si="43"/>
        <v/>
      </c>
      <c r="EA7" s="41" t="str">
        <f t="shared" si="43"/>
        <v/>
      </c>
      <c r="EB7" s="41" t="str">
        <f t="shared" si="44"/>
        <v/>
      </c>
      <c r="EC7" s="41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56"/>
        <v/>
      </c>
      <c r="GG7" s="41" t="str">
        <f t="shared" si="56"/>
        <v/>
      </c>
      <c r="GH7" s="41" t="str">
        <f t="shared" si="57"/>
        <v/>
      </c>
      <c r="GI7" s="41" t="str">
        <f t="shared" si="58"/>
        <v/>
      </c>
      <c r="GJ7" s="41" t="str">
        <f t="shared" si="58"/>
        <v/>
      </c>
      <c r="GK7" s="41" t="str">
        <f t="shared" si="59"/>
        <v/>
      </c>
      <c r="GL7" s="41" t="str">
        <f t="shared" si="60"/>
        <v/>
      </c>
      <c r="GM7" s="41" t="str">
        <f t="shared" si="61"/>
        <v/>
      </c>
      <c r="GN7" s="41" t="str">
        <f t="shared" si="61"/>
        <v/>
      </c>
      <c r="GO7" s="41" t="str">
        <f t="shared" si="62"/>
        <v/>
      </c>
      <c r="GP7" s="41" t="str">
        <f t="shared" si="63"/>
        <v/>
      </c>
      <c r="GQ7" s="41" t="str">
        <f t="shared" si="63"/>
        <v/>
      </c>
      <c r="GR7" s="41" t="str">
        <f t="shared" si="64"/>
        <v/>
      </c>
      <c r="GS7" s="41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76"/>
        <v/>
      </c>
      <c r="IW7" s="41" t="str">
        <f t="shared" si="76"/>
        <v/>
      </c>
      <c r="IX7" s="41" t="str">
        <f t="shared" si="77"/>
        <v/>
      </c>
      <c r="IY7" s="41" t="str">
        <f t="shared" si="78"/>
        <v/>
      </c>
      <c r="IZ7" s="41" t="str">
        <f t="shared" si="78"/>
        <v/>
      </c>
      <c r="JA7" s="41" t="str">
        <f t="shared" si="79"/>
        <v/>
      </c>
      <c r="JB7" s="41" t="str">
        <f t="shared" si="80"/>
        <v/>
      </c>
      <c r="JC7" s="41" t="str">
        <f t="shared" si="81"/>
        <v/>
      </c>
      <c r="JD7" s="41" t="str">
        <f t="shared" si="81"/>
        <v/>
      </c>
      <c r="JE7" s="41" t="str">
        <f t="shared" si="82"/>
        <v/>
      </c>
      <c r="JF7" s="41" t="str">
        <f t="shared" si="83"/>
        <v/>
      </c>
      <c r="JG7" s="41" t="str">
        <f t="shared" si="83"/>
        <v/>
      </c>
      <c r="JH7" s="41" t="str">
        <f t="shared" si="84"/>
        <v/>
      </c>
      <c r="JI7" s="41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96"/>
        <v/>
      </c>
      <c r="LM7" s="41" t="str">
        <f t="shared" si="96"/>
        <v/>
      </c>
      <c r="LN7" s="41" t="str">
        <f t="shared" si="97"/>
        <v/>
      </c>
      <c r="LO7" s="41" t="str">
        <f t="shared" si="98"/>
        <v/>
      </c>
      <c r="LP7" s="41" t="str">
        <f t="shared" si="98"/>
        <v/>
      </c>
      <c r="LQ7" s="41" t="str">
        <f t="shared" si="99"/>
        <v/>
      </c>
      <c r="LR7" s="41" t="str">
        <f t="shared" si="100"/>
        <v/>
      </c>
      <c r="LS7" s="41" t="str">
        <f t="shared" si="101"/>
        <v/>
      </c>
      <c r="LT7" s="41" t="str">
        <f t="shared" si="101"/>
        <v/>
      </c>
      <c r="LU7" s="41" t="str">
        <f t="shared" si="102"/>
        <v/>
      </c>
      <c r="LV7" s="41" t="str">
        <f t="shared" si="103"/>
        <v/>
      </c>
      <c r="LW7" s="41" t="str">
        <f t="shared" si="103"/>
        <v/>
      </c>
      <c r="LX7" s="41" t="str">
        <f t="shared" si="104"/>
        <v/>
      </c>
      <c r="LY7" s="41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16"/>
        <v/>
      </c>
      <c r="OC7" s="41" t="str">
        <f t="shared" si="116"/>
        <v/>
      </c>
      <c r="OD7" s="41" t="str">
        <f t="shared" si="117"/>
        <v/>
      </c>
      <c r="OE7" s="41" t="str">
        <f t="shared" si="118"/>
        <v/>
      </c>
      <c r="OF7" s="41" t="str">
        <f t="shared" si="118"/>
        <v/>
      </c>
      <c r="OG7" s="41" t="str">
        <f t="shared" si="119"/>
        <v/>
      </c>
      <c r="OH7" s="41" t="str">
        <f t="shared" si="120"/>
        <v/>
      </c>
      <c r="OI7" s="41" t="str">
        <f t="shared" si="121"/>
        <v/>
      </c>
      <c r="OJ7" s="41" t="str">
        <f t="shared" si="121"/>
        <v/>
      </c>
      <c r="OK7" s="41" t="str">
        <f t="shared" si="122"/>
        <v/>
      </c>
      <c r="OL7" s="41" t="str">
        <f t="shared" si="123"/>
        <v/>
      </c>
      <c r="OM7" s="41" t="str">
        <f t="shared" si="123"/>
        <v/>
      </c>
      <c r="ON7" s="41" t="str">
        <f t="shared" si="124"/>
        <v/>
      </c>
      <c r="OO7" s="41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36"/>
        <v/>
      </c>
      <c r="QS7" s="41" t="str">
        <f t="shared" si="136"/>
        <v/>
      </c>
      <c r="QT7" s="41" t="str">
        <f t="shared" si="137"/>
        <v/>
      </c>
      <c r="QU7" s="41" t="str">
        <f t="shared" si="138"/>
        <v/>
      </c>
      <c r="QV7" s="41" t="str">
        <f t="shared" si="138"/>
        <v/>
      </c>
      <c r="QW7" s="41" t="str">
        <f t="shared" si="139"/>
        <v/>
      </c>
      <c r="QX7" s="41" t="str">
        <f t="shared" si="140"/>
        <v/>
      </c>
      <c r="QY7" s="41" t="str">
        <f t="shared" si="141"/>
        <v/>
      </c>
      <c r="QZ7" s="41" t="str">
        <f t="shared" si="141"/>
        <v/>
      </c>
      <c r="RA7" s="41" t="str">
        <f t="shared" si="142"/>
        <v/>
      </c>
      <c r="RB7" s="41" t="str">
        <f t="shared" si="143"/>
        <v/>
      </c>
      <c r="RC7" s="41" t="str">
        <f t="shared" si="143"/>
        <v/>
      </c>
      <c r="RD7" s="41" t="str">
        <f t="shared" si="144"/>
        <v/>
      </c>
      <c r="RE7" s="41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23">
        <f t="shared" si="156"/>
        <v>4.0999999999999996</v>
      </c>
      <c r="SO7" s="23">
        <f t="shared" si="156"/>
        <v>4.6749999999999998</v>
      </c>
      <c r="SP7" s="23">
        <f t="shared" si="156"/>
        <v>5.35</v>
      </c>
      <c r="SQ7" s="23">
        <f t="shared" si="156"/>
        <v>7.66</v>
      </c>
      <c r="SR7" s="23">
        <f t="shared" si="156"/>
        <v>0</v>
      </c>
      <c r="SS7" s="23">
        <f t="shared" si="156"/>
        <v>3.9750000000000001</v>
      </c>
      <c r="ST7" s="23">
        <f t="shared" si="156"/>
        <v>4.5999999999999996</v>
      </c>
      <c r="SU7" s="23">
        <f t="shared" si="156"/>
        <v>5.9</v>
      </c>
      <c r="SV7" s="23">
        <f t="shared" si="156"/>
        <v>8.51</v>
      </c>
      <c r="SW7" s="23">
        <f t="shared" si="156"/>
        <v>0</v>
      </c>
      <c r="SX7" s="23">
        <f t="shared" si="156"/>
        <v>2.35</v>
      </c>
      <c r="SY7" s="23">
        <f t="shared" si="156"/>
        <v>2.6749999999999998</v>
      </c>
      <c r="SZ7" s="23">
        <f t="shared" si="156"/>
        <v>3.75</v>
      </c>
      <c r="TA7" s="23">
        <f t="shared" si="156"/>
        <v>4.3899999999999997</v>
      </c>
      <c r="TB7" s="23">
        <f t="shared" si="156"/>
        <v>0</v>
      </c>
      <c r="TC7" s="28" t="s">
        <v>58</v>
      </c>
      <c r="TD7" s="41">
        <f t="shared" si="157"/>
        <v>5.35</v>
      </c>
      <c r="TE7" s="41">
        <f t="shared" si="157"/>
        <v>7.66</v>
      </c>
      <c r="TF7" s="41">
        <f t="shared" si="158"/>
        <v>21.784999999999997</v>
      </c>
      <c r="TG7" s="41">
        <f t="shared" si="159"/>
        <v>5.9</v>
      </c>
      <c r="TH7" s="41">
        <f t="shared" si="159"/>
        <v>8.51</v>
      </c>
      <c r="TI7" s="41">
        <f t="shared" si="160"/>
        <v>22.984999999999999</v>
      </c>
      <c r="TJ7" s="41">
        <f t="shared" si="161"/>
        <v>22.984999999999999</v>
      </c>
      <c r="TK7" s="41">
        <f t="shared" si="162"/>
        <v>3.75</v>
      </c>
      <c r="TL7" s="41">
        <f t="shared" si="162"/>
        <v>4.3899999999999997</v>
      </c>
      <c r="TM7" s="41">
        <f t="shared" si="163"/>
        <v>13.164999999999999</v>
      </c>
      <c r="TN7" s="41">
        <f t="shared" si="164"/>
        <v>36.15</v>
      </c>
    </row>
    <row r="8" spans="1:534" x14ac:dyDescent="0.2">
      <c r="A8" s="4" t="str" cm="1">
        <f t="array" ref="A8">IF(AND(F8&lt;&gt;"",G8&lt;&gt;""),SUMPRODUCT((F$4:F$11&lt;&gt;"")*(G$4:G$11&lt;&gt;"")*(E$4:E$11&gt;E8))+1,IF(G8&lt;&gt;"",SUMPRODUCT((H$4:H$11="No DD")*(E$4:E$11&gt;E8))+1+SUMPRODUCT((F$4:F$11&lt;&gt;"")*(G$4:G$11&lt;&gt;"")),""))</f>
        <v/>
      </c>
      <c r="B8" s="5" t="s">
        <v>175</v>
      </c>
      <c r="C8" s="4" t="s">
        <v>5</v>
      </c>
      <c r="D8" s="4" t="s">
        <v>176</v>
      </c>
      <c r="E8" s="9">
        <f t="shared" si="0"/>
        <v>52.37</v>
      </c>
      <c r="F8" s="3" t="str">
        <f t="shared" si="1"/>
        <v/>
      </c>
      <c r="G8" s="3" t="str">
        <f t="shared" si="2"/>
        <v/>
      </c>
      <c r="H8" s="37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29.259999999999998</v>
      </c>
      <c r="K8" s="8" t="str">
        <f t="shared" si="5"/>
        <v>2022 Nationals</v>
      </c>
      <c r="L8" s="8">
        <f>IF(COUNT(AI8,AL8,AP8,BJ8,BM8,BQ8,CK8,CN8,CR8)&gt;1,LARGE((AI8,AL8,AP8,BJ8,BM8,BQ8,CK8,CN8,CR8),2),0)</f>
        <v>23.11</v>
      </c>
      <c r="M8" s="8" t="str">
        <f t="shared" si="6"/>
        <v>2022 Nationals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3">
        <v>4.1500000000000004</v>
      </c>
      <c r="R8" s="23">
        <v>4.5999999999999996</v>
      </c>
      <c r="S8" s="23">
        <v>6.1</v>
      </c>
      <c r="T8" s="23">
        <v>8.26</v>
      </c>
      <c r="U8" s="23">
        <v>0</v>
      </c>
      <c r="V8" s="23">
        <v>5.6</v>
      </c>
      <c r="W8" s="23">
        <v>6.5</v>
      </c>
      <c r="X8" s="23">
        <v>8.6</v>
      </c>
      <c r="Y8" s="23">
        <v>8.56</v>
      </c>
      <c r="Z8" s="23">
        <v>0</v>
      </c>
      <c r="AA8" s="23"/>
      <c r="AB8" s="23"/>
      <c r="AC8" s="23"/>
      <c r="AD8" s="23"/>
      <c r="AE8" s="23"/>
      <c r="AF8" s="28"/>
      <c r="AG8" s="39">
        <f t="shared" si="10"/>
        <v>6.1</v>
      </c>
      <c r="AH8" s="39">
        <f t="shared" si="10"/>
        <v>8.26</v>
      </c>
      <c r="AI8" s="41">
        <f t="shared" si="11"/>
        <v>23.11</v>
      </c>
      <c r="AJ8" s="41">
        <f t="shared" si="12"/>
        <v>8.6</v>
      </c>
      <c r="AK8" s="41">
        <f t="shared" si="12"/>
        <v>8.56</v>
      </c>
      <c r="AL8" s="41">
        <f t="shared" si="13"/>
        <v>29.259999999999998</v>
      </c>
      <c r="AM8" s="41">
        <f t="shared" si="14"/>
        <v>29.259999999999998</v>
      </c>
      <c r="AN8" s="41" t="str">
        <f t="shared" si="15"/>
        <v/>
      </c>
      <c r="AO8" s="41" t="str">
        <f t="shared" si="15"/>
        <v/>
      </c>
      <c r="AP8" s="41" t="str">
        <f t="shared" si="16"/>
        <v/>
      </c>
      <c r="AQ8" s="41">
        <f t="shared" si="17"/>
        <v>29.259999999999998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18"/>
        <v/>
      </c>
      <c r="BI8" s="40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26"/>
        <v/>
      </c>
      <c r="CJ8" s="39" t="str">
        <f t="shared" si="26"/>
        <v/>
      </c>
      <c r="CK8" s="41" t="str">
        <f t="shared" si="27"/>
        <v/>
      </c>
      <c r="CL8" s="41" t="str">
        <f t="shared" si="28"/>
        <v/>
      </c>
      <c r="CM8" s="41" t="str">
        <f t="shared" si="28"/>
        <v/>
      </c>
      <c r="CN8" s="41" t="str">
        <f t="shared" si="29"/>
        <v/>
      </c>
      <c r="CO8" s="41" t="str">
        <f t="shared" si="30"/>
        <v/>
      </c>
      <c r="CP8" s="41" t="str">
        <f t="shared" si="31"/>
        <v/>
      </c>
      <c r="CQ8" s="41" t="str">
        <f t="shared" si="31"/>
        <v/>
      </c>
      <c r="CR8" s="41" t="str">
        <f t="shared" si="32"/>
        <v/>
      </c>
      <c r="CS8" s="41" t="str">
        <f t="shared" si="33"/>
        <v/>
      </c>
      <c r="CT8" s="52" t="str">
        <f t="shared" si="34"/>
        <v/>
      </c>
      <c r="CU8" s="52" t="str">
        <f t="shared" si="35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36"/>
        <v/>
      </c>
      <c r="DQ8" s="41" t="str">
        <f t="shared" si="36"/>
        <v/>
      </c>
      <c r="DR8" s="41" t="str">
        <f t="shared" si="37"/>
        <v/>
      </c>
      <c r="DS8" s="41" t="str">
        <f t="shared" si="38"/>
        <v/>
      </c>
      <c r="DT8" s="41" t="str">
        <f t="shared" si="38"/>
        <v/>
      </c>
      <c r="DU8" s="41" t="str">
        <f t="shared" si="39"/>
        <v/>
      </c>
      <c r="DV8" s="41" t="str">
        <f t="shared" si="40"/>
        <v/>
      </c>
      <c r="DW8" s="41" t="str">
        <f t="shared" si="41"/>
        <v/>
      </c>
      <c r="DX8" s="41" t="str">
        <f t="shared" si="41"/>
        <v/>
      </c>
      <c r="DY8" s="41" t="str">
        <f t="shared" si="42"/>
        <v/>
      </c>
      <c r="DZ8" s="41" t="str">
        <f t="shared" si="43"/>
        <v/>
      </c>
      <c r="EA8" s="41" t="str">
        <f t="shared" si="43"/>
        <v/>
      </c>
      <c r="EB8" s="41" t="str">
        <f t="shared" si="44"/>
        <v/>
      </c>
      <c r="EC8" s="41" t="str">
        <f t="shared" si="45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56"/>
        <v/>
      </c>
      <c r="GG8" s="41" t="str">
        <f t="shared" si="56"/>
        <v/>
      </c>
      <c r="GH8" s="41" t="str">
        <f t="shared" si="57"/>
        <v/>
      </c>
      <c r="GI8" s="41" t="str">
        <f t="shared" si="58"/>
        <v/>
      </c>
      <c r="GJ8" s="41" t="str">
        <f t="shared" si="58"/>
        <v/>
      </c>
      <c r="GK8" s="41" t="str">
        <f t="shared" si="59"/>
        <v/>
      </c>
      <c r="GL8" s="41" t="str">
        <f t="shared" si="60"/>
        <v/>
      </c>
      <c r="GM8" s="41" t="str">
        <f t="shared" si="61"/>
        <v/>
      </c>
      <c r="GN8" s="41" t="str">
        <f t="shared" si="61"/>
        <v/>
      </c>
      <c r="GO8" s="41" t="str">
        <f t="shared" si="62"/>
        <v/>
      </c>
      <c r="GP8" s="41" t="str">
        <f t="shared" si="63"/>
        <v/>
      </c>
      <c r="GQ8" s="41" t="str">
        <f t="shared" si="63"/>
        <v/>
      </c>
      <c r="GR8" s="41" t="str">
        <f t="shared" si="64"/>
        <v/>
      </c>
      <c r="GS8" s="41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76"/>
        <v/>
      </c>
      <c r="IW8" s="41" t="str">
        <f t="shared" si="76"/>
        <v/>
      </c>
      <c r="IX8" s="41" t="str">
        <f t="shared" si="77"/>
        <v/>
      </c>
      <c r="IY8" s="41" t="str">
        <f t="shared" si="78"/>
        <v/>
      </c>
      <c r="IZ8" s="41" t="str">
        <f t="shared" si="78"/>
        <v/>
      </c>
      <c r="JA8" s="41" t="str">
        <f t="shared" si="79"/>
        <v/>
      </c>
      <c r="JB8" s="41" t="str">
        <f t="shared" si="80"/>
        <v/>
      </c>
      <c r="JC8" s="41" t="str">
        <f t="shared" si="81"/>
        <v/>
      </c>
      <c r="JD8" s="41" t="str">
        <f t="shared" si="81"/>
        <v/>
      </c>
      <c r="JE8" s="41" t="str">
        <f t="shared" si="82"/>
        <v/>
      </c>
      <c r="JF8" s="41" t="str">
        <f t="shared" si="83"/>
        <v/>
      </c>
      <c r="JG8" s="41" t="str">
        <f t="shared" si="83"/>
        <v/>
      </c>
      <c r="JH8" s="41" t="str">
        <f t="shared" si="84"/>
        <v/>
      </c>
      <c r="JI8" s="41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96"/>
        <v/>
      </c>
      <c r="LM8" s="41" t="str">
        <f t="shared" si="96"/>
        <v/>
      </c>
      <c r="LN8" s="41" t="str">
        <f t="shared" si="97"/>
        <v/>
      </c>
      <c r="LO8" s="41" t="str">
        <f t="shared" si="98"/>
        <v/>
      </c>
      <c r="LP8" s="41" t="str">
        <f t="shared" si="98"/>
        <v/>
      </c>
      <c r="LQ8" s="41" t="str">
        <f t="shared" si="99"/>
        <v/>
      </c>
      <c r="LR8" s="41" t="str">
        <f t="shared" si="100"/>
        <v/>
      </c>
      <c r="LS8" s="41" t="str">
        <f t="shared" si="101"/>
        <v/>
      </c>
      <c r="LT8" s="41" t="str">
        <f t="shared" si="101"/>
        <v/>
      </c>
      <c r="LU8" s="41" t="str">
        <f t="shared" si="102"/>
        <v/>
      </c>
      <c r="LV8" s="41" t="str">
        <f t="shared" si="103"/>
        <v/>
      </c>
      <c r="LW8" s="41" t="str">
        <f t="shared" si="103"/>
        <v/>
      </c>
      <c r="LX8" s="41" t="str">
        <f t="shared" si="104"/>
        <v/>
      </c>
      <c r="LY8" s="41" t="str">
        <f t="shared" si="105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16"/>
        <v/>
      </c>
      <c r="OC8" s="41" t="str">
        <f t="shared" si="116"/>
        <v/>
      </c>
      <c r="OD8" s="41" t="str">
        <f t="shared" si="117"/>
        <v/>
      </c>
      <c r="OE8" s="41" t="str">
        <f t="shared" si="118"/>
        <v/>
      </c>
      <c r="OF8" s="41" t="str">
        <f t="shared" si="118"/>
        <v/>
      </c>
      <c r="OG8" s="41" t="str">
        <f t="shared" si="119"/>
        <v/>
      </c>
      <c r="OH8" s="41" t="str">
        <f t="shared" si="120"/>
        <v/>
      </c>
      <c r="OI8" s="41" t="str">
        <f t="shared" si="121"/>
        <v/>
      </c>
      <c r="OJ8" s="41" t="str">
        <f t="shared" si="121"/>
        <v/>
      </c>
      <c r="OK8" s="41" t="str">
        <f t="shared" si="122"/>
        <v/>
      </c>
      <c r="OL8" s="41" t="str">
        <f t="shared" si="123"/>
        <v/>
      </c>
      <c r="OM8" s="41" t="str">
        <f t="shared" si="123"/>
        <v/>
      </c>
      <c r="ON8" s="41" t="str">
        <f t="shared" si="124"/>
        <v/>
      </c>
      <c r="OO8" s="41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36"/>
        <v/>
      </c>
      <c r="QS8" s="41" t="str">
        <f t="shared" si="136"/>
        <v/>
      </c>
      <c r="QT8" s="41" t="str">
        <f t="shared" si="137"/>
        <v/>
      </c>
      <c r="QU8" s="41" t="str">
        <f t="shared" si="138"/>
        <v/>
      </c>
      <c r="QV8" s="41" t="str">
        <f t="shared" si="138"/>
        <v/>
      </c>
      <c r="QW8" s="41" t="str">
        <f t="shared" si="139"/>
        <v/>
      </c>
      <c r="QX8" s="41" t="str">
        <f t="shared" si="140"/>
        <v/>
      </c>
      <c r="QY8" s="41" t="str">
        <f t="shared" si="141"/>
        <v/>
      </c>
      <c r="QZ8" s="41" t="str">
        <f t="shared" si="141"/>
        <v/>
      </c>
      <c r="RA8" s="41" t="str">
        <f t="shared" si="142"/>
        <v/>
      </c>
      <c r="RB8" s="41" t="str">
        <f t="shared" si="143"/>
        <v/>
      </c>
      <c r="RC8" s="41" t="str">
        <f t="shared" si="143"/>
        <v/>
      </c>
      <c r="RD8" s="41" t="str">
        <f t="shared" si="144"/>
        <v/>
      </c>
      <c r="RE8" s="41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23">
        <f t="shared" si="156"/>
        <v>0</v>
      </c>
      <c r="SO8" s="23">
        <f t="shared" si="156"/>
        <v>0</v>
      </c>
      <c r="SP8" s="23">
        <f t="shared" si="156"/>
        <v>0</v>
      </c>
      <c r="SQ8" s="23">
        <f t="shared" si="156"/>
        <v>0</v>
      </c>
      <c r="SR8" s="23">
        <f t="shared" si="156"/>
        <v>0</v>
      </c>
      <c r="SS8" s="23">
        <f t="shared" si="156"/>
        <v>0</v>
      </c>
      <c r="ST8" s="23">
        <f t="shared" si="156"/>
        <v>0</v>
      </c>
      <c r="SU8" s="23">
        <f t="shared" si="156"/>
        <v>0</v>
      </c>
      <c r="SV8" s="23">
        <f t="shared" si="156"/>
        <v>0</v>
      </c>
      <c r="SW8" s="23">
        <f t="shared" si="156"/>
        <v>0</v>
      </c>
      <c r="SX8" s="23">
        <f t="shared" si="156"/>
        <v>0</v>
      </c>
      <c r="SY8" s="23">
        <f t="shared" si="156"/>
        <v>0</v>
      </c>
      <c r="SZ8" s="23">
        <f t="shared" si="156"/>
        <v>0</v>
      </c>
      <c r="TA8" s="23">
        <f t="shared" si="156"/>
        <v>0</v>
      </c>
      <c r="TB8" s="23">
        <f t="shared" si="156"/>
        <v>0</v>
      </c>
      <c r="TC8" s="28" t="s">
        <v>58</v>
      </c>
      <c r="TD8" s="41" t="str">
        <f t="shared" si="157"/>
        <v/>
      </c>
      <c r="TE8" s="41" t="str">
        <f t="shared" si="157"/>
        <v/>
      </c>
      <c r="TF8" s="41" t="str">
        <f t="shared" si="158"/>
        <v/>
      </c>
      <c r="TG8" s="41" t="str">
        <f t="shared" si="159"/>
        <v/>
      </c>
      <c r="TH8" s="41" t="str">
        <f t="shared" si="159"/>
        <v/>
      </c>
      <c r="TI8" s="41" t="str">
        <f t="shared" si="160"/>
        <v/>
      </c>
      <c r="TJ8" s="41" t="str">
        <f t="shared" si="161"/>
        <v/>
      </c>
      <c r="TK8" s="41" t="str">
        <f t="shared" si="162"/>
        <v/>
      </c>
      <c r="TL8" s="41" t="str">
        <f t="shared" si="162"/>
        <v/>
      </c>
      <c r="TM8" s="41" t="str">
        <f t="shared" si="163"/>
        <v/>
      </c>
      <c r="TN8" s="41" t="str">
        <f t="shared" si="164"/>
        <v/>
      </c>
    </row>
    <row r="9" spans="1:534" x14ac:dyDescent="0.2">
      <c r="A9" s="4" t="str" cm="1">
        <f t="array" ref="A9">IF(AND(F9&lt;&gt;"",G9&lt;&gt;""),SUMPRODUCT((F$4:F$11&lt;&gt;"")*(G$4:G$11&lt;&gt;"")*(E$4:E$11&gt;E9))+1,IF(G9&lt;&gt;"",SUMPRODUCT((H$4:H$11="No DD")*(E$4:E$11&gt;E9))+1+SUMPRODUCT((F$4:F$11&lt;&gt;"")*(G$4:G$11&lt;&gt;"")),""))</f>
        <v/>
      </c>
      <c r="B9" s="5" t="s">
        <v>179</v>
      </c>
      <c r="C9" s="4" t="s">
        <v>5</v>
      </c>
      <c r="D9" s="4" t="s">
        <v>178</v>
      </c>
      <c r="E9" s="9">
        <f t="shared" si="0"/>
        <v>47.9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25.769999999999996</v>
      </c>
      <c r="K9" s="8" t="str">
        <f t="shared" si="5"/>
        <v>2022 Nationals</v>
      </c>
      <c r="L9" s="8">
        <f>IF(COUNT(AI9,AL9,AP9,BJ9,BM9,BQ9,CK9,CN9,CR9)&gt;1,LARGE((AI9,AL9,AP9,BJ9,BM9,BQ9,CK9,CN9,CR9),2),0)</f>
        <v>22.130000000000003</v>
      </c>
      <c r="M9" s="8" t="str">
        <f t="shared" si="6"/>
        <v>2022 Nationals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>
        <v>3.45</v>
      </c>
      <c r="R9" s="23">
        <v>4.5999999999999996</v>
      </c>
      <c r="S9" s="23">
        <v>6</v>
      </c>
      <c r="T9" s="23">
        <v>8.08</v>
      </c>
      <c r="U9" s="23">
        <v>0</v>
      </c>
      <c r="V9" s="23">
        <v>4.45</v>
      </c>
      <c r="W9" s="23">
        <v>5.6</v>
      </c>
      <c r="X9" s="23">
        <v>6.6</v>
      </c>
      <c r="Y9" s="23">
        <v>9.1199999999999992</v>
      </c>
      <c r="Z9" s="23">
        <v>0</v>
      </c>
      <c r="AA9" s="23"/>
      <c r="AB9" s="23"/>
      <c r="AC9" s="23"/>
      <c r="AD9" s="23"/>
      <c r="AE9" s="23"/>
      <c r="AF9" s="28"/>
      <c r="AG9" s="39">
        <f t="shared" si="10"/>
        <v>6</v>
      </c>
      <c r="AH9" s="39">
        <f t="shared" si="10"/>
        <v>8.08</v>
      </c>
      <c r="AI9" s="41">
        <f t="shared" si="11"/>
        <v>22.130000000000003</v>
      </c>
      <c r="AJ9" s="41">
        <f t="shared" si="12"/>
        <v>6.6</v>
      </c>
      <c r="AK9" s="41">
        <f t="shared" si="12"/>
        <v>9.1199999999999992</v>
      </c>
      <c r="AL9" s="41">
        <f t="shared" si="13"/>
        <v>25.769999999999996</v>
      </c>
      <c r="AM9" s="41">
        <f t="shared" si="14"/>
        <v>25.769999999999996</v>
      </c>
      <c r="AN9" s="41" t="str">
        <f t="shared" si="15"/>
        <v/>
      </c>
      <c r="AO9" s="41" t="str">
        <f t="shared" si="15"/>
        <v/>
      </c>
      <c r="AP9" s="41" t="str">
        <f t="shared" si="16"/>
        <v/>
      </c>
      <c r="AQ9" s="41">
        <f t="shared" si="17"/>
        <v>25.769999999999996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18"/>
        <v/>
      </c>
      <c r="BI9" s="40" t="str">
        <f t="shared" si="18"/>
        <v/>
      </c>
      <c r="BJ9" s="11" t="str">
        <f t="shared" si="19"/>
        <v/>
      </c>
      <c r="BK9" s="11" t="str">
        <f t="shared" si="20"/>
        <v/>
      </c>
      <c r="BL9" s="11" t="str">
        <f t="shared" si="20"/>
        <v/>
      </c>
      <c r="BM9" s="11" t="str">
        <f t="shared" si="21"/>
        <v/>
      </c>
      <c r="BN9" s="11" t="str">
        <f t="shared" si="22"/>
        <v/>
      </c>
      <c r="BO9" s="11" t="str">
        <f t="shared" si="23"/>
        <v/>
      </c>
      <c r="BP9" s="11" t="str">
        <f t="shared" si="23"/>
        <v/>
      </c>
      <c r="BQ9" s="11" t="str">
        <f t="shared" si="24"/>
        <v/>
      </c>
      <c r="BR9" s="11" t="str">
        <f t="shared" si="25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26"/>
        <v/>
      </c>
      <c r="CJ9" s="39" t="str">
        <f t="shared" si="26"/>
        <v/>
      </c>
      <c r="CK9" s="41" t="str">
        <f t="shared" si="27"/>
        <v/>
      </c>
      <c r="CL9" s="41" t="str">
        <f t="shared" si="28"/>
        <v/>
      </c>
      <c r="CM9" s="41" t="str">
        <f t="shared" si="28"/>
        <v/>
      </c>
      <c r="CN9" s="41" t="str">
        <f t="shared" si="29"/>
        <v/>
      </c>
      <c r="CO9" s="41" t="str">
        <f t="shared" si="30"/>
        <v/>
      </c>
      <c r="CP9" s="41" t="str">
        <f t="shared" si="31"/>
        <v/>
      </c>
      <c r="CQ9" s="41" t="str">
        <f t="shared" si="31"/>
        <v/>
      </c>
      <c r="CR9" s="41" t="str">
        <f t="shared" si="32"/>
        <v/>
      </c>
      <c r="CS9" s="41" t="str">
        <f t="shared" si="33"/>
        <v/>
      </c>
      <c r="CT9" s="52" t="str">
        <f t="shared" si="34"/>
        <v/>
      </c>
      <c r="CU9" s="52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36"/>
        <v/>
      </c>
      <c r="DQ9" s="41" t="str">
        <f t="shared" si="36"/>
        <v/>
      </c>
      <c r="DR9" s="41" t="str">
        <f t="shared" si="37"/>
        <v/>
      </c>
      <c r="DS9" s="41" t="str">
        <f t="shared" si="38"/>
        <v/>
      </c>
      <c r="DT9" s="41" t="str">
        <f t="shared" si="38"/>
        <v/>
      </c>
      <c r="DU9" s="41" t="str">
        <f t="shared" si="39"/>
        <v/>
      </c>
      <c r="DV9" s="41" t="str">
        <f t="shared" si="40"/>
        <v/>
      </c>
      <c r="DW9" s="41" t="str">
        <f t="shared" si="41"/>
        <v/>
      </c>
      <c r="DX9" s="41" t="str">
        <f t="shared" si="41"/>
        <v/>
      </c>
      <c r="DY9" s="41" t="str">
        <f t="shared" si="42"/>
        <v/>
      </c>
      <c r="DZ9" s="41" t="str">
        <f t="shared" si="43"/>
        <v/>
      </c>
      <c r="EA9" s="41" t="str">
        <f t="shared" si="43"/>
        <v/>
      </c>
      <c r="EB9" s="41" t="str">
        <f t="shared" si="44"/>
        <v/>
      </c>
      <c r="EC9" s="41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56"/>
        <v/>
      </c>
      <c r="GG9" s="41" t="str">
        <f t="shared" si="56"/>
        <v/>
      </c>
      <c r="GH9" s="41" t="str">
        <f t="shared" si="57"/>
        <v/>
      </c>
      <c r="GI9" s="41" t="str">
        <f t="shared" si="58"/>
        <v/>
      </c>
      <c r="GJ9" s="41" t="str">
        <f t="shared" si="58"/>
        <v/>
      </c>
      <c r="GK9" s="41" t="str">
        <f t="shared" si="59"/>
        <v/>
      </c>
      <c r="GL9" s="41" t="str">
        <f t="shared" si="60"/>
        <v/>
      </c>
      <c r="GM9" s="41" t="str">
        <f t="shared" si="61"/>
        <v/>
      </c>
      <c r="GN9" s="41" t="str">
        <f t="shared" si="61"/>
        <v/>
      </c>
      <c r="GO9" s="41" t="str">
        <f t="shared" si="62"/>
        <v/>
      </c>
      <c r="GP9" s="41" t="str">
        <f t="shared" si="63"/>
        <v/>
      </c>
      <c r="GQ9" s="41" t="str">
        <f t="shared" si="63"/>
        <v/>
      </c>
      <c r="GR9" s="41" t="str">
        <f t="shared" si="64"/>
        <v/>
      </c>
      <c r="GS9" s="41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76"/>
        <v/>
      </c>
      <c r="IW9" s="41" t="str">
        <f t="shared" si="76"/>
        <v/>
      </c>
      <c r="IX9" s="41" t="str">
        <f t="shared" si="77"/>
        <v/>
      </c>
      <c r="IY9" s="41" t="str">
        <f t="shared" si="78"/>
        <v/>
      </c>
      <c r="IZ9" s="41" t="str">
        <f t="shared" si="78"/>
        <v/>
      </c>
      <c r="JA9" s="41" t="str">
        <f t="shared" si="79"/>
        <v/>
      </c>
      <c r="JB9" s="41" t="str">
        <f t="shared" si="80"/>
        <v/>
      </c>
      <c r="JC9" s="41" t="str">
        <f t="shared" si="81"/>
        <v/>
      </c>
      <c r="JD9" s="41" t="str">
        <f t="shared" si="81"/>
        <v/>
      </c>
      <c r="JE9" s="41" t="str">
        <f t="shared" si="82"/>
        <v/>
      </c>
      <c r="JF9" s="41" t="str">
        <f t="shared" si="83"/>
        <v/>
      </c>
      <c r="JG9" s="41" t="str">
        <f t="shared" si="83"/>
        <v/>
      </c>
      <c r="JH9" s="41" t="str">
        <f t="shared" si="84"/>
        <v/>
      </c>
      <c r="JI9" s="41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96"/>
        <v/>
      </c>
      <c r="LM9" s="41" t="str">
        <f t="shared" si="96"/>
        <v/>
      </c>
      <c r="LN9" s="41" t="str">
        <f t="shared" si="97"/>
        <v/>
      </c>
      <c r="LO9" s="41" t="str">
        <f t="shared" si="98"/>
        <v/>
      </c>
      <c r="LP9" s="41" t="str">
        <f t="shared" si="98"/>
        <v/>
      </c>
      <c r="LQ9" s="41" t="str">
        <f t="shared" si="99"/>
        <v/>
      </c>
      <c r="LR9" s="41" t="str">
        <f t="shared" si="100"/>
        <v/>
      </c>
      <c r="LS9" s="41" t="str">
        <f t="shared" si="101"/>
        <v/>
      </c>
      <c r="LT9" s="41" t="str">
        <f t="shared" si="101"/>
        <v/>
      </c>
      <c r="LU9" s="41" t="str">
        <f t="shared" si="102"/>
        <v/>
      </c>
      <c r="LV9" s="41" t="str">
        <f t="shared" si="103"/>
        <v/>
      </c>
      <c r="LW9" s="41" t="str">
        <f t="shared" si="103"/>
        <v/>
      </c>
      <c r="LX9" s="41" t="str">
        <f t="shared" si="104"/>
        <v/>
      </c>
      <c r="LY9" s="41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16"/>
        <v/>
      </c>
      <c r="OC9" s="41" t="str">
        <f t="shared" si="116"/>
        <v/>
      </c>
      <c r="OD9" s="41" t="str">
        <f t="shared" si="117"/>
        <v/>
      </c>
      <c r="OE9" s="41" t="str">
        <f t="shared" si="118"/>
        <v/>
      </c>
      <c r="OF9" s="41" t="str">
        <f t="shared" si="118"/>
        <v/>
      </c>
      <c r="OG9" s="41" t="str">
        <f t="shared" si="119"/>
        <v/>
      </c>
      <c r="OH9" s="41" t="str">
        <f t="shared" si="120"/>
        <v/>
      </c>
      <c r="OI9" s="41" t="str">
        <f t="shared" si="121"/>
        <v/>
      </c>
      <c r="OJ9" s="41" t="str">
        <f t="shared" si="121"/>
        <v/>
      </c>
      <c r="OK9" s="41" t="str">
        <f t="shared" si="122"/>
        <v/>
      </c>
      <c r="OL9" s="41" t="str">
        <f t="shared" si="123"/>
        <v/>
      </c>
      <c r="OM9" s="41" t="str">
        <f t="shared" si="123"/>
        <v/>
      </c>
      <c r="ON9" s="41" t="str">
        <f t="shared" si="124"/>
        <v/>
      </c>
      <c r="OO9" s="41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36"/>
        <v/>
      </c>
      <c r="QS9" s="41" t="str">
        <f t="shared" si="136"/>
        <v/>
      </c>
      <c r="QT9" s="41" t="str">
        <f t="shared" si="137"/>
        <v/>
      </c>
      <c r="QU9" s="41" t="str">
        <f t="shared" si="138"/>
        <v/>
      </c>
      <c r="QV9" s="41" t="str">
        <f t="shared" si="138"/>
        <v/>
      </c>
      <c r="QW9" s="41" t="str">
        <f t="shared" si="139"/>
        <v/>
      </c>
      <c r="QX9" s="41" t="str">
        <f t="shared" si="140"/>
        <v/>
      </c>
      <c r="QY9" s="41" t="str">
        <f t="shared" si="141"/>
        <v/>
      </c>
      <c r="QZ9" s="41" t="str">
        <f t="shared" si="141"/>
        <v/>
      </c>
      <c r="RA9" s="41" t="str">
        <f t="shared" si="142"/>
        <v/>
      </c>
      <c r="RB9" s="41" t="str">
        <f t="shared" si="143"/>
        <v/>
      </c>
      <c r="RC9" s="41" t="str">
        <f t="shared" si="143"/>
        <v/>
      </c>
      <c r="RD9" s="41" t="str">
        <f t="shared" si="144"/>
        <v/>
      </c>
      <c r="RE9" s="41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23">
        <f t="shared" si="156"/>
        <v>0</v>
      </c>
      <c r="SO9" s="23">
        <f t="shared" si="156"/>
        <v>0</v>
      </c>
      <c r="SP9" s="23">
        <f t="shared" si="156"/>
        <v>0</v>
      </c>
      <c r="SQ9" s="23">
        <f t="shared" si="156"/>
        <v>0</v>
      </c>
      <c r="SR9" s="23">
        <f t="shared" si="156"/>
        <v>0</v>
      </c>
      <c r="SS9" s="23">
        <f t="shared" si="156"/>
        <v>0</v>
      </c>
      <c r="ST9" s="23">
        <f t="shared" si="156"/>
        <v>0</v>
      </c>
      <c r="SU9" s="23">
        <f t="shared" si="156"/>
        <v>0</v>
      </c>
      <c r="SV9" s="23">
        <f t="shared" si="156"/>
        <v>0</v>
      </c>
      <c r="SW9" s="23">
        <f t="shared" si="156"/>
        <v>0</v>
      </c>
      <c r="SX9" s="23">
        <f t="shared" si="156"/>
        <v>0</v>
      </c>
      <c r="SY9" s="23">
        <f t="shared" si="156"/>
        <v>0</v>
      </c>
      <c r="SZ9" s="23">
        <f t="shared" si="156"/>
        <v>0</v>
      </c>
      <c r="TA9" s="23">
        <f t="shared" si="156"/>
        <v>0</v>
      </c>
      <c r="TB9" s="23">
        <f t="shared" si="156"/>
        <v>0</v>
      </c>
      <c r="TC9" s="28" t="s">
        <v>58</v>
      </c>
      <c r="TD9" s="41" t="str">
        <f t="shared" si="157"/>
        <v/>
      </c>
      <c r="TE9" s="41" t="str">
        <f t="shared" si="157"/>
        <v/>
      </c>
      <c r="TF9" s="41" t="str">
        <f t="shared" si="158"/>
        <v/>
      </c>
      <c r="TG9" s="41" t="str">
        <f t="shared" si="159"/>
        <v/>
      </c>
      <c r="TH9" s="41" t="str">
        <f t="shared" si="159"/>
        <v/>
      </c>
      <c r="TI9" s="41" t="str">
        <f t="shared" si="160"/>
        <v/>
      </c>
      <c r="TJ9" s="41" t="str">
        <f t="shared" si="161"/>
        <v/>
      </c>
      <c r="TK9" s="41" t="str">
        <f t="shared" si="162"/>
        <v/>
      </c>
      <c r="TL9" s="41" t="str">
        <f t="shared" si="162"/>
        <v/>
      </c>
      <c r="TM9" s="41" t="str">
        <f t="shared" si="163"/>
        <v/>
      </c>
      <c r="TN9" s="41" t="str">
        <f t="shared" si="164"/>
        <v/>
      </c>
    </row>
    <row r="10" spans="1:534" x14ac:dyDescent="0.2">
      <c r="A10" s="4" t="str" cm="1">
        <f t="array" ref="A10">IF(AND(F10&lt;&gt;"",G10&lt;&gt;""),SUMPRODUCT((F$4:F$11&lt;&gt;"")*(G$4:G$11&lt;&gt;"")*(E$4:E$11&gt;E10))+1,IF(G10&lt;&gt;"",SUMPRODUCT((H$4:H$11="No DD")*(E$4:E$11&gt;E10))+1+SUMPRODUCT((F$4:F$11&lt;&gt;"")*(G$4:G$11&lt;&gt;"")),""))</f>
        <v/>
      </c>
      <c r="B10" s="5" t="s">
        <v>209</v>
      </c>
      <c r="C10" s="4" t="s">
        <v>208</v>
      </c>
      <c r="D10" s="4">
        <v>2003</v>
      </c>
      <c r="E10" s="9">
        <f t="shared" si="0"/>
        <v>4.16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4.16</v>
      </c>
      <c r="O10" s="11" t="str">
        <f t="shared" si="8"/>
        <v>(Prelim)</v>
      </c>
      <c r="P10" s="8" t="str">
        <f t="shared" si="9"/>
        <v>2022 WAGC (Nov 26)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0"/>
        <v/>
      </c>
      <c r="AI10" s="41" t="str">
        <f t="shared" si="11"/>
        <v/>
      </c>
      <c r="AJ10" s="41" t="str">
        <f t="shared" si="12"/>
        <v/>
      </c>
      <c r="AK10" s="41" t="str">
        <f t="shared" si="12"/>
        <v/>
      </c>
      <c r="AL10" s="41" t="str">
        <f t="shared" si="13"/>
        <v/>
      </c>
      <c r="AM10" s="41" t="str">
        <f t="shared" si="14"/>
        <v/>
      </c>
      <c r="AN10" s="41" t="str">
        <f t="shared" si="15"/>
        <v/>
      </c>
      <c r="AO10" s="41" t="str">
        <f t="shared" si="15"/>
        <v/>
      </c>
      <c r="AP10" s="41" t="str">
        <f t="shared" si="16"/>
        <v/>
      </c>
      <c r="AQ10" s="41" t="str">
        <f t="shared" si="17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18"/>
        <v/>
      </c>
      <c r="BI10" s="40" t="str">
        <f t="shared" si="18"/>
        <v/>
      </c>
      <c r="BJ10" s="11" t="str">
        <f t="shared" si="19"/>
        <v/>
      </c>
      <c r="BK10" s="11" t="str">
        <f t="shared" si="20"/>
        <v/>
      </c>
      <c r="BL10" s="11" t="str">
        <f t="shared" si="20"/>
        <v/>
      </c>
      <c r="BM10" s="11" t="str">
        <f t="shared" si="21"/>
        <v/>
      </c>
      <c r="BN10" s="11" t="str">
        <f t="shared" si="22"/>
        <v/>
      </c>
      <c r="BO10" s="11" t="str">
        <f t="shared" si="23"/>
        <v/>
      </c>
      <c r="BP10" s="11" t="str">
        <f t="shared" si="23"/>
        <v/>
      </c>
      <c r="BQ10" s="11" t="str">
        <f t="shared" si="24"/>
        <v/>
      </c>
      <c r="BR10" s="11" t="str">
        <f t="shared" si="25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26"/>
        <v/>
      </c>
      <c r="CJ10" s="39" t="str">
        <f t="shared" si="26"/>
        <v/>
      </c>
      <c r="CK10" s="41" t="str">
        <f t="shared" si="27"/>
        <v/>
      </c>
      <c r="CL10" s="41" t="str">
        <f t="shared" si="28"/>
        <v/>
      </c>
      <c r="CM10" s="41" t="str">
        <f t="shared" si="28"/>
        <v/>
      </c>
      <c r="CN10" s="41" t="str">
        <f t="shared" si="29"/>
        <v/>
      </c>
      <c r="CO10" s="41" t="str">
        <f t="shared" si="30"/>
        <v/>
      </c>
      <c r="CP10" s="41" t="str">
        <f t="shared" si="31"/>
        <v/>
      </c>
      <c r="CQ10" s="41" t="str">
        <f t="shared" si="31"/>
        <v/>
      </c>
      <c r="CR10" s="41" t="str">
        <f t="shared" si="32"/>
        <v/>
      </c>
      <c r="CS10" s="41" t="str">
        <f t="shared" si="33"/>
        <v/>
      </c>
      <c r="CT10" s="52">
        <f t="shared" si="34"/>
        <v>4.16</v>
      </c>
      <c r="CU10" s="52" t="str">
        <f t="shared" si="35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36"/>
        <v/>
      </c>
      <c r="DQ10" s="41" t="str">
        <f t="shared" si="36"/>
        <v/>
      </c>
      <c r="DR10" s="41" t="str">
        <f t="shared" si="37"/>
        <v/>
      </c>
      <c r="DS10" s="41" t="str">
        <f t="shared" si="38"/>
        <v/>
      </c>
      <c r="DT10" s="41" t="str">
        <f t="shared" si="38"/>
        <v/>
      </c>
      <c r="DU10" s="41" t="str">
        <f t="shared" si="39"/>
        <v/>
      </c>
      <c r="DV10" s="41" t="str">
        <f t="shared" si="40"/>
        <v/>
      </c>
      <c r="DW10" s="41" t="str">
        <f t="shared" si="41"/>
        <v/>
      </c>
      <c r="DX10" s="41" t="str">
        <f t="shared" si="41"/>
        <v/>
      </c>
      <c r="DY10" s="41" t="str">
        <f t="shared" si="42"/>
        <v/>
      </c>
      <c r="DZ10" s="41" t="str">
        <f t="shared" si="43"/>
        <v/>
      </c>
      <c r="EA10" s="41" t="str">
        <f t="shared" si="43"/>
        <v/>
      </c>
      <c r="EB10" s="41" t="str">
        <f t="shared" si="44"/>
        <v/>
      </c>
      <c r="EC10" s="41" t="str">
        <f t="shared" si="45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46"/>
        <v/>
      </c>
      <c r="EY10" s="11" t="str">
        <f t="shared" si="46"/>
        <v/>
      </c>
      <c r="EZ10" s="11" t="str">
        <f t="shared" si="47"/>
        <v/>
      </c>
      <c r="FA10" s="11" t="str">
        <f t="shared" si="48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3"/>
        <v/>
      </c>
      <c r="FJ10" s="11" t="str">
        <f t="shared" si="54"/>
        <v/>
      </c>
      <c r="FK10" s="11" t="str">
        <f t="shared" si="55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56"/>
        <v/>
      </c>
      <c r="GG10" s="41" t="str">
        <f t="shared" si="56"/>
        <v/>
      </c>
      <c r="GH10" s="41" t="str">
        <f t="shared" si="57"/>
        <v/>
      </c>
      <c r="GI10" s="41" t="str">
        <f t="shared" si="58"/>
        <v/>
      </c>
      <c r="GJ10" s="41" t="str">
        <f t="shared" si="58"/>
        <v/>
      </c>
      <c r="GK10" s="41" t="str">
        <f t="shared" si="59"/>
        <v/>
      </c>
      <c r="GL10" s="41" t="str">
        <f t="shared" si="60"/>
        <v/>
      </c>
      <c r="GM10" s="41" t="str">
        <f t="shared" si="61"/>
        <v/>
      </c>
      <c r="GN10" s="41" t="str">
        <f t="shared" si="61"/>
        <v/>
      </c>
      <c r="GO10" s="41" t="str">
        <f t="shared" si="62"/>
        <v/>
      </c>
      <c r="GP10" s="41" t="str">
        <f t="shared" si="63"/>
        <v/>
      </c>
      <c r="GQ10" s="41" t="str">
        <f t="shared" si="63"/>
        <v/>
      </c>
      <c r="GR10" s="41" t="str">
        <f t="shared" si="64"/>
        <v/>
      </c>
      <c r="GS10" s="41" t="str">
        <f t="shared" si="65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66"/>
        <v/>
      </c>
      <c r="HO10" s="11" t="str">
        <f t="shared" si="66"/>
        <v/>
      </c>
      <c r="HP10" s="11" t="str">
        <f t="shared" si="67"/>
        <v/>
      </c>
      <c r="HQ10" s="11" t="str">
        <f t="shared" si="68"/>
        <v/>
      </c>
      <c r="HR10" s="11" t="str">
        <f t="shared" si="68"/>
        <v/>
      </c>
      <c r="HS10" s="11" t="str">
        <f t="shared" si="69"/>
        <v/>
      </c>
      <c r="HT10" s="11" t="str">
        <f t="shared" si="70"/>
        <v/>
      </c>
      <c r="HU10" s="11" t="str">
        <f t="shared" si="71"/>
        <v/>
      </c>
      <c r="HV10" s="11" t="str">
        <f t="shared" si="71"/>
        <v/>
      </c>
      <c r="HW10" s="11" t="str">
        <f t="shared" si="72"/>
        <v/>
      </c>
      <c r="HX10" s="11" t="str">
        <f t="shared" si="73"/>
        <v/>
      </c>
      <c r="HY10" s="11" t="str">
        <f t="shared" si="73"/>
        <v/>
      </c>
      <c r="HZ10" s="11" t="str">
        <f t="shared" si="74"/>
        <v/>
      </c>
      <c r="IA10" s="11" t="str">
        <f t="shared" si="75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76"/>
        <v/>
      </c>
      <c r="IW10" s="41" t="str">
        <f t="shared" si="76"/>
        <v/>
      </c>
      <c r="IX10" s="41" t="str">
        <f t="shared" si="77"/>
        <v/>
      </c>
      <c r="IY10" s="41" t="str">
        <f t="shared" si="78"/>
        <v/>
      </c>
      <c r="IZ10" s="41" t="str">
        <f t="shared" si="78"/>
        <v/>
      </c>
      <c r="JA10" s="41" t="str">
        <f t="shared" si="79"/>
        <v/>
      </c>
      <c r="JB10" s="41" t="str">
        <f t="shared" si="80"/>
        <v/>
      </c>
      <c r="JC10" s="41" t="str">
        <f t="shared" si="81"/>
        <v/>
      </c>
      <c r="JD10" s="41" t="str">
        <f t="shared" si="81"/>
        <v/>
      </c>
      <c r="JE10" s="41" t="str">
        <f t="shared" si="82"/>
        <v/>
      </c>
      <c r="JF10" s="41" t="str">
        <f t="shared" si="83"/>
        <v/>
      </c>
      <c r="JG10" s="41" t="str">
        <f t="shared" si="83"/>
        <v/>
      </c>
      <c r="JH10" s="41" t="str">
        <f t="shared" si="84"/>
        <v/>
      </c>
      <c r="JI10" s="41" t="str">
        <f t="shared" si="85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86"/>
        <v/>
      </c>
      <c r="KE10" s="11" t="str">
        <f t="shared" si="86"/>
        <v/>
      </c>
      <c r="KF10" s="11" t="str">
        <f t="shared" si="87"/>
        <v/>
      </c>
      <c r="KG10" s="11" t="str">
        <f t="shared" si="88"/>
        <v/>
      </c>
      <c r="KH10" s="11" t="str">
        <f t="shared" si="88"/>
        <v/>
      </c>
      <c r="KI10" s="11" t="str">
        <f t="shared" si="89"/>
        <v/>
      </c>
      <c r="KJ10" s="11" t="str">
        <f t="shared" si="90"/>
        <v/>
      </c>
      <c r="KK10" s="11" t="str">
        <f t="shared" si="91"/>
        <v/>
      </c>
      <c r="KL10" s="11" t="str">
        <f t="shared" si="91"/>
        <v/>
      </c>
      <c r="KM10" s="11" t="str">
        <f t="shared" si="92"/>
        <v/>
      </c>
      <c r="KN10" s="11" t="str">
        <f t="shared" si="93"/>
        <v/>
      </c>
      <c r="KO10" s="11" t="str">
        <f t="shared" si="93"/>
        <v/>
      </c>
      <c r="KP10" s="11" t="str">
        <f t="shared" si="94"/>
        <v/>
      </c>
      <c r="KQ10" s="11" t="str">
        <f t="shared" si="95"/>
        <v/>
      </c>
      <c r="KR10" s="17">
        <v>0.7</v>
      </c>
      <c r="KS10" s="17">
        <v>1</v>
      </c>
      <c r="KT10" s="17">
        <v>1.5</v>
      </c>
      <c r="KU10" s="17">
        <v>0.96</v>
      </c>
      <c r="KV10" s="17">
        <v>0</v>
      </c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>
        <f t="shared" si="96"/>
        <v>1.5</v>
      </c>
      <c r="LM10" s="41">
        <f t="shared" si="96"/>
        <v>0.96</v>
      </c>
      <c r="LN10" s="41">
        <f t="shared" si="97"/>
        <v>4.16</v>
      </c>
      <c r="LO10" s="41" t="str">
        <f t="shared" si="98"/>
        <v/>
      </c>
      <c r="LP10" s="41" t="str">
        <f t="shared" si="98"/>
        <v/>
      </c>
      <c r="LQ10" s="41" t="str">
        <f t="shared" si="99"/>
        <v/>
      </c>
      <c r="LR10" s="41">
        <f t="shared" si="100"/>
        <v>4.16</v>
      </c>
      <c r="LS10" s="41" t="str">
        <f t="shared" si="101"/>
        <v/>
      </c>
      <c r="LT10" s="41" t="str">
        <f t="shared" si="101"/>
        <v/>
      </c>
      <c r="LU10" s="41" t="str">
        <f t="shared" si="102"/>
        <v/>
      </c>
      <c r="LV10" s="41" t="str">
        <f t="shared" si="103"/>
        <v/>
      </c>
      <c r="LW10" s="41" t="str">
        <f t="shared" si="103"/>
        <v/>
      </c>
      <c r="LX10" s="41" t="str">
        <f t="shared" si="104"/>
        <v/>
      </c>
      <c r="LY10" s="41">
        <f t="shared" si="105"/>
        <v>4.16</v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06"/>
        <v/>
      </c>
      <c r="MU10" s="11" t="str">
        <f t="shared" si="106"/>
        <v/>
      </c>
      <c r="MV10" s="11" t="str">
        <f t="shared" si="107"/>
        <v/>
      </c>
      <c r="MW10" s="11" t="str">
        <f t="shared" si="108"/>
        <v/>
      </c>
      <c r="MX10" s="11" t="str">
        <f t="shared" si="108"/>
        <v/>
      </c>
      <c r="MY10" s="11" t="str">
        <f t="shared" si="109"/>
        <v/>
      </c>
      <c r="MZ10" s="11" t="str">
        <f t="shared" si="110"/>
        <v/>
      </c>
      <c r="NA10" s="11" t="str">
        <f t="shared" si="111"/>
        <v/>
      </c>
      <c r="NB10" s="11" t="str">
        <f t="shared" si="111"/>
        <v/>
      </c>
      <c r="NC10" s="11" t="str">
        <f t="shared" si="112"/>
        <v/>
      </c>
      <c r="ND10" s="11" t="str">
        <f t="shared" si="113"/>
        <v/>
      </c>
      <c r="NE10" s="11" t="str">
        <f t="shared" si="113"/>
        <v/>
      </c>
      <c r="NF10" s="11" t="str">
        <f t="shared" si="114"/>
        <v/>
      </c>
      <c r="NG10" s="11" t="str">
        <f t="shared" si="115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16"/>
        <v/>
      </c>
      <c r="OC10" s="41" t="str">
        <f t="shared" si="116"/>
        <v/>
      </c>
      <c r="OD10" s="41" t="str">
        <f t="shared" si="117"/>
        <v/>
      </c>
      <c r="OE10" s="41" t="str">
        <f t="shared" si="118"/>
        <v/>
      </c>
      <c r="OF10" s="41" t="str">
        <f t="shared" si="118"/>
        <v/>
      </c>
      <c r="OG10" s="41" t="str">
        <f t="shared" si="119"/>
        <v/>
      </c>
      <c r="OH10" s="41" t="str">
        <f t="shared" si="120"/>
        <v/>
      </c>
      <c r="OI10" s="41" t="str">
        <f t="shared" si="121"/>
        <v/>
      </c>
      <c r="OJ10" s="41" t="str">
        <f t="shared" si="121"/>
        <v/>
      </c>
      <c r="OK10" s="41" t="str">
        <f t="shared" si="122"/>
        <v/>
      </c>
      <c r="OL10" s="41" t="str">
        <f t="shared" si="123"/>
        <v/>
      </c>
      <c r="OM10" s="41" t="str">
        <f t="shared" si="123"/>
        <v/>
      </c>
      <c r="ON10" s="41" t="str">
        <f t="shared" si="124"/>
        <v/>
      </c>
      <c r="OO10" s="41" t="str">
        <f t="shared" si="125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26"/>
        <v/>
      </c>
      <c r="PK10" s="11" t="str">
        <f t="shared" si="126"/>
        <v/>
      </c>
      <c r="PL10" s="11" t="str">
        <f t="shared" si="127"/>
        <v/>
      </c>
      <c r="PM10" s="11" t="str">
        <f t="shared" si="128"/>
        <v/>
      </c>
      <c r="PN10" s="11" t="str">
        <f t="shared" si="128"/>
        <v/>
      </c>
      <c r="PO10" s="11" t="str">
        <f t="shared" si="129"/>
        <v/>
      </c>
      <c r="PP10" s="11" t="str">
        <f t="shared" si="130"/>
        <v/>
      </c>
      <c r="PQ10" s="11" t="str">
        <f t="shared" si="131"/>
        <v/>
      </c>
      <c r="PR10" s="11" t="str">
        <f t="shared" si="131"/>
        <v/>
      </c>
      <c r="PS10" s="11" t="str">
        <f t="shared" si="132"/>
        <v/>
      </c>
      <c r="PT10" s="11" t="str">
        <f t="shared" si="133"/>
        <v/>
      </c>
      <c r="PU10" s="11" t="str">
        <f t="shared" si="133"/>
        <v/>
      </c>
      <c r="PV10" s="11" t="str">
        <f t="shared" si="134"/>
        <v/>
      </c>
      <c r="PW10" s="11" t="str">
        <f t="shared" si="135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36"/>
        <v/>
      </c>
      <c r="QS10" s="41" t="str">
        <f t="shared" si="136"/>
        <v/>
      </c>
      <c r="QT10" s="41" t="str">
        <f t="shared" si="137"/>
        <v/>
      </c>
      <c r="QU10" s="41" t="str">
        <f t="shared" si="138"/>
        <v/>
      </c>
      <c r="QV10" s="41" t="str">
        <f t="shared" si="138"/>
        <v/>
      </c>
      <c r="QW10" s="41" t="str">
        <f t="shared" si="139"/>
        <v/>
      </c>
      <c r="QX10" s="41" t="str">
        <f t="shared" si="140"/>
        <v/>
      </c>
      <c r="QY10" s="41" t="str">
        <f t="shared" si="141"/>
        <v/>
      </c>
      <c r="QZ10" s="41" t="str">
        <f t="shared" si="141"/>
        <v/>
      </c>
      <c r="RA10" s="41" t="str">
        <f t="shared" si="142"/>
        <v/>
      </c>
      <c r="RB10" s="41" t="str">
        <f t="shared" si="143"/>
        <v/>
      </c>
      <c r="RC10" s="41" t="str">
        <f t="shared" si="143"/>
        <v/>
      </c>
      <c r="RD10" s="41" t="str">
        <f t="shared" si="144"/>
        <v/>
      </c>
      <c r="RE10" s="41" t="str">
        <f t="shared" si="145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46"/>
        <v/>
      </c>
      <c r="SA10" s="11" t="str">
        <f t="shared" si="146"/>
        <v/>
      </c>
      <c r="SB10" s="11" t="str">
        <f t="shared" si="147"/>
        <v/>
      </c>
      <c r="SC10" s="11" t="str">
        <f t="shared" si="148"/>
        <v/>
      </c>
      <c r="SD10" s="11" t="str">
        <f t="shared" si="148"/>
        <v/>
      </c>
      <c r="SE10" s="11" t="str">
        <f t="shared" si="149"/>
        <v/>
      </c>
      <c r="SF10" s="11" t="str">
        <f t="shared" si="150"/>
        <v/>
      </c>
      <c r="SG10" s="11" t="str">
        <f t="shared" si="151"/>
        <v/>
      </c>
      <c r="SH10" s="11" t="str">
        <f t="shared" si="151"/>
        <v/>
      </c>
      <c r="SI10" s="11" t="str">
        <f t="shared" si="152"/>
        <v/>
      </c>
      <c r="SJ10" s="11" t="str">
        <f t="shared" si="153"/>
        <v/>
      </c>
      <c r="SK10" s="11" t="str">
        <f t="shared" si="153"/>
        <v/>
      </c>
      <c r="SL10" s="11" t="str">
        <f t="shared" si="154"/>
        <v/>
      </c>
      <c r="SM10" s="11" t="str">
        <f t="shared" si="155"/>
        <v/>
      </c>
      <c r="SN10" s="23">
        <f t="shared" si="156"/>
        <v>0</v>
      </c>
      <c r="SO10" s="23">
        <f t="shared" si="156"/>
        <v>0</v>
      </c>
      <c r="SP10" s="23">
        <f t="shared" si="156"/>
        <v>0</v>
      </c>
      <c r="SQ10" s="23">
        <f t="shared" si="156"/>
        <v>0</v>
      </c>
      <c r="SR10" s="23">
        <f t="shared" si="156"/>
        <v>0</v>
      </c>
      <c r="SS10" s="23">
        <f t="shared" si="156"/>
        <v>0</v>
      </c>
      <c r="ST10" s="23">
        <f t="shared" si="156"/>
        <v>0</v>
      </c>
      <c r="SU10" s="23">
        <f t="shared" si="156"/>
        <v>0</v>
      </c>
      <c r="SV10" s="23">
        <f t="shared" si="156"/>
        <v>0</v>
      </c>
      <c r="SW10" s="23">
        <f t="shared" si="156"/>
        <v>0</v>
      </c>
      <c r="SX10" s="23">
        <f t="shared" si="156"/>
        <v>0</v>
      </c>
      <c r="SY10" s="23">
        <f t="shared" si="156"/>
        <v>0</v>
      </c>
      <c r="SZ10" s="23">
        <f t="shared" si="156"/>
        <v>0</v>
      </c>
      <c r="TA10" s="23">
        <f t="shared" si="156"/>
        <v>0</v>
      </c>
      <c r="TB10" s="23">
        <f t="shared" si="156"/>
        <v>0</v>
      </c>
      <c r="TC10" s="28" t="s">
        <v>58</v>
      </c>
      <c r="TD10" s="41" t="str">
        <f t="shared" si="157"/>
        <v/>
      </c>
      <c r="TE10" s="41" t="str">
        <f t="shared" si="157"/>
        <v/>
      </c>
      <c r="TF10" s="41" t="str">
        <f t="shared" si="158"/>
        <v/>
      </c>
      <c r="TG10" s="41" t="str">
        <f t="shared" si="159"/>
        <v/>
      </c>
      <c r="TH10" s="41" t="str">
        <f t="shared" si="159"/>
        <v/>
      </c>
      <c r="TI10" s="41" t="str">
        <f t="shared" si="160"/>
        <v/>
      </c>
      <c r="TJ10" s="41" t="str">
        <f t="shared" si="161"/>
        <v/>
      </c>
      <c r="TK10" s="41" t="str">
        <f t="shared" si="162"/>
        <v/>
      </c>
      <c r="TL10" s="41" t="str">
        <f t="shared" si="162"/>
        <v/>
      </c>
      <c r="TM10" s="41" t="str">
        <f t="shared" si="163"/>
        <v/>
      </c>
      <c r="TN10" s="41" t="str">
        <f t="shared" si="164"/>
        <v/>
      </c>
    </row>
    <row r="11" spans="1:534" x14ac:dyDescent="0.2">
      <c r="B11" s="5"/>
      <c r="D11" s="1"/>
    </row>
    <row r="12" spans="1:534" x14ac:dyDescent="0.2">
      <c r="G12" s="37"/>
      <c r="I12" s="37"/>
    </row>
    <row r="13" spans="1:534" x14ac:dyDescent="0.2">
      <c r="B13" s="24" t="s">
        <v>55</v>
      </c>
      <c r="C13" s="5"/>
      <c r="G13" s="3"/>
      <c r="AJ13" s="42"/>
      <c r="AK13" s="42"/>
      <c r="AL13" s="42"/>
      <c r="AN13" s="33"/>
      <c r="AO13" s="33"/>
      <c r="AQ13" s="54">
        <v>14.2</v>
      </c>
      <c r="BK13" s="42"/>
      <c r="BL13" s="42"/>
      <c r="BM13" s="42"/>
      <c r="BO13" s="33"/>
      <c r="BP13" s="33"/>
      <c r="BR13" s="54">
        <v>14.2</v>
      </c>
      <c r="CL13" s="42"/>
      <c r="CM13" s="42"/>
      <c r="CN13" s="42"/>
      <c r="CP13" s="33"/>
      <c r="CQ13" s="33"/>
      <c r="CS13" s="54">
        <v>14.2</v>
      </c>
      <c r="DP13" s="5"/>
      <c r="DQ13" s="5"/>
      <c r="DZ13" s="2"/>
      <c r="EA13" s="2"/>
      <c r="EC13" s="43">
        <v>14.2</v>
      </c>
      <c r="EX13" s="5"/>
      <c r="EY13" s="5"/>
      <c r="FH13" s="2"/>
      <c r="FI13" s="2"/>
      <c r="FK13" s="43">
        <v>14.2</v>
      </c>
      <c r="GF13" s="5"/>
      <c r="GG13" s="5"/>
      <c r="GP13" s="2"/>
      <c r="GQ13" s="2"/>
      <c r="GS13" s="54">
        <v>14.2</v>
      </c>
      <c r="HN13" s="5"/>
      <c r="HO13" s="5"/>
      <c r="HX13" s="2"/>
      <c r="HY13" s="2"/>
      <c r="IA13" s="54">
        <v>14.2</v>
      </c>
      <c r="IV13" s="5"/>
      <c r="IW13" s="5"/>
      <c r="JF13" s="2"/>
      <c r="JG13" s="2"/>
      <c r="JI13" s="54">
        <v>14.2</v>
      </c>
      <c r="KD13" s="5"/>
      <c r="KE13" s="5"/>
      <c r="KN13" s="2"/>
      <c r="KO13" s="2"/>
      <c r="KQ13" s="54">
        <v>14.2</v>
      </c>
      <c r="LL13" s="5"/>
      <c r="LM13" s="5"/>
      <c r="LV13" s="2"/>
      <c r="LW13" s="2"/>
      <c r="LY13" s="54">
        <v>14.2</v>
      </c>
      <c r="MT13" s="5"/>
      <c r="MU13" s="5"/>
      <c r="ND13" s="2"/>
      <c r="NE13" s="2"/>
      <c r="NG13" s="54">
        <v>14.2</v>
      </c>
      <c r="OB13" s="5"/>
      <c r="OC13" s="5"/>
      <c r="OL13" s="2"/>
      <c r="OM13" s="2"/>
      <c r="OO13" s="54">
        <v>14.2</v>
      </c>
      <c r="PJ13" s="5"/>
      <c r="PK13" s="5"/>
      <c r="PT13" s="2"/>
      <c r="PU13" s="2"/>
      <c r="PW13" s="54">
        <v>14.2</v>
      </c>
      <c r="QR13" s="5"/>
      <c r="QS13" s="5"/>
      <c r="RB13" s="2"/>
      <c r="RC13" s="2"/>
      <c r="RE13" s="54">
        <v>14.2</v>
      </c>
      <c r="RZ13" s="5"/>
      <c r="SA13" s="5"/>
      <c r="SJ13" s="2"/>
      <c r="SK13" s="2"/>
      <c r="SM13" s="54">
        <v>14.2</v>
      </c>
    </row>
    <row r="14" spans="1:534" x14ac:dyDescent="0.2">
      <c r="B14" s="31" t="s">
        <v>54</v>
      </c>
      <c r="C14" s="5"/>
      <c r="P14" s="2"/>
      <c r="AJ14" s="42"/>
      <c r="AK14" s="42"/>
      <c r="AL14" s="42"/>
      <c r="AN14" s="33"/>
      <c r="AO14" s="33"/>
      <c r="AQ14" s="44">
        <v>14.6</v>
      </c>
      <c r="BK14" s="42"/>
      <c r="BL14" s="42"/>
      <c r="BM14" s="42"/>
      <c r="BO14" s="33"/>
      <c r="BP14" s="33"/>
      <c r="BR14" s="44">
        <v>14.6</v>
      </c>
      <c r="CL14" s="42"/>
      <c r="CM14" s="42"/>
      <c r="CN14" s="42"/>
      <c r="CP14" s="33"/>
      <c r="CQ14" s="33"/>
      <c r="CS14" s="44">
        <v>14.6</v>
      </c>
      <c r="DP14" s="5"/>
      <c r="DQ14" s="5"/>
      <c r="DZ14" s="2"/>
      <c r="EA14" s="2"/>
      <c r="EC14" s="44">
        <v>14.6</v>
      </c>
      <c r="EX14" s="5"/>
      <c r="EY14" s="5"/>
      <c r="FH14" s="2"/>
      <c r="FI14" s="2"/>
      <c r="FK14" s="44">
        <v>14.6</v>
      </c>
      <c r="GF14" s="5"/>
      <c r="GG14" s="5"/>
      <c r="GP14" s="2"/>
      <c r="GQ14" s="2"/>
      <c r="GS14" s="44">
        <v>14.6</v>
      </c>
      <c r="HN14" s="5"/>
      <c r="HO14" s="5"/>
      <c r="HX14" s="2"/>
      <c r="HY14" s="2"/>
      <c r="IA14" s="44">
        <v>14.6</v>
      </c>
      <c r="IV14" s="5"/>
      <c r="IW14" s="5"/>
      <c r="JF14" s="2"/>
      <c r="JG14" s="2"/>
      <c r="JI14" s="44">
        <v>14.6</v>
      </c>
      <c r="KD14" s="5"/>
      <c r="KE14" s="5"/>
      <c r="KN14" s="2"/>
      <c r="KO14" s="2"/>
      <c r="KQ14" s="44">
        <v>14.6</v>
      </c>
      <c r="LL14" s="5"/>
      <c r="LM14" s="5"/>
      <c r="LV14" s="2"/>
      <c r="LW14" s="2"/>
      <c r="LY14" s="44">
        <v>14.6</v>
      </c>
      <c r="MT14" s="5"/>
      <c r="MU14" s="5"/>
      <c r="ND14" s="2"/>
      <c r="NE14" s="2"/>
      <c r="NG14" s="44">
        <v>14.6</v>
      </c>
      <c r="OB14" s="5"/>
      <c r="OC14" s="5"/>
      <c r="OL14" s="2"/>
      <c r="OM14" s="2"/>
      <c r="OO14" s="44">
        <v>14.6</v>
      </c>
      <c r="PJ14" s="5"/>
      <c r="PK14" s="5"/>
      <c r="PT14" s="2"/>
      <c r="PU14" s="2"/>
      <c r="PW14" s="44">
        <v>14.6</v>
      </c>
      <c r="QR14" s="5"/>
      <c r="QS14" s="5"/>
      <c r="RB14" s="2"/>
      <c r="RC14" s="2"/>
      <c r="RE14" s="44">
        <v>14.6</v>
      </c>
      <c r="RZ14" s="5"/>
      <c r="SA14" s="5"/>
      <c r="SJ14" s="2"/>
      <c r="SK14" s="2"/>
      <c r="SM14" s="44">
        <v>14.6</v>
      </c>
    </row>
    <row r="15" spans="1:534" x14ac:dyDescent="0.2">
      <c r="A15" s="5"/>
      <c r="B15" s="32" t="s">
        <v>68</v>
      </c>
      <c r="C15" s="5"/>
      <c r="E15" s="2"/>
      <c r="AJ15" s="42"/>
      <c r="AK15" s="42"/>
      <c r="AL15" s="42"/>
      <c r="AM15" s="33"/>
      <c r="AN15" s="33"/>
      <c r="AO15" s="33"/>
      <c r="AP15" s="33"/>
      <c r="AQ15" s="55">
        <v>15.2</v>
      </c>
      <c r="BK15" s="42"/>
      <c r="BL15" s="42"/>
      <c r="BM15" s="42"/>
      <c r="BO15" s="33"/>
      <c r="BP15" s="33"/>
      <c r="BR15" s="55">
        <v>15.2</v>
      </c>
      <c r="CL15" s="42"/>
      <c r="CM15" s="42"/>
      <c r="CN15" s="42"/>
      <c r="CO15" s="33"/>
      <c r="CP15" s="33"/>
      <c r="CQ15" s="33"/>
      <c r="CR15" s="33"/>
      <c r="CS15" s="55">
        <v>15.2</v>
      </c>
      <c r="DP15" s="5"/>
      <c r="DQ15" s="5"/>
      <c r="DZ15" s="2"/>
      <c r="EA15" s="2"/>
      <c r="EC15" s="45">
        <v>15.2</v>
      </c>
      <c r="EX15" s="5"/>
      <c r="EY15" s="5"/>
      <c r="FH15" s="2"/>
      <c r="FI15" s="2"/>
      <c r="FK15" s="45">
        <v>15.2</v>
      </c>
      <c r="GF15" s="5"/>
      <c r="GG15" s="5"/>
      <c r="GP15" s="2"/>
      <c r="GQ15" s="2"/>
      <c r="GS15" s="55">
        <v>15.2</v>
      </c>
      <c r="HN15" s="5"/>
      <c r="HO15" s="5"/>
      <c r="HX15" s="2"/>
      <c r="HY15" s="2"/>
      <c r="IA15" s="55">
        <v>15.2</v>
      </c>
      <c r="IV15" s="5"/>
      <c r="IW15" s="5"/>
      <c r="JF15" s="2"/>
      <c r="JG15" s="2"/>
      <c r="JI15" s="55">
        <v>15.2</v>
      </c>
      <c r="KD15" s="5"/>
      <c r="KE15" s="5"/>
      <c r="KN15" s="2"/>
      <c r="KO15" s="2"/>
      <c r="KQ15" s="55">
        <v>15.2</v>
      </c>
      <c r="LL15" s="5"/>
      <c r="LM15" s="5"/>
      <c r="LV15" s="2"/>
      <c r="LW15" s="2"/>
      <c r="LY15" s="55">
        <v>15.2</v>
      </c>
      <c r="MT15" s="5"/>
      <c r="MU15" s="5"/>
      <c r="ND15" s="2"/>
      <c r="NE15" s="2"/>
      <c r="NG15" s="55">
        <v>15.2</v>
      </c>
      <c r="OB15" s="5"/>
      <c r="OC15" s="5"/>
      <c r="OL15" s="2"/>
      <c r="OM15" s="2"/>
      <c r="OO15" s="55">
        <v>15.2</v>
      </c>
      <c r="PJ15" s="5"/>
      <c r="PK15" s="5"/>
      <c r="PT15" s="2"/>
      <c r="PU15" s="2"/>
      <c r="PW15" s="55">
        <v>15.2</v>
      </c>
      <c r="QR15" s="5"/>
      <c r="QS15" s="5"/>
      <c r="RB15" s="2"/>
      <c r="RC15" s="2"/>
      <c r="RE15" s="55">
        <v>15.2</v>
      </c>
      <c r="RZ15" s="5"/>
      <c r="SA15" s="5"/>
      <c r="SJ15" s="2"/>
      <c r="SK15" s="2"/>
      <c r="SM15" s="55">
        <v>15.2</v>
      </c>
    </row>
    <row r="16" spans="1:534" x14ac:dyDescent="0.2">
      <c r="A16" s="5"/>
      <c r="B16" s="36" t="s">
        <v>81</v>
      </c>
      <c r="C16" s="5"/>
      <c r="E16" s="2"/>
      <c r="AJ16" s="42"/>
      <c r="AK16" s="42"/>
      <c r="AL16" s="42"/>
      <c r="AM16" s="33"/>
      <c r="AN16" s="33"/>
      <c r="AO16" s="33"/>
      <c r="AP16" s="33"/>
      <c r="AQ16" s="56">
        <v>16</v>
      </c>
      <c r="BK16" s="42"/>
      <c r="BL16" s="42"/>
      <c r="BM16" s="42"/>
      <c r="BO16" s="33"/>
      <c r="BP16" s="33"/>
      <c r="BR16" s="56">
        <v>16</v>
      </c>
      <c r="CL16" s="42"/>
      <c r="CM16" s="42"/>
      <c r="CN16" s="42"/>
      <c r="CO16" s="33"/>
      <c r="CP16" s="33"/>
      <c r="CQ16" s="33"/>
      <c r="CR16" s="33"/>
      <c r="CS16" s="56">
        <v>16</v>
      </c>
      <c r="DP16" s="5"/>
      <c r="DQ16" s="5"/>
      <c r="DZ16" s="2"/>
      <c r="EA16" s="2"/>
      <c r="EC16" s="46">
        <v>16</v>
      </c>
      <c r="EX16" s="5"/>
      <c r="EY16" s="5"/>
      <c r="FH16" s="2"/>
      <c r="FI16" s="2"/>
      <c r="FK16" s="46">
        <v>16</v>
      </c>
      <c r="GF16" s="5"/>
      <c r="GG16" s="5"/>
      <c r="GP16" s="2"/>
      <c r="GQ16" s="2"/>
      <c r="GS16" s="56">
        <v>16</v>
      </c>
      <c r="HN16" s="5"/>
      <c r="HO16" s="5"/>
      <c r="HX16" s="2"/>
      <c r="HY16" s="2"/>
      <c r="IA16" s="56">
        <v>16</v>
      </c>
      <c r="IV16" s="5"/>
      <c r="IW16" s="5"/>
      <c r="JF16" s="2"/>
      <c r="JG16" s="2"/>
      <c r="JI16" s="56">
        <v>16</v>
      </c>
      <c r="KD16" s="5"/>
      <c r="KE16" s="5"/>
      <c r="KN16" s="2"/>
      <c r="KO16" s="2"/>
      <c r="KQ16" s="56">
        <v>16</v>
      </c>
      <c r="LL16" s="5"/>
      <c r="LM16" s="5"/>
      <c r="LV16" s="2"/>
      <c r="LW16" s="2"/>
      <c r="LY16" s="56">
        <v>16</v>
      </c>
      <c r="MT16" s="5"/>
      <c r="MU16" s="5"/>
      <c r="ND16" s="2"/>
      <c r="NE16" s="2"/>
      <c r="NG16" s="56">
        <v>16</v>
      </c>
      <c r="OB16" s="5"/>
      <c r="OC16" s="5"/>
      <c r="OL16" s="2"/>
      <c r="OM16" s="2"/>
      <c r="OO16" s="56">
        <v>16</v>
      </c>
      <c r="PJ16" s="5"/>
      <c r="PK16" s="5"/>
      <c r="PT16" s="2"/>
      <c r="PU16" s="2"/>
      <c r="PW16" s="56">
        <v>16</v>
      </c>
      <c r="QR16" s="5"/>
      <c r="QS16" s="5"/>
      <c r="RB16" s="2"/>
      <c r="RC16" s="2"/>
      <c r="RE16" s="56">
        <v>16</v>
      </c>
      <c r="RZ16" s="5"/>
      <c r="SA16" s="5"/>
      <c r="SJ16" s="2"/>
      <c r="SK16" s="2"/>
      <c r="SM16" s="56">
        <v>16</v>
      </c>
    </row>
    <row r="17" spans="1:536" x14ac:dyDescent="0.2">
      <c r="A17" s="5"/>
      <c r="B17" s="35" t="s">
        <v>52</v>
      </c>
      <c r="C17" s="5"/>
      <c r="AJ17" s="42"/>
      <c r="AK17" s="42"/>
      <c r="AL17" s="42"/>
      <c r="AM17" s="33"/>
      <c r="AN17" s="33"/>
      <c r="AO17" s="33"/>
      <c r="AP17" s="33"/>
      <c r="AQ17" s="57">
        <v>47.2</v>
      </c>
      <c r="BK17" s="42"/>
      <c r="BL17" s="42"/>
      <c r="BM17" s="42"/>
      <c r="BO17" s="33"/>
      <c r="BP17" s="33"/>
      <c r="BR17" s="57">
        <v>47.2</v>
      </c>
      <c r="CL17" s="42"/>
      <c r="CM17" s="42"/>
      <c r="CN17" s="42"/>
      <c r="CO17" s="33"/>
      <c r="CP17" s="33"/>
      <c r="CQ17" s="33"/>
      <c r="CR17" s="33"/>
      <c r="CS17" s="57">
        <v>47.2</v>
      </c>
      <c r="DP17" s="5"/>
      <c r="DQ17" s="5"/>
      <c r="DZ17" s="2"/>
      <c r="EA17" s="2"/>
      <c r="EC17" s="47">
        <v>47.2</v>
      </c>
      <c r="EX17" s="5"/>
      <c r="EY17" s="5"/>
      <c r="FH17" s="2"/>
      <c r="FI17" s="2"/>
      <c r="FK17" s="47">
        <v>47.2</v>
      </c>
      <c r="GF17" s="5"/>
      <c r="GG17" s="5"/>
      <c r="GP17" s="2"/>
      <c r="GQ17" s="2"/>
      <c r="GS17" s="57">
        <v>47.2</v>
      </c>
      <c r="HN17" s="5"/>
      <c r="HO17" s="5"/>
      <c r="HX17" s="2"/>
      <c r="HY17" s="2"/>
      <c r="IA17" s="57">
        <v>47.2</v>
      </c>
      <c r="IV17" s="5"/>
      <c r="IW17" s="5"/>
      <c r="JF17" s="2"/>
      <c r="JG17" s="2"/>
      <c r="JI17" s="57">
        <v>47.2</v>
      </c>
      <c r="KD17" s="5"/>
      <c r="KE17" s="5"/>
      <c r="KN17" s="2"/>
      <c r="KO17" s="2"/>
      <c r="KQ17" s="57">
        <v>47.2</v>
      </c>
      <c r="LL17" s="5"/>
      <c r="LM17" s="5"/>
      <c r="LV17" s="2"/>
      <c r="LW17" s="2"/>
      <c r="LY17" s="57">
        <v>47.2</v>
      </c>
      <c r="MT17" s="5"/>
      <c r="MU17" s="5"/>
      <c r="ND17" s="2"/>
      <c r="NE17" s="2"/>
      <c r="NG17" s="57">
        <v>47.2</v>
      </c>
      <c r="OB17" s="5"/>
      <c r="OC17" s="5"/>
      <c r="OL17" s="2"/>
      <c r="OM17" s="2"/>
      <c r="OO17" s="57">
        <v>47.2</v>
      </c>
      <c r="PJ17" s="5"/>
      <c r="PK17" s="5"/>
      <c r="PT17" s="2"/>
      <c r="PU17" s="2"/>
      <c r="PW17" s="57">
        <v>47.2</v>
      </c>
      <c r="QR17" s="5"/>
      <c r="QS17" s="5"/>
      <c r="RB17" s="2"/>
      <c r="RC17" s="2"/>
      <c r="RE17" s="57">
        <v>47.2</v>
      </c>
      <c r="RZ17" s="5"/>
      <c r="SA17" s="5"/>
      <c r="SJ17" s="2"/>
      <c r="SK17" s="2"/>
      <c r="SM17" s="57">
        <v>47.2</v>
      </c>
    </row>
    <row r="18" spans="1:536" x14ac:dyDescent="0.2">
      <c r="A18" s="5"/>
      <c r="B18" s="25" t="s">
        <v>53</v>
      </c>
      <c r="C18" s="5"/>
      <c r="AJ18" s="42"/>
      <c r="AK18" s="42"/>
      <c r="AL18" s="42"/>
      <c r="AM18" s="33"/>
      <c r="AN18" s="33"/>
      <c r="AO18" s="33"/>
      <c r="AP18" s="33"/>
      <c r="AQ18" s="58">
        <v>48.5</v>
      </c>
      <c r="BK18" s="42"/>
      <c r="BL18" s="42"/>
      <c r="BM18" s="42"/>
      <c r="BO18" s="33"/>
      <c r="BP18" s="33"/>
      <c r="BR18" s="58">
        <v>48.5</v>
      </c>
      <c r="CL18" s="42"/>
      <c r="CM18" s="42"/>
      <c r="CN18" s="42"/>
      <c r="CO18" s="33"/>
      <c r="CP18" s="33"/>
      <c r="CQ18" s="33"/>
      <c r="CR18" s="33"/>
      <c r="CS18" s="58">
        <v>48.5</v>
      </c>
      <c r="DP18" s="5"/>
      <c r="DQ18" s="5"/>
      <c r="DZ18" s="2"/>
      <c r="EA18" s="2"/>
      <c r="EC18" s="48">
        <v>48.5</v>
      </c>
      <c r="EX18" s="5"/>
      <c r="EY18" s="5"/>
      <c r="FH18" s="2"/>
      <c r="FI18" s="2"/>
      <c r="FK18" s="48">
        <v>48.5</v>
      </c>
      <c r="GF18" s="5"/>
      <c r="GG18" s="5"/>
      <c r="GP18" s="2"/>
      <c r="GQ18" s="2"/>
      <c r="GS18" s="58">
        <v>48.5</v>
      </c>
      <c r="HN18" s="5"/>
      <c r="HO18" s="5"/>
      <c r="HX18" s="2"/>
      <c r="HY18" s="2"/>
      <c r="IA18" s="58">
        <v>48.5</v>
      </c>
      <c r="IV18" s="5"/>
      <c r="IW18" s="5"/>
      <c r="JF18" s="2"/>
      <c r="JG18" s="2"/>
      <c r="JI18" s="58">
        <v>48.5</v>
      </c>
      <c r="KD18" s="5"/>
      <c r="KE18" s="5"/>
      <c r="KN18" s="2"/>
      <c r="KO18" s="2"/>
      <c r="KQ18" s="58">
        <v>48.5</v>
      </c>
      <c r="LL18" s="5"/>
      <c r="LM18" s="5"/>
      <c r="LV18" s="2"/>
      <c r="LW18" s="2"/>
      <c r="LY18" s="58">
        <v>48.5</v>
      </c>
      <c r="MT18" s="5"/>
      <c r="MU18" s="5"/>
      <c r="ND18" s="2"/>
      <c r="NE18" s="2"/>
      <c r="NG18" s="58">
        <v>48.5</v>
      </c>
      <c r="OB18" s="5"/>
      <c r="OC18" s="5"/>
      <c r="OL18" s="2"/>
      <c r="OM18" s="2"/>
      <c r="OO18" s="58">
        <v>48.5</v>
      </c>
      <c r="PJ18" s="5"/>
      <c r="PK18" s="5"/>
      <c r="PT18" s="2"/>
      <c r="PU18" s="2"/>
      <c r="PW18" s="58">
        <v>48.5</v>
      </c>
      <c r="QR18" s="5"/>
      <c r="QS18" s="5"/>
      <c r="RB18" s="2"/>
      <c r="RC18" s="2"/>
      <c r="RE18" s="58">
        <v>48.5</v>
      </c>
      <c r="RZ18" s="5"/>
      <c r="SA18" s="5"/>
      <c r="SJ18" s="2"/>
      <c r="SK18" s="2"/>
      <c r="SM18" s="58">
        <v>48.5</v>
      </c>
    </row>
    <row r="19" spans="1:536" x14ac:dyDescent="0.2">
      <c r="A19" s="5"/>
      <c r="B19" s="34" t="s">
        <v>67</v>
      </c>
      <c r="C19" s="5"/>
      <c r="AJ19" s="42"/>
      <c r="AK19" s="42"/>
      <c r="AL19" s="42"/>
      <c r="AM19" s="33"/>
      <c r="AN19" s="33"/>
      <c r="AO19" s="33"/>
      <c r="AP19" s="33"/>
      <c r="AQ19" s="59">
        <v>49.2</v>
      </c>
      <c r="BK19" s="42"/>
      <c r="BL19" s="42"/>
      <c r="BM19" s="42"/>
      <c r="BO19" s="33"/>
      <c r="BP19" s="33"/>
      <c r="BR19" s="59">
        <v>49.2</v>
      </c>
      <c r="CL19" s="42"/>
      <c r="CM19" s="42"/>
      <c r="CN19" s="42"/>
      <c r="CO19" s="33"/>
      <c r="CP19" s="33"/>
      <c r="CQ19" s="33"/>
      <c r="CR19" s="33"/>
      <c r="CS19" s="59">
        <v>49.2</v>
      </c>
      <c r="DP19" s="5"/>
      <c r="DQ19" s="5"/>
      <c r="DZ19" s="2"/>
      <c r="EA19" s="2"/>
      <c r="EB19" s="38"/>
      <c r="EC19" s="49">
        <v>49.2</v>
      </c>
      <c r="EX19" s="5"/>
      <c r="EY19" s="5"/>
      <c r="FH19" s="2"/>
      <c r="FI19" s="2"/>
      <c r="FJ19" s="38"/>
      <c r="FK19" s="49">
        <v>49.2</v>
      </c>
      <c r="GF19" s="5"/>
      <c r="GG19" s="5"/>
      <c r="GP19" s="2"/>
      <c r="GQ19" s="2"/>
      <c r="GR19" s="38"/>
      <c r="GS19" s="59">
        <v>49.2</v>
      </c>
      <c r="HN19" s="5"/>
      <c r="HO19" s="5"/>
      <c r="HX19" s="2"/>
      <c r="HY19" s="2"/>
      <c r="HZ19" s="38"/>
      <c r="IA19" s="59">
        <v>49.2</v>
      </c>
      <c r="IV19" s="5"/>
      <c r="IW19" s="5"/>
      <c r="JF19" s="2"/>
      <c r="JG19" s="2"/>
      <c r="JH19" s="38"/>
      <c r="JI19" s="59">
        <v>49.2</v>
      </c>
      <c r="KD19" s="5"/>
      <c r="KE19" s="5"/>
      <c r="KN19" s="2"/>
      <c r="KO19" s="2"/>
      <c r="KP19" s="38"/>
      <c r="KQ19" s="59">
        <v>49.2</v>
      </c>
      <c r="LL19" s="5"/>
      <c r="LM19" s="5"/>
      <c r="LV19" s="2"/>
      <c r="LW19" s="2"/>
      <c r="LX19" s="38"/>
      <c r="LY19" s="59">
        <v>49.2</v>
      </c>
      <c r="MT19" s="5"/>
      <c r="MU19" s="5"/>
      <c r="ND19" s="2"/>
      <c r="NE19" s="2"/>
      <c r="NF19" s="38"/>
      <c r="NG19" s="59">
        <v>49.2</v>
      </c>
      <c r="OB19" s="5"/>
      <c r="OC19" s="5"/>
      <c r="OL19" s="2"/>
      <c r="OM19" s="2"/>
      <c r="ON19" s="38"/>
      <c r="OO19" s="59">
        <v>49.2</v>
      </c>
      <c r="PJ19" s="5"/>
      <c r="PK19" s="5"/>
      <c r="PT19" s="2"/>
      <c r="PU19" s="2"/>
      <c r="PV19" s="38"/>
      <c r="PW19" s="59">
        <v>49.2</v>
      </c>
      <c r="QR19" s="5"/>
      <c r="QS19" s="5"/>
      <c r="RB19" s="2"/>
      <c r="RC19" s="2"/>
      <c r="RD19" s="38"/>
      <c r="RE19" s="59">
        <v>49.2</v>
      </c>
      <c r="RZ19" s="5"/>
      <c r="SA19" s="5"/>
      <c r="SJ19" s="2"/>
      <c r="SK19" s="2"/>
      <c r="SL19" s="38"/>
      <c r="SM19" s="59">
        <v>49.2</v>
      </c>
    </row>
    <row r="20" spans="1:536" x14ac:dyDescent="0.2">
      <c r="A20" s="5"/>
      <c r="B20" s="26" t="s">
        <v>36</v>
      </c>
      <c r="C20" s="5"/>
      <c r="AJ20" s="42"/>
      <c r="AK20" s="42"/>
      <c r="AL20" s="42"/>
      <c r="AM20" s="33"/>
      <c r="AN20" s="42"/>
      <c r="AO20" s="42"/>
      <c r="AP20" s="33"/>
      <c r="AQ20" s="60">
        <v>50</v>
      </c>
      <c r="BK20" s="42"/>
      <c r="BL20" s="42"/>
      <c r="BM20" s="42"/>
      <c r="BO20" s="42"/>
      <c r="BP20" s="33"/>
      <c r="BR20" s="60">
        <v>50</v>
      </c>
      <c r="CL20" s="42"/>
      <c r="CM20" s="42"/>
      <c r="CN20" s="42"/>
      <c r="CO20" s="33"/>
      <c r="CP20" s="42"/>
      <c r="CQ20" s="33"/>
      <c r="CR20" s="33"/>
      <c r="CS20" s="60">
        <v>50</v>
      </c>
      <c r="DP20" s="5"/>
      <c r="DQ20" s="5"/>
      <c r="DZ20" s="42"/>
      <c r="EA20" s="2"/>
      <c r="EC20" s="50">
        <v>50</v>
      </c>
      <c r="EX20" s="5"/>
      <c r="EY20" s="5"/>
      <c r="FH20" s="42"/>
      <c r="FI20" s="2"/>
      <c r="FK20" s="50">
        <v>50</v>
      </c>
      <c r="GF20" s="5"/>
      <c r="GG20" s="5"/>
      <c r="GP20" s="2"/>
      <c r="GQ20" s="2"/>
      <c r="GS20" s="60">
        <v>50</v>
      </c>
      <c r="HN20" s="5"/>
      <c r="HO20" s="5"/>
      <c r="HX20" s="42"/>
      <c r="HY20" s="2"/>
      <c r="IA20" s="60">
        <v>50</v>
      </c>
      <c r="IV20" s="5"/>
      <c r="IW20" s="5"/>
      <c r="JF20" s="2"/>
      <c r="JG20" s="2"/>
      <c r="JI20" s="60">
        <v>50</v>
      </c>
      <c r="KD20" s="5"/>
      <c r="KE20" s="5"/>
      <c r="KN20" s="2"/>
      <c r="KO20" s="2"/>
      <c r="KQ20" s="60">
        <v>50</v>
      </c>
      <c r="LL20" s="5"/>
      <c r="LM20" s="5"/>
      <c r="LV20" s="2"/>
      <c r="LW20" s="2"/>
      <c r="LY20" s="60">
        <v>50</v>
      </c>
      <c r="MT20" s="5"/>
      <c r="MU20" s="5"/>
      <c r="ND20" s="2"/>
      <c r="NE20" s="2"/>
      <c r="NG20" s="60">
        <v>50</v>
      </c>
      <c r="OB20" s="5"/>
      <c r="OC20" s="5"/>
      <c r="OL20" s="2"/>
      <c r="OM20" s="2"/>
      <c r="OO20" s="60">
        <v>50</v>
      </c>
      <c r="PJ20" s="5"/>
      <c r="PK20" s="5"/>
      <c r="PT20" s="2"/>
      <c r="PU20" s="2"/>
      <c r="PW20" s="60">
        <v>50</v>
      </c>
      <c r="QR20" s="5"/>
      <c r="QS20" s="5"/>
      <c r="RB20" s="2"/>
      <c r="RC20" s="2"/>
      <c r="RE20" s="60">
        <v>50</v>
      </c>
      <c r="RZ20" s="5"/>
      <c r="SA20" s="5"/>
      <c r="SJ20" s="2"/>
      <c r="SK20" s="2"/>
      <c r="SM20" s="60">
        <v>50</v>
      </c>
    </row>
    <row r="21" spans="1:536" s="37" customFormat="1" x14ac:dyDescent="0.2">
      <c r="A21"/>
      <c r="B21" s="30" t="s">
        <v>59</v>
      </c>
      <c r="C21" s="2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M21" s="33"/>
      <c r="AP21" s="33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O21" s="33"/>
      <c r="CR21" s="33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536" s="37" customFormat="1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3"/>
      <c r="AJ22" s="33"/>
      <c r="AK22" s="33"/>
      <c r="AL22" s="33"/>
      <c r="AM22" s="33"/>
      <c r="AP22" s="33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3"/>
      <c r="CL22" s="33"/>
      <c r="CM22" s="33"/>
      <c r="CN22" s="33"/>
      <c r="CO22" s="33"/>
      <c r="CR22" s="33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536" s="37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 s="10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3"/>
      <c r="AJ23" s="33"/>
      <c r="AK23" s="33"/>
      <c r="AL23" s="33"/>
      <c r="AM23" s="33"/>
      <c r="AP23" s="3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3"/>
      <c r="CL23" s="33"/>
      <c r="CM23" s="33"/>
      <c r="CN23" s="33"/>
      <c r="CO23" s="33"/>
      <c r="CR23" s="3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536" s="37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3"/>
      <c r="AJ24" s="33"/>
      <c r="AK24" s="33"/>
      <c r="AL24" s="33"/>
      <c r="AM24" s="33"/>
      <c r="AP24" s="33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3"/>
      <c r="CL24" s="33"/>
      <c r="CM24" s="33"/>
      <c r="CN24" s="33"/>
      <c r="CO24" s="33"/>
      <c r="CR24" s="33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536" s="37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3"/>
      <c r="AJ25" s="33"/>
      <c r="AK25" s="33"/>
      <c r="AL25" s="33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3"/>
      <c r="CL25" s="33"/>
      <c r="CM25" s="33"/>
      <c r="CN25" s="33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ht="17" x14ac:dyDescent="0.2">
      <c r="N37" s="10"/>
      <c r="O37" s="10"/>
      <c r="P37" s="10"/>
    </row>
    <row r="38" spans="1:536" ht="17" x14ac:dyDescent="0.2">
      <c r="N38" s="10"/>
      <c r="O38" s="10"/>
      <c r="P38" s="10"/>
    </row>
    <row r="39" spans="1:536" ht="17" x14ac:dyDescent="0.2">
      <c r="N39" s="10"/>
      <c r="O39" s="10"/>
      <c r="P39" s="10"/>
    </row>
    <row r="40" spans="1:536" ht="17" x14ac:dyDescent="0.2">
      <c r="N40" s="10"/>
      <c r="O40" s="10"/>
      <c r="P40" s="1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0">
      <sortCondition descending="1" ref="F1:F11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0">
    <cfRule type="expression" dxfId="421" priority="41" stopIfTrue="1">
      <formula>IF($AF4&lt;&gt;"",1,0)</formula>
    </cfRule>
  </conditionalFormatting>
  <conditionalFormatting sqref="AR4:BR10">
    <cfRule type="expression" dxfId="420" priority="34" stopIfTrue="1">
      <formula>IF($BG4&lt;&gt;"",1,0)</formula>
    </cfRule>
  </conditionalFormatting>
  <conditionalFormatting sqref="BS4:CS10">
    <cfRule type="expression" dxfId="419" priority="33" stopIfTrue="1">
      <formula>IF($CH4&lt;&gt;"",1,0)</formula>
    </cfRule>
  </conditionalFormatting>
  <conditionalFormatting sqref="BO21:BO1048576 BH1:BH1048576 BK1:BK1048576 BO1:BO19">
    <cfRule type="cellIs" dxfId="418" priority="46" operator="between">
      <formula>$BR$16</formula>
      <formula>1000</formula>
    </cfRule>
    <cfRule type="cellIs" dxfId="417" priority="47" operator="between">
      <formula>$BR$15</formula>
      <formula>$BR$16</formula>
    </cfRule>
    <cfRule type="cellIs" dxfId="416" priority="48" operator="between">
      <formula>$BR$14</formula>
      <formula>$BR$15</formula>
    </cfRule>
    <cfRule type="cellIs" dxfId="415" priority="49" operator="between">
      <formula>$BR$13</formula>
      <formula>$BR$14</formula>
    </cfRule>
  </conditionalFormatting>
  <conditionalFormatting sqref="CP21:CP1048576 CI1:CI1048576 CL1:CL1048576 CP1:CP19">
    <cfRule type="cellIs" dxfId="414" priority="42" operator="between">
      <formula>$CS$16</formula>
      <formula>1000</formula>
    </cfRule>
    <cfRule type="cellIs" dxfId="413" priority="43" operator="between">
      <formula>$CS$15</formula>
      <formula>$CS$16</formula>
    </cfRule>
    <cfRule type="cellIs" dxfId="412" priority="44" operator="between">
      <formula>$CS$14</formula>
      <formula>$CS$15</formula>
    </cfRule>
    <cfRule type="cellIs" dxfId="411" priority="45" operator="between">
      <formula>$CS$13</formula>
      <formula>$CS$14</formula>
    </cfRule>
  </conditionalFormatting>
  <conditionalFormatting sqref="DZ21:DZ1048576 DP1:DP1048576 DS1:DS1048576 DW1:DW1048576 DZ1:DZ19">
    <cfRule type="cellIs" dxfId="410" priority="53" operator="between">
      <formula>$EC$16</formula>
      <formula>1000</formula>
    </cfRule>
    <cfRule type="cellIs" dxfId="409" priority="54" operator="between">
      <formula>$EC$15</formula>
      <formula>$EC$16</formula>
    </cfRule>
    <cfRule type="cellIs" dxfId="408" priority="55" operator="between">
      <formula>$EC$14</formula>
      <formula>$EC$15</formula>
    </cfRule>
    <cfRule type="cellIs" dxfId="407" priority="56" operator="between">
      <formula>$EC$13</formula>
      <formula>$EC$14</formula>
    </cfRule>
  </conditionalFormatting>
  <conditionalFormatting sqref="FH21:FH1048576 EX1:EX1048576 FA1:FA1048576 FE1:FE1048576 FH1:FH19">
    <cfRule type="cellIs" dxfId="406" priority="29" operator="between">
      <formula>$FK$16</formula>
      <formula>1000</formula>
    </cfRule>
    <cfRule type="cellIs" dxfId="405" priority="30" operator="between">
      <formula>$FK$15</formula>
      <formula>$FK$16</formula>
    </cfRule>
    <cfRule type="cellIs" dxfId="404" priority="31" operator="between">
      <formula>$FK$14</formula>
      <formula>$FK$15</formula>
    </cfRule>
    <cfRule type="cellIs" dxfId="403" priority="32" operator="between">
      <formula>$FK$13</formula>
      <formula>$FK$14</formula>
    </cfRule>
  </conditionalFormatting>
  <conditionalFormatting sqref="HX21:HX1048576 HN1:HN1048576 HQ1:HQ1048576 HU1:HU1048576 HX1:HX19">
    <cfRule type="cellIs" dxfId="402" priority="25" operator="between">
      <formula>$IA$16</formula>
      <formula>1000</formula>
    </cfRule>
    <cfRule type="cellIs" dxfId="401" priority="26" operator="between">
      <formula>$IA$15</formula>
      <formula>$IA$16</formula>
    </cfRule>
    <cfRule type="cellIs" dxfId="400" priority="27" operator="between">
      <formula>$IA$14</formula>
      <formula>$IA$15</formula>
    </cfRule>
    <cfRule type="cellIs" dxfId="399" priority="28" operator="between">
      <formula>$IA$13</formula>
      <formula>$IA$14</formula>
    </cfRule>
  </conditionalFormatting>
  <conditionalFormatting sqref="AO20 AG1:AG1048576 AJ1:AJ1048576 AN1:AN1048576">
    <cfRule type="cellIs" dxfId="398" priority="21" operator="between">
      <formula>$AQ$16</formula>
      <formula>1000</formula>
    </cfRule>
    <cfRule type="cellIs" dxfId="397" priority="22" operator="between">
      <formula>$AQ$15</formula>
      <formula>$AQ$16</formula>
    </cfRule>
    <cfRule type="cellIs" dxfId="396" priority="23" operator="between">
      <formula>$AQ$14</formula>
      <formula>$AQ$15</formula>
    </cfRule>
    <cfRule type="cellIs" dxfId="395" priority="24" operator="between">
      <formula>$AQ$13</formula>
      <formula>$AQ$14</formula>
    </cfRule>
  </conditionalFormatting>
  <conditionalFormatting sqref="BO20">
    <cfRule type="cellIs" dxfId="394" priority="17" operator="between">
      <formula>$AQ$16</formula>
      <formula>1000</formula>
    </cfRule>
    <cfRule type="cellIs" dxfId="393" priority="18" operator="between">
      <formula>$AQ$15</formula>
      <formula>$AQ$16</formula>
    </cfRule>
    <cfRule type="cellIs" dxfId="392" priority="19" operator="between">
      <formula>$AQ$14</formula>
      <formula>$AQ$15</formula>
    </cfRule>
    <cfRule type="cellIs" dxfId="391" priority="20" operator="between">
      <formula>$AQ$13</formula>
      <formula>$AQ$14</formula>
    </cfRule>
  </conditionalFormatting>
  <conditionalFormatting sqref="CP20">
    <cfRule type="cellIs" dxfId="390" priority="13" operator="between">
      <formula>$AQ$16</formula>
      <formula>1000</formula>
    </cfRule>
    <cfRule type="cellIs" dxfId="389" priority="14" operator="between">
      <formula>$AQ$15</formula>
      <formula>$AQ$16</formula>
    </cfRule>
    <cfRule type="cellIs" dxfId="388" priority="15" operator="between">
      <formula>$AQ$14</formula>
      <formula>$AQ$15</formula>
    </cfRule>
    <cfRule type="cellIs" dxfId="387" priority="16" operator="between">
      <formula>$AQ$13</formula>
      <formula>$AQ$14</formula>
    </cfRule>
  </conditionalFormatting>
  <conditionalFormatting sqref="DZ20">
    <cfRule type="cellIs" dxfId="386" priority="9" operator="between">
      <formula>$AQ$16</formula>
      <formula>1000</formula>
    </cfRule>
    <cfRule type="cellIs" dxfId="385" priority="10" operator="between">
      <formula>$AQ$15</formula>
      <formula>$AQ$16</formula>
    </cfRule>
    <cfRule type="cellIs" dxfId="384" priority="11" operator="between">
      <formula>$AQ$14</formula>
      <formula>$AQ$15</formula>
    </cfRule>
    <cfRule type="cellIs" dxfId="383" priority="12" operator="between">
      <formula>$AQ$13</formula>
      <formula>$AQ$14</formula>
    </cfRule>
  </conditionalFormatting>
  <conditionalFormatting sqref="FH20">
    <cfRule type="cellIs" dxfId="382" priority="5" operator="between">
      <formula>$AQ$16</formula>
      <formula>1000</formula>
    </cfRule>
    <cfRule type="cellIs" dxfId="381" priority="6" operator="between">
      <formula>$AQ$15</formula>
      <formula>$AQ$16</formula>
    </cfRule>
    <cfRule type="cellIs" dxfId="380" priority="7" operator="between">
      <formula>$AQ$14</formula>
      <formula>$AQ$15</formula>
    </cfRule>
    <cfRule type="cellIs" dxfId="379" priority="8" operator="between">
      <formula>$AQ$13</formula>
      <formula>$AQ$14</formula>
    </cfRule>
  </conditionalFormatting>
  <conditionalFormatting sqref="HX20">
    <cfRule type="cellIs" dxfId="378" priority="1" operator="between">
      <formula>$AQ$16</formula>
      <formula>1000</formula>
    </cfRule>
    <cfRule type="cellIs" dxfId="377" priority="2" operator="between">
      <formula>$AQ$15</formula>
      <formula>$AQ$16</formula>
    </cfRule>
    <cfRule type="cellIs" dxfId="376" priority="3" operator="between">
      <formula>$AQ$14</formula>
      <formula>$AQ$15</formula>
    </cfRule>
    <cfRule type="cellIs" dxfId="375" priority="4" operator="between">
      <formula>$AQ$13</formula>
      <formula>$AQ$14</formula>
    </cfRule>
  </conditionalFormatting>
  <conditionalFormatting sqref="CN1:CN1048576 AL1:AL1048576">
    <cfRule type="cellIs" dxfId="374" priority="63835" operator="between">
      <formula>AQ$20</formula>
      <formula>1000</formula>
    </cfRule>
    <cfRule type="cellIs" dxfId="373" priority="63836" operator="between">
      <formula>AQ$19</formula>
      <formula>AQ$20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2" priority="63847" operator="between">
      <formula>EC$20</formula>
      <formula>1000</formula>
    </cfRule>
    <cfRule type="cellIs" dxfId="371" priority="63848" operator="between">
      <formula>EC$19</formula>
      <formula>EC$20</formula>
    </cfRule>
  </conditionalFormatting>
  <conditionalFormatting sqref="AI1:AI1048576 AL1:AL1048576 AP1:AP1048576">
    <cfRule type="cellIs" dxfId="370" priority="63991" operator="between">
      <formula>$AQ$20</formula>
      <formula>1000</formula>
    </cfRule>
    <cfRule type="cellIs" dxfId="369" priority="63992" operator="between">
      <formula>$AQ$19</formula>
      <formula>$AQ$20</formula>
    </cfRule>
    <cfRule type="cellIs" dxfId="368" priority="63993" operator="between">
      <formula>$AQ$18</formula>
      <formula>$AQ$19</formula>
    </cfRule>
    <cfRule type="cellIs" dxfId="367" priority="63994" operator="between">
      <formula>$AQ$17</formula>
      <formula>$AQ$18</formula>
    </cfRule>
  </conditionalFormatting>
  <conditionalFormatting sqref="BJ1:BJ1048576 BM1:BM1048576 BQ1:BQ1048576">
    <cfRule type="cellIs" dxfId="366" priority="64027" operator="between">
      <formula>$BR$20</formula>
      <formula>1000</formula>
    </cfRule>
    <cfRule type="cellIs" dxfId="365" priority="64028" operator="between">
      <formula>$BR$19</formula>
      <formula>$BR$20</formula>
    </cfRule>
    <cfRule type="cellIs" dxfId="364" priority="64029" operator="between">
      <formula>$BR$18</formula>
      <formula>$BR$19</formula>
    </cfRule>
    <cfRule type="cellIs" dxfId="363" priority="64030" operator="between">
      <formula>$BR$17</formula>
      <formula>$BR$18</formula>
    </cfRule>
  </conditionalFormatting>
  <conditionalFormatting sqref="CK1:CK1048576 CN1:CN1048576 CR1:CR1048576">
    <cfRule type="cellIs" dxfId="362" priority="64063" operator="between">
      <formula>$CS$20</formula>
      <formula>1000</formula>
    </cfRule>
    <cfRule type="cellIs" dxfId="361" priority="64064" operator="between">
      <formula>$CS$19</formula>
      <formula>$CS$20</formula>
    </cfRule>
    <cfRule type="cellIs" dxfId="360" priority="64065" operator="between">
      <formula>$CS$18</formula>
      <formula>$CS$19</formula>
    </cfRule>
    <cfRule type="cellIs" dxfId="359" priority="64066" operator="between">
      <formula>$CS$17</formula>
      <formula>$CS$18</formula>
    </cfRule>
  </conditionalFormatting>
  <conditionalFormatting sqref="MT1:MT1048576 MW1:MW1048576 NA1:NA1048576 ND1:ND1048576">
    <cfRule type="cellIs" dxfId="358" priority="64099" operator="between">
      <formula>$NG$13</formula>
      <formula>$NG$14</formula>
    </cfRule>
  </conditionalFormatting>
  <conditionalFormatting sqref="DR1:DR1048576 DU1:DU1048576 DY1:DY1048576 EB1:EB1048576">
    <cfRule type="cellIs" dxfId="357" priority="64111" operator="between">
      <formula>$EC$20</formula>
      <formula>1000</formula>
    </cfRule>
    <cfRule type="cellIs" dxfId="356" priority="64112" operator="between">
      <formula>$EC$19</formula>
      <formula>$EC$20</formula>
    </cfRule>
    <cfRule type="cellIs" dxfId="355" priority="64113" operator="between">
      <formula>$EC$18</formula>
      <formula>$EC$19</formula>
    </cfRule>
    <cfRule type="cellIs" dxfId="354" priority="64114" operator="between">
      <formula>$EC$17</formula>
      <formula>$EC$18</formula>
    </cfRule>
  </conditionalFormatting>
  <conditionalFormatting sqref="EZ1:EZ1048576 FC1:FC1048576 FG1:FG1048576 FJ1:FJ1048576">
    <cfRule type="cellIs" dxfId="353" priority="64159" operator="between">
      <formula>$FK$20</formula>
      <formula>1000</formula>
    </cfRule>
    <cfRule type="cellIs" dxfId="352" priority="64160" operator="between">
      <formula>$FK$19</formula>
      <formula>$FK$20</formula>
    </cfRule>
    <cfRule type="cellIs" dxfId="351" priority="64161" operator="between">
      <formula>$FK$18</formula>
      <formula>$FK$19</formula>
    </cfRule>
    <cfRule type="cellIs" dxfId="350" priority="64162" operator="between">
      <formula>$FK$17</formula>
      <formula>$FK$18</formula>
    </cfRule>
  </conditionalFormatting>
  <conditionalFormatting sqref="GF1:GF1048576 GI1:GI1048576 GM1:GM1048576 GP1:GP1048576">
    <cfRule type="cellIs" dxfId="349" priority="64207" operator="between">
      <formula>$GS$16</formula>
      <formula>1000</formula>
    </cfRule>
    <cfRule type="cellIs" dxfId="348" priority="64208" operator="between">
      <formula>$GS$15</formula>
      <formula>$GS$16</formula>
    </cfRule>
    <cfRule type="cellIs" dxfId="347" priority="64209" operator="between">
      <formula>$GS$14</formula>
      <formula>$GS$15</formula>
    </cfRule>
    <cfRule type="cellIs" dxfId="346" priority="64210" operator="between">
      <formula>$GS$13</formula>
      <formula>$GS$14</formula>
    </cfRule>
  </conditionalFormatting>
  <conditionalFormatting sqref="GH1:GH1048576 GK1:GK1048576 GO1:GO1048576 GR1:GR1048576">
    <cfRule type="cellIs" dxfId="345" priority="64255" operator="between">
      <formula>$GS$20</formula>
      <formula>1000</formula>
    </cfRule>
    <cfRule type="cellIs" dxfId="344" priority="64256" operator="between">
      <formula>$GS$19</formula>
      <formula>$GS$20</formula>
    </cfRule>
    <cfRule type="cellIs" dxfId="343" priority="64257" operator="between">
      <formula>$GS$18</formula>
      <formula>$GS$19</formula>
    </cfRule>
    <cfRule type="cellIs" dxfId="342" priority="64258" operator="between">
      <formula>$GS$17</formula>
      <formula>$GS$18</formula>
    </cfRule>
  </conditionalFormatting>
  <conditionalFormatting sqref="HP1:HP1048576 HS1:HS1048576 HW1:HW1048576 HZ1:HZ1048576">
    <cfRule type="cellIs" dxfId="341" priority="64303" operator="between">
      <formula>$IA$20</formula>
      <formula>1000</formula>
    </cfRule>
    <cfRule type="cellIs" dxfId="340" priority="64304" operator="between">
      <formula>$IA$19</formula>
      <formula>$IA$20</formula>
    </cfRule>
    <cfRule type="cellIs" dxfId="339" priority="64305" operator="between">
      <formula>$IA$18</formula>
      <formula>$IA$19</formula>
    </cfRule>
    <cfRule type="cellIs" dxfId="338" priority="64306" operator="between">
      <formula>$IA$17</formula>
      <formula>$IA$18</formula>
    </cfRule>
  </conditionalFormatting>
  <conditionalFormatting sqref="IV1:IV1048576 IY1:IY1048576 JC1:JC1048576 JF1:JF1048576">
    <cfRule type="cellIs" dxfId="337" priority="64351" operator="between">
      <formula>$JI$16</formula>
      <formula>1000</formula>
    </cfRule>
    <cfRule type="cellIs" dxfId="336" priority="64352" operator="between">
      <formula>$JI$15</formula>
      <formula>$JI$16</formula>
    </cfRule>
    <cfRule type="cellIs" dxfId="335" priority="64353" operator="between">
      <formula>$JI$14</formula>
      <formula>$JI$15</formula>
    </cfRule>
    <cfRule type="cellIs" dxfId="334" priority="64354" operator="between">
      <formula>$JI$13</formula>
      <formula>$JI$14</formula>
    </cfRule>
  </conditionalFormatting>
  <conditionalFormatting sqref="IX1:IX1048576 JA1:JA1048576 JE1:JE1048576 JH1:JH1048576">
    <cfRule type="cellIs" dxfId="333" priority="64399" operator="between">
      <formula>$JI$20</formula>
      <formula>1000</formula>
    </cfRule>
    <cfRule type="cellIs" dxfId="332" priority="64400" operator="between">
      <formula>$JI$19</formula>
      <formula>$JI$20</formula>
    </cfRule>
    <cfRule type="cellIs" dxfId="331" priority="64401" operator="between">
      <formula>$JI$18</formula>
      <formula>$JI$19</formula>
    </cfRule>
    <cfRule type="cellIs" dxfId="330" priority="64402" operator="between">
      <formula>$JI$17</formula>
      <formula>$JI$18</formula>
    </cfRule>
  </conditionalFormatting>
  <conditionalFormatting sqref="KD1:KD1048576 KG1:KG1048576 KK1:KK1048576 KN1:KN1048576">
    <cfRule type="cellIs" dxfId="329" priority="64447" operator="between">
      <formula>$KQ$16</formula>
      <formula>1000</formula>
    </cfRule>
    <cfRule type="cellIs" dxfId="328" priority="64448" operator="between">
      <formula>$KQ$15</formula>
      <formula>$KQ$16</formula>
    </cfRule>
    <cfRule type="cellIs" dxfId="327" priority="64449" operator="between">
      <formula>$KQ$14</formula>
      <formula>$KQ$15</formula>
    </cfRule>
    <cfRule type="cellIs" dxfId="326" priority="64450" operator="between">
      <formula>$KQ$13</formula>
      <formula>$KQ$14</formula>
    </cfRule>
  </conditionalFormatting>
  <conditionalFormatting sqref="KF1:KF1048576 KI1:KI1048576 KM1:KM1048576 KP1:KP1048576">
    <cfRule type="cellIs" dxfId="325" priority="64495" operator="between">
      <formula>$KQ$20</formula>
      <formula>1000</formula>
    </cfRule>
    <cfRule type="cellIs" dxfId="324" priority="64496" operator="between">
      <formula>$KQ$19</formula>
      <formula>$KQ$20</formula>
    </cfRule>
    <cfRule type="cellIs" dxfId="323" priority="64497" operator="between">
      <formula>$KQ$18</formula>
      <formula>$KQ$19</formula>
    </cfRule>
    <cfRule type="cellIs" dxfId="322" priority="64498" operator="between">
      <formula>$KQ$17</formula>
      <formula>$KQ$18</formula>
    </cfRule>
  </conditionalFormatting>
  <conditionalFormatting sqref="LL1:LL1048576 LO1:LO1048576 LS1:LS1048576 LV1:LV1048576">
    <cfRule type="cellIs" dxfId="321" priority="64543" operator="between">
      <formula>$LY$16</formula>
      <formula>1000</formula>
    </cfRule>
    <cfRule type="cellIs" dxfId="320" priority="64544" operator="between">
      <formula>$LY$15</formula>
      <formula>$LY$16</formula>
    </cfRule>
    <cfRule type="cellIs" dxfId="319" priority="64545" operator="between">
      <formula>$LY$14</formula>
      <formula>$LY$15</formula>
    </cfRule>
    <cfRule type="cellIs" dxfId="318" priority="64546" operator="between">
      <formula>$LY$13</formula>
      <formula>$LY$14</formula>
    </cfRule>
  </conditionalFormatting>
  <conditionalFormatting sqref="LN1:LN1048576 LQ1:LQ1048576 LU1:LU1048576 LX1:LX1048576">
    <cfRule type="cellIs" dxfId="317" priority="64591" operator="between">
      <formula>$LY$20</formula>
      <formula>1000</formula>
    </cfRule>
    <cfRule type="cellIs" dxfId="316" priority="64592" operator="between">
      <formula>$LY$19</formula>
      <formula>$LY$20</formula>
    </cfRule>
    <cfRule type="cellIs" dxfId="315" priority="64593" operator="between">
      <formula>$LY$18</formula>
      <formula>$LY$19</formula>
    </cfRule>
    <cfRule type="cellIs" dxfId="314" priority="64594" operator="between">
      <formula>$LY$17</formula>
      <formula>$LY$18</formula>
    </cfRule>
  </conditionalFormatting>
  <conditionalFormatting sqref="MT1:MT1048576 MW1:MW1048576 NA1:NA1048576">
    <cfRule type="cellIs" dxfId="313" priority="64639" operator="between">
      <formula>$NG$16</formula>
      <formula>1000</formula>
    </cfRule>
    <cfRule type="cellIs" dxfId="312" priority="64640" operator="between">
      <formula>$NG$15</formula>
      <formula>$NG$16</formula>
    </cfRule>
    <cfRule type="cellIs" dxfId="311" priority="64641" operator="between">
      <formula>$NG$14</formula>
      <formula>$NG$15</formula>
    </cfRule>
  </conditionalFormatting>
  <conditionalFormatting sqref="MV1:MV1048576 MY1:MY1048576 NC1:NC1048576 NF1:NF1048576">
    <cfRule type="cellIs" dxfId="310" priority="64666" operator="between">
      <formula>$NG$20</formula>
      <formula>1000</formula>
    </cfRule>
    <cfRule type="cellIs" dxfId="309" priority="64667" operator="between">
      <formula>$NG$19</formula>
      <formula>$NG$20</formula>
    </cfRule>
    <cfRule type="cellIs" dxfId="308" priority="64668" operator="between">
      <formula>$NG$18</formula>
      <formula>$NG$19</formula>
    </cfRule>
    <cfRule type="cellIs" dxfId="307" priority="64669" operator="between">
      <formula>$NG$17</formula>
      <formula>$NG$18</formula>
    </cfRule>
  </conditionalFormatting>
  <conditionalFormatting sqref="OB1:OB1048576 OE1:OE1048576 OI1:OI1048576 OL1:OL1048576">
    <cfRule type="cellIs" dxfId="306" priority="64714" operator="between">
      <formula>$OO$16</formula>
      <formula>1000</formula>
    </cfRule>
    <cfRule type="cellIs" dxfId="305" priority="64715" operator="between">
      <formula>$OO$15</formula>
      <formula>$OO$16</formula>
    </cfRule>
    <cfRule type="cellIs" dxfId="304" priority="64716" operator="between">
      <formula>$OO$14</formula>
      <formula>$OO$15</formula>
    </cfRule>
    <cfRule type="cellIs" dxfId="303" priority="64717" operator="between">
      <formula>$OO$13</formula>
      <formula>$OO$14</formula>
    </cfRule>
  </conditionalFormatting>
  <conditionalFormatting sqref="OD1:OD1048576 OG1:OG1048576 OK1:OK1048576 ON1:ON1048576">
    <cfRule type="cellIs" dxfId="302" priority="64762" operator="between">
      <formula>$OO$20</formula>
      <formula>1000</formula>
    </cfRule>
    <cfRule type="cellIs" dxfId="301" priority="64763" operator="between">
      <formula>$OO$19</formula>
      <formula>$OO$20</formula>
    </cfRule>
    <cfRule type="cellIs" dxfId="300" priority="64764" operator="between">
      <formula>$OO$18</formula>
      <formula>$OO$19</formula>
    </cfRule>
    <cfRule type="cellIs" dxfId="299" priority="64765" operator="between">
      <formula>$OO$17</formula>
      <formula>$OO$18</formula>
    </cfRule>
  </conditionalFormatting>
  <conditionalFormatting sqref="PJ1:PJ1048576 PM1:PM1048576 PQ1:PQ1048576 PT1:PT1048576">
    <cfRule type="cellIs" dxfId="298" priority="64810" operator="between">
      <formula>$PW$16</formula>
      <formula>1000</formula>
    </cfRule>
    <cfRule type="cellIs" dxfId="297" priority="64811" operator="between">
      <formula>$PW$15</formula>
      <formula>$PW$16</formula>
    </cfRule>
    <cfRule type="cellIs" dxfId="296" priority="64812" operator="between">
      <formula>$PW$14</formula>
      <formula>$PW$15</formula>
    </cfRule>
    <cfRule type="cellIs" dxfId="295" priority="64813" operator="between">
      <formula>$PW$13</formula>
      <formula>$PW$14</formula>
    </cfRule>
  </conditionalFormatting>
  <conditionalFormatting sqref="PL1:PL1048576 PO1:PO1048576 PS1:PS1048576 PV1:PV1048576">
    <cfRule type="cellIs" dxfId="294" priority="64858" operator="between">
      <formula>$PW$20</formula>
      <formula>1000</formula>
    </cfRule>
    <cfRule type="cellIs" dxfId="293" priority="64859" operator="between">
      <formula>$PW$19</formula>
      <formula>$PW$20</formula>
    </cfRule>
    <cfRule type="cellIs" dxfId="292" priority="64860" operator="between">
      <formula>$PW$18</formula>
      <formula>$PW$19</formula>
    </cfRule>
    <cfRule type="cellIs" dxfId="291" priority="64861" operator="between">
      <formula>$PW$17</formula>
      <formula>$PW$18</formula>
    </cfRule>
  </conditionalFormatting>
  <conditionalFormatting sqref="QR1:QR1048576 QU1:QU1048576 QY1:QY1048576 RB1:RB1048576">
    <cfRule type="cellIs" dxfId="290" priority="64906" operator="between">
      <formula>$RE$16</formula>
      <formula>1000</formula>
    </cfRule>
    <cfRule type="cellIs" dxfId="289" priority="64907" operator="between">
      <formula>$RE$15</formula>
      <formula>$RE$16</formula>
    </cfRule>
    <cfRule type="cellIs" dxfId="288" priority="64908" operator="between">
      <formula>$RE$14</formula>
      <formula>$RE$15</formula>
    </cfRule>
    <cfRule type="cellIs" dxfId="287" priority="64909" operator="between">
      <formula>$RE$13</formula>
      <formula>$RE$14</formula>
    </cfRule>
  </conditionalFormatting>
  <conditionalFormatting sqref="QT1:QT1048576 QW1:QW1048576 RA1:RA1048576 RD1:RD1048576">
    <cfRule type="cellIs" dxfId="286" priority="64954" operator="between">
      <formula>$RE$20</formula>
      <formula>1000</formula>
    </cfRule>
    <cfRule type="cellIs" dxfId="285" priority="64955" operator="between">
      <formula>$RE$19</formula>
      <formula>$RE$20</formula>
    </cfRule>
    <cfRule type="cellIs" dxfId="284" priority="64956" operator="between">
      <formula>$RE$18</formula>
      <formula>$RE$19</formula>
    </cfRule>
    <cfRule type="cellIs" dxfId="283" priority="64957" operator="between">
      <formula>$RE$17</formula>
      <formula>$RE$18</formula>
    </cfRule>
  </conditionalFormatting>
  <conditionalFormatting sqref="RZ1:RZ1048576 SC1:SC1048576 SG1:SG1048576 SJ1:SJ1048576">
    <cfRule type="cellIs" dxfId="282" priority="65002" operator="between">
      <formula>$SM$16</formula>
      <formula>1000</formula>
    </cfRule>
    <cfRule type="cellIs" dxfId="281" priority="65003" operator="between">
      <formula>$SM$15</formula>
      <formula>$SM$16</formula>
    </cfRule>
    <cfRule type="cellIs" dxfId="280" priority="65004" operator="between">
      <formula>$SM$14</formula>
      <formula>$SM$15</formula>
    </cfRule>
    <cfRule type="cellIs" dxfId="279" priority="65005" operator="between">
      <formula>$SM$13</formula>
      <formula>$SM$14</formula>
    </cfRule>
  </conditionalFormatting>
  <conditionalFormatting sqref="SB1:SB1048576 SE1:SE1048576 SI1:SI1048576 SL1:SL1048576">
    <cfRule type="cellIs" dxfId="278" priority="65050" operator="between">
      <formula>$SM$20</formula>
      <formula>1000</formula>
    </cfRule>
    <cfRule type="cellIs" dxfId="277" priority="65051" operator="between">
      <formula>$SM$19</formula>
      <formula>$SM$20</formula>
    </cfRule>
    <cfRule type="cellIs" dxfId="276" priority="65052" operator="between">
      <formula>$SM$18</formula>
      <formula>$SM$19</formula>
    </cfRule>
    <cfRule type="cellIs" dxfId="275" priority="65053" operator="between">
      <formula>$SM$17</formula>
      <formula>$SM$18</formula>
    </cfRule>
  </conditionalFormatting>
  <conditionalFormatting sqref="K1:K1048576 M1:M1048576">
    <cfRule type="expression" dxfId="274" priority="50">
      <formula>IF(K1=$BS$1,1,0)</formula>
    </cfRule>
    <cfRule type="expression" dxfId="273" priority="51">
      <formula>IF(K1=$AR$1,1,0)</formula>
    </cfRule>
    <cfRule type="expression" dxfId="272" priority="52">
      <formula>IF(K1=$Q$1,1,0)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69" t="s">
        <v>11</v>
      </c>
      <c r="H1" s="69" t="s">
        <v>12</v>
      </c>
      <c r="I1" s="69" t="s">
        <v>91</v>
      </c>
      <c r="J1" s="70" t="s">
        <v>117</v>
      </c>
      <c r="K1" s="68" t="s">
        <v>34</v>
      </c>
      <c r="L1" s="70" t="s">
        <v>211</v>
      </c>
      <c r="M1" s="68" t="s">
        <v>34</v>
      </c>
      <c r="N1" s="72" t="s">
        <v>14</v>
      </c>
      <c r="O1" s="68" t="s">
        <v>35</v>
      </c>
      <c r="P1" s="68" t="s">
        <v>34</v>
      </c>
      <c r="Q1" s="65" t="s">
        <v>168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194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214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143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159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160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161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197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201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207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210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69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109</v>
      </c>
      <c r="AH2" s="14" t="s">
        <v>153</v>
      </c>
      <c r="AI2" s="14" t="s">
        <v>21</v>
      </c>
      <c r="AJ2" s="14" t="s">
        <v>82</v>
      </c>
      <c r="AK2" s="14" t="s">
        <v>152</v>
      </c>
      <c r="AL2" s="14" t="s">
        <v>22</v>
      </c>
      <c r="AM2" s="14" t="s">
        <v>24</v>
      </c>
      <c r="AN2" s="14" t="s">
        <v>112</v>
      </c>
      <c r="AO2" s="14" t="s">
        <v>154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109</v>
      </c>
      <c r="BI2" s="13" t="s">
        <v>153</v>
      </c>
      <c r="BJ2" s="13" t="s">
        <v>21</v>
      </c>
      <c r="BK2" s="13" t="s">
        <v>82</v>
      </c>
      <c r="BL2" s="13" t="s">
        <v>152</v>
      </c>
      <c r="BM2" s="13" t="s">
        <v>22</v>
      </c>
      <c r="BN2" s="13" t="s">
        <v>24</v>
      </c>
      <c r="BO2" s="13" t="s">
        <v>112</v>
      </c>
      <c r="BP2" s="13" t="s">
        <v>154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109</v>
      </c>
      <c r="CJ2" s="14" t="s">
        <v>153</v>
      </c>
      <c r="CK2" s="14" t="s">
        <v>21</v>
      </c>
      <c r="CL2" s="14" t="s">
        <v>82</v>
      </c>
      <c r="CM2" s="14" t="s">
        <v>152</v>
      </c>
      <c r="CN2" s="14" t="s">
        <v>22</v>
      </c>
      <c r="CO2" s="14" t="s">
        <v>24</v>
      </c>
      <c r="CP2" s="14" t="s">
        <v>112</v>
      </c>
      <c r="CQ2" s="14" t="s">
        <v>154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114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109</v>
      </c>
      <c r="DQ2" s="14" t="s">
        <v>153</v>
      </c>
      <c r="DR2" s="14" t="s">
        <v>21</v>
      </c>
      <c r="DS2" s="14" t="s">
        <v>82</v>
      </c>
      <c r="DT2" s="14" t="s">
        <v>152</v>
      </c>
      <c r="DU2" s="14" t="s">
        <v>22</v>
      </c>
      <c r="DV2" s="14" t="s">
        <v>24</v>
      </c>
      <c r="DW2" s="14" t="s">
        <v>115</v>
      </c>
      <c r="DX2" s="14" t="s">
        <v>155</v>
      </c>
      <c r="DY2" s="14" t="s">
        <v>114</v>
      </c>
      <c r="DZ2" s="14" t="s">
        <v>112</v>
      </c>
      <c r="EA2" s="14" t="s">
        <v>154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114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109</v>
      </c>
      <c r="EY2" s="13" t="s">
        <v>153</v>
      </c>
      <c r="EZ2" s="13" t="s">
        <v>21</v>
      </c>
      <c r="FA2" s="13" t="s">
        <v>82</v>
      </c>
      <c r="FB2" s="13" t="s">
        <v>152</v>
      </c>
      <c r="FC2" s="13" t="s">
        <v>22</v>
      </c>
      <c r="FD2" s="13" t="s">
        <v>24</v>
      </c>
      <c r="FE2" s="13" t="s">
        <v>115</v>
      </c>
      <c r="FF2" s="13" t="s">
        <v>155</v>
      </c>
      <c r="FG2" s="13" t="s">
        <v>114</v>
      </c>
      <c r="FH2" s="13" t="s">
        <v>112</v>
      </c>
      <c r="FI2" s="13" t="s">
        <v>154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114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109</v>
      </c>
      <c r="GG2" s="14" t="s">
        <v>153</v>
      </c>
      <c r="GH2" s="14" t="s">
        <v>21</v>
      </c>
      <c r="GI2" s="14" t="s">
        <v>82</v>
      </c>
      <c r="GJ2" s="14" t="s">
        <v>152</v>
      </c>
      <c r="GK2" s="14" t="s">
        <v>22</v>
      </c>
      <c r="GL2" s="14" t="s">
        <v>24</v>
      </c>
      <c r="GM2" s="14" t="s">
        <v>115</v>
      </c>
      <c r="GN2" s="14" t="s">
        <v>155</v>
      </c>
      <c r="GO2" s="14" t="s">
        <v>114</v>
      </c>
      <c r="GP2" s="14" t="s">
        <v>112</v>
      </c>
      <c r="GQ2" s="14" t="s">
        <v>154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114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109</v>
      </c>
      <c r="HO2" s="13" t="s">
        <v>153</v>
      </c>
      <c r="HP2" s="13" t="s">
        <v>21</v>
      </c>
      <c r="HQ2" s="13" t="s">
        <v>82</v>
      </c>
      <c r="HR2" s="13" t="s">
        <v>152</v>
      </c>
      <c r="HS2" s="13" t="s">
        <v>22</v>
      </c>
      <c r="HT2" s="13" t="s">
        <v>24</v>
      </c>
      <c r="HU2" s="13" t="s">
        <v>115</v>
      </c>
      <c r="HV2" s="13" t="s">
        <v>155</v>
      </c>
      <c r="HW2" s="13" t="s">
        <v>114</v>
      </c>
      <c r="HX2" s="13" t="s">
        <v>112</v>
      </c>
      <c r="HY2" s="13" t="s">
        <v>154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114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109</v>
      </c>
      <c r="IW2" s="14" t="s">
        <v>153</v>
      </c>
      <c r="IX2" s="14" t="s">
        <v>21</v>
      </c>
      <c r="IY2" s="14" t="s">
        <v>82</v>
      </c>
      <c r="IZ2" s="14" t="s">
        <v>152</v>
      </c>
      <c r="JA2" s="14" t="s">
        <v>22</v>
      </c>
      <c r="JB2" s="14" t="s">
        <v>24</v>
      </c>
      <c r="JC2" s="14" t="s">
        <v>115</v>
      </c>
      <c r="JD2" s="14" t="s">
        <v>155</v>
      </c>
      <c r="JE2" s="14" t="s">
        <v>114</v>
      </c>
      <c r="JF2" s="14" t="s">
        <v>112</v>
      </c>
      <c r="JG2" s="14" t="s">
        <v>154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114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109</v>
      </c>
      <c r="KE2" s="13" t="s">
        <v>153</v>
      </c>
      <c r="KF2" s="13" t="s">
        <v>21</v>
      </c>
      <c r="KG2" s="13" t="s">
        <v>82</v>
      </c>
      <c r="KH2" s="13" t="s">
        <v>152</v>
      </c>
      <c r="KI2" s="13" t="s">
        <v>22</v>
      </c>
      <c r="KJ2" s="13" t="s">
        <v>24</v>
      </c>
      <c r="KK2" s="13" t="s">
        <v>115</v>
      </c>
      <c r="KL2" s="13" t="s">
        <v>155</v>
      </c>
      <c r="KM2" s="13" t="s">
        <v>114</v>
      </c>
      <c r="KN2" s="13" t="s">
        <v>112</v>
      </c>
      <c r="KO2" s="13" t="s">
        <v>154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114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109</v>
      </c>
      <c r="LM2" s="14" t="s">
        <v>153</v>
      </c>
      <c r="LN2" s="14" t="s">
        <v>21</v>
      </c>
      <c r="LO2" s="14" t="s">
        <v>82</v>
      </c>
      <c r="LP2" s="14" t="s">
        <v>152</v>
      </c>
      <c r="LQ2" s="14" t="s">
        <v>22</v>
      </c>
      <c r="LR2" s="14" t="s">
        <v>24</v>
      </c>
      <c r="LS2" s="14" t="s">
        <v>115</v>
      </c>
      <c r="LT2" s="14" t="s">
        <v>155</v>
      </c>
      <c r="LU2" s="14" t="s">
        <v>114</v>
      </c>
      <c r="LV2" s="14" t="s">
        <v>112</v>
      </c>
      <c r="LW2" s="14" t="s">
        <v>154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114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109</v>
      </c>
      <c r="MU2" s="13" t="s">
        <v>153</v>
      </c>
      <c r="MV2" s="13" t="s">
        <v>21</v>
      </c>
      <c r="MW2" s="13" t="s">
        <v>82</v>
      </c>
      <c r="MX2" s="13" t="s">
        <v>152</v>
      </c>
      <c r="MY2" s="13" t="s">
        <v>22</v>
      </c>
      <c r="MZ2" s="13" t="s">
        <v>24</v>
      </c>
      <c r="NA2" s="13" t="s">
        <v>115</v>
      </c>
      <c r="NB2" s="13" t="s">
        <v>155</v>
      </c>
      <c r="NC2" s="13" t="s">
        <v>114</v>
      </c>
      <c r="ND2" s="13" t="s">
        <v>112</v>
      </c>
      <c r="NE2" s="13" t="s">
        <v>154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114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109</v>
      </c>
      <c r="OC2" s="14" t="s">
        <v>153</v>
      </c>
      <c r="OD2" s="14" t="s">
        <v>21</v>
      </c>
      <c r="OE2" s="14" t="s">
        <v>82</v>
      </c>
      <c r="OF2" s="14" t="s">
        <v>152</v>
      </c>
      <c r="OG2" s="14" t="s">
        <v>22</v>
      </c>
      <c r="OH2" s="14" t="s">
        <v>24</v>
      </c>
      <c r="OI2" s="14" t="s">
        <v>115</v>
      </c>
      <c r="OJ2" s="14" t="s">
        <v>155</v>
      </c>
      <c r="OK2" s="14" t="s">
        <v>114</v>
      </c>
      <c r="OL2" s="14" t="s">
        <v>112</v>
      </c>
      <c r="OM2" s="14" t="s">
        <v>154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114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109</v>
      </c>
      <c r="PK2" s="13" t="s">
        <v>153</v>
      </c>
      <c r="PL2" s="13" t="s">
        <v>21</v>
      </c>
      <c r="PM2" s="13" t="s">
        <v>82</v>
      </c>
      <c r="PN2" s="13" t="s">
        <v>152</v>
      </c>
      <c r="PO2" s="13" t="s">
        <v>22</v>
      </c>
      <c r="PP2" s="13" t="s">
        <v>24</v>
      </c>
      <c r="PQ2" s="13" t="s">
        <v>115</v>
      </c>
      <c r="PR2" s="13" t="s">
        <v>155</v>
      </c>
      <c r="PS2" s="13" t="s">
        <v>114</v>
      </c>
      <c r="PT2" s="13" t="s">
        <v>112</v>
      </c>
      <c r="PU2" s="13" t="s">
        <v>154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114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109</v>
      </c>
      <c r="QS2" s="14" t="s">
        <v>153</v>
      </c>
      <c r="QT2" s="14" t="s">
        <v>21</v>
      </c>
      <c r="QU2" s="14" t="s">
        <v>82</v>
      </c>
      <c r="QV2" s="14" t="s">
        <v>152</v>
      </c>
      <c r="QW2" s="14" t="s">
        <v>22</v>
      </c>
      <c r="QX2" s="14" t="s">
        <v>24</v>
      </c>
      <c r="QY2" s="14" t="s">
        <v>115</v>
      </c>
      <c r="QZ2" s="14" t="s">
        <v>155</v>
      </c>
      <c r="RA2" s="14" t="s">
        <v>114</v>
      </c>
      <c r="RB2" s="14" t="s">
        <v>112</v>
      </c>
      <c r="RC2" s="14" t="s">
        <v>154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114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109</v>
      </c>
      <c r="SA2" s="13" t="s">
        <v>153</v>
      </c>
      <c r="SB2" s="13" t="s">
        <v>21</v>
      </c>
      <c r="SC2" s="13" t="s">
        <v>82</v>
      </c>
      <c r="SD2" s="13" t="s">
        <v>152</v>
      </c>
      <c r="SE2" s="13" t="s">
        <v>22</v>
      </c>
      <c r="SF2" s="13" t="s">
        <v>24</v>
      </c>
      <c r="SG2" s="13" t="s">
        <v>115</v>
      </c>
      <c r="SH2" s="13" t="s">
        <v>155</v>
      </c>
      <c r="SI2" s="13" t="s">
        <v>114</v>
      </c>
      <c r="SJ2" s="13" t="s">
        <v>112</v>
      </c>
      <c r="SK2" s="13" t="s">
        <v>154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109</v>
      </c>
      <c r="TE2" s="14" t="s">
        <v>153</v>
      </c>
      <c r="TF2" s="14" t="s">
        <v>21</v>
      </c>
      <c r="TG2" s="14" t="s">
        <v>82</v>
      </c>
      <c r="TH2" s="14" t="s">
        <v>152</v>
      </c>
      <c r="TI2" s="14" t="s">
        <v>22</v>
      </c>
      <c r="TJ2" s="14" t="s">
        <v>24</v>
      </c>
      <c r="TK2" s="14" t="s">
        <v>112</v>
      </c>
      <c r="TL2" s="14" t="s">
        <v>154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151</v>
      </c>
      <c r="U3" s="14" t="s">
        <v>31</v>
      </c>
      <c r="V3" s="14" t="s">
        <v>15</v>
      </c>
      <c r="W3" s="14" t="s">
        <v>16</v>
      </c>
      <c r="X3" s="14" t="s">
        <v>10</v>
      </c>
      <c r="Y3" s="14" t="s">
        <v>151</v>
      </c>
      <c r="Z3" s="14" t="s">
        <v>31</v>
      </c>
      <c r="AA3" s="14" t="s">
        <v>15</v>
      </c>
      <c r="AB3" s="14" t="s">
        <v>16</v>
      </c>
      <c r="AC3" s="14" t="s">
        <v>10</v>
      </c>
      <c r="AD3" s="14" t="s">
        <v>151</v>
      </c>
      <c r="AE3" s="14" t="s">
        <v>31</v>
      </c>
      <c r="AF3" s="14" t="s">
        <v>57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151</v>
      </c>
      <c r="AV3" s="13" t="s">
        <v>31</v>
      </c>
      <c r="AW3" s="13" t="s">
        <v>15</v>
      </c>
      <c r="AX3" s="13" t="s">
        <v>16</v>
      </c>
      <c r="AY3" s="13" t="s">
        <v>10</v>
      </c>
      <c r="AZ3" s="13" t="s">
        <v>151</v>
      </c>
      <c r="BA3" s="13" t="s">
        <v>31</v>
      </c>
      <c r="BB3" s="13" t="s">
        <v>15</v>
      </c>
      <c r="BC3" s="13" t="s">
        <v>16</v>
      </c>
      <c r="BD3" s="13" t="s">
        <v>10</v>
      </c>
      <c r="BE3" s="13" t="s">
        <v>151</v>
      </c>
      <c r="BF3" s="13" t="s">
        <v>31</v>
      </c>
      <c r="BG3" s="13" t="s">
        <v>57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151</v>
      </c>
      <c r="BW3" s="14" t="s">
        <v>31</v>
      </c>
      <c r="BX3" s="14" t="s">
        <v>15</v>
      </c>
      <c r="BY3" s="14" t="s">
        <v>16</v>
      </c>
      <c r="BZ3" s="14" t="s">
        <v>10</v>
      </c>
      <c r="CA3" s="14" t="s">
        <v>151</v>
      </c>
      <c r="CB3" s="14" t="s">
        <v>31</v>
      </c>
      <c r="CC3" s="14" t="s">
        <v>15</v>
      </c>
      <c r="CD3" s="14" t="s">
        <v>16</v>
      </c>
      <c r="CE3" s="14" t="s">
        <v>10</v>
      </c>
      <c r="CF3" s="14" t="s">
        <v>151</v>
      </c>
      <c r="CG3" s="14" t="s">
        <v>31</v>
      </c>
      <c r="CH3" s="14" t="s">
        <v>57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151</v>
      </c>
      <c r="CZ3" s="14" t="s">
        <v>31</v>
      </c>
      <c r="DA3" s="14" t="s">
        <v>15</v>
      </c>
      <c r="DB3" s="14" t="s">
        <v>16</v>
      </c>
      <c r="DC3" s="14" t="s">
        <v>10</v>
      </c>
      <c r="DD3" s="14" t="s">
        <v>151</v>
      </c>
      <c r="DE3" s="14" t="s">
        <v>31</v>
      </c>
      <c r="DF3" s="14" t="s">
        <v>15</v>
      </c>
      <c r="DG3" s="14" t="s">
        <v>16</v>
      </c>
      <c r="DH3" s="14" t="s">
        <v>10</v>
      </c>
      <c r="DI3" s="14" t="s">
        <v>151</v>
      </c>
      <c r="DJ3" s="14" t="s">
        <v>31</v>
      </c>
      <c r="DK3" s="14" t="s">
        <v>15</v>
      </c>
      <c r="DL3" s="14" t="s">
        <v>16</v>
      </c>
      <c r="DM3" s="14" t="s">
        <v>10</v>
      </c>
      <c r="DN3" s="14" t="s">
        <v>151</v>
      </c>
      <c r="DO3" s="14" t="s">
        <v>31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151</v>
      </c>
      <c r="EH3" s="13" t="s">
        <v>31</v>
      </c>
      <c r="EI3" s="13" t="s">
        <v>15</v>
      </c>
      <c r="EJ3" s="13" t="s">
        <v>16</v>
      </c>
      <c r="EK3" s="13" t="s">
        <v>10</v>
      </c>
      <c r="EL3" s="13" t="s">
        <v>151</v>
      </c>
      <c r="EM3" s="13" t="s">
        <v>31</v>
      </c>
      <c r="EN3" s="13" t="s">
        <v>15</v>
      </c>
      <c r="EO3" s="13" t="s">
        <v>16</v>
      </c>
      <c r="EP3" s="13" t="s">
        <v>10</v>
      </c>
      <c r="EQ3" s="13" t="s">
        <v>151</v>
      </c>
      <c r="ER3" s="13" t="s">
        <v>31</v>
      </c>
      <c r="ES3" s="13" t="s">
        <v>15</v>
      </c>
      <c r="ET3" s="13" t="s">
        <v>16</v>
      </c>
      <c r="EU3" s="13" t="s">
        <v>10</v>
      </c>
      <c r="EV3" s="13" t="s">
        <v>151</v>
      </c>
      <c r="EW3" s="13" t="s">
        <v>31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151</v>
      </c>
      <c r="FP3" s="14" t="s">
        <v>31</v>
      </c>
      <c r="FQ3" s="14" t="s">
        <v>15</v>
      </c>
      <c r="FR3" s="14" t="s">
        <v>16</v>
      </c>
      <c r="FS3" s="14" t="s">
        <v>10</v>
      </c>
      <c r="FT3" s="14" t="s">
        <v>151</v>
      </c>
      <c r="FU3" s="14" t="s">
        <v>31</v>
      </c>
      <c r="FV3" s="14" t="s">
        <v>15</v>
      </c>
      <c r="FW3" s="14" t="s">
        <v>16</v>
      </c>
      <c r="FX3" s="14" t="s">
        <v>10</v>
      </c>
      <c r="FY3" s="14" t="s">
        <v>151</v>
      </c>
      <c r="FZ3" s="14" t="s">
        <v>31</v>
      </c>
      <c r="GA3" s="14" t="s">
        <v>15</v>
      </c>
      <c r="GB3" s="14" t="s">
        <v>16</v>
      </c>
      <c r="GC3" s="14" t="s">
        <v>10</v>
      </c>
      <c r="GD3" s="14" t="s">
        <v>151</v>
      </c>
      <c r="GE3" s="14" t="s">
        <v>31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151</v>
      </c>
      <c r="GX3" s="13" t="s">
        <v>31</v>
      </c>
      <c r="GY3" s="13" t="s">
        <v>15</v>
      </c>
      <c r="GZ3" s="13" t="s">
        <v>16</v>
      </c>
      <c r="HA3" s="13" t="s">
        <v>10</v>
      </c>
      <c r="HB3" s="13" t="s">
        <v>151</v>
      </c>
      <c r="HC3" s="13" t="s">
        <v>31</v>
      </c>
      <c r="HD3" s="13" t="s">
        <v>15</v>
      </c>
      <c r="HE3" s="13" t="s">
        <v>16</v>
      </c>
      <c r="HF3" s="13" t="s">
        <v>10</v>
      </c>
      <c r="HG3" s="13" t="s">
        <v>151</v>
      </c>
      <c r="HH3" s="13" t="s">
        <v>31</v>
      </c>
      <c r="HI3" s="13" t="s">
        <v>15</v>
      </c>
      <c r="HJ3" s="13" t="s">
        <v>16</v>
      </c>
      <c r="HK3" s="13" t="s">
        <v>10</v>
      </c>
      <c r="HL3" s="13" t="s">
        <v>151</v>
      </c>
      <c r="HM3" s="13" t="s">
        <v>31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151</v>
      </c>
      <c r="IF3" s="14" t="s">
        <v>31</v>
      </c>
      <c r="IG3" s="14" t="s">
        <v>15</v>
      </c>
      <c r="IH3" s="14" t="s">
        <v>16</v>
      </c>
      <c r="II3" s="14" t="s">
        <v>10</v>
      </c>
      <c r="IJ3" s="14" t="s">
        <v>151</v>
      </c>
      <c r="IK3" s="14" t="s">
        <v>31</v>
      </c>
      <c r="IL3" s="14" t="s">
        <v>15</v>
      </c>
      <c r="IM3" s="14" t="s">
        <v>16</v>
      </c>
      <c r="IN3" s="14" t="s">
        <v>10</v>
      </c>
      <c r="IO3" s="14" t="s">
        <v>151</v>
      </c>
      <c r="IP3" s="14" t="s">
        <v>31</v>
      </c>
      <c r="IQ3" s="14" t="s">
        <v>15</v>
      </c>
      <c r="IR3" s="14" t="s">
        <v>16</v>
      </c>
      <c r="IS3" s="14" t="s">
        <v>10</v>
      </c>
      <c r="IT3" s="14" t="s">
        <v>151</v>
      </c>
      <c r="IU3" s="14" t="s">
        <v>31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151</v>
      </c>
      <c r="JN3" s="13" t="s">
        <v>31</v>
      </c>
      <c r="JO3" s="13" t="s">
        <v>15</v>
      </c>
      <c r="JP3" s="13" t="s">
        <v>16</v>
      </c>
      <c r="JQ3" s="13" t="s">
        <v>10</v>
      </c>
      <c r="JR3" s="13" t="s">
        <v>151</v>
      </c>
      <c r="JS3" s="13" t="s">
        <v>31</v>
      </c>
      <c r="JT3" s="13" t="s">
        <v>15</v>
      </c>
      <c r="JU3" s="13" t="s">
        <v>16</v>
      </c>
      <c r="JV3" s="13" t="s">
        <v>10</v>
      </c>
      <c r="JW3" s="13" t="s">
        <v>151</v>
      </c>
      <c r="JX3" s="13" t="s">
        <v>31</v>
      </c>
      <c r="JY3" s="13" t="s">
        <v>15</v>
      </c>
      <c r="JZ3" s="13" t="s">
        <v>16</v>
      </c>
      <c r="KA3" s="13" t="s">
        <v>10</v>
      </c>
      <c r="KB3" s="13" t="s">
        <v>151</v>
      </c>
      <c r="KC3" s="13" t="s">
        <v>31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151</v>
      </c>
      <c r="KV3" s="14" t="s">
        <v>31</v>
      </c>
      <c r="KW3" s="14" t="s">
        <v>15</v>
      </c>
      <c r="KX3" s="14" t="s">
        <v>16</v>
      </c>
      <c r="KY3" s="14" t="s">
        <v>10</v>
      </c>
      <c r="KZ3" s="14" t="s">
        <v>151</v>
      </c>
      <c r="LA3" s="14" t="s">
        <v>31</v>
      </c>
      <c r="LB3" s="14" t="s">
        <v>15</v>
      </c>
      <c r="LC3" s="14" t="s">
        <v>16</v>
      </c>
      <c r="LD3" s="14" t="s">
        <v>10</v>
      </c>
      <c r="LE3" s="14" t="s">
        <v>151</v>
      </c>
      <c r="LF3" s="14" t="s">
        <v>31</v>
      </c>
      <c r="LG3" s="14" t="s">
        <v>15</v>
      </c>
      <c r="LH3" s="14" t="s">
        <v>16</v>
      </c>
      <c r="LI3" s="14" t="s">
        <v>10</v>
      </c>
      <c r="LJ3" s="14" t="s">
        <v>151</v>
      </c>
      <c r="LK3" s="14" t="s">
        <v>31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151</v>
      </c>
      <c r="MD3" s="13" t="s">
        <v>31</v>
      </c>
      <c r="ME3" s="13" t="s">
        <v>15</v>
      </c>
      <c r="MF3" s="13" t="s">
        <v>16</v>
      </c>
      <c r="MG3" s="13" t="s">
        <v>10</v>
      </c>
      <c r="MH3" s="13" t="s">
        <v>151</v>
      </c>
      <c r="MI3" s="13" t="s">
        <v>31</v>
      </c>
      <c r="MJ3" s="13" t="s">
        <v>15</v>
      </c>
      <c r="MK3" s="13" t="s">
        <v>16</v>
      </c>
      <c r="ML3" s="13" t="s">
        <v>10</v>
      </c>
      <c r="MM3" s="13" t="s">
        <v>151</v>
      </c>
      <c r="MN3" s="13" t="s">
        <v>31</v>
      </c>
      <c r="MO3" s="13" t="s">
        <v>15</v>
      </c>
      <c r="MP3" s="13" t="s">
        <v>16</v>
      </c>
      <c r="MQ3" s="13" t="s">
        <v>10</v>
      </c>
      <c r="MR3" s="13" t="s">
        <v>151</v>
      </c>
      <c r="MS3" s="13" t="s">
        <v>31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151</v>
      </c>
      <c r="NL3" s="14" t="s">
        <v>31</v>
      </c>
      <c r="NM3" s="14" t="s">
        <v>15</v>
      </c>
      <c r="NN3" s="14" t="s">
        <v>16</v>
      </c>
      <c r="NO3" s="14" t="s">
        <v>10</v>
      </c>
      <c r="NP3" s="14" t="s">
        <v>151</v>
      </c>
      <c r="NQ3" s="14" t="s">
        <v>31</v>
      </c>
      <c r="NR3" s="14" t="s">
        <v>15</v>
      </c>
      <c r="NS3" s="14" t="s">
        <v>16</v>
      </c>
      <c r="NT3" s="14" t="s">
        <v>10</v>
      </c>
      <c r="NU3" s="14" t="s">
        <v>151</v>
      </c>
      <c r="NV3" s="14" t="s">
        <v>31</v>
      </c>
      <c r="NW3" s="14" t="s">
        <v>15</v>
      </c>
      <c r="NX3" s="14" t="s">
        <v>16</v>
      </c>
      <c r="NY3" s="14" t="s">
        <v>10</v>
      </c>
      <c r="NZ3" s="14" t="s">
        <v>151</v>
      </c>
      <c r="OA3" s="14" t="s">
        <v>31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151</v>
      </c>
      <c r="OT3" s="13" t="s">
        <v>31</v>
      </c>
      <c r="OU3" s="13" t="s">
        <v>15</v>
      </c>
      <c r="OV3" s="13" t="s">
        <v>16</v>
      </c>
      <c r="OW3" s="13" t="s">
        <v>10</v>
      </c>
      <c r="OX3" s="13" t="s">
        <v>151</v>
      </c>
      <c r="OY3" s="13" t="s">
        <v>31</v>
      </c>
      <c r="OZ3" s="13" t="s">
        <v>15</v>
      </c>
      <c r="PA3" s="13" t="s">
        <v>16</v>
      </c>
      <c r="PB3" s="13" t="s">
        <v>10</v>
      </c>
      <c r="PC3" s="13" t="s">
        <v>151</v>
      </c>
      <c r="PD3" s="13" t="s">
        <v>31</v>
      </c>
      <c r="PE3" s="13" t="s">
        <v>15</v>
      </c>
      <c r="PF3" s="13" t="s">
        <v>16</v>
      </c>
      <c r="PG3" s="13" t="s">
        <v>10</v>
      </c>
      <c r="PH3" s="13" t="s">
        <v>151</v>
      </c>
      <c r="PI3" s="13" t="s">
        <v>31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151</v>
      </c>
      <c r="QB3" s="14" t="s">
        <v>31</v>
      </c>
      <c r="QC3" s="14" t="s">
        <v>15</v>
      </c>
      <c r="QD3" s="14" t="s">
        <v>16</v>
      </c>
      <c r="QE3" s="14" t="s">
        <v>10</v>
      </c>
      <c r="QF3" s="14" t="s">
        <v>151</v>
      </c>
      <c r="QG3" s="14" t="s">
        <v>31</v>
      </c>
      <c r="QH3" s="14" t="s">
        <v>15</v>
      </c>
      <c r="QI3" s="14" t="s">
        <v>16</v>
      </c>
      <c r="QJ3" s="14" t="s">
        <v>10</v>
      </c>
      <c r="QK3" s="14" t="s">
        <v>151</v>
      </c>
      <c r="QL3" s="14" t="s">
        <v>31</v>
      </c>
      <c r="QM3" s="14" t="s">
        <v>15</v>
      </c>
      <c r="QN3" s="14" t="s">
        <v>16</v>
      </c>
      <c r="QO3" s="14" t="s">
        <v>10</v>
      </c>
      <c r="QP3" s="14" t="s">
        <v>151</v>
      </c>
      <c r="QQ3" s="14" t="s">
        <v>31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151</v>
      </c>
      <c r="RJ3" s="13" t="s">
        <v>31</v>
      </c>
      <c r="RK3" s="13" t="s">
        <v>15</v>
      </c>
      <c r="RL3" s="13" t="s">
        <v>16</v>
      </c>
      <c r="RM3" s="13" t="s">
        <v>10</v>
      </c>
      <c r="RN3" s="13" t="s">
        <v>151</v>
      </c>
      <c r="RO3" s="13" t="s">
        <v>31</v>
      </c>
      <c r="RP3" s="13" t="s">
        <v>15</v>
      </c>
      <c r="RQ3" s="13" t="s">
        <v>16</v>
      </c>
      <c r="RR3" s="13" t="s">
        <v>10</v>
      </c>
      <c r="RS3" s="13" t="s">
        <v>151</v>
      </c>
      <c r="RT3" s="13" t="s">
        <v>31</v>
      </c>
      <c r="RU3" s="13" t="s">
        <v>15</v>
      </c>
      <c r="RV3" s="13" t="s">
        <v>16</v>
      </c>
      <c r="RW3" s="13" t="s">
        <v>10</v>
      </c>
      <c r="RX3" s="13" t="s">
        <v>151</v>
      </c>
      <c r="RY3" s="13" t="s">
        <v>31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151</v>
      </c>
      <c r="SR3" s="14" t="s">
        <v>31</v>
      </c>
      <c r="SS3" s="14" t="s">
        <v>15</v>
      </c>
      <c r="ST3" s="14" t="s">
        <v>16</v>
      </c>
      <c r="SU3" s="14" t="s">
        <v>10</v>
      </c>
      <c r="SV3" s="14" t="s">
        <v>151</v>
      </c>
      <c r="SW3" s="14" t="s">
        <v>31</v>
      </c>
      <c r="SX3" s="14" t="s">
        <v>15</v>
      </c>
      <c r="SY3" s="14" t="s">
        <v>16</v>
      </c>
      <c r="SZ3" s="14" t="s">
        <v>10</v>
      </c>
      <c r="TA3" s="14" t="s">
        <v>151</v>
      </c>
      <c r="TB3" s="14" t="s">
        <v>31</v>
      </c>
      <c r="TC3" s="14" t="s">
        <v>57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IF(AND(F4&lt;&gt;"",G4&lt;&gt;""),SUMPRODUCT((F$4:F$12&lt;&gt;"")*(G$4:G$12&lt;&gt;"")*(E$4:E$12&gt;E4))+1,IF(G4&lt;&gt;"",SUMPRODUCT((H$4:H$12="No DD")*(E$4:E$12&gt;E4))+1+SUMPRODUCT((F$4:F$12&lt;&gt;"")*(G$4:G$12&lt;&gt;"")),""))</f>
        <v>1</v>
      </c>
      <c r="B4" s="5" t="s">
        <v>146</v>
      </c>
      <c r="C4" s="4" t="s">
        <v>145</v>
      </c>
      <c r="D4" s="4" t="s">
        <v>144</v>
      </c>
      <c r="E4" s="9">
        <f t="shared" ref="E4:E11" si="0">SUM(J4,L4,N4)</f>
        <v>95.55</v>
      </c>
      <c r="F4" s="3" t="str">
        <f t="shared" ref="F4:F11" si="1"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),"P","")</f>
        <v>P</v>
      </c>
      <c r="G4" s="3" t="str">
        <f t="shared" ref="G4:G11" si="2"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),"P","")</f>
        <v>P</v>
      </c>
      <c r="H4" s="37" t="str">
        <f t="shared" ref="H4:H11" si="3"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),"Excellence",IF(I4="P","Worlds Team",IF(F4="P","National Team","")))))</f>
        <v>Merit</v>
      </c>
      <c r="I4" s="3" t="str">
        <f t="shared" ref="I4:I11" si="4"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),"P","")</f>
        <v>P</v>
      </c>
      <c r="J4" s="8">
        <f>IF(COUNT(AI4,AL4,AP4,BJ4,BM4,BQ4,CK4,CN4,CR4)&gt;0,LARGE((AI4,AL4,AP4,BJ4,BM4,BQ4,CK4,CN4,CR4),1),0)</f>
        <v>47.550000000000004</v>
      </c>
      <c r="K4" s="8" t="str">
        <f t="shared" ref="K4:K11" si="5">IF(J4="","",IF(OR(J4=CK4,J4=CN4,J4=CR4),$BS$1,IF(OR(J4=BJ4,J4=BM4,J4=BQ4),$AR$1,IF(OR(J4=AI4,J4=AL4,J4=AP4),$Q$1,""))))</f>
        <v>2022 Nationals</v>
      </c>
      <c r="L4" s="8">
        <f>IF(COUNT(AI4,AL4,AP4,BJ4,BM4,BQ4,CK4,CN4,CR4)&gt;1,LARGE((AI4,AL4,AP4,BJ4,BM4,BQ4,CK4,CN4,CR4),2),0)</f>
        <v>47.2</v>
      </c>
      <c r="M4" s="8" t="str">
        <f t="shared" ref="M4:M11" si="6">IF(L4="","",IF(OR(L4=CK4,L4=CN4,L4=CR4),$BS$1,IF(OR(L4=BJ4,L4=BM4,L4=BQ4),$AR$1,IF(OR(L4=AI4,L4=AL4,L4=AP4),$Q$1,""))))</f>
        <v>2022 Nationals</v>
      </c>
      <c r="N4" s="8">
        <f t="shared" ref="N4:N11" si="7">IF(MAX(CT4,CU4)&gt;0,MAX(CT4,CU4),"")</f>
        <v>0.79999999999999716</v>
      </c>
      <c r="O4" s="11" t="str">
        <f t="shared" ref="O4:O11" si="8">IF(N4="","",IF(N4=CT4,"("&amp;CT$2&amp;")",IF(N4=CU4,"("&amp;CU$2&amp;")")))</f>
        <v>(Prelim)</v>
      </c>
      <c r="P4" s="8" t="str">
        <f t="shared" ref="P4:P11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 Cup POR (June 26)</v>
      </c>
      <c r="Q4" s="23">
        <v>7.65</v>
      </c>
      <c r="R4" s="23">
        <v>9.0500000000000007</v>
      </c>
      <c r="S4" s="23">
        <v>13.1</v>
      </c>
      <c r="T4" s="23">
        <v>17.399999999999999</v>
      </c>
      <c r="U4" s="23">
        <v>0</v>
      </c>
      <c r="V4" s="23">
        <v>2.2999999999999998</v>
      </c>
      <c r="W4" s="23">
        <v>2.75</v>
      </c>
      <c r="X4" s="23">
        <v>4.4000000000000004</v>
      </c>
      <c r="Y4" s="23">
        <v>5.4</v>
      </c>
      <c r="Z4" s="23">
        <v>0</v>
      </c>
      <c r="AA4" s="23">
        <v>8.1</v>
      </c>
      <c r="AB4" s="23">
        <v>8.75</v>
      </c>
      <c r="AC4" s="23">
        <v>13.1</v>
      </c>
      <c r="AD4" s="23">
        <v>17.600000000000001</v>
      </c>
      <c r="AE4" s="23">
        <v>0</v>
      </c>
      <c r="AF4" s="28"/>
      <c r="AG4" s="39">
        <f t="shared" ref="AG4:AH11" si="10">IF(S4&gt;0,S4,"")</f>
        <v>13.1</v>
      </c>
      <c r="AH4" s="39">
        <f t="shared" si="10"/>
        <v>17.399999999999999</v>
      </c>
      <c r="AI4" s="41">
        <f t="shared" ref="AI4:AI11" si="11">IF(SUM(Q4:T4)-U4&gt;0,SUM(Q4:T4)-U4,"")</f>
        <v>47.2</v>
      </c>
      <c r="AJ4" s="41">
        <f t="shared" ref="AJ4:AK11" si="12">IF(X4&gt;0,X4,"")</f>
        <v>4.4000000000000004</v>
      </c>
      <c r="AK4" s="41">
        <f t="shared" si="12"/>
        <v>5.4</v>
      </c>
      <c r="AL4" s="41">
        <f t="shared" ref="AL4:AL11" si="13">IF(SUM(V4:Y4)-Z4&gt;0,SUM(V4:Y4)-Z4,"")</f>
        <v>14.85</v>
      </c>
      <c r="AM4" s="41">
        <f t="shared" ref="AM4:AM11" si="14">IF(AI4="","",MAX(AI4,AL4))</f>
        <v>47.2</v>
      </c>
      <c r="AN4" s="41">
        <f t="shared" ref="AN4:AO11" si="15">IF(AC4&gt;0,AC4,"")</f>
        <v>13.1</v>
      </c>
      <c r="AO4" s="41">
        <f t="shared" si="15"/>
        <v>17.600000000000001</v>
      </c>
      <c r="AP4" s="41">
        <f t="shared" ref="AP4:AP11" si="16">IF(SUM(AA4:AD4)-AE4&gt;0,SUM(AA4:AD4)-AE4,"")</f>
        <v>47.550000000000004</v>
      </c>
      <c r="AQ4" s="41">
        <f t="shared" ref="AQ4:AQ11" si="17">IF(SUM(AM4,AP4)&gt;0,SUM(AM4,AP4),"")</f>
        <v>94.75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I11" si="18">IF(AT4&gt;0,AT4,"")</f>
        <v/>
      </c>
      <c r="BI4" s="40" t="str">
        <f t="shared" si="18"/>
        <v/>
      </c>
      <c r="BJ4" s="11" t="str">
        <f t="shared" ref="BJ4:BJ11" si="19">IF(SUM(AR4:AU4)-AV4&gt;0,SUM(AR4:AU4)-AV4,"")</f>
        <v/>
      </c>
      <c r="BK4" s="11" t="str">
        <f t="shared" ref="BK4:BL11" si="20">IF(AY4&gt;0,AY4,"")</f>
        <v/>
      </c>
      <c r="BL4" s="11" t="str">
        <f t="shared" si="20"/>
        <v/>
      </c>
      <c r="BM4" s="11" t="str">
        <f t="shared" ref="BM4:BM11" si="21">IF(SUM(AW4:AZ4)-BA4&gt;0,SUM(AW4:AZ4)-BA4,"")</f>
        <v/>
      </c>
      <c r="BN4" s="11" t="str">
        <f t="shared" ref="BN4:BN11" si="22">IF(BJ4="","",MAX(BJ4,BM4))</f>
        <v/>
      </c>
      <c r="BO4" s="11" t="str">
        <f t="shared" ref="BO4:BP11" si="23">IF(BD4&gt;0,BD4,"")</f>
        <v/>
      </c>
      <c r="BP4" s="11" t="str">
        <f t="shared" si="23"/>
        <v/>
      </c>
      <c r="BQ4" s="11" t="str">
        <f t="shared" ref="BQ4:BQ11" si="24">IF(SUM(BB4:BE4)-BF4&gt;0,SUM(BB4:BE4)-BF4,"")</f>
        <v/>
      </c>
      <c r="BR4" s="11" t="str">
        <f t="shared" ref="BR4:BR11" si="25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J11" si="26">IF(BU4&gt;0,BU4,"")</f>
        <v/>
      </c>
      <c r="CJ4" s="39" t="str">
        <f t="shared" si="26"/>
        <v/>
      </c>
      <c r="CK4" s="41" t="str">
        <f t="shared" ref="CK4:CK11" si="27">IF(SUM(BS4:BV4)-BW4&gt;0,SUM(BS4:BV4)-BW4,"")</f>
        <v/>
      </c>
      <c r="CL4" s="41" t="str">
        <f t="shared" ref="CL4:CM11" si="28">IF(BZ4&gt;0,BZ4,"")</f>
        <v/>
      </c>
      <c r="CM4" s="41" t="str">
        <f t="shared" si="28"/>
        <v/>
      </c>
      <c r="CN4" s="41" t="str">
        <f t="shared" ref="CN4:CN11" si="29">IF(SUM(BX4:CA4)-CB4&gt;0,SUM(BX4:CA4)-CB4,"")</f>
        <v/>
      </c>
      <c r="CO4" s="41" t="str">
        <f t="shared" ref="CO4:CO11" si="30">IF(CK4="","",MAX(CK4,CN4))</f>
        <v/>
      </c>
      <c r="CP4" s="41" t="str">
        <f t="shared" ref="CP4:CQ11" si="31">IF(CE4&gt;0,CE4,"")</f>
        <v/>
      </c>
      <c r="CQ4" s="41" t="str">
        <f t="shared" si="31"/>
        <v/>
      </c>
      <c r="CR4" s="41" t="str">
        <f t="shared" ref="CR4:CR11" si="32">IF(SUM(CC4:CF4)-CG4&gt;0,SUM(CC4:CF4)-CG4,"")</f>
        <v/>
      </c>
      <c r="CS4" s="41" t="str">
        <f t="shared" ref="CS4:CS11" si="33">IF(SUM(CO4,CR4)&gt;0,SUM(CO4,CR4),"")</f>
        <v/>
      </c>
      <c r="CT4" s="52">
        <f t="shared" ref="CT4:CT11" si="34">IF(MAX(DV4,FD4,GL4,HT4,JB4,KJ4,LR4,MZ4,OH4,PP4,QX4,SF4)-IF(L4="",0,L4)&gt;0.001,MAX(DV4,FD4,GL4,HT4,JB4,KJ4,LR4,MZ4,OH4,PP4,QX4,SF4)-IF(L4="",0,L4),"")</f>
        <v>0.79999999999999716</v>
      </c>
      <c r="CU4" s="52" t="str">
        <f t="shared" ref="CU4:CU11" si="35"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7.05</v>
      </c>
      <c r="CW4" s="17">
        <v>9.15</v>
      </c>
      <c r="CX4" s="17">
        <v>13.1</v>
      </c>
      <c r="CY4" s="17">
        <v>16.940000000000001</v>
      </c>
      <c r="CZ4" s="17">
        <v>0.4</v>
      </c>
      <c r="DA4" s="17">
        <v>7.15</v>
      </c>
      <c r="DB4" s="17">
        <v>9.15</v>
      </c>
      <c r="DC4" s="17">
        <v>13.1</v>
      </c>
      <c r="DD4" s="17">
        <v>17.920000000000002</v>
      </c>
      <c r="DE4" s="17">
        <v>0</v>
      </c>
      <c r="DF4" s="17"/>
      <c r="DG4" s="17"/>
      <c r="DH4" s="17"/>
      <c r="DI4" s="17"/>
      <c r="DJ4" s="17"/>
      <c r="DK4" s="17">
        <v>5.05</v>
      </c>
      <c r="DL4" s="17">
        <v>6.75</v>
      </c>
      <c r="DM4" s="17">
        <v>9.4</v>
      </c>
      <c r="DN4" s="17">
        <v>11.94</v>
      </c>
      <c r="DO4" s="17">
        <v>0</v>
      </c>
      <c r="DP4" s="41">
        <f t="shared" ref="DP4:DQ11" si="36">IF(CX4&gt;0,CX4,"")</f>
        <v>13.1</v>
      </c>
      <c r="DQ4" s="41">
        <f t="shared" si="36"/>
        <v>16.940000000000001</v>
      </c>
      <c r="DR4" s="41">
        <f t="shared" ref="DR4:DR11" si="37">IF(SUM(CV4:CY4)-CZ4&gt;0,SUM(CV4:CY4)-CZ4,"")</f>
        <v>45.839999999999996</v>
      </c>
      <c r="DS4" s="41">
        <f t="shared" ref="DS4:DT11" si="38">IF(DC4&gt;0,DC4,"")</f>
        <v>13.1</v>
      </c>
      <c r="DT4" s="41">
        <f t="shared" si="38"/>
        <v>17.920000000000002</v>
      </c>
      <c r="DU4" s="41">
        <f t="shared" ref="DU4:DU11" si="39">IF(SUM(DA4:DD4)-DE4&gt;0,SUM(DA4:DD4)-DE4,"")</f>
        <v>47.32</v>
      </c>
      <c r="DV4" s="41">
        <f t="shared" ref="DV4:DV11" si="40">IF(MAX(DR4,DU4)&gt;0,MAX(DR4,DU4),"")</f>
        <v>47.32</v>
      </c>
      <c r="DW4" s="41" t="str">
        <f t="shared" ref="DW4:DX11" si="41">IF(DH4&gt;0,DH4,"")</f>
        <v/>
      </c>
      <c r="DX4" s="41" t="str">
        <f t="shared" si="41"/>
        <v/>
      </c>
      <c r="DY4" s="41" t="str">
        <f t="shared" ref="DY4:DY11" si="42">IF(SUM(DF4:DI4)-DJ4&gt;0,SUM(DF4:DI4)-DJ4,"")</f>
        <v/>
      </c>
      <c r="DZ4" s="41">
        <f t="shared" ref="DZ4:EA11" si="43">IF(DM4&gt;0,DM4,"")</f>
        <v>9.4</v>
      </c>
      <c r="EA4" s="41">
        <f t="shared" si="43"/>
        <v>11.94</v>
      </c>
      <c r="EB4" s="41">
        <f t="shared" ref="EB4:EB11" si="44">IF(SUM(DK4:DN4)-DO4&gt;0,SUM(DK4:DN4)-DO4,"")</f>
        <v>33.14</v>
      </c>
      <c r="EC4" s="41">
        <f t="shared" ref="EC4:EC11" si="45">IF(SUM(DV4,EB4)&gt;0,SUM(DV4,EB4),"")</f>
        <v>80.460000000000008</v>
      </c>
      <c r="ED4" s="18">
        <v>6.75</v>
      </c>
      <c r="EE4" s="18">
        <v>8.4</v>
      </c>
      <c r="EF4" s="18">
        <v>11.5</v>
      </c>
      <c r="EG4" s="18">
        <v>16.8</v>
      </c>
      <c r="EH4" s="18">
        <v>0</v>
      </c>
      <c r="EI4" s="18">
        <v>7.35</v>
      </c>
      <c r="EJ4" s="18">
        <v>9.25</v>
      </c>
      <c r="EK4" s="18">
        <v>13.1</v>
      </c>
      <c r="EL4" s="18">
        <v>18.3</v>
      </c>
      <c r="EM4" s="18">
        <v>0</v>
      </c>
      <c r="EN4" s="18"/>
      <c r="EO4" s="18"/>
      <c r="EP4" s="18"/>
      <c r="EQ4" s="18"/>
      <c r="ER4" s="18"/>
      <c r="ES4" s="18">
        <v>1.4</v>
      </c>
      <c r="ET4" s="18">
        <v>1.8</v>
      </c>
      <c r="EU4" s="18">
        <v>2.9</v>
      </c>
      <c r="EV4" s="18">
        <v>3.9</v>
      </c>
      <c r="EW4" s="18">
        <v>0</v>
      </c>
      <c r="EX4" s="11">
        <f t="shared" ref="EX4:EY11" si="46">IF(EF4&gt;0,EF4,"")</f>
        <v>11.5</v>
      </c>
      <c r="EY4" s="11">
        <f t="shared" si="46"/>
        <v>16.8</v>
      </c>
      <c r="EZ4" s="11">
        <f t="shared" ref="EZ4:EZ11" si="47">IF(SUM(ED4:EG4)-EH4&gt;0,SUM(ED4:EG4)-EH4,"")</f>
        <v>43.45</v>
      </c>
      <c r="FA4" s="11">
        <f t="shared" ref="FA4:FB11" si="48">IF(EK4&gt;0,EK4,"")</f>
        <v>13.1</v>
      </c>
      <c r="FB4" s="11">
        <f t="shared" si="48"/>
        <v>18.3</v>
      </c>
      <c r="FC4" s="11">
        <f t="shared" ref="FC4:FC11" si="49">IF(SUM(EI4:EL4)-EM4&gt;0,SUM(EI4:EL4)-EM4,"")</f>
        <v>48</v>
      </c>
      <c r="FD4" s="11">
        <f t="shared" ref="FD4:FD11" si="50">IF(MAX(EZ4,FC4)&gt;0,MAX(EZ4,FC4),"")</f>
        <v>48</v>
      </c>
      <c r="FE4" s="11" t="str">
        <f t="shared" ref="FE4:FF11" si="51">IF(EP4&gt;0,EP4,"")</f>
        <v/>
      </c>
      <c r="FF4" s="11" t="str">
        <f t="shared" si="51"/>
        <v/>
      </c>
      <c r="FG4" s="11" t="str">
        <f t="shared" ref="FG4:FG11" si="52">IF(SUM(EN4:EQ4)-ER4&gt;0,SUM(EN4:EQ4)-ER4,"")</f>
        <v/>
      </c>
      <c r="FH4" s="11">
        <f t="shared" ref="FH4:FI11" si="53">IF(EU4&gt;0,EU4,"")</f>
        <v>2.9</v>
      </c>
      <c r="FI4" s="11">
        <f t="shared" si="53"/>
        <v>3.9</v>
      </c>
      <c r="FJ4" s="11">
        <f t="shared" ref="FJ4:FJ11" si="54">IF(SUM(ES4:EV4)-EW4&gt;0,SUM(ES4:EV4)-EW4,"")</f>
        <v>10</v>
      </c>
      <c r="FK4" s="11">
        <f t="shared" ref="FK4:FK11" si="55">IF(SUM(FD4,FJ4)&gt;0,SUM(FD4,FJ4),"")</f>
        <v>58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G11" si="56">IF(FN4&gt;0,FN4,"")</f>
        <v/>
      </c>
      <c r="GG4" s="41" t="str">
        <f t="shared" si="56"/>
        <v/>
      </c>
      <c r="GH4" s="41" t="str">
        <f t="shared" ref="GH4:GH11" si="57">IF(SUM(FL4:FO4)-FP4&gt;0,SUM(FL4:FO4)-FP4,"")</f>
        <v/>
      </c>
      <c r="GI4" s="41" t="str">
        <f t="shared" ref="GI4:GJ11" si="58">IF(FS4&gt;0,FS4,"")</f>
        <v/>
      </c>
      <c r="GJ4" s="41" t="str">
        <f t="shared" si="58"/>
        <v/>
      </c>
      <c r="GK4" s="41" t="str">
        <f t="shared" ref="GK4:GK11" si="59">IF(SUM(FQ4:FT4)-FU4&gt;0,SUM(FQ4:FT4)-FU4,"")</f>
        <v/>
      </c>
      <c r="GL4" s="41" t="str">
        <f t="shared" ref="GL4:GL11" si="60">IF(MAX(GH4,GK4)&gt;0,MAX(GH4,GK4),"")</f>
        <v/>
      </c>
      <c r="GM4" s="41" t="str">
        <f t="shared" ref="GM4:GN11" si="61">IF(FX4&gt;0,FX4,"")</f>
        <v/>
      </c>
      <c r="GN4" s="41" t="str">
        <f t="shared" si="61"/>
        <v/>
      </c>
      <c r="GO4" s="41" t="str">
        <f t="shared" ref="GO4:GO11" si="62">IF(SUM(FV4:FY4)-FZ4&gt;0,SUM(FV4:FY4)-FZ4,"")</f>
        <v/>
      </c>
      <c r="GP4" s="41" t="str">
        <f t="shared" ref="GP4:GQ11" si="63">IF(GC4&gt;0,GC4,"")</f>
        <v/>
      </c>
      <c r="GQ4" s="41" t="str">
        <f t="shared" si="63"/>
        <v/>
      </c>
      <c r="GR4" s="41" t="str">
        <f t="shared" ref="GR4:GR11" si="64">IF(SUM(GA4:GD4)-GE4&gt;0,SUM(GA4:GD4)-GE4,"")</f>
        <v/>
      </c>
      <c r="GS4" s="41" t="str">
        <f t="shared" ref="GS4:GS11" si="65">IF(SUM(GL4,GR4)&gt;0,SUM(GL4,GR4),"")</f>
        <v/>
      </c>
      <c r="GT4" s="18">
        <v>1.5</v>
      </c>
      <c r="GU4" s="18">
        <v>1.85</v>
      </c>
      <c r="GV4" s="18">
        <v>2.9</v>
      </c>
      <c r="GW4" s="18">
        <v>3.94</v>
      </c>
      <c r="GX4" s="18">
        <v>0</v>
      </c>
      <c r="GY4" s="18">
        <v>7.3</v>
      </c>
      <c r="GZ4" s="18">
        <v>9.3000000000000007</v>
      </c>
      <c r="HA4" s="18">
        <v>13.1</v>
      </c>
      <c r="HB4" s="18">
        <v>15.48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O11" si="66">IF(GV4&gt;0,GV4,"")</f>
        <v>2.9</v>
      </c>
      <c r="HO4" s="11">
        <f t="shared" si="66"/>
        <v>3.94</v>
      </c>
      <c r="HP4" s="11">
        <f t="shared" ref="HP4:HP11" si="67">IF(SUM(GT4:GW4)-GX4&gt;0,SUM(GT4:GW4)-GX4,"")</f>
        <v>10.19</v>
      </c>
      <c r="HQ4" s="11">
        <f t="shared" ref="HQ4:HR11" si="68">IF(HA4&gt;0,HA4,"")</f>
        <v>13.1</v>
      </c>
      <c r="HR4" s="11">
        <f t="shared" si="68"/>
        <v>15.48</v>
      </c>
      <c r="HS4" s="11">
        <f t="shared" ref="HS4:HS11" si="69">IF(SUM(GY4:HB4)-HC4&gt;0,SUM(GY4:HB4)-HC4,"")</f>
        <v>45.180000000000007</v>
      </c>
      <c r="HT4" s="11">
        <f t="shared" ref="HT4:HT11" si="70">IF(MAX(HP4,HS4)&gt;0,MAX(HP4,HS4),"")</f>
        <v>45.180000000000007</v>
      </c>
      <c r="HU4" s="11" t="str">
        <f t="shared" ref="HU4:HV11" si="71">IF(HF4&gt;0,HF4,"")</f>
        <v/>
      </c>
      <c r="HV4" s="11" t="str">
        <f t="shared" si="71"/>
        <v/>
      </c>
      <c r="HW4" s="11" t="str">
        <f t="shared" ref="HW4:HW11" si="72">IF(SUM(HD4:HG4)-HH4&gt;0,SUM(HD4:HG4)-HH4,"")</f>
        <v/>
      </c>
      <c r="HX4" s="11" t="str">
        <f t="shared" ref="HX4:HY11" si="73">IF(HK4&gt;0,HK4,"")</f>
        <v/>
      </c>
      <c r="HY4" s="11" t="str">
        <f t="shared" si="73"/>
        <v/>
      </c>
      <c r="HZ4" s="11" t="str">
        <f t="shared" ref="HZ4:HZ11" si="74">IF(SUM(HI4:HL4)-HM4&gt;0,SUM(HI4:HL4)-HM4,"")</f>
        <v/>
      </c>
      <c r="IA4" s="11">
        <f t="shared" ref="IA4:IA11" si="75">IF(SUM(HT4,HZ4)&gt;0,SUM(HT4,HZ4),"")</f>
        <v>45.180000000000007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W11" si="76">IF(ID4&gt;0,ID4,"")</f>
        <v/>
      </c>
      <c r="IW4" s="41" t="str">
        <f t="shared" si="76"/>
        <v/>
      </c>
      <c r="IX4" s="41" t="str">
        <f t="shared" ref="IX4:IX11" si="77">IF(SUM(IB4:IE4)-IF4&gt;0,SUM(IB4:IE4)-IF4,"")</f>
        <v/>
      </c>
      <c r="IY4" s="41" t="str">
        <f t="shared" ref="IY4:IZ11" si="78">IF(II4&gt;0,II4,"")</f>
        <v/>
      </c>
      <c r="IZ4" s="41" t="str">
        <f t="shared" si="78"/>
        <v/>
      </c>
      <c r="JA4" s="41" t="str">
        <f t="shared" ref="JA4:JA11" si="79">IF(SUM(IG4:IJ4)-IK4&gt;0,SUM(IG4:IJ4)-IK4,"")</f>
        <v/>
      </c>
      <c r="JB4" s="41" t="str">
        <f t="shared" ref="JB4:JB11" si="80">IF(MAX(IX4,JA4)&gt;0,MAX(IX4,JA4),"")</f>
        <v/>
      </c>
      <c r="JC4" s="41" t="str">
        <f t="shared" ref="JC4:JD11" si="81">IF(IN4&gt;0,IN4,"")</f>
        <v/>
      </c>
      <c r="JD4" s="41" t="str">
        <f t="shared" si="81"/>
        <v/>
      </c>
      <c r="JE4" s="41" t="str">
        <f t="shared" ref="JE4:JE11" si="82">IF(SUM(IL4:IO4)-IP4&gt;0,SUM(IL4:IO4)-IP4,"")</f>
        <v/>
      </c>
      <c r="JF4" s="41" t="str">
        <f t="shared" ref="JF4:JG11" si="83">IF(IS4&gt;0,IS4,"")</f>
        <v/>
      </c>
      <c r="JG4" s="41" t="str">
        <f t="shared" si="83"/>
        <v/>
      </c>
      <c r="JH4" s="41" t="str">
        <f t="shared" ref="JH4:JH11" si="84">IF(SUM(IQ4:IT4)-IU4&gt;0,SUM(IQ4:IT4)-IU4,"")</f>
        <v/>
      </c>
      <c r="JI4" s="41" t="str">
        <f t="shared" ref="JI4:JI11" si="85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11" si="86">IF(JL4&gt;0,JL4,"")</f>
        <v/>
      </c>
      <c r="KE4" s="11" t="str">
        <f t="shared" si="86"/>
        <v/>
      </c>
      <c r="KF4" s="11" t="str">
        <f t="shared" ref="KF4:KF11" si="87">IF(SUM(JJ4:JM4)-JN4&gt;0,SUM(JJ4:JM4)-JN4,"")</f>
        <v/>
      </c>
      <c r="KG4" s="11" t="str">
        <f t="shared" ref="KG4:KH11" si="88">IF(JQ4&gt;0,JQ4,"")</f>
        <v/>
      </c>
      <c r="KH4" s="11" t="str">
        <f t="shared" si="88"/>
        <v/>
      </c>
      <c r="KI4" s="11" t="str">
        <f t="shared" ref="KI4:KI11" si="89">IF(SUM(JO4:JR4)-JS4&gt;0,SUM(JO4:JR4)-JS4,"")</f>
        <v/>
      </c>
      <c r="KJ4" s="11" t="str">
        <f t="shared" ref="KJ4:KJ11" si="90">IF(MAX(KF4,KI4)&gt;0,MAX(KF4,KI4),"")</f>
        <v/>
      </c>
      <c r="KK4" s="11" t="str">
        <f t="shared" ref="KK4:KL11" si="91">IF(JV4&gt;0,JV4,"")</f>
        <v/>
      </c>
      <c r="KL4" s="11" t="str">
        <f t="shared" si="91"/>
        <v/>
      </c>
      <c r="KM4" s="11" t="str">
        <f t="shared" ref="KM4:KM11" si="92">IF(SUM(JT4:JW4)-JX4&gt;0,SUM(JT4:JW4)-JX4,"")</f>
        <v/>
      </c>
      <c r="KN4" s="11" t="str">
        <f t="shared" ref="KN4:KO11" si="93">IF(KA4&gt;0,KA4,"")</f>
        <v/>
      </c>
      <c r="KO4" s="11" t="str">
        <f t="shared" si="93"/>
        <v/>
      </c>
      <c r="KP4" s="11" t="str">
        <f t="shared" ref="KP4:KP11" si="94">IF(SUM(JY4:KB4)-KC4&gt;0,SUM(JY4:KB4)-KC4,"")</f>
        <v/>
      </c>
      <c r="KQ4" s="11" t="str">
        <f t="shared" ref="KQ4:KQ11" si="95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M11" si="96">IF(KT4&gt;0,KT4,"")</f>
        <v/>
      </c>
      <c r="LM4" s="41" t="str">
        <f t="shared" si="96"/>
        <v/>
      </c>
      <c r="LN4" s="41" t="str">
        <f t="shared" ref="LN4:LN11" si="97">IF(SUM(KR4:KU4)-KV4&gt;0,SUM(KR4:KU4)-KV4,"")</f>
        <v/>
      </c>
      <c r="LO4" s="41" t="str">
        <f t="shared" ref="LO4:LP11" si="98">IF(KY4&gt;0,KY4,"")</f>
        <v/>
      </c>
      <c r="LP4" s="41" t="str">
        <f t="shared" si="98"/>
        <v/>
      </c>
      <c r="LQ4" s="41" t="str">
        <f t="shared" ref="LQ4:LQ11" si="99">IF(SUM(KW4:KZ4)-LA4&gt;0,SUM(KW4:KZ4)-LA4,"")</f>
        <v/>
      </c>
      <c r="LR4" s="41" t="str">
        <f t="shared" ref="LR4:LR11" si="100">IF(MAX(LN4,LQ4)&gt;0,MAX(LN4,LQ4),"")</f>
        <v/>
      </c>
      <c r="LS4" s="41" t="str">
        <f t="shared" ref="LS4:LT11" si="101">IF(LD4&gt;0,LD4,"")</f>
        <v/>
      </c>
      <c r="LT4" s="41" t="str">
        <f t="shared" si="101"/>
        <v/>
      </c>
      <c r="LU4" s="41" t="str">
        <f t="shared" ref="LU4:LU11" si="102">IF(SUM(LB4:LE4)-LF4&gt;0,SUM(LB4:LE4)-LF4,"")</f>
        <v/>
      </c>
      <c r="LV4" s="41" t="str">
        <f t="shared" ref="LV4:LW11" si="103">IF(LI4&gt;0,LI4,"")</f>
        <v/>
      </c>
      <c r="LW4" s="41" t="str">
        <f t="shared" si="103"/>
        <v/>
      </c>
      <c r="LX4" s="41" t="str">
        <f t="shared" ref="LX4:LX11" si="104">IF(SUM(LG4:LJ4)-LK4&gt;0,SUM(LG4:LJ4)-LK4,"")</f>
        <v/>
      </c>
      <c r="LY4" s="41" t="str">
        <f t="shared" ref="LY4:LY11" si="105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11" si="106">IF(MB4&gt;0,MB4,"")</f>
        <v/>
      </c>
      <c r="MU4" s="11" t="str">
        <f t="shared" si="106"/>
        <v/>
      </c>
      <c r="MV4" s="11" t="str">
        <f t="shared" ref="MV4:MV11" si="107">IF(SUM(LZ4:MC4)-MD4&gt;0,SUM(LZ4:MC4)-MD4,"")</f>
        <v/>
      </c>
      <c r="MW4" s="11" t="str">
        <f t="shared" ref="MW4:MX11" si="108">IF(MG4&gt;0,MG4,"")</f>
        <v/>
      </c>
      <c r="MX4" s="11" t="str">
        <f t="shared" si="108"/>
        <v/>
      </c>
      <c r="MY4" s="11" t="str">
        <f t="shared" ref="MY4:MY11" si="109">IF(SUM(ME4:MH4)-MI4&gt;0,SUM(ME4:MH4)-MI4,"")</f>
        <v/>
      </c>
      <c r="MZ4" s="11" t="str">
        <f t="shared" ref="MZ4:MZ11" si="110">IF(MAX(MV4,MY4)&gt;0,MAX(MV4,MY4),"")</f>
        <v/>
      </c>
      <c r="NA4" s="11" t="str">
        <f t="shared" ref="NA4:NB11" si="111">IF(ML4&gt;0,ML4,"")</f>
        <v/>
      </c>
      <c r="NB4" s="11" t="str">
        <f t="shared" si="111"/>
        <v/>
      </c>
      <c r="NC4" s="11" t="str">
        <f t="shared" ref="NC4:NC11" si="112">IF(SUM(MJ4:MM4)-MN4&gt;0,SUM(MJ4:MM4)-MN4,"")</f>
        <v/>
      </c>
      <c r="ND4" s="11" t="str">
        <f t="shared" ref="ND4:NE11" si="113">IF(MQ4&gt;0,MQ4,"")</f>
        <v/>
      </c>
      <c r="NE4" s="11" t="str">
        <f t="shared" si="113"/>
        <v/>
      </c>
      <c r="NF4" s="11" t="str">
        <f t="shared" ref="NF4:NF11" si="114">IF(SUM(MO4:MR4)-MS4&gt;0,SUM(MO4:MR4)-MS4,"")</f>
        <v/>
      </c>
      <c r="NG4" s="11" t="str">
        <f t="shared" ref="NG4:NG11" si="115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C11" si="116">IF(NJ4&gt;0,NJ4,"")</f>
        <v/>
      </c>
      <c r="OC4" s="41" t="str">
        <f t="shared" si="116"/>
        <v/>
      </c>
      <c r="OD4" s="41" t="str">
        <f t="shared" ref="OD4:OD11" si="117">IF(SUM(NH4:NK4)-NL4&gt;0,SUM(NH4:NK4)-NL4,"")</f>
        <v/>
      </c>
      <c r="OE4" s="41" t="str">
        <f t="shared" ref="OE4:OF11" si="118">IF(NO4&gt;0,NO4,"")</f>
        <v/>
      </c>
      <c r="OF4" s="41" t="str">
        <f t="shared" si="118"/>
        <v/>
      </c>
      <c r="OG4" s="41" t="str">
        <f t="shared" ref="OG4:OG11" si="119">IF(SUM(NM4:NP4)-NQ4&gt;0,SUM(NM4:NP4)-NQ4,"")</f>
        <v/>
      </c>
      <c r="OH4" s="41" t="str">
        <f t="shared" ref="OH4:OH11" si="120">IF(MAX(OD4,OG4)&gt;0,MAX(OD4,OG4),"")</f>
        <v/>
      </c>
      <c r="OI4" s="41" t="str">
        <f t="shared" ref="OI4:OJ11" si="121">IF(NT4&gt;0,NT4,"")</f>
        <v/>
      </c>
      <c r="OJ4" s="41" t="str">
        <f t="shared" si="121"/>
        <v/>
      </c>
      <c r="OK4" s="41" t="str">
        <f t="shared" ref="OK4:OK11" si="122">IF(SUM(NR4:NU4)-NV4&gt;0,SUM(NR4:NU4)-NV4,"")</f>
        <v/>
      </c>
      <c r="OL4" s="41" t="str">
        <f t="shared" ref="OL4:OM11" si="123">IF(NY4&gt;0,NY4,"")</f>
        <v/>
      </c>
      <c r="OM4" s="41" t="str">
        <f t="shared" si="123"/>
        <v/>
      </c>
      <c r="ON4" s="41" t="str">
        <f t="shared" ref="ON4:ON11" si="124">IF(SUM(NW4:NZ4)-OA4&gt;0,SUM(NW4:NZ4)-OA4,"")</f>
        <v/>
      </c>
      <c r="OO4" s="41" t="str">
        <f t="shared" ref="OO4:OO11" si="125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11" si="126">IF(OR4&gt;0,OR4,"")</f>
        <v/>
      </c>
      <c r="PK4" s="11" t="str">
        <f t="shared" si="126"/>
        <v/>
      </c>
      <c r="PL4" s="11" t="str">
        <f t="shared" ref="PL4:PL11" si="127">IF(SUM(OP4:OS4)-OT4&gt;0,SUM(OP4:OS4)-OT4,"")</f>
        <v/>
      </c>
      <c r="PM4" s="11" t="str">
        <f t="shared" ref="PM4:PN11" si="128">IF(OW4&gt;0,OW4,"")</f>
        <v/>
      </c>
      <c r="PN4" s="11" t="str">
        <f t="shared" si="128"/>
        <v/>
      </c>
      <c r="PO4" s="11" t="str">
        <f t="shared" ref="PO4:PO11" si="129">IF(SUM(OU4:OX4)-OY4&gt;0,SUM(OU4:OX4)-OY4,"")</f>
        <v/>
      </c>
      <c r="PP4" s="11" t="str">
        <f t="shared" ref="PP4:PP11" si="130">IF(MAX(PL4,PO4)&gt;0,MAX(PL4,PO4),"")</f>
        <v/>
      </c>
      <c r="PQ4" s="11" t="str">
        <f t="shared" ref="PQ4:PR11" si="131">IF(PB4&gt;0,PB4,"")</f>
        <v/>
      </c>
      <c r="PR4" s="11" t="str">
        <f t="shared" si="131"/>
        <v/>
      </c>
      <c r="PS4" s="11" t="str">
        <f t="shared" ref="PS4:PS11" si="132">IF(SUM(OZ4:PC4)-PD4&gt;0,SUM(OZ4:PC4)-PD4,"")</f>
        <v/>
      </c>
      <c r="PT4" s="11" t="str">
        <f t="shared" ref="PT4:PU11" si="133">IF(PG4&gt;0,PG4,"")</f>
        <v/>
      </c>
      <c r="PU4" s="11" t="str">
        <f t="shared" si="133"/>
        <v/>
      </c>
      <c r="PV4" s="11" t="str">
        <f t="shared" ref="PV4:PV11" si="134">IF(SUM(PE4:PH4)-PI4&gt;0,SUM(PE4:PH4)-PI4,"")</f>
        <v/>
      </c>
      <c r="PW4" s="11" t="str">
        <f t="shared" ref="PW4:PW11" si="135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S11" si="136">IF(PZ4&gt;0,PZ4,"")</f>
        <v/>
      </c>
      <c r="QS4" s="41" t="str">
        <f t="shared" si="136"/>
        <v/>
      </c>
      <c r="QT4" s="41" t="str">
        <f t="shared" ref="QT4:QT11" si="137">IF(SUM(PX4:QA4)-QB4&gt;0,SUM(PX4:QA4)-QB4,"")</f>
        <v/>
      </c>
      <c r="QU4" s="41" t="str">
        <f t="shared" ref="QU4:QV11" si="138">IF(QE4&gt;0,QE4,"")</f>
        <v/>
      </c>
      <c r="QV4" s="41" t="str">
        <f t="shared" si="138"/>
        <v/>
      </c>
      <c r="QW4" s="41" t="str">
        <f t="shared" ref="QW4:QW11" si="139">IF(SUM(QC4:QF4)-QG4&gt;0,SUM(QC4:QF4)-QG4,"")</f>
        <v/>
      </c>
      <c r="QX4" s="41" t="str">
        <f t="shared" ref="QX4:QX11" si="140">IF(MAX(QT4,QW4)&gt;0,MAX(QT4,QW4),"")</f>
        <v/>
      </c>
      <c r="QY4" s="41" t="str">
        <f t="shared" ref="QY4:QZ11" si="141">IF(QJ4&gt;0,QJ4,"")</f>
        <v/>
      </c>
      <c r="QZ4" s="41" t="str">
        <f t="shared" si="141"/>
        <v/>
      </c>
      <c r="RA4" s="41" t="str">
        <f t="shared" ref="RA4:RA11" si="142">IF(SUM(QH4:QK4)-QL4&gt;0,SUM(QH4:QK4)-QL4,"")</f>
        <v/>
      </c>
      <c r="RB4" s="41" t="str">
        <f t="shared" ref="RB4:RC11" si="143">IF(QO4&gt;0,QO4,"")</f>
        <v/>
      </c>
      <c r="RC4" s="41" t="str">
        <f t="shared" si="143"/>
        <v/>
      </c>
      <c r="RD4" s="41" t="str">
        <f t="shared" ref="RD4:RD11" si="144">IF(SUM(QM4:QP4)-QQ4&gt;0,SUM(QM4:QP4)-QQ4,"")</f>
        <v/>
      </c>
      <c r="RE4" s="41" t="str">
        <f t="shared" ref="RE4:RE11" si="145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11" si="146">IF(RH4&gt;0,RH4,"")</f>
        <v/>
      </c>
      <c r="SA4" s="11" t="str">
        <f t="shared" si="146"/>
        <v/>
      </c>
      <c r="SB4" s="11" t="str">
        <f t="shared" ref="SB4:SB11" si="147">IF(SUM(RF4:RI4)-RJ4&gt;0,SUM(RF4:RI4)-RJ4,"")</f>
        <v/>
      </c>
      <c r="SC4" s="11" t="str">
        <f t="shared" ref="SC4:SD11" si="148">IF(RM4&gt;0,RM4,"")</f>
        <v/>
      </c>
      <c r="SD4" s="11" t="str">
        <f t="shared" si="148"/>
        <v/>
      </c>
      <c r="SE4" s="11" t="str">
        <f t="shared" ref="SE4:SE11" si="149">IF(SUM(RK4:RN4)-RO4&gt;0,SUM(RK4:RN4)-RO4,"")</f>
        <v/>
      </c>
      <c r="SF4" s="11" t="str">
        <f t="shared" ref="SF4:SF11" si="150">IF(MAX(SB4,SE4)&gt;0,MAX(SB4,SE4),"")</f>
        <v/>
      </c>
      <c r="SG4" s="11" t="str">
        <f t="shared" ref="SG4:SH11" si="151">IF(RR4&gt;0,RR4,"")</f>
        <v/>
      </c>
      <c r="SH4" s="11" t="str">
        <f t="shared" si="151"/>
        <v/>
      </c>
      <c r="SI4" s="11" t="str">
        <f t="shared" ref="SI4:SI11" si="152">IF(SUM(RP4:RS4)-RT4&gt;0,SUM(RP4:RS4)-RT4,"")</f>
        <v/>
      </c>
      <c r="SJ4" s="11" t="str">
        <f t="shared" ref="SJ4:SK11" si="153">IF(RW4&gt;0,RW4,"")</f>
        <v/>
      </c>
      <c r="SK4" s="11" t="str">
        <f t="shared" si="153"/>
        <v/>
      </c>
      <c r="SL4" s="11" t="str">
        <f t="shared" ref="SL4:SL11" si="154">IF(SUM(RU4:RX4)-RY4&gt;0,SUM(RU4:RX4)-RY4,"")</f>
        <v/>
      </c>
      <c r="SM4" s="11" t="str">
        <f t="shared" ref="SM4:SM11" si="155">IF(SUM(SF4,SL4)&gt;0,SUM(SF4,SL4),"")</f>
        <v/>
      </c>
      <c r="SN4" s="23">
        <f t="shared" ref="SN4:TB11" si="156">IF($CH4="P",BS4,(BS4+AR4)/2)</f>
        <v>0</v>
      </c>
      <c r="SO4" s="23">
        <f t="shared" si="156"/>
        <v>0</v>
      </c>
      <c r="SP4" s="23">
        <f t="shared" si="156"/>
        <v>0</v>
      </c>
      <c r="SQ4" s="23">
        <f t="shared" si="156"/>
        <v>0</v>
      </c>
      <c r="SR4" s="23">
        <f t="shared" si="156"/>
        <v>0</v>
      </c>
      <c r="SS4" s="23">
        <f t="shared" si="156"/>
        <v>0</v>
      </c>
      <c r="ST4" s="23">
        <f t="shared" si="156"/>
        <v>0</v>
      </c>
      <c r="SU4" s="23">
        <f t="shared" si="156"/>
        <v>0</v>
      </c>
      <c r="SV4" s="23">
        <f t="shared" si="156"/>
        <v>0</v>
      </c>
      <c r="SW4" s="23">
        <f t="shared" si="156"/>
        <v>0</v>
      </c>
      <c r="SX4" s="23">
        <f t="shared" si="156"/>
        <v>0</v>
      </c>
      <c r="SY4" s="23">
        <f t="shared" si="156"/>
        <v>0</v>
      </c>
      <c r="SZ4" s="23">
        <f t="shared" si="156"/>
        <v>0</v>
      </c>
      <c r="TA4" s="23">
        <f t="shared" si="156"/>
        <v>0</v>
      </c>
      <c r="TB4" s="23">
        <f t="shared" si="156"/>
        <v>0</v>
      </c>
      <c r="TC4" s="28" t="s">
        <v>58</v>
      </c>
      <c r="TD4" s="41" t="str">
        <f t="shared" ref="TD4:TE11" si="157">IF(SP4&gt;0,SP4,"")</f>
        <v/>
      </c>
      <c r="TE4" s="41" t="str">
        <f t="shared" si="157"/>
        <v/>
      </c>
      <c r="TF4" s="41" t="str">
        <f t="shared" ref="TF4:TF11" si="158">IF(SUM(SN4:SQ4)-SR4&gt;0,SUM(SN4:SQ4)-SR4,"")</f>
        <v/>
      </c>
      <c r="TG4" s="41" t="str">
        <f t="shared" ref="TG4:TH11" si="159">IF(SU4&gt;0,SU4,"")</f>
        <v/>
      </c>
      <c r="TH4" s="41" t="str">
        <f t="shared" si="159"/>
        <v/>
      </c>
      <c r="TI4" s="41" t="str">
        <f t="shared" ref="TI4:TI11" si="160">IF(SUM(SS4:SV4)-SW4&gt;0,SUM(SS4:SV4)-SW4,"")</f>
        <v/>
      </c>
      <c r="TJ4" s="41" t="str">
        <f t="shared" ref="TJ4:TJ11" si="161">IF(MAX(TF4,TI4)&gt;0,MAX(TF4,TI4),"")</f>
        <v/>
      </c>
      <c r="TK4" s="41" t="str">
        <f t="shared" ref="TK4:TL11" si="162">IF(SZ4&gt;0,SZ4,"")</f>
        <v/>
      </c>
      <c r="TL4" s="41" t="str">
        <f t="shared" si="162"/>
        <v/>
      </c>
      <c r="TM4" s="41" t="str">
        <f t="shared" ref="TM4:TM11" si="163">IF(SUM(SX4:TA4)-TB4&gt;0,SUM(SX4:TA4)-TB4,"")</f>
        <v/>
      </c>
      <c r="TN4" s="41" t="str">
        <f t="shared" ref="TN4:TN11" si="164">IF(SUM(TJ4,TM4)&gt;0,SUM(TJ4,TM4),"")</f>
        <v/>
      </c>
    </row>
    <row r="5" spans="1:534" x14ac:dyDescent="0.2">
      <c r="A5" s="4" cm="1">
        <f t="array" ref="A5">IF(AND(F5&lt;&gt;"",G5&lt;&gt;""),SUMPRODUCT((F$4:F$12&lt;&gt;"")*(G$4:G$12&lt;&gt;"")*(E$4:E$12&gt;E5))+1,IF(G5&lt;&gt;"",SUMPRODUCT((H$4:H$12="No DD")*(E$4:E$12&gt;E5))+1+SUMPRODUCT((F$4:F$12&lt;&gt;"")*(G$4:G$12&lt;&gt;"")),""))</f>
        <v>2</v>
      </c>
      <c r="B5" s="5" t="s">
        <v>104</v>
      </c>
      <c r="C5" s="4" t="s">
        <v>8</v>
      </c>
      <c r="D5" s="4" t="s">
        <v>103</v>
      </c>
      <c r="E5" s="9">
        <f t="shared" si="0"/>
        <v>93.359999999999985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45.21</v>
      </c>
      <c r="K5" s="8" t="str">
        <f t="shared" si="5"/>
        <v>2023 Elite Canada</v>
      </c>
      <c r="L5" s="8">
        <f>IF(COUNT(AI5,AL5,AP5,BJ5,BM5,BQ5,CK5,CN5,CR5)&gt;1,LARGE((AI5,AL5,AP5,BJ5,BM5,BQ5,CK5,CN5,CR5),2),0)</f>
        <v>28.700000000000003</v>
      </c>
      <c r="M5" s="8" t="str">
        <f t="shared" si="6"/>
        <v>2022 Nationals</v>
      </c>
      <c r="N5" s="8">
        <f t="shared" si="7"/>
        <v>19.449999999999996</v>
      </c>
      <c r="O5" s="11" t="str">
        <f t="shared" si="8"/>
        <v>(Prelim)</v>
      </c>
      <c r="P5" s="8" t="str">
        <f t="shared" si="9"/>
        <v>2022 Worlds (Nov 19)</v>
      </c>
      <c r="Q5" s="23">
        <v>4.9000000000000004</v>
      </c>
      <c r="R5" s="23">
        <v>5.2</v>
      </c>
      <c r="S5" s="23">
        <v>7.7</v>
      </c>
      <c r="T5" s="23">
        <v>10.9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/>
      <c r="AB5" s="23"/>
      <c r="AC5" s="23"/>
      <c r="AD5" s="23"/>
      <c r="AE5" s="23"/>
      <c r="AF5" s="28"/>
      <c r="AG5" s="39">
        <f t="shared" si="10"/>
        <v>7.7</v>
      </c>
      <c r="AH5" s="39">
        <f t="shared" si="10"/>
        <v>10.9</v>
      </c>
      <c r="AI5" s="41">
        <f t="shared" si="11"/>
        <v>28.700000000000003</v>
      </c>
      <c r="AJ5" s="41" t="str">
        <f t="shared" si="12"/>
        <v/>
      </c>
      <c r="AK5" s="41" t="str">
        <f t="shared" si="12"/>
        <v/>
      </c>
      <c r="AL5" s="41" t="str">
        <f t="shared" si="13"/>
        <v/>
      </c>
      <c r="AM5" s="41">
        <f t="shared" si="14"/>
        <v>28.700000000000003</v>
      </c>
      <c r="AN5" s="41" t="str">
        <f t="shared" si="15"/>
        <v/>
      </c>
      <c r="AO5" s="41" t="str">
        <f t="shared" si="15"/>
        <v/>
      </c>
      <c r="AP5" s="41" t="str">
        <f t="shared" si="16"/>
        <v/>
      </c>
      <c r="AQ5" s="41">
        <f t="shared" si="17"/>
        <v>28.700000000000003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18"/>
        <v/>
      </c>
      <c r="BI5" s="40" t="str">
        <f t="shared" si="18"/>
        <v/>
      </c>
      <c r="BJ5" s="11" t="str">
        <f t="shared" si="19"/>
        <v/>
      </c>
      <c r="BK5" s="11" t="str">
        <f t="shared" si="20"/>
        <v/>
      </c>
      <c r="BL5" s="11" t="str">
        <f t="shared" si="20"/>
        <v/>
      </c>
      <c r="BM5" s="11" t="str">
        <f t="shared" si="21"/>
        <v/>
      </c>
      <c r="BN5" s="11" t="str">
        <f t="shared" si="22"/>
        <v/>
      </c>
      <c r="BO5" s="11" t="str">
        <f t="shared" si="23"/>
        <v/>
      </c>
      <c r="BP5" s="11" t="str">
        <f t="shared" si="23"/>
        <v/>
      </c>
      <c r="BQ5" s="11" t="str">
        <f t="shared" si="24"/>
        <v/>
      </c>
      <c r="BR5" s="11" t="str">
        <f t="shared" si="25"/>
        <v/>
      </c>
      <c r="BS5" s="23">
        <v>8.9</v>
      </c>
      <c r="BT5" s="23">
        <v>9.15</v>
      </c>
      <c r="BU5" s="23">
        <v>12</v>
      </c>
      <c r="BV5" s="23">
        <v>15.16</v>
      </c>
      <c r="BW5" s="23">
        <v>0</v>
      </c>
      <c r="BX5" s="23">
        <v>1.75</v>
      </c>
      <c r="BY5" s="23">
        <v>1.95</v>
      </c>
      <c r="BZ5" s="23">
        <v>2.9</v>
      </c>
      <c r="CA5" s="23">
        <v>2.54</v>
      </c>
      <c r="CB5" s="23">
        <v>0</v>
      </c>
      <c r="CC5" s="23">
        <v>0.85</v>
      </c>
      <c r="CD5" s="23">
        <v>0.95</v>
      </c>
      <c r="CE5" s="23">
        <v>1.5</v>
      </c>
      <c r="CF5" s="23">
        <v>1.4</v>
      </c>
      <c r="CG5" s="23">
        <v>0</v>
      </c>
      <c r="CH5" s="28"/>
      <c r="CI5" s="39">
        <f t="shared" si="26"/>
        <v>12</v>
      </c>
      <c r="CJ5" s="39">
        <f t="shared" si="26"/>
        <v>15.16</v>
      </c>
      <c r="CK5" s="41">
        <f t="shared" si="27"/>
        <v>45.21</v>
      </c>
      <c r="CL5" s="41">
        <f t="shared" si="28"/>
        <v>2.9</v>
      </c>
      <c r="CM5" s="41">
        <f t="shared" si="28"/>
        <v>2.54</v>
      </c>
      <c r="CN5" s="41">
        <f t="shared" si="29"/>
        <v>9.14</v>
      </c>
      <c r="CO5" s="41">
        <f t="shared" si="30"/>
        <v>45.21</v>
      </c>
      <c r="CP5" s="41">
        <f t="shared" si="31"/>
        <v>1.5</v>
      </c>
      <c r="CQ5" s="41">
        <f t="shared" si="31"/>
        <v>1.4</v>
      </c>
      <c r="CR5" s="41">
        <f t="shared" si="32"/>
        <v>4.6999999999999993</v>
      </c>
      <c r="CS5" s="41">
        <f t="shared" si="33"/>
        <v>49.91</v>
      </c>
      <c r="CT5" s="52">
        <f t="shared" si="34"/>
        <v>19.449999999999996</v>
      </c>
      <c r="CU5" s="52">
        <f t="shared" si="35"/>
        <v>14.959999999999994</v>
      </c>
      <c r="CV5" s="17">
        <v>0.8</v>
      </c>
      <c r="CW5" s="17">
        <v>1</v>
      </c>
      <c r="CX5" s="17">
        <v>1.5</v>
      </c>
      <c r="CY5" s="17">
        <v>1.84</v>
      </c>
      <c r="CZ5" s="17">
        <v>0.2</v>
      </c>
      <c r="DA5" s="17">
        <v>4.5999999999999996</v>
      </c>
      <c r="DB5" s="17">
        <v>5.4</v>
      </c>
      <c r="DC5" s="17">
        <v>7.7</v>
      </c>
      <c r="DD5" s="17">
        <v>11.4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>
        <f t="shared" si="36"/>
        <v>1.5</v>
      </c>
      <c r="DQ5" s="41">
        <f t="shared" si="36"/>
        <v>1.84</v>
      </c>
      <c r="DR5" s="41">
        <f t="shared" si="37"/>
        <v>4.9399999999999995</v>
      </c>
      <c r="DS5" s="41">
        <f t="shared" si="38"/>
        <v>7.7</v>
      </c>
      <c r="DT5" s="41">
        <f t="shared" si="38"/>
        <v>11.4</v>
      </c>
      <c r="DU5" s="41">
        <f t="shared" si="39"/>
        <v>29.1</v>
      </c>
      <c r="DV5" s="41">
        <f t="shared" si="40"/>
        <v>29.1</v>
      </c>
      <c r="DW5" s="41" t="str">
        <f t="shared" si="41"/>
        <v/>
      </c>
      <c r="DX5" s="41" t="str">
        <f t="shared" si="41"/>
        <v/>
      </c>
      <c r="DY5" s="41" t="str">
        <f t="shared" si="42"/>
        <v/>
      </c>
      <c r="DZ5" s="41" t="str">
        <f t="shared" si="43"/>
        <v/>
      </c>
      <c r="EA5" s="41" t="str">
        <f t="shared" si="43"/>
        <v/>
      </c>
      <c r="EB5" s="41" t="str">
        <f t="shared" si="44"/>
        <v/>
      </c>
      <c r="EC5" s="41">
        <f t="shared" si="45"/>
        <v>29.1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46"/>
        <v/>
      </c>
      <c r="EY5" s="11" t="str">
        <f t="shared" si="46"/>
        <v/>
      </c>
      <c r="EZ5" s="11" t="str">
        <f t="shared" si="47"/>
        <v/>
      </c>
      <c r="FA5" s="11" t="str">
        <f t="shared" si="48"/>
        <v/>
      </c>
      <c r="FB5" s="11" t="str">
        <f t="shared" si="48"/>
        <v/>
      </c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3"/>
        <v/>
      </c>
      <c r="FJ5" s="11" t="str">
        <f t="shared" si="54"/>
        <v/>
      </c>
      <c r="FK5" s="11" t="str">
        <f t="shared" si="55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56"/>
        <v/>
      </c>
      <c r="GG5" s="41" t="str">
        <f t="shared" si="56"/>
        <v/>
      </c>
      <c r="GH5" s="41" t="str">
        <f t="shared" si="57"/>
        <v/>
      </c>
      <c r="GI5" s="41" t="str">
        <f t="shared" si="58"/>
        <v/>
      </c>
      <c r="GJ5" s="41" t="str">
        <f t="shared" si="58"/>
        <v/>
      </c>
      <c r="GK5" s="41" t="str">
        <f t="shared" si="59"/>
        <v/>
      </c>
      <c r="GL5" s="41" t="str">
        <f t="shared" si="60"/>
        <v/>
      </c>
      <c r="GM5" s="41" t="str">
        <f t="shared" si="61"/>
        <v/>
      </c>
      <c r="GN5" s="41" t="str">
        <f t="shared" si="61"/>
        <v/>
      </c>
      <c r="GO5" s="41" t="str">
        <f t="shared" si="62"/>
        <v/>
      </c>
      <c r="GP5" s="41" t="str">
        <f t="shared" si="63"/>
        <v/>
      </c>
      <c r="GQ5" s="41" t="str">
        <f t="shared" si="63"/>
        <v/>
      </c>
      <c r="GR5" s="41" t="str">
        <f t="shared" si="64"/>
        <v/>
      </c>
      <c r="GS5" s="41" t="str">
        <f t="shared" si="65"/>
        <v/>
      </c>
      <c r="GT5" s="18">
        <v>8.0500000000000007</v>
      </c>
      <c r="GU5" s="18">
        <v>9.3000000000000007</v>
      </c>
      <c r="GV5" s="18">
        <v>11.6</v>
      </c>
      <c r="GW5" s="18">
        <v>18.28</v>
      </c>
      <c r="GX5" s="18">
        <v>0</v>
      </c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>
        <v>2.2999999999999998</v>
      </c>
      <c r="HJ5" s="18">
        <v>2.5</v>
      </c>
      <c r="HK5" s="18">
        <v>4.2</v>
      </c>
      <c r="HL5" s="18">
        <v>5.34</v>
      </c>
      <c r="HM5" s="18">
        <v>0</v>
      </c>
      <c r="HN5" s="11">
        <f t="shared" si="66"/>
        <v>11.6</v>
      </c>
      <c r="HO5" s="11">
        <f t="shared" si="66"/>
        <v>18.28</v>
      </c>
      <c r="HP5" s="11">
        <f t="shared" si="67"/>
        <v>47.230000000000004</v>
      </c>
      <c r="HQ5" s="11" t="str">
        <f t="shared" si="68"/>
        <v/>
      </c>
      <c r="HR5" s="11" t="str">
        <f t="shared" si="68"/>
        <v/>
      </c>
      <c r="HS5" s="11" t="str">
        <f t="shared" si="69"/>
        <v/>
      </c>
      <c r="HT5" s="11">
        <f t="shared" si="70"/>
        <v>47.230000000000004</v>
      </c>
      <c r="HU5" s="11" t="str">
        <f t="shared" si="71"/>
        <v/>
      </c>
      <c r="HV5" s="11" t="str">
        <f t="shared" si="71"/>
        <v/>
      </c>
      <c r="HW5" s="11" t="str">
        <f t="shared" si="72"/>
        <v/>
      </c>
      <c r="HX5" s="11">
        <f t="shared" si="73"/>
        <v>4.2</v>
      </c>
      <c r="HY5" s="11">
        <f t="shared" si="73"/>
        <v>5.34</v>
      </c>
      <c r="HZ5" s="11">
        <f t="shared" si="74"/>
        <v>14.34</v>
      </c>
      <c r="IA5" s="11">
        <f t="shared" si="75"/>
        <v>61.570000000000007</v>
      </c>
      <c r="IB5" s="17">
        <v>8.1999999999999993</v>
      </c>
      <c r="IC5" s="17">
        <v>9.4</v>
      </c>
      <c r="ID5" s="17">
        <v>11.8</v>
      </c>
      <c r="IE5" s="17">
        <v>16.54</v>
      </c>
      <c r="IF5" s="17">
        <v>0</v>
      </c>
      <c r="IG5" s="17">
        <v>8.4</v>
      </c>
      <c r="IH5" s="17">
        <v>9.5500000000000007</v>
      </c>
      <c r="II5" s="17">
        <v>11.8</v>
      </c>
      <c r="IJ5" s="17">
        <v>19</v>
      </c>
      <c r="IK5" s="17">
        <v>0.6</v>
      </c>
      <c r="IL5" s="17"/>
      <c r="IM5" s="17"/>
      <c r="IN5" s="17"/>
      <c r="IO5" s="17"/>
      <c r="IP5" s="17"/>
      <c r="IQ5" s="17">
        <v>7.55</v>
      </c>
      <c r="IR5" s="17">
        <v>8.4499999999999993</v>
      </c>
      <c r="IS5" s="17">
        <v>10.199999999999999</v>
      </c>
      <c r="IT5" s="17">
        <v>17.46</v>
      </c>
      <c r="IU5" s="17">
        <v>0</v>
      </c>
      <c r="IV5" s="41">
        <f t="shared" si="76"/>
        <v>11.8</v>
      </c>
      <c r="IW5" s="41">
        <f t="shared" si="76"/>
        <v>16.54</v>
      </c>
      <c r="IX5" s="41">
        <f t="shared" si="77"/>
        <v>45.94</v>
      </c>
      <c r="IY5" s="41">
        <f t="shared" si="78"/>
        <v>11.8</v>
      </c>
      <c r="IZ5" s="41">
        <f t="shared" si="78"/>
        <v>19</v>
      </c>
      <c r="JA5" s="41">
        <f t="shared" si="79"/>
        <v>48.15</v>
      </c>
      <c r="JB5" s="41">
        <f t="shared" si="80"/>
        <v>48.15</v>
      </c>
      <c r="JC5" s="41" t="str">
        <f t="shared" si="81"/>
        <v/>
      </c>
      <c r="JD5" s="41" t="str">
        <f t="shared" si="81"/>
        <v/>
      </c>
      <c r="JE5" s="41" t="str">
        <f t="shared" si="82"/>
        <v/>
      </c>
      <c r="JF5" s="41">
        <f t="shared" si="83"/>
        <v>10.199999999999999</v>
      </c>
      <c r="JG5" s="41">
        <f t="shared" si="83"/>
        <v>17.46</v>
      </c>
      <c r="JH5" s="41">
        <f t="shared" si="84"/>
        <v>43.66</v>
      </c>
      <c r="JI5" s="41">
        <f t="shared" si="85"/>
        <v>91.81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>
        <v>3.05</v>
      </c>
      <c r="JZ5" s="18">
        <v>3.8</v>
      </c>
      <c r="KA5" s="18">
        <v>5.4</v>
      </c>
      <c r="KB5" s="18">
        <v>5.64</v>
      </c>
      <c r="KC5" s="18">
        <v>0</v>
      </c>
      <c r="KD5" s="11" t="str">
        <f t="shared" si="86"/>
        <v/>
      </c>
      <c r="KE5" s="11" t="str">
        <f t="shared" si="86"/>
        <v/>
      </c>
      <c r="KF5" s="11" t="str">
        <f t="shared" si="87"/>
        <v/>
      </c>
      <c r="KG5" s="11" t="str">
        <f t="shared" si="88"/>
        <v/>
      </c>
      <c r="KH5" s="11" t="str">
        <f t="shared" si="88"/>
        <v/>
      </c>
      <c r="KI5" s="11" t="str">
        <f t="shared" si="89"/>
        <v/>
      </c>
      <c r="KJ5" s="11" t="str">
        <f t="shared" si="90"/>
        <v/>
      </c>
      <c r="KK5" s="11" t="str">
        <f t="shared" si="91"/>
        <v/>
      </c>
      <c r="KL5" s="11" t="str">
        <f t="shared" si="91"/>
        <v/>
      </c>
      <c r="KM5" s="11" t="str">
        <f t="shared" si="92"/>
        <v/>
      </c>
      <c r="KN5" s="11">
        <f t="shared" si="93"/>
        <v>5.4</v>
      </c>
      <c r="KO5" s="11">
        <f t="shared" si="93"/>
        <v>5.64</v>
      </c>
      <c r="KP5" s="11">
        <f t="shared" si="94"/>
        <v>17.89</v>
      </c>
      <c r="KQ5" s="11">
        <f t="shared" si="95"/>
        <v>17.89</v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96"/>
        <v/>
      </c>
      <c r="LM5" s="41" t="str">
        <f t="shared" si="96"/>
        <v/>
      </c>
      <c r="LN5" s="41" t="str">
        <f t="shared" si="97"/>
        <v/>
      </c>
      <c r="LO5" s="41" t="str">
        <f t="shared" si="98"/>
        <v/>
      </c>
      <c r="LP5" s="41" t="str">
        <f t="shared" si="98"/>
        <v/>
      </c>
      <c r="LQ5" s="41" t="str">
        <f t="shared" si="99"/>
        <v/>
      </c>
      <c r="LR5" s="41" t="str">
        <f t="shared" si="100"/>
        <v/>
      </c>
      <c r="LS5" s="41" t="str">
        <f t="shared" si="101"/>
        <v/>
      </c>
      <c r="LT5" s="41" t="str">
        <f t="shared" si="101"/>
        <v/>
      </c>
      <c r="LU5" s="41" t="str">
        <f t="shared" si="102"/>
        <v/>
      </c>
      <c r="LV5" s="41" t="str">
        <f t="shared" si="103"/>
        <v/>
      </c>
      <c r="LW5" s="41" t="str">
        <f t="shared" si="103"/>
        <v/>
      </c>
      <c r="LX5" s="41" t="str">
        <f t="shared" si="104"/>
        <v/>
      </c>
      <c r="LY5" s="41" t="str">
        <f t="shared" si="105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06"/>
        <v/>
      </c>
      <c r="MU5" s="11" t="str">
        <f t="shared" si="106"/>
        <v/>
      </c>
      <c r="MV5" s="11" t="str">
        <f t="shared" si="107"/>
        <v/>
      </c>
      <c r="MW5" s="11" t="str">
        <f t="shared" si="108"/>
        <v/>
      </c>
      <c r="MX5" s="11" t="str">
        <f t="shared" si="108"/>
        <v/>
      </c>
      <c r="MY5" s="11" t="str">
        <f t="shared" si="109"/>
        <v/>
      </c>
      <c r="MZ5" s="11" t="str">
        <f t="shared" si="110"/>
        <v/>
      </c>
      <c r="NA5" s="11" t="str">
        <f t="shared" si="111"/>
        <v/>
      </c>
      <c r="NB5" s="11" t="str">
        <f t="shared" si="111"/>
        <v/>
      </c>
      <c r="NC5" s="11" t="str">
        <f t="shared" si="112"/>
        <v/>
      </c>
      <c r="ND5" s="11" t="str">
        <f t="shared" si="113"/>
        <v/>
      </c>
      <c r="NE5" s="11" t="str">
        <f t="shared" si="113"/>
        <v/>
      </c>
      <c r="NF5" s="11" t="str">
        <f t="shared" si="114"/>
        <v/>
      </c>
      <c r="NG5" s="11" t="str">
        <f t="shared" si="115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16"/>
        <v/>
      </c>
      <c r="OC5" s="41" t="str">
        <f t="shared" si="116"/>
        <v/>
      </c>
      <c r="OD5" s="41" t="str">
        <f t="shared" si="117"/>
        <v/>
      </c>
      <c r="OE5" s="41" t="str">
        <f t="shared" si="118"/>
        <v/>
      </c>
      <c r="OF5" s="41" t="str">
        <f t="shared" si="118"/>
        <v/>
      </c>
      <c r="OG5" s="41" t="str">
        <f t="shared" si="119"/>
        <v/>
      </c>
      <c r="OH5" s="41" t="str">
        <f t="shared" si="120"/>
        <v/>
      </c>
      <c r="OI5" s="41" t="str">
        <f t="shared" si="121"/>
        <v/>
      </c>
      <c r="OJ5" s="41" t="str">
        <f t="shared" si="121"/>
        <v/>
      </c>
      <c r="OK5" s="41" t="str">
        <f t="shared" si="122"/>
        <v/>
      </c>
      <c r="OL5" s="41" t="str">
        <f t="shared" si="123"/>
        <v/>
      </c>
      <c r="OM5" s="41" t="str">
        <f t="shared" si="123"/>
        <v/>
      </c>
      <c r="ON5" s="41" t="str">
        <f t="shared" si="124"/>
        <v/>
      </c>
      <c r="OO5" s="41" t="str">
        <f t="shared" si="125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26"/>
        <v/>
      </c>
      <c r="PK5" s="11" t="str">
        <f t="shared" si="126"/>
        <v/>
      </c>
      <c r="PL5" s="11" t="str">
        <f t="shared" si="127"/>
        <v/>
      </c>
      <c r="PM5" s="11" t="str">
        <f t="shared" si="128"/>
        <v/>
      </c>
      <c r="PN5" s="11" t="str">
        <f t="shared" si="128"/>
        <v/>
      </c>
      <c r="PO5" s="11" t="str">
        <f t="shared" si="129"/>
        <v/>
      </c>
      <c r="PP5" s="11" t="str">
        <f t="shared" si="130"/>
        <v/>
      </c>
      <c r="PQ5" s="11" t="str">
        <f t="shared" si="131"/>
        <v/>
      </c>
      <c r="PR5" s="11" t="str">
        <f t="shared" si="131"/>
        <v/>
      </c>
      <c r="PS5" s="11" t="str">
        <f t="shared" si="132"/>
        <v/>
      </c>
      <c r="PT5" s="11" t="str">
        <f t="shared" si="133"/>
        <v/>
      </c>
      <c r="PU5" s="11" t="str">
        <f t="shared" si="133"/>
        <v/>
      </c>
      <c r="PV5" s="11" t="str">
        <f t="shared" si="134"/>
        <v/>
      </c>
      <c r="PW5" s="11" t="str">
        <f t="shared" si="135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36"/>
        <v/>
      </c>
      <c r="QS5" s="41" t="str">
        <f t="shared" si="136"/>
        <v/>
      </c>
      <c r="QT5" s="41" t="str">
        <f t="shared" si="137"/>
        <v/>
      </c>
      <c r="QU5" s="41" t="str">
        <f t="shared" si="138"/>
        <v/>
      </c>
      <c r="QV5" s="41" t="str">
        <f t="shared" si="138"/>
        <v/>
      </c>
      <c r="QW5" s="41" t="str">
        <f t="shared" si="139"/>
        <v/>
      </c>
      <c r="QX5" s="41" t="str">
        <f t="shared" si="140"/>
        <v/>
      </c>
      <c r="QY5" s="41" t="str">
        <f t="shared" si="141"/>
        <v/>
      </c>
      <c r="QZ5" s="41" t="str">
        <f t="shared" si="141"/>
        <v/>
      </c>
      <c r="RA5" s="41" t="str">
        <f t="shared" si="142"/>
        <v/>
      </c>
      <c r="RB5" s="41" t="str">
        <f t="shared" si="143"/>
        <v/>
      </c>
      <c r="RC5" s="41" t="str">
        <f t="shared" si="143"/>
        <v/>
      </c>
      <c r="RD5" s="41" t="str">
        <f t="shared" si="144"/>
        <v/>
      </c>
      <c r="RE5" s="41" t="str">
        <f t="shared" si="145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46"/>
        <v/>
      </c>
      <c r="SA5" s="11" t="str">
        <f t="shared" si="146"/>
        <v/>
      </c>
      <c r="SB5" s="11" t="str">
        <f t="shared" si="147"/>
        <v/>
      </c>
      <c r="SC5" s="11" t="str">
        <f t="shared" si="148"/>
        <v/>
      </c>
      <c r="SD5" s="11" t="str">
        <f t="shared" si="148"/>
        <v/>
      </c>
      <c r="SE5" s="11" t="str">
        <f t="shared" si="149"/>
        <v/>
      </c>
      <c r="SF5" s="11" t="str">
        <f t="shared" si="150"/>
        <v/>
      </c>
      <c r="SG5" s="11" t="str">
        <f t="shared" si="151"/>
        <v/>
      </c>
      <c r="SH5" s="11" t="str">
        <f t="shared" si="151"/>
        <v/>
      </c>
      <c r="SI5" s="11" t="str">
        <f t="shared" si="152"/>
        <v/>
      </c>
      <c r="SJ5" s="11" t="str">
        <f t="shared" si="153"/>
        <v/>
      </c>
      <c r="SK5" s="11" t="str">
        <f t="shared" si="153"/>
        <v/>
      </c>
      <c r="SL5" s="11" t="str">
        <f t="shared" si="154"/>
        <v/>
      </c>
      <c r="SM5" s="11" t="str">
        <f t="shared" si="155"/>
        <v/>
      </c>
      <c r="SN5" s="23">
        <f t="shared" si="156"/>
        <v>4.45</v>
      </c>
      <c r="SO5" s="23">
        <f t="shared" si="156"/>
        <v>4.5750000000000002</v>
      </c>
      <c r="SP5" s="23">
        <f t="shared" si="156"/>
        <v>6</v>
      </c>
      <c r="SQ5" s="23">
        <f t="shared" si="156"/>
        <v>7.58</v>
      </c>
      <c r="SR5" s="23">
        <f t="shared" si="156"/>
        <v>0</v>
      </c>
      <c r="SS5" s="23">
        <f t="shared" si="156"/>
        <v>0.875</v>
      </c>
      <c r="ST5" s="23">
        <f t="shared" si="156"/>
        <v>0.97499999999999998</v>
      </c>
      <c r="SU5" s="23">
        <f t="shared" si="156"/>
        <v>1.45</v>
      </c>
      <c r="SV5" s="23">
        <f t="shared" si="156"/>
        <v>1.27</v>
      </c>
      <c r="SW5" s="23">
        <f t="shared" si="156"/>
        <v>0</v>
      </c>
      <c r="SX5" s="23">
        <f t="shared" si="156"/>
        <v>0.42499999999999999</v>
      </c>
      <c r="SY5" s="23">
        <f t="shared" si="156"/>
        <v>0.47499999999999998</v>
      </c>
      <c r="SZ5" s="23">
        <f t="shared" si="156"/>
        <v>0.75</v>
      </c>
      <c r="TA5" s="23">
        <f t="shared" si="156"/>
        <v>0.7</v>
      </c>
      <c r="TB5" s="23">
        <f t="shared" si="156"/>
        <v>0</v>
      </c>
      <c r="TC5" s="28" t="s">
        <v>58</v>
      </c>
      <c r="TD5" s="41">
        <f t="shared" si="157"/>
        <v>6</v>
      </c>
      <c r="TE5" s="41">
        <f t="shared" si="157"/>
        <v>7.58</v>
      </c>
      <c r="TF5" s="41">
        <f t="shared" si="158"/>
        <v>22.605</v>
      </c>
      <c r="TG5" s="41">
        <f t="shared" si="159"/>
        <v>1.45</v>
      </c>
      <c r="TH5" s="41">
        <f t="shared" si="159"/>
        <v>1.27</v>
      </c>
      <c r="TI5" s="41">
        <f t="shared" si="160"/>
        <v>4.57</v>
      </c>
      <c r="TJ5" s="41">
        <f t="shared" si="161"/>
        <v>22.605</v>
      </c>
      <c r="TK5" s="41">
        <f t="shared" si="162"/>
        <v>0.75</v>
      </c>
      <c r="TL5" s="41">
        <f t="shared" si="162"/>
        <v>0.7</v>
      </c>
      <c r="TM5" s="41">
        <f t="shared" si="163"/>
        <v>2.3499999999999996</v>
      </c>
      <c r="TN5" s="41">
        <f t="shared" si="164"/>
        <v>24.954999999999998</v>
      </c>
    </row>
    <row r="6" spans="1:534" x14ac:dyDescent="0.2">
      <c r="A6" s="4" cm="1">
        <f t="array" ref="A6">IF(AND(F6&lt;&gt;"",G6&lt;&gt;""),SUMPRODUCT((F$4:F$12&lt;&gt;"")*(G$4:G$12&lt;&gt;"")*(E$4:E$12&gt;E6))+1,IF(G6&lt;&gt;"",SUMPRODUCT((H$4:H$12="No DD")*(E$4:E$12&gt;E6))+1+SUMPRODUCT((F$4:F$12&lt;&gt;"")*(G$4:G$12&lt;&gt;"")),""))</f>
        <v>3</v>
      </c>
      <c r="B6" s="5" t="s">
        <v>163</v>
      </c>
      <c r="C6" s="4" t="s">
        <v>6</v>
      </c>
      <c r="D6" s="4" t="s">
        <v>162</v>
      </c>
      <c r="E6" s="9">
        <f t="shared" si="0"/>
        <v>91.490000000000009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45.510000000000005</v>
      </c>
      <c r="K6" s="8" t="str">
        <f t="shared" si="5"/>
        <v>2023 Elite Canada</v>
      </c>
      <c r="L6" s="8">
        <f>IF(COUNT(AI6,AL6,AP6,BJ6,BM6,BQ6,CK6,CN6,CR6)&gt;1,LARGE((AI6,AL6,AP6,BJ6,BM6,BQ6,CK6,CN6,CR6),2),0)</f>
        <v>45.31</v>
      </c>
      <c r="M6" s="8" t="str">
        <f t="shared" si="6"/>
        <v>2023 Elite Canada</v>
      </c>
      <c r="N6" s="8">
        <f t="shared" si="7"/>
        <v>0.67000000000000171</v>
      </c>
      <c r="O6" s="11" t="str">
        <f t="shared" si="8"/>
        <v>(Prelim)</v>
      </c>
      <c r="P6" s="8" t="str">
        <f t="shared" si="9"/>
        <v>2023 World Cup AZE (Feb 19)</v>
      </c>
      <c r="Q6" s="23">
        <v>7.1</v>
      </c>
      <c r="R6" s="23">
        <v>9</v>
      </c>
      <c r="S6" s="23">
        <v>11.3</v>
      </c>
      <c r="T6" s="23">
        <v>14.68</v>
      </c>
      <c r="U6" s="23">
        <v>0</v>
      </c>
      <c r="V6" s="23">
        <v>5.9</v>
      </c>
      <c r="W6" s="23">
        <v>5.9</v>
      </c>
      <c r="X6" s="23">
        <v>0.6</v>
      </c>
      <c r="Y6" s="23">
        <v>1.74</v>
      </c>
      <c r="Z6" s="23">
        <v>0</v>
      </c>
      <c r="AA6" s="23">
        <v>4.6500000000000004</v>
      </c>
      <c r="AB6" s="23">
        <v>5.4</v>
      </c>
      <c r="AC6" s="23">
        <v>7.2</v>
      </c>
      <c r="AD6" s="23">
        <v>10.92</v>
      </c>
      <c r="AE6" s="23">
        <v>1</v>
      </c>
      <c r="AF6" s="28"/>
      <c r="AG6" s="39">
        <f t="shared" si="10"/>
        <v>11.3</v>
      </c>
      <c r="AH6" s="39">
        <f t="shared" si="10"/>
        <v>14.68</v>
      </c>
      <c r="AI6" s="41">
        <f t="shared" si="11"/>
        <v>42.08</v>
      </c>
      <c r="AJ6" s="41">
        <f t="shared" si="12"/>
        <v>0.6</v>
      </c>
      <c r="AK6" s="41">
        <f t="shared" si="12"/>
        <v>1.74</v>
      </c>
      <c r="AL6" s="41">
        <f t="shared" si="13"/>
        <v>14.14</v>
      </c>
      <c r="AM6" s="41">
        <f t="shared" si="14"/>
        <v>42.08</v>
      </c>
      <c r="AN6" s="41">
        <f t="shared" si="15"/>
        <v>7.2</v>
      </c>
      <c r="AO6" s="41">
        <f t="shared" si="15"/>
        <v>10.92</v>
      </c>
      <c r="AP6" s="41">
        <f t="shared" si="16"/>
        <v>27.17</v>
      </c>
      <c r="AQ6" s="41">
        <f t="shared" si="17"/>
        <v>69.25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18"/>
        <v/>
      </c>
      <c r="BI6" s="40" t="str">
        <f t="shared" si="18"/>
        <v/>
      </c>
      <c r="BJ6" s="11" t="str">
        <f t="shared" si="19"/>
        <v/>
      </c>
      <c r="BK6" s="11" t="str">
        <f t="shared" si="20"/>
        <v/>
      </c>
      <c r="BL6" s="11" t="str">
        <f t="shared" si="20"/>
        <v/>
      </c>
      <c r="BM6" s="11" t="str">
        <f t="shared" si="21"/>
        <v/>
      </c>
      <c r="BN6" s="11" t="str">
        <f t="shared" si="22"/>
        <v/>
      </c>
      <c r="BO6" s="11" t="str">
        <f t="shared" si="23"/>
        <v/>
      </c>
      <c r="BP6" s="11" t="str">
        <f t="shared" si="23"/>
        <v/>
      </c>
      <c r="BQ6" s="11" t="str">
        <f t="shared" si="24"/>
        <v/>
      </c>
      <c r="BR6" s="11" t="str">
        <f t="shared" si="25"/>
        <v/>
      </c>
      <c r="BS6" s="23">
        <v>7.55</v>
      </c>
      <c r="BT6" s="23">
        <v>9.4</v>
      </c>
      <c r="BU6" s="23">
        <v>11.3</v>
      </c>
      <c r="BV6" s="23">
        <v>17.059999999999999</v>
      </c>
      <c r="BW6" s="23">
        <v>0</v>
      </c>
      <c r="BX6" s="23">
        <v>8.65</v>
      </c>
      <c r="BY6" s="23">
        <v>9.3000000000000007</v>
      </c>
      <c r="BZ6" s="23">
        <v>6.9</v>
      </c>
      <c r="CA6" s="23">
        <v>16.739999999999998</v>
      </c>
      <c r="CB6" s="23">
        <v>2.1</v>
      </c>
      <c r="CC6" s="23">
        <v>7.65</v>
      </c>
      <c r="CD6" s="23">
        <v>9.1</v>
      </c>
      <c r="CE6" s="23">
        <v>11.3</v>
      </c>
      <c r="CF6" s="23">
        <v>17.46</v>
      </c>
      <c r="CG6" s="23">
        <v>0</v>
      </c>
      <c r="CH6" s="28"/>
      <c r="CI6" s="39">
        <f t="shared" si="26"/>
        <v>11.3</v>
      </c>
      <c r="CJ6" s="39">
        <f t="shared" si="26"/>
        <v>17.059999999999999</v>
      </c>
      <c r="CK6" s="41">
        <f t="shared" si="27"/>
        <v>45.31</v>
      </c>
      <c r="CL6" s="41">
        <f t="shared" si="28"/>
        <v>6.9</v>
      </c>
      <c r="CM6" s="41">
        <f t="shared" si="28"/>
        <v>16.739999999999998</v>
      </c>
      <c r="CN6" s="41">
        <f t="shared" si="29"/>
        <v>39.49</v>
      </c>
      <c r="CO6" s="41">
        <f t="shared" si="30"/>
        <v>45.31</v>
      </c>
      <c r="CP6" s="41">
        <f t="shared" si="31"/>
        <v>11.3</v>
      </c>
      <c r="CQ6" s="41">
        <f t="shared" si="31"/>
        <v>17.46</v>
      </c>
      <c r="CR6" s="41">
        <f t="shared" si="32"/>
        <v>45.510000000000005</v>
      </c>
      <c r="CS6" s="41">
        <f t="shared" si="33"/>
        <v>90.820000000000007</v>
      </c>
      <c r="CT6" s="52">
        <f t="shared" si="34"/>
        <v>0.67000000000000171</v>
      </c>
      <c r="CU6" s="52" t="str">
        <f t="shared" si="35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36"/>
        <v/>
      </c>
      <c r="DQ6" s="41" t="str">
        <f t="shared" si="36"/>
        <v/>
      </c>
      <c r="DR6" s="41" t="str">
        <f t="shared" si="37"/>
        <v/>
      </c>
      <c r="DS6" s="41" t="str">
        <f t="shared" si="38"/>
        <v/>
      </c>
      <c r="DT6" s="41" t="str">
        <f t="shared" si="38"/>
        <v/>
      </c>
      <c r="DU6" s="41" t="str">
        <f t="shared" si="39"/>
        <v/>
      </c>
      <c r="DV6" s="41" t="str">
        <f t="shared" si="40"/>
        <v/>
      </c>
      <c r="DW6" s="41" t="str">
        <f t="shared" si="41"/>
        <v/>
      </c>
      <c r="DX6" s="41" t="str">
        <f t="shared" si="41"/>
        <v/>
      </c>
      <c r="DY6" s="41" t="str">
        <f t="shared" si="42"/>
        <v/>
      </c>
      <c r="DZ6" s="41" t="str">
        <f t="shared" si="43"/>
        <v/>
      </c>
      <c r="EA6" s="41" t="str">
        <f t="shared" si="43"/>
        <v/>
      </c>
      <c r="EB6" s="41" t="str">
        <f t="shared" si="44"/>
        <v/>
      </c>
      <c r="EC6" s="41" t="str">
        <f t="shared" si="45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46"/>
        <v/>
      </c>
      <c r="EY6" s="11" t="str">
        <f t="shared" si="46"/>
        <v/>
      </c>
      <c r="EZ6" s="11" t="str">
        <f t="shared" si="47"/>
        <v/>
      </c>
      <c r="FA6" s="11" t="str">
        <f t="shared" si="48"/>
        <v/>
      </c>
      <c r="FB6" s="11" t="str">
        <f t="shared" si="48"/>
        <v/>
      </c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3"/>
        <v/>
      </c>
      <c r="FJ6" s="11" t="str">
        <f t="shared" si="54"/>
        <v/>
      </c>
      <c r="FK6" s="11" t="str">
        <f t="shared" si="55"/>
        <v/>
      </c>
      <c r="FL6" s="17">
        <v>4.5</v>
      </c>
      <c r="FM6" s="17">
        <v>5.65</v>
      </c>
      <c r="FN6" s="17">
        <v>6.3</v>
      </c>
      <c r="FO6" s="17">
        <v>10.78</v>
      </c>
      <c r="FP6" s="17">
        <v>0</v>
      </c>
      <c r="FQ6" s="17">
        <v>6.7</v>
      </c>
      <c r="FR6" s="17">
        <v>8.35</v>
      </c>
      <c r="FS6" s="17">
        <v>9</v>
      </c>
      <c r="FT6" s="17">
        <v>14.22</v>
      </c>
      <c r="FU6" s="17">
        <v>0</v>
      </c>
      <c r="FV6" s="17"/>
      <c r="FW6" s="17"/>
      <c r="FX6" s="17"/>
      <c r="FY6" s="17"/>
      <c r="FZ6" s="17"/>
      <c r="GA6" s="17">
        <v>2.2999999999999998</v>
      </c>
      <c r="GB6" s="17">
        <v>3.15</v>
      </c>
      <c r="GC6" s="17">
        <v>3.5</v>
      </c>
      <c r="GD6" s="17">
        <v>4.7</v>
      </c>
      <c r="GE6" s="17">
        <v>0</v>
      </c>
      <c r="GF6" s="41">
        <f t="shared" si="56"/>
        <v>6.3</v>
      </c>
      <c r="GG6" s="41">
        <f t="shared" si="56"/>
        <v>10.78</v>
      </c>
      <c r="GH6" s="41">
        <f t="shared" si="57"/>
        <v>27.229999999999997</v>
      </c>
      <c r="GI6" s="41">
        <f t="shared" si="58"/>
        <v>9</v>
      </c>
      <c r="GJ6" s="41">
        <f t="shared" si="58"/>
        <v>14.22</v>
      </c>
      <c r="GK6" s="41">
        <f t="shared" si="59"/>
        <v>38.270000000000003</v>
      </c>
      <c r="GL6" s="41">
        <f t="shared" si="60"/>
        <v>38.270000000000003</v>
      </c>
      <c r="GM6" s="41" t="str">
        <f t="shared" si="61"/>
        <v/>
      </c>
      <c r="GN6" s="41" t="str">
        <f t="shared" si="61"/>
        <v/>
      </c>
      <c r="GO6" s="41" t="str">
        <f t="shared" si="62"/>
        <v/>
      </c>
      <c r="GP6" s="41">
        <f t="shared" si="63"/>
        <v>3.5</v>
      </c>
      <c r="GQ6" s="41">
        <f t="shared" si="63"/>
        <v>4.7</v>
      </c>
      <c r="GR6" s="41">
        <f t="shared" si="64"/>
        <v>13.649999999999999</v>
      </c>
      <c r="GS6" s="41">
        <f t="shared" si="65"/>
        <v>51.92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66"/>
        <v/>
      </c>
      <c r="HO6" s="11" t="str">
        <f t="shared" si="66"/>
        <v/>
      </c>
      <c r="HP6" s="11" t="str">
        <f t="shared" si="67"/>
        <v/>
      </c>
      <c r="HQ6" s="11" t="str">
        <f t="shared" si="68"/>
        <v/>
      </c>
      <c r="HR6" s="11" t="str">
        <f t="shared" si="68"/>
        <v/>
      </c>
      <c r="HS6" s="11" t="str">
        <f t="shared" si="69"/>
        <v/>
      </c>
      <c r="HT6" s="11" t="str">
        <f t="shared" si="70"/>
        <v/>
      </c>
      <c r="HU6" s="11" t="str">
        <f t="shared" si="71"/>
        <v/>
      </c>
      <c r="HV6" s="11" t="str">
        <f t="shared" si="71"/>
        <v/>
      </c>
      <c r="HW6" s="11" t="str">
        <f t="shared" si="72"/>
        <v/>
      </c>
      <c r="HX6" s="11" t="str">
        <f t="shared" si="73"/>
        <v/>
      </c>
      <c r="HY6" s="11" t="str">
        <f t="shared" si="73"/>
        <v/>
      </c>
      <c r="HZ6" s="11" t="str">
        <f t="shared" si="74"/>
        <v/>
      </c>
      <c r="IA6" s="11" t="str">
        <f t="shared" si="75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76"/>
        <v/>
      </c>
      <c r="IW6" s="41" t="str">
        <f t="shared" si="76"/>
        <v/>
      </c>
      <c r="IX6" s="41" t="str">
        <f t="shared" si="77"/>
        <v/>
      </c>
      <c r="IY6" s="41" t="str">
        <f t="shared" si="78"/>
        <v/>
      </c>
      <c r="IZ6" s="41" t="str">
        <f t="shared" si="78"/>
        <v/>
      </c>
      <c r="JA6" s="41" t="str">
        <f t="shared" si="79"/>
        <v/>
      </c>
      <c r="JB6" s="41" t="str">
        <f t="shared" si="80"/>
        <v/>
      </c>
      <c r="JC6" s="41" t="str">
        <f t="shared" si="81"/>
        <v/>
      </c>
      <c r="JD6" s="41" t="str">
        <f t="shared" si="81"/>
        <v/>
      </c>
      <c r="JE6" s="41" t="str">
        <f t="shared" si="82"/>
        <v/>
      </c>
      <c r="JF6" s="41" t="str">
        <f t="shared" si="83"/>
        <v/>
      </c>
      <c r="JG6" s="41" t="str">
        <f t="shared" si="83"/>
        <v/>
      </c>
      <c r="JH6" s="41" t="str">
        <f t="shared" si="84"/>
        <v/>
      </c>
      <c r="JI6" s="41" t="str">
        <f t="shared" si="85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86"/>
        <v/>
      </c>
      <c r="KE6" s="11" t="str">
        <f t="shared" si="86"/>
        <v/>
      </c>
      <c r="KF6" s="11" t="str">
        <f t="shared" si="87"/>
        <v/>
      </c>
      <c r="KG6" s="11" t="str">
        <f t="shared" si="88"/>
        <v/>
      </c>
      <c r="KH6" s="11" t="str">
        <f t="shared" si="88"/>
        <v/>
      </c>
      <c r="KI6" s="11" t="str">
        <f t="shared" si="89"/>
        <v/>
      </c>
      <c r="KJ6" s="11" t="str">
        <f t="shared" si="90"/>
        <v/>
      </c>
      <c r="KK6" s="11" t="str">
        <f t="shared" si="91"/>
        <v/>
      </c>
      <c r="KL6" s="11" t="str">
        <f t="shared" si="91"/>
        <v/>
      </c>
      <c r="KM6" s="11" t="str">
        <f t="shared" si="92"/>
        <v/>
      </c>
      <c r="KN6" s="11" t="str">
        <f t="shared" si="93"/>
        <v/>
      </c>
      <c r="KO6" s="11" t="str">
        <f t="shared" si="93"/>
        <v/>
      </c>
      <c r="KP6" s="11" t="str">
        <f t="shared" si="94"/>
        <v/>
      </c>
      <c r="KQ6" s="11" t="str">
        <f t="shared" si="95"/>
        <v/>
      </c>
      <c r="KR6" s="17">
        <v>7.15</v>
      </c>
      <c r="KS6" s="17">
        <v>9.1</v>
      </c>
      <c r="KT6" s="17">
        <v>10.4</v>
      </c>
      <c r="KU6" s="17">
        <v>11.98</v>
      </c>
      <c r="KV6" s="17">
        <v>0.4</v>
      </c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 t="shared" si="96"/>
        <v>10.4</v>
      </c>
      <c r="LM6" s="41">
        <f t="shared" si="96"/>
        <v>11.98</v>
      </c>
      <c r="LN6" s="41">
        <f t="shared" si="97"/>
        <v>38.229999999999997</v>
      </c>
      <c r="LO6" s="41" t="str">
        <f t="shared" si="98"/>
        <v/>
      </c>
      <c r="LP6" s="41" t="str">
        <f t="shared" si="98"/>
        <v/>
      </c>
      <c r="LQ6" s="41" t="str">
        <f t="shared" si="99"/>
        <v/>
      </c>
      <c r="LR6" s="41">
        <f t="shared" si="100"/>
        <v>38.229999999999997</v>
      </c>
      <c r="LS6" s="41" t="str">
        <f t="shared" si="101"/>
        <v/>
      </c>
      <c r="LT6" s="41" t="str">
        <f t="shared" si="101"/>
        <v/>
      </c>
      <c r="LU6" s="41" t="str">
        <f t="shared" si="102"/>
        <v/>
      </c>
      <c r="LV6" s="41" t="str">
        <f t="shared" si="103"/>
        <v/>
      </c>
      <c r="LW6" s="41" t="str">
        <f t="shared" si="103"/>
        <v/>
      </c>
      <c r="LX6" s="41" t="str">
        <f t="shared" si="104"/>
        <v/>
      </c>
      <c r="LY6" s="41">
        <f t="shared" si="105"/>
        <v>38.229999999999997</v>
      </c>
      <c r="LZ6" s="18">
        <v>7.2</v>
      </c>
      <c r="MA6" s="18">
        <v>9.1</v>
      </c>
      <c r="MB6" s="18">
        <v>11.3</v>
      </c>
      <c r="MC6" s="18">
        <v>18.38</v>
      </c>
      <c r="MD6" s="18">
        <v>0</v>
      </c>
      <c r="ME6" s="18">
        <v>5.95</v>
      </c>
      <c r="MF6" s="18">
        <v>7.95</v>
      </c>
      <c r="MG6" s="18">
        <v>9.9</v>
      </c>
      <c r="MH6" s="18">
        <v>13.98</v>
      </c>
      <c r="MI6" s="18">
        <v>0</v>
      </c>
      <c r="MJ6" s="18"/>
      <c r="MK6" s="18"/>
      <c r="ML6" s="18"/>
      <c r="MM6" s="18"/>
      <c r="MN6" s="18"/>
      <c r="MO6" s="18">
        <v>6.75</v>
      </c>
      <c r="MP6" s="18">
        <v>9.4</v>
      </c>
      <c r="MQ6" s="18">
        <v>11.3</v>
      </c>
      <c r="MR6" s="18">
        <v>15.96</v>
      </c>
      <c r="MS6" s="18">
        <v>0</v>
      </c>
      <c r="MT6" s="11">
        <f t="shared" si="106"/>
        <v>11.3</v>
      </c>
      <c r="MU6" s="11">
        <f t="shared" si="106"/>
        <v>18.38</v>
      </c>
      <c r="MV6" s="11">
        <f t="shared" si="107"/>
        <v>45.980000000000004</v>
      </c>
      <c r="MW6" s="11">
        <f t="shared" si="108"/>
        <v>9.9</v>
      </c>
      <c r="MX6" s="11">
        <f t="shared" si="108"/>
        <v>13.98</v>
      </c>
      <c r="MY6" s="11">
        <f t="shared" si="109"/>
        <v>37.78</v>
      </c>
      <c r="MZ6" s="11">
        <f t="shared" si="110"/>
        <v>45.980000000000004</v>
      </c>
      <c r="NA6" s="11" t="str">
        <f t="shared" si="111"/>
        <v/>
      </c>
      <c r="NB6" s="11" t="str">
        <f t="shared" si="111"/>
        <v/>
      </c>
      <c r="NC6" s="11" t="str">
        <f t="shared" si="112"/>
        <v/>
      </c>
      <c r="ND6" s="11">
        <f t="shared" si="113"/>
        <v>11.3</v>
      </c>
      <c r="NE6" s="11">
        <f t="shared" si="113"/>
        <v>15.96</v>
      </c>
      <c r="NF6" s="11">
        <f t="shared" si="114"/>
        <v>43.41</v>
      </c>
      <c r="NG6" s="11">
        <f t="shared" si="115"/>
        <v>89.39</v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16"/>
        <v/>
      </c>
      <c r="OC6" s="41" t="str">
        <f t="shared" si="116"/>
        <v/>
      </c>
      <c r="OD6" s="41" t="str">
        <f t="shared" si="117"/>
        <v/>
      </c>
      <c r="OE6" s="41" t="str">
        <f t="shared" si="118"/>
        <v/>
      </c>
      <c r="OF6" s="41" t="str">
        <f t="shared" si="118"/>
        <v/>
      </c>
      <c r="OG6" s="41" t="str">
        <f t="shared" si="119"/>
        <v/>
      </c>
      <c r="OH6" s="41" t="str">
        <f t="shared" si="120"/>
        <v/>
      </c>
      <c r="OI6" s="41" t="str">
        <f t="shared" si="121"/>
        <v/>
      </c>
      <c r="OJ6" s="41" t="str">
        <f t="shared" si="121"/>
        <v/>
      </c>
      <c r="OK6" s="41" t="str">
        <f t="shared" si="122"/>
        <v/>
      </c>
      <c r="OL6" s="41" t="str">
        <f t="shared" si="123"/>
        <v/>
      </c>
      <c r="OM6" s="41" t="str">
        <f t="shared" si="123"/>
        <v/>
      </c>
      <c r="ON6" s="41" t="str">
        <f t="shared" si="124"/>
        <v/>
      </c>
      <c r="OO6" s="41" t="str">
        <f t="shared" si="125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26"/>
        <v/>
      </c>
      <c r="PK6" s="11" t="str">
        <f t="shared" si="126"/>
        <v/>
      </c>
      <c r="PL6" s="11" t="str">
        <f t="shared" si="127"/>
        <v/>
      </c>
      <c r="PM6" s="11" t="str">
        <f t="shared" si="128"/>
        <v/>
      </c>
      <c r="PN6" s="11" t="str">
        <f t="shared" si="128"/>
        <v/>
      </c>
      <c r="PO6" s="11" t="str">
        <f t="shared" si="129"/>
        <v/>
      </c>
      <c r="PP6" s="11" t="str">
        <f t="shared" si="130"/>
        <v/>
      </c>
      <c r="PQ6" s="11" t="str">
        <f t="shared" si="131"/>
        <v/>
      </c>
      <c r="PR6" s="11" t="str">
        <f t="shared" si="131"/>
        <v/>
      </c>
      <c r="PS6" s="11" t="str">
        <f t="shared" si="132"/>
        <v/>
      </c>
      <c r="PT6" s="11" t="str">
        <f t="shared" si="133"/>
        <v/>
      </c>
      <c r="PU6" s="11" t="str">
        <f t="shared" si="133"/>
        <v/>
      </c>
      <c r="PV6" s="11" t="str">
        <f t="shared" si="134"/>
        <v/>
      </c>
      <c r="PW6" s="11" t="str">
        <f t="shared" si="135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36"/>
        <v/>
      </c>
      <c r="QS6" s="41" t="str">
        <f t="shared" si="136"/>
        <v/>
      </c>
      <c r="QT6" s="41" t="str">
        <f t="shared" si="137"/>
        <v/>
      </c>
      <c r="QU6" s="41" t="str">
        <f t="shared" si="138"/>
        <v/>
      </c>
      <c r="QV6" s="41" t="str">
        <f t="shared" si="138"/>
        <v/>
      </c>
      <c r="QW6" s="41" t="str">
        <f t="shared" si="139"/>
        <v/>
      </c>
      <c r="QX6" s="41" t="str">
        <f t="shared" si="140"/>
        <v/>
      </c>
      <c r="QY6" s="41" t="str">
        <f t="shared" si="141"/>
        <v/>
      </c>
      <c r="QZ6" s="41" t="str">
        <f t="shared" si="141"/>
        <v/>
      </c>
      <c r="RA6" s="41" t="str">
        <f t="shared" si="142"/>
        <v/>
      </c>
      <c r="RB6" s="41" t="str">
        <f t="shared" si="143"/>
        <v/>
      </c>
      <c r="RC6" s="41" t="str">
        <f t="shared" si="143"/>
        <v/>
      </c>
      <c r="RD6" s="41" t="str">
        <f t="shared" si="144"/>
        <v/>
      </c>
      <c r="RE6" s="41" t="str">
        <f t="shared" si="145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46"/>
        <v/>
      </c>
      <c r="SA6" s="11" t="str">
        <f t="shared" si="146"/>
        <v/>
      </c>
      <c r="SB6" s="11" t="str">
        <f t="shared" si="147"/>
        <v/>
      </c>
      <c r="SC6" s="11" t="str">
        <f t="shared" si="148"/>
        <v/>
      </c>
      <c r="SD6" s="11" t="str">
        <f t="shared" si="148"/>
        <v/>
      </c>
      <c r="SE6" s="11" t="str">
        <f t="shared" si="149"/>
        <v/>
      </c>
      <c r="SF6" s="11" t="str">
        <f t="shared" si="150"/>
        <v/>
      </c>
      <c r="SG6" s="11" t="str">
        <f t="shared" si="151"/>
        <v/>
      </c>
      <c r="SH6" s="11" t="str">
        <f t="shared" si="151"/>
        <v/>
      </c>
      <c r="SI6" s="11" t="str">
        <f t="shared" si="152"/>
        <v/>
      </c>
      <c r="SJ6" s="11" t="str">
        <f t="shared" si="153"/>
        <v/>
      </c>
      <c r="SK6" s="11" t="str">
        <f t="shared" si="153"/>
        <v/>
      </c>
      <c r="SL6" s="11" t="str">
        <f t="shared" si="154"/>
        <v/>
      </c>
      <c r="SM6" s="11" t="str">
        <f t="shared" si="155"/>
        <v/>
      </c>
      <c r="SN6" s="23">
        <f t="shared" si="156"/>
        <v>3.7749999999999999</v>
      </c>
      <c r="SO6" s="23">
        <f t="shared" si="156"/>
        <v>4.7</v>
      </c>
      <c r="SP6" s="23">
        <f t="shared" si="156"/>
        <v>5.65</v>
      </c>
      <c r="SQ6" s="23">
        <f t="shared" si="156"/>
        <v>8.5299999999999994</v>
      </c>
      <c r="SR6" s="23">
        <f t="shared" si="156"/>
        <v>0</v>
      </c>
      <c r="SS6" s="23">
        <f t="shared" si="156"/>
        <v>4.3250000000000002</v>
      </c>
      <c r="ST6" s="23">
        <f t="shared" si="156"/>
        <v>4.6500000000000004</v>
      </c>
      <c r="SU6" s="23">
        <f t="shared" si="156"/>
        <v>3.45</v>
      </c>
      <c r="SV6" s="23">
        <f t="shared" si="156"/>
        <v>8.3699999999999992</v>
      </c>
      <c r="SW6" s="23">
        <f t="shared" si="156"/>
        <v>1.05</v>
      </c>
      <c r="SX6" s="23">
        <f t="shared" si="156"/>
        <v>3.8250000000000002</v>
      </c>
      <c r="SY6" s="23">
        <f t="shared" si="156"/>
        <v>4.55</v>
      </c>
      <c r="SZ6" s="23">
        <f t="shared" si="156"/>
        <v>5.65</v>
      </c>
      <c r="TA6" s="23">
        <f t="shared" si="156"/>
        <v>8.73</v>
      </c>
      <c r="TB6" s="23">
        <f t="shared" si="156"/>
        <v>0</v>
      </c>
      <c r="TC6" s="28" t="s">
        <v>58</v>
      </c>
      <c r="TD6" s="41">
        <f t="shared" si="157"/>
        <v>5.65</v>
      </c>
      <c r="TE6" s="41">
        <f t="shared" si="157"/>
        <v>8.5299999999999994</v>
      </c>
      <c r="TF6" s="41">
        <f t="shared" si="158"/>
        <v>22.655000000000001</v>
      </c>
      <c r="TG6" s="41">
        <f t="shared" si="159"/>
        <v>3.45</v>
      </c>
      <c r="TH6" s="41">
        <f t="shared" si="159"/>
        <v>8.3699999999999992</v>
      </c>
      <c r="TI6" s="41">
        <f t="shared" si="160"/>
        <v>19.745000000000001</v>
      </c>
      <c r="TJ6" s="41">
        <f t="shared" si="161"/>
        <v>22.655000000000001</v>
      </c>
      <c r="TK6" s="41">
        <f t="shared" si="162"/>
        <v>5.65</v>
      </c>
      <c r="TL6" s="41">
        <f t="shared" si="162"/>
        <v>8.73</v>
      </c>
      <c r="TM6" s="41">
        <f t="shared" si="163"/>
        <v>22.755000000000003</v>
      </c>
      <c r="TN6" s="41">
        <f t="shared" si="164"/>
        <v>45.410000000000004</v>
      </c>
    </row>
    <row r="7" spans="1:534" x14ac:dyDescent="0.2">
      <c r="A7" s="4" cm="1">
        <f t="array" ref="A7">IF(AND(F7&lt;&gt;"",G7&lt;&gt;""),SUMPRODUCT((F$4:F$12&lt;&gt;"")*(G$4:G$12&lt;&gt;"")*(E$4:E$12&gt;E7))+1,IF(G7&lt;&gt;"",SUMPRODUCT((H$4:H$12="No DD")*(E$4:E$12&gt;E7))+1+SUMPRODUCT((F$4:F$12&lt;&gt;"")*(G$4:G$12&lt;&gt;"")),""))</f>
        <v>4</v>
      </c>
      <c r="B7" s="5" t="s">
        <v>181</v>
      </c>
      <c r="C7" s="4" t="s">
        <v>5</v>
      </c>
      <c r="D7" s="4" t="s">
        <v>180</v>
      </c>
      <c r="E7" s="9">
        <f t="shared" si="0"/>
        <v>89.4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IF(COUNT(AI7,AL7,AP7,BJ7,BM7,BQ7,CK7,CN7,CR7)&gt;0,LARGE((AI7,AL7,AP7,BJ7,BM7,BQ7,CK7,CN7,CR7),1),0)</f>
        <v>45.59</v>
      </c>
      <c r="K7" s="8" t="str">
        <f t="shared" si="5"/>
        <v>2022 Nationals</v>
      </c>
      <c r="L7" s="8">
        <f>IF(COUNT(AI7,AL7,AP7,BJ7,BM7,BQ7,CK7,CN7,CR7)&gt;1,LARGE((AI7,AL7,AP7,BJ7,BM7,BQ7,CK7,CN7,CR7),2),0)</f>
        <v>43.81</v>
      </c>
      <c r="M7" s="8" t="str">
        <f t="shared" si="6"/>
        <v>2022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3">
        <v>5.0999999999999996</v>
      </c>
      <c r="R7" s="23">
        <v>6.15</v>
      </c>
      <c r="S7" s="23">
        <v>7.3</v>
      </c>
      <c r="T7" s="23">
        <v>11</v>
      </c>
      <c r="U7" s="23">
        <v>0</v>
      </c>
      <c r="V7" s="23">
        <v>7.15</v>
      </c>
      <c r="W7" s="23">
        <v>9.1999999999999993</v>
      </c>
      <c r="X7" s="23">
        <v>10.5</v>
      </c>
      <c r="Y7" s="23">
        <v>16.96</v>
      </c>
      <c r="Z7" s="23">
        <v>0</v>
      </c>
      <c r="AA7" s="23">
        <v>7.95</v>
      </c>
      <c r="AB7" s="23">
        <v>9.1999999999999993</v>
      </c>
      <c r="AC7" s="23">
        <v>10.5</v>
      </c>
      <c r="AD7" s="23">
        <v>17.940000000000001</v>
      </c>
      <c r="AE7" s="23">
        <v>0</v>
      </c>
      <c r="AF7" s="28"/>
      <c r="AG7" s="39">
        <f t="shared" si="10"/>
        <v>7.3</v>
      </c>
      <c r="AH7" s="39">
        <f t="shared" si="10"/>
        <v>11</v>
      </c>
      <c r="AI7" s="41">
        <f t="shared" si="11"/>
        <v>29.55</v>
      </c>
      <c r="AJ7" s="41">
        <f t="shared" si="12"/>
        <v>10.5</v>
      </c>
      <c r="AK7" s="41">
        <f t="shared" si="12"/>
        <v>16.96</v>
      </c>
      <c r="AL7" s="41">
        <f t="shared" si="13"/>
        <v>43.81</v>
      </c>
      <c r="AM7" s="41">
        <f t="shared" si="14"/>
        <v>43.81</v>
      </c>
      <c r="AN7" s="41">
        <f t="shared" si="15"/>
        <v>10.5</v>
      </c>
      <c r="AO7" s="41">
        <f t="shared" si="15"/>
        <v>17.940000000000001</v>
      </c>
      <c r="AP7" s="41">
        <f t="shared" si="16"/>
        <v>45.59</v>
      </c>
      <c r="AQ7" s="41">
        <f t="shared" si="17"/>
        <v>89.4</v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18"/>
        <v/>
      </c>
      <c r="BI7" s="40" t="str">
        <f t="shared" si="18"/>
        <v/>
      </c>
      <c r="BJ7" s="11" t="str">
        <f t="shared" si="19"/>
        <v/>
      </c>
      <c r="BK7" s="11" t="str">
        <f t="shared" si="20"/>
        <v/>
      </c>
      <c r="BL7" s="11" t="str">
        <f t="shared" si="20"/>
        <v/>
      </c>
      <c r="BM7" s="11" t="str">
        <f t="shared" si="21"/>
        <v/>
      </c>
      <c r="BN7" s="11" t="str">
        <f t="shared" si="22"/>
        <v/>
      </c>
      <c r="BO7" s="11" t="str">
        <f t="shared" si="23"/>
        <v/>
      </c>
      <c r="BP7" s="11" t="str">
        <f t="shared" si="23"/>
        <v/>
      </c>
      <c r="BQ7" s="11" t="str">
        <f t="shared" si="24"/>
        <v/>
      </c>
      <c r="BR7" s="11" t="str">
        <f t="shared" si="25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26"/>
        <v/>
      </c>
      <c r="CJ7" s="39" t="str">
        <f t="shared" si="26"/>
        <v/>
      </c>
      <c r="CK7" s="41" t="str">
        <f t="shared" si="27"/>
        <v/>
      </c>
      <c r="CL7" s="41" t="str">
        <f t="shared" si="28"/>
        <v/>
      </c>
      <c r="CM7" s="41" t="str">
        <f t="shared" si="28"/>
        <v/>
      </c>
      <c r="CN7" s="41" t="str">
        <f t="shared" si="29"/>
        <v/>
      </c>
      <c r="CO7" s="41" t="str">
        <f t="shared" si="30"/>
        <v/>
      </c>
      <c r="CP7" s="41" t="str">
        <f t="shared" si="31"/>
        <v/>
      </c>
      <c r="CQ7" s="41" t="str">
        <f t="shared" si="31"/>
        <v/>
      </c>
      <c r="CR7" s="41" t="str">
        <f t="shared" si="32"/>
        <v/>
      </c>
      <c r="CS7" s="41" t="str">
        <f t="shared" si="33"/>
        <v/>
      </c>
      <c r="CT7" s="52" t="str">
        <f t="shared" si="34"/>
        <v/>
      </c>
      <c r="CU7" s="52" t="str">
        <f t="shared" si="35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36"/>
        <v/>
      </c>
      <c r="DQ7" s="41" t="str">
        <f t="shared" si="36"/>
        <v/>
      </c>
      <c r="DR7" s="41" t="str">
        <f t="shared" si="37"/>
        <v/>
      </c>
      <c r="DS7" s="41" t="str">
        <f t="shared" si="38"/>
        <v/>
      </c>
      <c r="DT7" s="41" t="str">
        <f t="shared" si="38"/>
        <v/>
      </c>
      <c r="DU7" s="41" t="str">
        <f t="shared" si="39"/>
        <v/>
      </c>
      <c r="DV7" s="41" t="str">
        <f t="shared" si="40"/>
        <v/>
      </c>
      <c r="DW7" s="41" t="str">
        <f t="shared" si="41"/>
        <v/>
      </c>
      <c r="DX7" s="41" t="str">
        <f t="shared" si="41"/>
        <v/>
      </c>
      <c r="DY7" s="41" t="str">
        <f t="shared" si="42"/>
        <v/>
      </c>
      <c r="DZ7" s="41" t="str">
        <f t="shared" si="43"/>
        <v/>
      </c>
      <c r="EA7" s="41" t="str">
        <f t="shared" si="43"/>
        <v/>
      </c>
      <c r="EB7" s="41" t="str">
        <f t="shared" si="44"/>
        <v/>
      </c>
      <c r="EC7" s="41" t="str">
        <f t="shared" si="45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46"/>
        <v/>
      </c>
      <c r="EY7" s="11" t="str">
        <f t="shared" si="46"/>
        <v/>
      </c>
      <c r="EZ7" s="11" t="str">
        <f t="shared" si="47"/>
        <v/>
      </c>
      <c r="FA7" s="11" t="str">
        <f t="shared" si="48"/>
        <v/>
      </c>
      <c r="FB7" s="11" t="str">
        <f t="shared" si="48"/>
        <v/>
      </c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3"/>
        <v/>
      </c>
      <c r="FJ7" s="11" t="str">
        <f t="shared" si="54"/>
        <v/>
      </c>
      <c r="FK7" s="11" t="str">
        <f t="shared" si="55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56"/>
        <v/>
      </c>
      <c r="GG7" s="41" t="str">
        <f t="shared" si="56"/>
        <v/>
      </c>
      <c r="GH7" s="41" t="str">
        <f t="shared" si="57"/>
        <v/>
      </c>
      <c r="GI7" s="41" t="str">
        <f t="shared" si="58"/>
        <v/>
      </c>
      <c r="GJ7" s="41" t="str">
        <f t="shared" si="58"/>
        <v/>
      </c>
      <c r="GK7" s="41" t="str">
        <f t="shared" si="59"/>
        <v/>
      </c>
      <c r="GL7" s="41" t="str">
        <f t="shared" si="60"/>
        <v/>
      </c>
      <c r="GM7" s="41" t="str">
        <f t="shared" si="61"/>
        <v/>
      </c>
      <c r="GN7" s="41" t="str">
        <f t="shared" si="61"/>
        <v/>
      </c>
      <c r="GO7" s="41" t="str">
        <f t="shared" si="62"/>
        <v/>
      </c>
      <c r="GP7" s="41" t="str">
        <f t="shared" si="63"/>
        <v/>
      </c>
      <c r="GQ7" s="41" t="str">
        <f t="shared" si="63"/>
        <v/>
      </c>
      <c r="GR7" s="41" t="str">
        <f t="shared" si="64"/>
        <v/>
      </c>
      <c r="GS7" s="41" t="str">
        <f t="shared" si="65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66"/>
        <v/>
      </c>
      <c r="HO7" s="11" t="str">
        <f t="shared" si="66"/>
        <v/>
      </c>
      <c r="HP7" s="11" t="str">
        <f t="shared" si="67"/>
        <v/>
      </c>
      <c r="HQ7" s="11" t="str">
        <f t="shared" si="68"/>
        <v/>
      </c>
      <c r="HR7" s="11" t="str">
        <f t="shared" si="68"/>
        <v/>
      </c>
      <c r="HS7" s="11" t="str">
        <f t="shared" si="69"/>
        <v/>
      </c>
      <c r="HT7" s="11" t="str">
        <f t="shared" si="70"/>
        <v/>
      </c>
      <c r="HU7" s="11" t="str">
        <f t="shared" si="71"/>
        <v/>
      </c>
      <c r="HV7" s="11" t="str">
        <f t="shared" si="71"/>
        <v/>
      </c>
      <c r="HW7" s="11" t="str">
        <f t="shared" si="72"/>
        <v/>
      </c>
      <c r="HX7" s="11" t="str">
        <f t="shared" si="73"/>
        <v/>
      </c>
      <c r="HY7" s="11" t="str">
        <f t="shared" si="73"/>
        <v/>
      </c>
      <c r="HZ7" s="11" t="str">
        <f t="shared" si="74"/>
        <v/>
      </c>
      <c r="IA7" s="11" t="str">
        <f t="shared" si="75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76"/>
        <v/>
      </c>
      <c r="IW7" s="41" t="str">
        <f t="shared" si="76"/>
        <v/>
      </c>
      <c r="IX7" s="41" t="str">
        <f t="shared" si="77"/>
        <v/>
      </c>
      <c r="IY7" s="41" t="str">
        <f t="shared" si="78"/>
        <v/>
      </c>
      <c r="IZ7" s="41" t="str">
        <f t="shared" si="78"/>
        <v/>
      </c>
      <c r="JA7" s="41" t="str">
        <f t="shared" si="79"/>
        <v/>
      </c>
      <c r="JB7" s="41" t="str">
        <f t="shared" si="80"/>
        <v/>
      </c>
      <c r="JC7" s="41" t="str">
        <f t="shared" si="81"/>
        <v/>
      </c>
      <c r="JD7" s="41" t="str">
        <f t="shared" si="81"/>
        <v/>
      </c>
      <c r="JE7" s="41" t="str">
        <f t="shared" si="82"/>
        <v/>
      </c>
      <c r="JF7" s="41" t="str">
        <f t="shared" si="83"/>
        <v/>
      </c>
      <c r="JG7" s="41" t="str">
        <f t="shared" si="83"/>
        <v/>
      </c>
      <c r="JH7" s="41" t="str">
        <f t="shared" si="84"/>
        <v/>
      </c>
      <c r="JI7" s="41" t="str">
        <f t="shared" si="85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86"/>
        <v/>
      </c>
      <c r="KE7" s="11" t="str">
        <f t="shared" si="86"/>
        <v/>
      </c>
      <c r="KF7" s="11" t="str">
        <f t="shared" si="87"/>
        <v/>
      </c>
      <c r="KG7" s="11" t="str">
        <f t="shared" si="88"/>
        <v/>
      </c>
      <c r="KH7" s="11" t="str">
        <f t="shared" si="88"/>
        <v/>
      </c>
      <c r="KI7" s="11" t="str">
        <f t="shared" si="89"/>
        <v/>
      </c>
      <c r="KJ7" s="11" t="str">
        <f t="shared" si="90"/>
        <v/>
      </c>
      <c r="KK7" s="11" t="str">
        <f t="shared" si="91"/>
        <v/>
      </c>
      <c r="KL7" s="11" t="str">
        <f t="shared" si="91"/>
        <v/>
      </c>
      <c r="KM7" s="11" t="str">
        <f t="shared" si="92"/>
        <v/>
      </c>
      <c r="KN7" s="11" t="str">
        <f t="shared" si="93"/>
        <v/>
      </c>
      <c r="KO7" s="11" t="str">
        <f t="shared" si="93"/>
        <v/>
      </c>
      <c r="KP7" s="11" t="str">
        <f t="shared" si="94"/>
        <v/>
      </c>
      <c r="KQ7" s="11" t="str">
        <f t="shared" si="95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96"/>
        <v/>
      </c>
      <c r="LM7" s="41" t="str">
        <f t="shared" si="96"/>
        <v/>
      </c>
      <c r="LN7" s="41" t="str">
        <f t="shared" si="97"/>
        <v/>
      </c>
      <c r="LO7" s="41" t="str">
        <f t="shared" si="98"/>
        <v/>
      </c>
      <c r="LP7" s="41" t="str">
        <f t="shared" si="98"/>
        <v/>
      </c>
      <c r="LQ7" s="41" t="str">
        <f t="shared" si="99"/>
        <v/>
      </c>
      <c r="LR7" s="41" t="str">
        <f t="shared" si="100"/>
        <v/>
      </c>
      <c r="LS7" s="41" t="str">
        <f t="shared" si="101"/>
        <v/>
      </c>
      <c r="LT7" s="41" t="str">
        <f t="shared" si="101"/>
        <v/>
      </c>
      <c r="LU7" s="41" t="str">
        <f t="shared" si="102"/>
        <v/>
      </c>
      <c r="LV7" s="41" t="str">
        <f t="shared" si="103"/>
        <v/>
      </c>
      <c r="LW7" s="41" t="str">
        <f t="shared" si="103"/>
        <v/>
      </c>
      <c r="LX7" s="41" t="str">
        <f t="shared" si="104"/>
        <v/>
      </c>
      <c r="LY7" s="41" t="str">
        <f t="shared" si="105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06"/>
        <v/>
      </c>
      <c r="MU7" s="11" t="str">
        <f t="shared" si="106"/>
        <v/>
      </c>
      <c r="MV7" s="11" t="str">
        <f t="shared" si="107"/>
        <v/>
      </c>
      <c r="MW7" s="11" t="str">
        <f t="shared" si="108"/>
        <v/>
      </c>
      <c r="MX7" s="11" t="str">
        <f t="shared" si="108"/>
        <v/>
      </c>
      <c r="MY7" s="11" t="str">
        <f t="shared" si="109"/>
        <v/>
      </c>
      <c r="MZ7" s="11" t="str">
        <f t="shared" si="110"/>
        <v/>
      </c>
      <c r="NA7" s="11" t="str">
        <f t="shared" si="111"/>
        <v/>
      </c>
      <c r="NB7" s="11" t="str">
        <f t="shared" si="111"/>
        <v/>
      </c>
      <c r="NC7" s="11" t="str">
        <f t="shared" si="112"/>
        <v/>
      </c>
      <c r="ND7" s="11" t="str">
        <f t="shared" si="113"/>
        <v/>
      </c>
      <c r="NE7" s="11" t="str">
        <f t="shared" si="113"/>
        <v/>
      </c>
      <c r="NF7" s="11" t="str">
        <f t="shared" si="114"/>
        <v/>
      </c>
      <c r="NG7" s="11" t="str">
        <f t="shared" si="115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16"/>
        <v/>
      </c>
      <c r="OC7" s="41" t="str">
        <f t="shared" si="116"/>
        <v/>
      </c>
      <c r="OD7" s="41" t="str">
        <f t="shared" si="117"/>
        <v/>
      </c>
      <c r="OE7" s="41" t="str">
        <f t="shared" si="118"/>
        <v/>
      </c>
      <c r="OF7" s="41" t="str">
        <f t="shared" si="118"/>
        <v/>
      </c>
      <c r="OG7" s="41" t="str">
        <f t="shared" si="119"/>
        <v/>
      </c>
      <c r="OH7" s="41" t="str">
        <f t="shared" si="120"/>
        <v/>
      </c>
      <c r="OI7" s="41" t="str">
        <f t="shared" si="121"/>
        <v/>
      </c>
      <c r="OJ7" s="41" t="str">
        <f t="shared" si="121"/>
        <v/>
      </c>
      <c r="OK7" s="41" t="str">
        <f t="shared" si="122"/>
        <v/>
      </c>
      <c r="OL7" s="41" t="str">
        <f t="shared" si="123"/>
        <v/>
      </c>
      <c r="OM7" s="41" t="str">
        <f t="shared" si="123"/>
        <v/>
      </c>
      <c r="ON7" s="41" t="str">
        <f t="shared" si="124"/>
        <v/>
      </c>
      <c r="OO7" s="41" t="str">
        <f t="shared" si="125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26"/>
        <v/>
      </c>
      <c r="PK7" s="11" t="str">
        <f t="shared" si="126"/>
        <v/>
      </c>
      <c r="PL7" s="11" t="str">
        <f t="shared" si="127"/>
        <v/>
      </c>
      <c r="PM7" s="11" t="str">
        <f t="shared" si="128"/>
        <v/>
      </c>
      <c r="PN7" s="11" t="str">
        <f t="shared" si="128"/>
        <v/>
      </c>
      <c r="PO7" s="11" t="str">
        <f t="shared" si="129"/>
        <v/>
      </c>
      <c r="PP7" s="11" t="str">
        <f t="shared" si="130"/>
        <v/>
      </c>
      <c r="PQ7" s="11" t="str">
        <f t="shared" si="131"/>
        <v/>
      </c>
      <c r="PR7" s="11" t="str">
        <f t="shared" si="131"/>
        <v/>
      </c>
      <c r="PS7" s="11" t="str">
        <f t="shared" si="132"/>
        <v/>
      </c>
      <c r="PT7" s="11" t="str">
        <f t="shared" si="133"/>
        <v/>
      </c>
      <c r="PU7" s="11" t="str">
        <f t="shared" si="133"/>
        <v/>
      </c>
      <c r="PV7" s="11" t="str">
        <f t="shared" si="134"/>
        <v/>
      </c>
      <c r="PW7" s="11" t="str">
        <f t="shared" si="135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36"/>
        <v/>
      </c>
      <c r="QS7" s="41" t="str">
        <f t="shared" si="136"/>
        <v/>
      </c>
      <c r="QT7" s="41" t="str">
        <f t="shared" si="137"/>
        <v/>
      </c>
      <c r="QU7" s="41" t="str">
        <f t="shared" si="138"/>
        <v/>
      </c>
      <c r="QV7" s="41" t="str">
        <f t="shared" si="138"/>
        <v/>
      </c>
      <c r="QW7" s="41" t="str">
        <f t="shared" si="139"/>
        <v/>
      </c>
      <c r="QX7" s="41" t="str">
        <f t="shared" si="140"/>
        <v/>
      </c>
      <c r="QY7" s="41" t="str">
        <f t="shared" si="141"/>
        <v/>
      </c>
      <c r="QZ7" s="41" t="str">
        <f t="shared" si="141"/>
        <v/>
      </c>
      <c r="RA7" s="41" t="str">
        <f t="shared" si="142"/>
        <v/>
      </c>
      <c r="RB7" s="41" t="str">
        <f t="shared" si="143"/>
        <v/>
      </c>
      <c r="RC7" s="41" t="str">
        <f t="shared" si="143"/>
        <v/>
      </c>
      <c r="RD7" s="41" t="str">
        <f t="shared" si="144"/>
        <v/>
      </c>
      <c r="RE7" s="41" t="str">
        <f t="shared" si="145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46"/>
        <v/>
      </c>
      <c r="SA7" s="11" t="str">
        <f t="shared" si="146"/>
        <v/>
      </c>
      <c r="SB7" s="11" t="str">
        <f t="shared" si="147"/>
        <v/>
      </c>
      <c r="SC7" s="11" t="str">
        <f t="shared" si="148"/>
        <v/>
      </c>
      <c r="SD7" s="11" t="str">
        <f t="shared" si="148"/>
        <v/>
      </c>
      <c r="SE7" s="11" t="str">
        <f t="shared" si="149"/>
        <v/>
      </c>
      <c r="SF7" s="11" t="str">
        <f t="shared" si="150"/>
        <v/>
      </c>
      <c r="SG7" s="11" t="str">
        <f t="shared" si="151"/>
        <v/>
      </c>
      <c r="SH7" s="11" t="str">
        <f t="shared" si="151"/>
        <v/>
      </c>
      <c r="SI7" s="11" t="str">
        <f t="shared" si="152"/>
        <v/>
      </c>
      <c r="SJ7" s="11" t="str">
        <f t="shared" si="153"/>
        <v/>
      </c>
      <c r="SK7" s="11" t="str">
        <f t="shared" si="153"/>
        <v/>
      </c>
      <c r="SL7" s="11" t="str">
        <f t="shared" si="154"/>
        <v/>
      </c>
      <c r="SM7" s="11" t="str">
        <f t="shared" si="155"/>
        <v/>
      </c>
      <c r="SN7" s="23">
        <f t="shared" si="156"/>
        <v>0</v>
      </c>
      <c r="SO7" s="23">
        <f t="shared" si="156"/>
        <v>0</v>
      </c>
      <c r="SP7" s="23">
        <f t="shared" si="156"/>
        <v>0</v>
      </c>
      <c r="SQ7" s="23">
        <f t="shared" si="156"/>
        <v>0</v>
      </c>
      <c r="SR7" s="23">
        <f t="shared" si="156"/>
        <v>0</v>
      </c>
      <c r="SS7" s="23">
        <f t="shared" si="156"/>
        <v>0</v>
      </c>
      <c r="ST7" s="23">
        <f t="shared" si="156"/>
        <v>0</v>
      </c>
      <c r="SU7" s="23">
        <f t="shared" si="156"/>
        <v>0</v>
      </c>
      <c r="SV7" s="23">
        <f t="shared" si="156"/>
        <v>0</v>
      </c>
      <c r="SW7" s="23">
        <f t="shared" si="156"/>
        <v>0</v>
      </c>
      <c r="SX7" s="23">
        <f t="shared" si="156"/>
        <v>0</v>
      </c>
      <c r="SY7" s="23">
        <f t="shared" si="156"/>
        <v>0</v>
      </c>
      <c r="SZ7" s="23">
        <f t="shared" si="156"/>
        <v>0</v>
      </c>
      <c r="TA7" s="23">
        <f t="shared" si="156"/>
        <v>0</v>
      </c>
      <c r="TB7" s="23">
        <f t="shared" si="156"/>
        <v>0</v>
      </c>
      <c r="TC7" s="28" t="s">
        <v>58</v>
      </c>
      <c r="TD7" s="41" t="str">
        <f t="shared" si="157"/>
        <v/>
      </c>
      <c r="TE7" s="41" t="str">
        <f t="shared" si="157"/>
        <v/>
      </c>
      <c r="TF7" s="41" t="str">
        <f t="shared" si="158"/>
        <v/>
      </c>
      <c r="TG7" s="41" t="str">
        <f t="shared" si="159"/>
        <v/>
      </c>
      <c r="TH7" s="41" t="str">
        <f t="shared" si="159"/>
        <v/>
      </c>
      <c r="TI7" s="41" t="str">
        <f t="shared" si="160"/>
        <v/>
      </c>
      <c r="TJ7" s="41" t="str">
        <f t="shared" si="161"/>
        <v/>
      </c>
      <c r="TK7" s="41" t="str">
        <f t="shared" si="162"/>
        <v/>
      </c>
      <c r="TL7" s="41" t="str">
        <f t="shared" si="162"/>
        <v/>
      </c>
      <c r="TM7" s="41" t="str">
        <f t="shared" si="163"/>
        <v/>
      </c>
      <c r="TN7" s="41" t="str">
        <f t="shared" si="164"/>
        <v/>
      </c>
    </row>
    <row r="8" spans="1:534" x14ac:dyDescent="0.2">
      <c r="A8" s="4" cm="1">
        <f t="array" ref="A8">IF(AND(F8&lt;&gt;"",G8&lt;&gt;""),SUMPRODUCT((F$4:F$12&lt;&gt;"")*(G$4:G$12&lt;&gt;"")*(E$4:E$12&gt;E8))+1,IF(G8&lt;&gt;"",SUMPRODUCT((H$4:H$12="No DD")*(E$4:E$12&gt;E8))+1+SUMPRODUCT((F$4:F$12&lt;&gt;"")*(G$4:G$12&lt;&gt;"")),""))</f>
        <v>5</v>
      </c>
      <c r="B8" s="5" t="s">
        <v>182</v>
      </c>
      <c r="C8" s="4" t="s">
        <v>3</v>
      </c>
      <c r="D8" s="4" t="s">
        <v>183</v>
      </c>
      <c r="E8" s="9">
        <f t="shared" si="0"/>
        <v>89.100000000000009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IF(COUNT(AI8,AL8,AP8,BJ8,BM8,BQ8,CK8,CN8,CR8)&gt;0,LARGE((AI8,AL8,AP8,BJ8,BM8,BQ8,CK8,CN8,CR8),1),0)</f>
        <v>44.790000000000006</v>
      </c>
      <c r="K8" s="8" t="str">
        <f t="shared" si="5"/>
        <v>2023 Elite Canada</v>
      </c>
      <c r="L8" s="8">
        <f>IF(COUNT(AI8,AL8,AP8,BJ8,BM8,BQ8,CK8,CN8,CR8)&gt;1,LARGE((AI8,AL8,AP8,BJ8,BM8,BQ8,CK8,CN8,CR8),2),0)</f>
        <v>44.31</v>
      </c>
      <c r="M8" s="8" t="str">
        <f t="shared" si="6"/>
        <v>2023 Elite Canada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3">
        <v>7.3</v>
      </c>
      <c r="R8" s="23">
        <v>9.4</v>
      </c>
      <c r="S8" s="23">
        <v>10.5</v>
      </c>
      <c r="T8" s="23">
        <v>16.16</v>
      </c>
      <c r="U8" s="23">
        <v>0</v>
      </c>
      <c r="V8" s="23">
        <v>6.95</v>
      </c>
      <c r="W8" s="23">
        <v>9.1</v>
      </c>
      <c r="X8" s="23">
        <v>10.5</v>
      </c>
      <c r="Y8" s="23">
        <v>17.04</v>
      </c>
      <c r="Z8" s="23">
        <v>0</v>
      </c>
      <c r="AA8" s="23">
        <v>7.65</v>
      </c>
      <c r="AB8" s="23">
        <v>8.9499999999999993</v>
      </c>
      <c r="AC8" s="23">
        <v>10.5</v>
      </c>
      <c r="AD8" s="23">
        <v>16.8</v>
      </c>
      <c r="AE8" s="23">
        <v>0</v>
      </c>
      <c r="AF8" s="28"/>
      <c r="AG8" s="39">
        <f t="shared" si="10"/>
        <v>10.5</v>
      </c>
      <c r="AH8" s="39">
        <f t="shared" si="10"/>
        <v>16.16</v>
      </c>
      <c r="AI8" s="41">
        <f t="shared" si="11"/>
        <v>43.36</v>
      </c>
      <c r="AJ8" s="41">
        <f t="shared" si="12"/>
        <v>10.5</v>
      </c>
      <c r="AK8" s="41">
        <f t="shared" si="12"/>
        <v>17.04</v>
      </c>
      <c r="AL8" s="41">
        <f t="shared" si="13"/>
        <v>43.59</v>
      </c>
      <c r="AM8" s="41">
        <f t="shared" si="14"/>
        <v>43.59</v>
      </c>
      <c r="AN8" s="41">
        <f t="shared" si="15"/>
        <v>10.5</v>
      </c>
      <c r="AO8" s="41">
        <f t="shared" si="15"/>
        <v>16.8</v>
      </c>
      <c r="AP8" s="41">
        <f t="shared" si="16"/>
        <v>43.900000000000006</v>
      </c>
      <c r="AQ8" s="41">
        <f t="shared" si="17"/>
        <v>87.490000000000009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18"/>
        <v/>
      </c>
      <c r="BI8" s="40" t="str">
        <f t="shared" si="18"/>
        <v/>
      </c>
      <c r="BJ8" s="11" t="str">
        <f t="shared" si="19"/>
        <v/>
      </c>
      <c r="BK8" s="11" t="str">
        <f t="shared" si="20"/>
        <v/>
      </c>
      <c r="BL8" s="11" t="str">
        <f t="shared" si="20"/>
        <v/>
      </c>
      <c r="BM8" s="11" t="str">
        <f t="shared" si="21"/>
        <v/>
      </c>
      <c r="BN8" s="11" t="str">
        <f t="shared" si="22"/>
        <v/>
      </c>
      <c r="BO8" s="11" t="str">
        <f t="shared" si="23"/>
        <v/>
      </c>
      <c r="BP8" s="11" t="str">
        <f t="shared" si="23"/>
        <v/>
      </c>
      <c r="BQ8" s="11" t="str">
        <f t="shared" si="24"/>
        <v/>
      </c>
      <c r="BR8" s="11" t="str">
        <f t="shared" si="25"/>
        <v/>
      </c>
      <c r="BS8" s="23">
        <v>7.35</v>
      </c>
      <c r="BT8" s="23">
        <v>8.85</v>
      </c>
      <c r="BU8" s="23">
        <v>11.3</v>
      </c>
      <c r="BV8" s="23">
        <v>14.62</v>
      </c>
      <c r="BW8" s="23">
        <v>0</v>
      </c>
      <c r="BX8" s="23">
        <v>7</v>
      </c>
      <c r="BY8" s="23">
        <v>9.15</v>
      </c>
      <c r="BZ8" s="23">
        <v>11.3</v>
      </c>
      <c r="CA8" s="23">
        <v>16.86</v>
      </c>
      <c r="CB8" s="23">
        <v>0</v>
      </c>
      <c r="CC8" s="23">
        <v>7.55</v>
      </c>
      <c r="CD8" s="23">
        <v>9.3000000000000007</v>
      </c>
      <c r="CE8" s="23">
        <v>11.3</v>
      </c>
      <c r="CF8" s="23">
        <v>16.64</v>
      </c>
      <c r="CG8" s="23">
        <v>0</v>
      </c>
      <c r="CH8" s="28"/>
      <c r="CI8" s="39">
        <f t="shared" si="26"/>
        <v>11.3</v>
      </c>
      <c r="CJ8" s="39">
        <f t="shared" si="26"/>
        <v>14.62</v>
      </c>
      <c r="CK8" s="41">
        <f t="shared" si="27"/>
        <v>42.12</v>
      </c>
      <c r="CL8" s="41">
        <f t="shared" si="28"/>
        <v>11.3</v>
      </c>
      <c r="CM8" s="41">
        <f t="shared" si="28"/>
        <v>16.86</v>
      </c>
      <c r="CN8" s="41">
        <f t="shared" si="29"/>
        <v>44.31</v>
      </c>
      <c r="CO8" s="41">
        <f t="shared" si="30"/>
        <v>44.31</v>
      </c>
      <c r="CP8" s="41">
        <f t="shared" si="31"/>
        <v>11.3</v>
      </c>
      <c r="CQ8" s="41">
        <f t="shared" si="31"/>
        <v>16.64</v>
      </c>
      <c r="CR8" s="41">
        <f t="shared" si="32"/>
        <v>44.790000000000006</v>
      </c>
      <c r="CS8" s="41">
        <f t="shared" si="33"/>
        <v>89.100000000000009</v>
      </c>
      <c r="CT8" s="52" t="str">
        <f t="shared" si="34"/>
        <v/>
      </c>
      <c r="CU8" s="52" t="str">
        <f t="shared" si="35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36"/>
        <v/>
      </c>
      <c r="DQ8" s="41" t="str">
        <f t="shared" si="36"/>
        <v/>
      </c>
      <c r="DR8" s="41" t="str">
        <f t="shared" si="37"/>
        <v/>
      </c>
      <c r="DS8" s="41" t="str">
        <f t="shared" si="38"/>
        <v/>
      </c>
      <c r="DT8" s="41" t="str">
        <f t="shared" si="38"/>
        <v/>
      </c>
      <c r="DU8" s="41" t="str">
        <f t="shared" si="39"/>
        <v/>
      </c>
      <c r="DV8" s="41" t="str">
        <f t="shared" si="40"/>
        <v/>
      </c>
      <c r="DW8" s="41" t="str">
        <f t="shared" si="41"/>
        <v/>
      </c>
      <c r="DX8" s="41" t="str">
        <f t="shared" si="41"/>
        <v/>
      </c>
      <c r="DY8" s="41" t="str">
        <f t="shared" si="42"/>
        <v/>
      </c>
      <c r="DZ8" s="41" t="str">
        <f t="shared" si="43"/>
        <v/>
      </c>
      <c r="EA8" s="41" t="str">
        <f t="shared" si="43"/>
        <v/>
      </c>
      <c r="EB8" s="41" t="str">
        <f t="shared" si="44"/>
        <v/>
      </c>
      <c r="EC8" s="41" t="str">
        <f t="shared" si="45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46"/>
        <v/>
      </c>
      <c r="EY8" s="11" t="str">
        <f t="shared" si="46"/>
        <v/>
      </c>
      <c r="EZ8" s="11" t="str">
        <f t="shared" si="47"/>
        <v/>
      </c>
      <c r="FA8" s="11" t="str">
        <f t="shared" si="48"/>
        <v/>
      </c>
      <c r="FB8" s="11" t="str">
        <f t="shared" si="48"/>
        <v/>
      </c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3"/>
        <v/>
      </c>
      <c r="FJ8" s="11" t="str">
        <f t="shared" si="54"/>
        <v/>
      </c>
      <c r="FK8" s="11" t="str">
        <f t="shared" si="55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56"/>
        <v/>
      </c>
      <c r="GG8" s="41" t="str">
        <f t="shared" si="56"/>
        <v/>
      </c>
      <c r="GH8" s="41" t="str">
        <f t="shared" si="57"/>
        <v/>
      </c>
      <c r="GI8" s="41" t="str">
        <f t="shared" si="58"/>
        <v/>
      </c>
      <c r="GJ8" s="41" t="str">
        <f t="shared" si="58"/>
        <v/>
      </c>
      <c r="GK8" s="41" t="str">
        <f t="shared" si="59"/>
        <v/>
      </c>
      <c r="GL8" s="41" t="str">
        <f t="shared" si="60"/>
        <v/>
      </c>
      <c r="GM8" s="41" t="str">
        <f t="shared" si="61"/>
        <v/>
      </c>
      <c r="GN8" s="41" t="str">
        <f t="shared" si="61"/>
        <v/>
      </c>
      <c r="GO8" s="41" t="str">
        <f t="shared" si="62"/>
        <v/>
      </c>
      <c r="GP8" s="41" t="str">
        <f t="shared" si="63"/>
        <v/>
      </c>
      <c r="GQ8" s="41" t="str">
        <f t="shared" si="63"/>
        <v/>
      </c>
      <c r="GR8" s="41" t="str">
        <f t="shared" si="64"/>
        <v/>
      </c>
      <c r="GS8" s="41" t="str">
        <f t="shared" si="65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66"/>
        <v/>
      </c>
      <c r="HO8" s="11" t="str">
        <f t="shared" si="66"/>
        <v/>
      </c>
      <c r="HP8" s="11" t="str">
        <f t="shared" si="67"/>
        <v/>
      </c>
      <c r="HQ8" s="11" t="str">
        <f t="shared" si="68"/>
        <v/>
      </c>
      <c r="HR8" s="11" t="str">
        <f t="shared" si="68"/>
        <v/>
      </c>
      <c r="HS8" s="11" t="str">
        <f t="shared" si="69"/>
        <v/>
      </c>
      <c r="HT8" s="11" t="str">
        <f t="shared" si="70"/>
        <v/>
      </c>
      <c r="HU8" s="11" t="str">
        <f t="shared" si="71"/>
        <v/>
      </c>
      <c r="HV8" s="11" t="str">
        <f t="shared" si="71"/>
        <v/>
      </c>
      <c r="HW8" s="11" t="str">
        <f t="shared" si="72"/>
        <v/>
      </c>
      <c r="HX8" s="11" t="str">
        <f t="shared" si="73"/>
        <v/>
      </c>
      <c r="HY8" s="11" t="str">
        <f t="shared" si="73"/>
        <v/>
      </c>
      <c r="HZ8" s="11" t="str">
        <f t="shared" si="74"/>
        <v/>
      </c>
      <c r="IA8" s="11" t="str">
        <f t="shared" si="75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76"/>
        <v/>
      </c>
      <c r="IW8" s="41" t="str">
        <f t="shared" si="76"/>
        <v/>
      </c>
      <c r="IX8" s="41" t="str">
        <f t="shared" si="77"/>
        <v/>
      </c>
      <c r="IY8" s="41" t="str">
        <f t="shared" si="78"/>
        <v/>
      </c>
      <c r="IZ8" s="41" t="str">
        <f t="shared" si="78"/>
        <v/>
      </c>
      <c r="JA8" s="41" t="str">
        <f t="shared" si="79"/>
        <v/>
      </c>
      <c r="JB8" s="41" t="str">
        <f t="shared" si="80"/>
        <v/>
      </c>
      <c r="JC8" s="41" t="str">
        <f t="shared" si="81"/>
        <v/>
      </c>
      <c r="JD8" s="41" t="str">
        <f t="shared" si="81"/>
        <v/>
      </c>
      <c r="JE8" s="41" t="str">
        <f t="shared" si="82"/>
        <v/>
      </c>
      <c r="JF8" s="41" t="str">
        <f t="shared" si="83"/>
        <v/>
      </c>
      <c r="JG8" s="41" t="str">
        <f t="shared" si="83"/>
        <v/>
      </c>
      <c r="JH8" s="41" t="str">
        <f t="shared" si="84"/>
        <v/>
      </c>
      <c r="JI8" s="41" t="str">
        <f t="shared" si="85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86"/>
        <v/>
      </c>
      <c r="KE8" s="11" t="str">
        <f t="shared" si="86"/>
        <v/>
      </c>
      <c r="KF8" s="11" t="str">
        <f t="shared" si="87"/>
        <v/>
      </c>
      <c r="KG8" s="11" t="str">
        <f t="shared" si="88"/>
        <v/>
      </c>
      <c r="KH8" s="11" t="str">
        <f t="shared" si="88"/>
        <v/>
      </c>
      <c r="KI8" s="11" t="str">
        <f t="shared" si="89"/>
        <v/>
      </c>
      <c r="KJ8" s="11" t="str">
        <f t="shared" si="90"/>
        <v/>
      </c>
      <c r="KK8" s="11" t="str">
        <f t="shared" si="91"/>
        <v/>
      </c>
      <c r="KL8" s="11" t="str">
        <f t="shared" si="91"/>
        <v/>
      </c>
      <c r="KM8" s="11" t="str">
        <f t="shared" si="92"/>
        <v/>
      </c>
      <c r="KN8" s="11" t="str">
        <f t="shared" si="93"/>
        <v/>
      </c>
      <c r="KO8" s="11" t="str">
        <f t="shared" si="93"/>
        <v/>
      </c>
      <c r="KP8" s="11" t="str">
        <f t="shared" si="94"/>
        <v/>
      </c>
      <c r="KQ8" s="11" t="str">
        <f t="shared" si="95"/>
        <v/>
      </c>
      <c r="KR8" s="17">
        <v>5.2</v>
      </c>
      <c r="KS8" s="17">
        <v>6.25</v>
      </c>
      <c r="KT8" s="17">
        <v>7.2</v>
      </c>
      <c r="KU8" s="17">
        <v>13.2</v>
      </c>
      <c r="KV8" s="17">
        <v>0</v>
      </c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>
        <f t="shared" si="96"/>
        <v>7.2</v>
      </c>
      <c r="LM8" s="41">
        <f t="shared" si="96"/>
        <v>13.2</v>
      </c>
      <c r="LN8" s="41">
        <f t="shared" si="97"/>
        <v>31.849999999999998</v>
      </c>
      <c r="LO8" s="41" t="str">
        <f t="shared" si="98"/>
        <v/>
      </c>
      <c r="LP8" s="41" t="str">
        <f t="shared" si="98"/>
        <v/>
      </c>
      <c r="LQ8" s="41" t="str">
        <f t="shared" si="99"/>
        <v/>
      </c>
      <c r="LR8" s="41">
        <f t="shared" si="100"/>
        <v>31.849999999999998</v>
      </c>
      <c r="LS8" s="41" t="str">
        <f t="shared" si="101"/>
        <v/>
      </c>
      <c r="LT8" s="41" t="str">
        <f t="shared" si="101"/>
        <v/>
      </c>
      <c r="LU8" s="41" t="str">
        <f t="shared" si="102"/>
        <v/>
      </c>
      <c r="LV8" s="41" t="str">
        <f t="shared" si="103"/>
        <v/>
      </c>
      <c r="LW8" s="41" t="str">
        <f t="shared" si="103"/>
        <v/>
      </c>
      <c r="LX8" s="41" t="str">
        <f t="shared" si="104"/>
        <v/>
      </c>
      <c r="LY8" s="41">
        <f t="shared" si="105"/>
        <v>31.849999999999998</v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06"/>
        <v/>
      </c>
      <c r="MU8" s="11" t="str">
        <f t="shared" si="106"/>
        <v/>
      </c>
      <c r="MV8" s="11" t="str">
        <f t="shared" si="107"/>
        <v/>
      </c>
      <c r="MW8" s="11" t="str">
        <f t="shared" si="108"/>
        <v/>
      </c>
      <c r="MX8" s="11" t="str">
        <f t="shared" si="108"/>
        <v/>
      </c>
      <c r="MY8" s="11" t="str">
        <f t="shared" si="109"/>
        <v/>
      </c>
      <c r="MZ8" s="11" t="str">
        <f t="shared" si="110"/>
        <v/>
      </c>
      <c r="NA8" s="11" t="str">
        <f t="shared" si="111"/>
        <v/>
      </c>
      <c r="NB8" s="11" t="str">
        <f t="shared" si="111"/>
        <v/>
      </c>
      <c r="NC8" s="11" t="str">
        <f t="shared" si="112"/>
        <v/>
      </c>
      <c r="ND8" s="11" t="str">
        <f t="shared" si="113"/>
        <v/>
      </c>
      <c r="NE8" s="11" t="str">
        <f t="shared" si="113"/>
        <v/>
      </c>
      <c r="NF8" s="11" t="str">
        <f t="shared" si="114"/>
        <v/>
      </c>
      <c r="NG8" s="11" t="str">
        <f t="shared" si="115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16"/>
        <v/>
      </c>
      <c r="OC8" s="41" t="str">
        <f t="shared" si="116"/>
        <v/>
      </c>
      <c r="OD8" s="41" t="str">
        <f t="shared" si="117"/>
        <v/>
      </c>
      <c r="OE8" s="41" t="str">
        <f t="shared" si="118"/>
        <v/>
      </c>
      <c r="OF8" s="41" t="str">
        <f t="shared" si="118"/>
        <v/>
      </c>
      <c r="OG8" s="41" t="str">
        <f t="shared" si="119"/>
        <v/>
      </c>
      <c r="OH8" s="41" t="str">
        <f t="shared" si="120"/>
        <v/>
      </c>
      <c r="OI8" s="41" t="str">
        <f t="shared" si="121"/>
        <v/>
      </c>
      <c r="OJ8" s="41" t="str">
        <f t="shared" si="121"/>
        <v/>
      </c>
      <c r="OK8" s="41" t="str">
        <f t="shared" si="122"/>
        <v/>
      </c>
      <c r="OL8" s="41" t="str">
        <f t="shared" si="123"/>
        <v/>
      </c>
      <c r="OM8" s="41" t="str">
        <f t="shared" si="123"/>
        <v/>
      </c>
      <c r="ON8" s="41" t="str">
        <f t="shared" si="124"/>
        <v/>
      </c>
      <c r="OO8" s="41" t="str">
        <f t="shared" si="125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26"/>
        <v/>
      </c>
      <c r="PK8" s="11" t="str">
        <f t="shared" si="126"/>
        <v/>
      </c>
      <c r="PL8" s="11" t="str">
        <f t="shared" si="127"/>
        <v/>
      </c>
      <c r="PM8" s="11" t="str">
        <f t="shared" si="128"/>
        <v/>
      </c>
      <c r="PN8" s="11" t="str">
        <f t="shared" si="128"/>
        <v/>
      </c>
      <c r="PO8" s="11" t="str">
        <f t="shared" si="129"/>
        <v/>
      </c>
      <c r="PP8" s="11" t="str">
        <f t="shared" si="130"/>
        <v/>
      </c>
      <c r="PQ8" s="11" t="str">
        <f t="shared" si="131"/>
        <v/>
      </c>
      <c r="PR8" s="11" t="str">
        <f t="shared" si="131"/>
        <v/>
      </c>
      <c r="PS8" s="11" t="str">
        <f t="shared" si="132"/>
        <v/>
      </c>
      <c r="PT8" s="11" t="str">
        <f t="shared" si="133"/>
        <v/>
      </c>
      <c r="PU8" s="11" t="str">
        <f t="shared" si="133"/>
        <v/>
      </c>
      <c r="PV8" s="11" t="str">
        <f t="shared" si="134"/>
        <v/>
      </c>
      <c r="PW8" s="11" t="str">
        <f t="shared" si="135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36"/>
        <v/>
      </c>
      <c r="QS8" s="41" t="str">
        <f t="shared" si="136"/>
        <v/>
      </c>
      <c r="QT8" s="41" t="str">
        <f t="shared" si="137"/>
        <v/>
      </c>
      <c r="QU8" s="41" t="str">
        <f t="shared" si="138"/>
        <v/>
      </c>
      <c r="QV8" s="41" t="str">
        <f t="shared" si="138"/>
        <v/>
      </c>
      <c r="QW8" s="41" t="str">
        <f t="shared" si="139"/>
        <v/>
      </c>
      <c r="QX8" s="41" t="str">
        <f t="shared" si="140"/>
        <v/>
      </c>
      <c r="QY8" s="41" t="str">
        <f t="shared" si="141"/>
        <v/>
      </c>
      <c r="QZ8" s="41" t="str">
        <f t="shared" si="141"/>
        <v/>
      </c>
      <c r="RA8" s="41" t="str">
        <f t="shared" si="142"/>
        <v/>
      </c>
      <c r="RB8" s="41" t="str">
        <f t="shared" si="143"/>
        <v/>
      </c>
      <c r="RC8" s="41" t="str">
        <f t="shared" si="143"/>
        <v/>
      </c>
      <c r="RD8" s="41" t="str">
        <f t="shared" si="144"/>
        <v/>
      </c>
      <c r="RE8" s="41" t="str">
        <f t="shared" si="145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46"/>
        <v/>
      </c>
      <c r="SA8" s="11" t="str">
        <f t="shared" si="146"/>
        <v/>
      </c>
      <c r="SB8" s="11" t="str">
        <f t="shared" si="147"/>
        <v/>
      </c>
      <c r="SC8" s="11" t="str">
        <f t="shared" si="148"/>
        <v/>
      </c>
      <c r="SD8" s="11" t="str">
        <f t="shared" si="148"/>
        <v/>
      </c>
      <c r="SE8" s="11" t="str">
        <f t="shared" si="149"/>
        <v/>
      </c>
      <c r="SF8" s="11" t="str">
        <f t="shared" si="150"/>
        <v/>
      </c>
      <c r="SG8" s="11" t="str">
        <f t="shared" si="151"/>
        <v/>
      </c>
      <c r="SH8" s="11" t="str">
        <f t="shared" si="151"/>
        <v/>
      </c>
      <c r="SI8" s="11" t="str">
        <f t="shared" si="152"/>
        <v/>
      </c>
      <c r="SJ8" s="11" t="str">
        <f t="shared" si="153"/>
        <v/>
      </c>
      <c r="SK8" s="11" t="str">
        <f t="shared" si="153"/>
        <v/>
      </c>
      <c r="SL8" s="11" t="str">
        <f t="shared" si="154"/>
        <v/>
      </c>
      <c r="SM8" s="11" t="str">
        <f t="shared" si="155"/>
        <v/>
      </c>
      <c r="SN8" s="23">
        <f t="shared" si="156"/>
        <v>3.6749999999999998</v>
      </c>
      <c r="SO8" s="23">
        <f t="shared" si="156"/>
        <v>4.4249999999999998</v>
      </c>
      <c r="SP8" s="23">
        <f t="shared" si="156"/>
        <v>5.65</v>
      </c>
      <c r="SQ8" s="23">
        <f t="shared" si="156"/>
        <v>7.31</v>
      </c>
      <c r="SR8" s="23">
        <f t="shared" si="156"/>
        <v>0</v>
      </c>
      <c r="SS8" s="23">
        <f t="shared" si="156"/>
        <v>3.5</v>
      </c>
      <c r="ST8" s="23">
        <f t="shared" si="156"/>
        <v>4.5750000000000002</v>
      </c>
      <c r="SU8" s="23">
        <f t="shared" si="156"/>
        <v>5.65</v>
      </c>
      <c r="SV8" s="23">
        <f t="shared" si="156"/>
        <v>8.43</v>
      </c>
      <c r="SW8" s="23">
        <f t="shared" si="156"/>
        <v>0</v>
      </c>
      <c r="SX8" s="23">
        <f t="shared" si="156"/>
        <v>3.7749999999999999</v>
      </c>
      <c r="SY8" s="23">
        <f t="shared" si="156"/>
        <v>4.6500000000000004</v>
      </c>
      <c r="SZ8" s="23">
        <f t="shared" si="156"/>
        <v>5.65</v>
      </c>
      <c r="TA8" s="23">
        <f t="shared" si="156"/>
        <v>8.32</v>
      </c>
      <c r="TB8" s="23">
        <f t="shared" si="156"/>
        <v>0</v>
      </c>
      <c r="TC8" s="28" t="s">
        <v>58</v>
      </c>
      <c r="TD8" s="41">
        <f t="shared" si="157"/>
        <v>5.65</v>
      </c>
      <c r="TE8" s="41">
        <f t="shared" si="157"/>
        <v>7.31</v>
      </c>
      <c r="TF8" s="41">
        <f t="shared" si="158"/>
        <v>21.06</v>
      </c>
      <c r="TG8" s="41">
        <f t="shared" si="159"/>
        <v>5.65</v>
      </c>
      <c r="TH8" s="41">
        <f t="shared" si="159"/>
        <v>8.43</v>
      </c>
      <c r="TI8" s="41">
        <f t="shared" si="160"/>
        <v>22.155000000000001</v>
      </c>
      <c r="TJ8" s="41">
        <f t="shared" si="161"/>
        <v>22.155000000000001</v>
      </c>
      <c r="TK8" s="41">
        <f t="shared" si="162"/>
        <v>5.65</v>
      </c>
      <c r="TL8" s="41">
        <f t="shared" si="162"/>
        <v>8.32</v>
      </c>
      <c r="TM8" s="41">
        <f t="shared" si="163"/>
        <v>22.395000000000003</v>
      </c>
      <c r="TN8" s="41">
        <f t="shared" si="164"/>
        <v>44.550000000000004</v>
      </c>
    </row>
    <row r="9" spans="1:534" x14ac:dyDescent="0.2">
      <c r="A9" s="4" cm="1">
        <f t="array" ref="A9">IF(AND(F9&lt;&gt;"",G9&lt;&gt;""),SUMPRODUCT((F$4:F$12&lt;&gt;"")*(G$4:G$12&lt;&gt;"")*(E$4:E$12&gt;E9))+1,IF(G9&lt;&gt;"",SUMPRODUCT((H$4:H$12="No DD")*(E$4:E$12&gt;E9))+1+SUMPRODUCT((F$4:F$12&lt;&gt;"")*(G$4:G$12&lt;&gt;"")),""))</f>
        <v>6</v>
      </c>
      <c r="B9" s="5" t="s">
        <v>228</v>
      </c>
      <c r="C9" s="4" t="s">
        <v>227</v>
      </c>
      <c r="D9" s="4" t="s">
        <v>226</v>
      </c>
      <c r="E9" s="9">
        <f t="shared" si="0"/>
        <v>87.78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IF(COUNT(AI9,AL9,AP9,BJ9,BM9,BQ9,CK9,CN9,CR9)&gt;0,LARGE((AI9,AL9,AP9,BJ9,BM9,BQ9,CK9,CN9,CR9),1),0)</f>
        <v>44.230000000000004</v>
      </c>
      <c r="K9" s="8" t="str">
        <f t="shared" si="5"/>
        <v>2023 Elite Canada</v>
      </c>
      <c r="L9" s="8">
        <f>IF(COUNT(AI9,AL9,AP9,BJ9,BM9,BQ9,CK9,CN9,CR9)&gt;1,LARGE((AI9,AL9,AP9,BJ9,BM9,BQ9,CK9,CN9,CR9),2),0)</f>
        <v>43.55</v>
      </c>
      <c r="M9" s="8" t="str">
        <f t="shared" si="6"/>
        <v>2023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0"/>
        <v/>
      </c>
      <c r="AI9" s="41" t="str">
        <f t="shared" si="11"/>
        <v/>
      </c>
      <c r="AJ9" s="41" t="str">
        <f t="shared" si="12"/>
        <v/>
      </c>
      <c r="AK9" s="41" t="str">
        <f t="shared" si="12"/>
        <v/>
      </c>
      <c r="AL9" s="41" t="str">
        <f t="shared" si="13"/>
        <v/>
      </c>
      <c r="AM9" s="41" t="str">
        <f t="shared" si="14"/>
        <v/>
      </c>
      <c r="AN9" s="41" t="str">
        <f t="shared" si="15"/>
        <v/>
      </c>
      <c r="AO9" s="41" t="str">
        <f t="shared" si="15"/>
        <v/>
      </c>
      <c r="AP9" s="41" t="str">
        <f t="shared" si="16"/>
        <v/>
      </c>
      <c r="AQ9" s="41" t="str">
        <f t="shared" si="17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18"/>
        <v/>
      </c>
      <c r="BI9" s="40" t="str">
        <f t="shared" si="18"/>
        <v/>
      </c>
      <c r="BJ9" s="11" t="str">
        <f t="shared" si="19"/>
        <v/>
      </c>
      <c r="BK9" s="11" t="str">
        <f t="shared" si="20"/>
        <v/>
      </c>
      <c r="BL9" s="11" t="str">
        <f t="shared" si="20"/>
        <v/>
      </c>
      <c r="BM9" s="11" t="str">
        <f t="shared" si="21"/>
        <v/>
      </c>
      <c r="BN9" s="11" t="str">
        <f t="shared" si="22"/>
        <v/>
      </c>
      <c r="BO9" s="11" t="str">
        <f t="shared" si="23"/>
        <v/>
      </c>
      <c r="BP9" s="11" t="str">
        <f t="shared" si="23"/>
        <v/>
      </c>
      <c r="BQ9" s="11" t="str">
        <f t="shared" si="24"/>
        <v/>
      </c>
      <c r="BR9" s="11" t="str">
        <f t="shared" si="25"/>
        <v/>
      </c>
      <c r="BS9" s="23">
        <v>8.4499999999999993</v>
      </c>
      <c r="BT9" s="23">
        <v>9.5</v>
      </c>
      <c r="BU9" s="23">
        <v>9.6</v>
      </c>
      <c r="BV9" s="23">
        <v>16</v>
      </c>
      <c r="BW9" s="23">
        <v>0</v>
      </c>
      <c r="BX9" s="23">
        <v>3.9</v>
      </c>
      <c r="BY9" s="23">
        <v>4.8</v>
      </c>
      <c r="BZ9" s="23">
        <v>5.2</v>
      </c>
      <c r="CA9" s="23">
        <v>7.86</v>
      </c>
      <c r="CB9" s="23">
        <v>0</v>
      </c>
      <c r="CC9" s="23">
        <v>7.9</v>
      </c>
      <c r="CD9" s="23">
        <v>9.65</v>
      </c>
      <c r="CE9" s="23">
        <v>10.4</v>
      </c>
      <c r="CF9" s="23">
        <v>16.28</v>
      </c>
      <c r="CG9" s="23">
        <v>0</v>
      </c>
      <c r="CH9" s="28"/>
      <c r="CI9" s="39">
        <f t="shared" si="26"/>
        <v>9.6</v>
      </c>
      <c r="CJ9" s="39">
        <f t="shared" si="26"/>
        <v>16</v>
      </c>
      <c r="CK9" s="41">
        <f t="shared" si="27"/>
        <v>43.55</v>
      </c>
      <c r="CL9" s="41">
        <f t="shared" si="28"/>
        <v>5.2</v>
      </c>
      <c r="CM9" s="41">
        <f t="shared" si="28"/>
        <v>7.86</v>
      </c>
      <c r="CN9" s="41">
        <f t="shared" si="29"/>
        <v>21.759999999999998</v>
      </c>
      <c r="CO9" s="41">
        <f t="shared" si="30"/>
        <v>43.55</v>
      </c>
      <c r="CP9" s="41">
        <f t="shared" si="31"/>
        <v>10.4</v>
      </c>
      <c r="CQ9" s="41">
        <f t="shared" si="31"/>
        <v>16.28</v>
      </c>
      <c r="CR9" s="41">
        <f t="shared" si="32"/>
        <v>44.230000000000004</v>
      </c>
      <c r="CS9" s="41">
        <f t="shared" si="33"/>
        <v>87.78</v>
      </c>
      <c r="CT9" s="52" t="str">
        <f t="shared" si="34"/>
        <v/>
      </c>
      <c r="CU9" s="52" t="str">
        <f t="shared" si="35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36"/>
        <v/>
      </c>
      <c r="DQ9" s="41" t="str">
        <f t="shared" si="36"/>
        <v/>
      </c>
      <c r="DR9" s="41" t="str">
        <f t="shared" si="37"/>
        <v/>
      </c>
      <c r="DS9" s="41" t="str">
        <f t="shared" si="38"/>
        <v/>
      </c>
      <c r="DT9" s="41" t="str">
        <f t="shared" si="38"/>
        <v/>
      </c>
      <c r="DU9" s="41" t="str">
        <f t="shared" si="39"/>
        <v/>
      </c>
      <c r="DV9" s="41" t="str">
        <f t="shared" si="40"/>
        <v/>
      </c>
      <c r="DW9" s="41" t="str">
        <f t="shared" si="41"/>
        <v/>
      </c>
      <c r="DX9" s="41" t="str">
        <f t="shared" si="41"/>
        <v/>
      </c>
      <c r="DY9" s="41" t="str">
        <f t="shared" si="42"/>
        <v/>
      </c>
      <c r="DZ9" s="41" t="str">
        <f t="shared" si="43"/>
        <v/>
      </c>
      <c r="EA9" s="41" t="str">
        <f t="shared" si="43"/>
        <v/>
      </c>
      <c r="EB9" s="41" t="str">
        <f t="shared" si="44"/>
        <v/>
      </c>
      <c r="EC9" s="41" t="str">
        <f t="shared" si="45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46"/>
        <v/>
      </c>
      <c r="EY9" s="11" t="str">
        <f t="shared" si="46"/>
        <v/>
      </c>
      <c r="EZ9" s="11" t="str">
        <f t="shared" si="47"/>
        <v/>
      </c>
      <c r="FA9" s="11" t="str">
        <f t="shared" si="48"/>
        <v/>
      </c>
      <c r="FB9" s="11" t="str">
        <f t="shared" si="48"/>
        <v/>
      </c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3"/>
        <v/>
      </c>
      <c r="FJ9" s="11" t="str">
        <f t="shared" si="54"/>
        <v/>
      </c>
      <c r="FK9" s="11" t="str">
        <f t="shared" si="55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56"/>
        <v/>
      </c>
      <c r="GG9" s="41" t="str">
        <f t="shared" si="56"/>
        <v/>
      </c>
      <c r="GH9" s="41" t="str">
        <f t="shared" si="57"/>
        <v/>
      </c>
      <c r="GI9" s="41" t="str">
        <f t="shared" si="58"/>
        <v/>
      </c>
      <c r="GJ9" s="41" t="str">
        <f t="shared" si="58"/>
        <v/>
      </c>
      <c r="GK9" s="41" t="str">
        <f t="shared" si="59"/>
        <v/>
      </c>
      <c r="GL9" s="41" t="str">
        <f t="shared" si="60"/>
        <v/>
      </c>
      <c r="GM9" s="41" t="str">
        <f t="shared" si="61"/>
        <v/>
      </c>
      <c r="GN9" s="41" t="str">
        <f t="shared" si="61"/>
        <v/>
      </c>
      <c r="GO9" s="41" t="str">
        <f t="shared" si="62"/>
        <v/>
      </c>
      <c r="GP9" s="41" t="str">
        <f t="shared" si="63"/>
        <v/>
      </c>
      <c r="GQ9" s="41" t="str">
        <f t="shared" si="63"/>
        <v/>
      </c>
      <c r="GR9" s="41" t="str">
        <f t="shared" si="64"/>
        <v/>
      </c>
      <c r="GS9" s="41" t="str">
        <f t="shared" si="65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66"/>
        <v/>
      </c>
      <c r="HO9" s="11" t="str">
        <f t="shared" si="66"/>
        <v/>
      </c>
      <c r="HP9" s="11" t="str">
        <f t="shared" si="67"/>
        <v/>
      </c>
      <c r="HQ9" s="11" t="str">
        <f t="shared" si="68"/>
        <v/>
      </c>
      <c r="HR9" s="11" t="str">
        <f t="shared" si="68"/>
        <v/>
      </c>
      <c r="HS9" s="11" t="str">
        <f t="shared" si="69"/>
        <v/>
      </c>
      <c r="HT9" s="11" t="str">
        <f t="shared" si="70"/>
        <v/>
      </c>
      <c r="HU9" s="11" t="str">
        <f t="shared" si="71"/>
        <v/>
      </c>
      <c r="HV9" s="11" t="str">
        <f t="shared" si="71"/>
        <v/>
      </c>
      <c r="HW9" s="11" t="str">
        <f t="shared" si="72"/>
        <v/>
      </c>
      <c r="HX9" s="11" t="str">
        <f t="shared" si="73"/>
        <v/>
      </c>
      <c r="HY9" s="11" t="str">
        <f t="shared" si="73"/>
        <v/>
      </c>
      <c r="HZ9" s="11" t="str">
        <f t="shared" si="74"/>
        <v/>
      </c>
      <c r="IA9" s="11" t="str">
        <f t="shared" si="75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76"/>
        <v/>
      </c>
      <c r="IW9" s="41" t="str">
        <f t="shared" si="76"/>
        <v/>
      </c>
      <c r="IX9" s="41" t="str">
        <f t="shared" si="77"/>
        <v/>
      </c>
      <c r="IY9" s="41" t="str">
        <f t="shared" si="78"/>
        <v/>
      </c>
      <c r="IZ9" s="41" t="str">
        <f t="shared" si="78"/>
        <v/>
      </c>
      <c r="JA9" s="41" t="str">
        <f t="shared" si="79"/>
        <v/>
      </c>
      <c r="JB9" s="41" t="str">
        <f t="shared" si="80"/>
        <v/>
      </c>
      <c r="JC9" s="41" t="str">
        <f t="shared" si="81"/>
        <v/>
      </c>
      <c r="JD9" s="41" t="str">
        <f t="shared" si="81"/>
        <v/>
      </c>
      <c r="JE9" s="41" t="str">
        <f t="shared" si="82"/>
        <v/>
      </c>
      <c r="JF9" s="41" t="str">
        <f t="shared" si="83"/>
        <v/>
      </c>
      <c r="JG9" s="41" t="str">
        <f t="shared" si="83"/>
        <v/>
      </c>
      <c r="JH9" s="41" t="str">
        <f t="shared" si="84"/>
        <v/>
      </c>
      <c r="JI9" s="41" t="str">
        <f t="shared" si="85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86"/>
        <v/>
      </c>
      <c r="KE9" s="11" t="str">
        <f t="shared" si="86"/>
        <v/>
      </c>
      <c r="KF9" s="11" t="str">
        <f t="shared" si="87"/>
        <v/>
      </c>
      <c r="KG9" s="11" t="str">
        <f t="shared" si="88"/>
        <v/>
      </c>
      <c r="KH9" s="11" t="str">
        <f t="shared" si="88"/>
        <v/>
      </c>
      <c r="KI9" s="11" t="str">
        <f t="shared" si="89"/>
        <v/>
      </c>
      <c r="KJ9" s="11" t="str">
        <f t="shared" si="90"/>
        <v/>
      </c>
      <c r="KK9" s="11" t="str">
        <f t="shared" si="91"/>
        <v/>
      </c>
      <c r="KL9" s="11" t="str">
        <f t="shared" si="91"/>
        <v/>
      </c>
      <c r="KM9" s="11" t="str">
        <f t="shared" si="92"/>
        <v/>
      </c>
      <c r="KN9" s="11" t="str">
        <f t="shared" si="93"/>
        <v/>
      </c>
      <c r="KO9" s="11" t="str">
        <f t="shared" si="93"/>
        <v/>
      </c>
      <c r="KP9" s="11" t="str">
        <f t="shared" si="94"/>
        <v/>
      </c>
      <c r="KQ9" s="11" t="str">
        <f t="shared" si="95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96"/>
        <v/>
      </c>
      <c r="LM9" s="41" t="str">
        <f t="shared" si="96"/>
        <v/>
      </c>
      <c r="LN9" s="41" t="str">
        <f t="shared" si="97"/>
        <v/>
      </c>
      <c r="LO9" s="41" t="str">
        <f t="shared" si="98"/>
        <v/>
      </c>
      <c r="LP9" s="41" t="str">
        <f t="shared" si="98"/>
        <v/>
      </c>
      <c r="LQ9" s="41" t="str">
        <f t="shared" si="99"/>
        <v/>
      </c>
      <c r="LR9" s="41" t="str">
        <f t="shared" si="100"/>
        <v/>
      </c>
      <c r="LS9" s="41" t="str">
        <f t="shared" si="101"/>
        <v/>
      </c>
      <c r="LT9" s="41" t="str">
        <f t="shared" si="101"/>
        <v/>
      </c>
      <c r="LU9" s="41" t="str">
        <f t="shared" si="102"/>
        <v/>
      </c>
      <c r="LV9" s="41" t="str">
        <f t="shared" si="103"/>
        <v/>
      </c>
      <c r="LW9" s="41" t="str">
        <f t="shared" si="103"/>
        <v/>
      </c>
      <c r="LX9" s="41" t="str">
        <f t="shared" si="104"/>
        <v/>
      </c>
      <c r="LY9" s="41" t="str">
        <f t="shared" si="105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06"/>
        <v/>
      </c>
      <c r="MU9" s="11" t="str">
        <f t="shared" si="106"/>
        <v/>
      </c>
      <c r="MV9" s="11" t="str">
        <f t="shared" si="107"/>
        <v/>
      </c>
      <c r="MW9" s="11" t="str">
        <f t="shared" si="108"/>
        <v/>
      </c>
      <c r="MX9" s="11" t="str">
        <f t="shared" si="108"/>
        <v/>
      </c>
      <c r="MY9" s="11" t="str">
        <f t="shared" si="109"/>
        <v/>
      </c>
      <c r="MZ9" s="11" t="str">
        <f t="shared" si="110"/>
        <v/>
      </c>
      <c r="NA9" s="11" t="str">
        <f t="shared" si="111"/>
        <v/>
      </c>
      <c r="NB9" s="11" t="str">
        <f t="shared" si="111"/>
        <v/>
      </c>
      <c r="NC9" s="11" t="str">
        <f t="shared" si="112"/>
        <v/>
      </c>
      <c r="ND9" s="11" t="str">
        <f t="shared" si="113"/>
        <v/>
      </c>
      <c r="NE9" s="11" t="str">
        <f t="shared" si="113"/>
        <v/>
      </c>
      <c r="NF9" s="11" t="str">
        <f t="shared" si="114"/>
        <v/>
      </c>
      <c r="NG9" s="11" t="str">
        <f t="shared" si="115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16"/>
        <v/>
      </c>
      <c r="OC9" s="41" t="str">
        <f t="shared" si="116"/>
        <v/>
      </c>
      <c r="OD9" s="41" t="str">
        <f t="shared" si="117"/>
        <v/>
      </c>
      <c r="OE9" s="41" t="str">
        <f t="shared" si="118"/>
        <v/>
      </c>
      <c r="OF9" s="41" t="str">
        <f t="shared" si="118"/>
        <v/>
      </c>
      <c r="OG9" s="41" t="str">
        <f t="shared" si="119"/>
        <v/>
      </c>
      <c r="OH9" s="41" t="str">
        <f t="shared" si="120"/>
        <v/>
      </c>
      <c r="OI9" s="41" t="str">
        <f t="shared" si="121"/>
        <v/>
      </c>
      <c r="OJ9" s="41" t="str">
        <f t="shared" si="121"/>
        <v/>
      </c>
      <c r="OK9" s="41" t="str">
        <f t="shared" si="122"/>
        <v/>
      </c>
      <c r="OL9" s="41" t="str">
        <f t="shared" si="123"/>
        <v/>
      </c>
      <c r="OM9" s="41" t="str">
        <f t="shared" si="123"/>
        <v/>
      </c>
      <c r="ON9" s="41" t="str">
        <f t="shared" si="124"/>
        <v/>
      </c>
      <c r="OO9" s="41" t="str">
        <f t="shared" si="125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26"/>
        <v/>
      </c>
      <c r="PK9" s="11" t="str">
        <f t="shared" si="126"/>
        <v/>
      </c>
      <c r="PL9" s="11" t="str">
        <f t="shared" si="127"/>
        <v/>
      </c>
      <c r="PM9" s="11" t="str">
        <f t="shared" si="128"/>
        <v/>
      </c>
      <c r="PN9" s="11" t="str">
        <f t="shared" si="128"/>
        <v/>
      </c>
      <c r="PO9" s="11" t="str">
        <f t="shared" si="129"/>
        <v/>
      </c>
      <c r="PP9" s="11" t="str">
        <f t="shared" si="130"/>
        <v/>
      </c>
      <c r="PQ9" s="11" t="str">
        <f t="shared" si="131"/>
        <v/>
      </c>
      <c r="PR9" s="11" t="str">
        <f t="shared" si="131"/>
        <v/>
      </c>
      <c r="PS9" s="11" t="str">
        <f t="shared" si="132"/>
        <v/>
      </c>
      <c r="PT9" s="11" t="str">
        <f t="shared" si="133"/>
        <v/>
      </c>
      <c r="PU9" s="11" t="str">
        <f t="shared" si="133"/>
        <v/>
      </c>
      <c r="PV9" s="11" t="str">
        <f t="shared" si="134"/>
        <v/>
      </c>
      <c r="PW9" s="11" t="str">
        <f t="shared" si="135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36"/>
        <v/>
      </c>
      <c r="QS9" s="41" t="str">
        <f t="shared" si="136"/>
        <v/>
      </c>
      <c r="QT9" s="41" t="str">
        <f t="shared" si="137"/>
        <v/>
      </c>
      <c r="QU9" s="41" t="str">
        <f t="shared" si="138"/>
        <v/>
      </c>
      <c r="QV9" s="41" t="str">
        <f t="shared" si="138"/>
        <v/>
      </c>
      <c r="QW9" s="41" t="str">
        <f t="shared" si="139"/>
        <v/>
      </c>
      <c r="QX9" s="41" t="str">
        <f t="shared" si="140"/>
        <v/>
      </c>
      <c r="QY9" s="41" t="str">
        <f t="shared" si="141"/>
        <v/>
      </c>
      <c r="QZ9" s="41" t="str">
        <f t="shared" si="141"/>
        <v/>
      </c>
      <c r="RA9" s="41" t="str">
        <f t="shared" si="142"/>
        <v/>
      </c>
      <c r="RB9" s="41" t="str">
        <f t="shared" si="143"/>
        <v/>
      </c>
      <c r="RC9" s="41" t="str">
        <f t="shared" si="143"/>
        <v/>
      </c>
      <c r="RD9" s="41" t="str">
        <f t="shared" si="144"/>
        <v/>
      </c>
      <c r="RE9" s="41" t="str">
        <f t="shared" si="145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46"/>
        <v/>
      </c>
      <c r="SA9" s="11" t="str">
        <f t="shared" si="146"/>
        <v/>
      </c>
      <c r="SB9" s="11" t="str">
        <f t="shared" si="147"/>
        <v/>
      </c>
      <c r="SC9" s="11" t="str">
        <f t="shared" si="148"/>
        <v/>
      </c>
      <c r="SD9" s="11" t="str">
        <f t="shared" si="148"/>
        <v/>
      </c>
      <c r="SE9" s="11" t="str">
        <f t="shared" si="149"/>
        <v/>
      </c>
      <c r="SF9" s="11" t="str">
        <f t="shared" si="150"/>
        <v/>
      </c>
      <c r="SG9" s="11" t="str">
        <f t="shared" si="151"/>
        <v/>
      </c>
      <c r="SH9" s="11" t="str">
        <f t="shared" si="151"/>
        <v/>
      </c>
      <c r="SI9" s="11" t="str">
        <f t="shared" si="152"/>
        <v/>
      </c>
      <c r="SJ9" s="11" t="str">
        <f t="shared" si="153"/>
        <v/>
      </c>
      <c r="SK9" s="11" t="str">
        <f t="shared" si="153"/>
        <v/>
      </c>
      <c r="SL9" s="11" t="str">
        <f t="shared" si="154"/>
        <v/>
      </c>
      <c r="SM9" s="11" t="str">
        <f t="shared" si="155"/>
        <v/>
      </c>
      <c r="SN9" s="23">
        <f t="shared" si="156"/>
        <v>4.2249999999999996</v>
      </c>
      <c r="SO9" s="23">
        <f t="shared" si="156"/>
        <v>4.75</v>
      </c>
      <c r="SP9" s="23">
        <f t="shared" si="156"/>
        <v>4.8</v>
      </c>
      <c r="SQ9" s="23">
        <f t="shared" si="156"/>
        <v>8</v>
      </c>
      <c r="SR9" s="23">
        <f t="shared" si="156"/>
        <v>0</v>
      </c>
      <c r="SS9" s="23">
        <f t="shared" si="156"/>
        <v>1.95</v>
      </c>
      <c r="ST9" s="23">
        <f t="shared" si="156"/>
        <v>2.4</v>
      </c>
      <c r="SU9" s="23">
        <f t="shared" si="156"/>
        <v>2.6</v>
      </c>
      <c r="SV9" s="23">
        <f t="shared" si="156"/>
        <v>3.93</v>
      </c>
      <c r="SW9" s="23">
        <f t="shared" si="156"/>
        <v>0</v>
      </c>
      <c r="SX9" s="23">
        <f t="shared" si="156"/>
        <v>3.95</v>
      </c>
      <c r="SY9" s="23">
        <f t="shared" si="156"/>
        <v>4.8250000000000002</v>
      </c>
      <c r="SZ9" s="23">
        <f t="shared" si="156"/>
        <v>5.2</v>
      </c>
      <c r="TA9" s="23">
        <f t="shared" si="156"/>
        <v>8.14</v>
      </c>
      <c r="TB9" s="23">
        <f t="shared" si="156"/>
        <v>0</v>
      </c>
      <c r="TC9" s="28" t="s">
        <v>58</v>
      </c>
      <c r="TD9" s="41">
        <f t="shared" si="157"/>
        <v>4.8</v>
      </c>
      <c r="TE9" s="41">
        <f t="shared" si="157"/>
        <v>8</v>
      </c>
      <c r="TF9" s="41">
        <f t="shared" si="158"/>
        <v>21.774999999999999</v>
      </c>
      <c r="TG9" s="41">
        <f t="shared" si="159"/>
        <v>2.6</v>
      </c>
      <c r="TH9" s="41">
        <f t="shared" si="159"/>
        <v>3.93</v>
      </c>
      <c r="TI9" s="41">
        <f t="shared" si="160"/>
        <v>10.879999999999999</v>
      </c>
      <c r="TJ9" s="41">
        <f t="shared" si="161"/>
        <v>21.774999999999999</v>
      </c>
      <c r="TK9" s="41">
        <f t="shared" si="162"/>
        <v>5.2</v>
      </c>
      <c r="TL9" s="41">
        <f t="shared" si="162"/>
        <v>8.14</v>
      </c>
      <c r="TM9" s="41">
        <f t="shared" si="163"/>
        <v>22.115000000000002</v>
      </c>
      <c r="TN9" s="41">
        <f t="shared" si="164"/>
        <v>43.89</v>
      </c>
    </row>
    <row r="10" spans="1:534" x14ac:dyDescent="0.2">
      <c r="A10" s="4" t="str" cm="1">
        <f t="array" ref="A10">IF(AND(F10&lt;&gt;"",G10&lt;&gt;""),SUMPRODUCT((F$4:F$12&lt;&gt;"")*(G$4:G$12&lt;&gt;"")*(E$4:E$12&gt;E10))+1,IF(G10&lt;&gt;"",SUMPRODUCT((H$4:H$12="No DD")*(E$4:E$12&gt;E10))+1+SUMPRODUCT((F$4:F$12&lt;&gt;"")*(G$4:G$12&lt;&gt;"")),""))</f>
        <v/>
      </c>
      <c r="B10" s="5" t="s">
        <v>185</v>
      </c>
      <c r="C10" s="4" t="s">
        <v>3</v>
      </c>
      <c r="D10" s="4" t="s">
        <v>184</v>
      </c>
      <c r="E10" s="9">
        <f t="shared" si="0"/>
        <v>83.9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42.620000000000005</v>
      </c>
      <c r="K10" s="8" t="str">
        <f t="shared" si="5"/>
        <v>2022 Nationals</v>
      </c>
      <c r="L10" s="8">
        <f>IF(COUNT(AI10,AL10,AP10,BJ10,BM10,BQ10,CK10,CN10,CR10)&gt;1,LARGE((AI10,AL10,AP10,BJ10,BM10,BQ10,CK10,CN10,CR10),2),0)</f>
        <v>41.28</v>
      </c>
      <c r="M10" s="8" t="str">
        <f t="shared" si="6"/>
        <v>2022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3">
        <v>6.55</v>
      </c>
      <c r="R10" s="23">
        <v>9.15</v>
      </c>
      <c r="S10" s="23">
        <v>10.5</v>
      </c>
      <c r="T10" s="23">
        <v>16.420000000000002</v>
      </c>
      <c r="U10" s="23">
        <v>0</v>
      </c>
      <c r="V10" s="23">
        <v>7</v>
      </c>
      <c r="W10" s="23">
        <v>8.9</v>
      </c>
      <c r="X10" s="23">
        <v>10.5</v>
      </c>
      <c r="Y10" s="23">
        <v>14.88</v>
      </c>
      <c r="Z10" s="23">
        <v>0</v>
      </c>
      <c r="AA10" s="23">
        <v>0.7</v>
      </c>
      <c r="AB10" s="23">
        <v>0.9</v>
      </c>
      <c r="AC10" s="23">
        <v>1.5</v>
      </c>
      <c r="AD10" s="23">
        <v>1.88</v>
      </c>
      <c r="AE10" s="23">
        <v>0</v>
      </c>
      <c r="AF10" s="28"/>
      <c r="AG10" s="39">
        <f t="shared" si="10"/>
        <v>10.5</v>
      </c>
      <c r="AH10" s="39">
        <f t="shared" si="10"/>
        <v>16.420000000000002</v>
      </c>
      <c r="AI10" s="41">
        <f t="shared" si="11"/>
        <v>42.620000000000005</v>
      </c>
      <c r="AJ10" s="41">
        <f t="shared" si="12"/>
        <v>10.5</v>
      </c>
      <c r="AK10" s="41">
        <f t="shared" si="12"/>
        <v>14.88</v>
      </c>
      <c r="AL10" s="41">
        <f t="shared" si="13"/>
        <v>41.28</v>
      </c>
      <c r="AM10" s="41">
        <f t="shared" si="14"/>
        <v>42.620000000000005</v>
      </c>
      <c r="AN10" s="41">
        <f t="shared" si="15"/>
        <v>1.5</v>
      </c>
      <c r="AO10" s="41">
        <f t="shared" si="15"/>
        <v>1.88</v>
      </c>
      <c r="AP10" s="41">
        <f t="shared" si="16"/>
        <v>4.9800000000000004</v>
      </c>
      <c r="AQ10" s="41">
        <f t="shared" si="17"/>
        <v>47.600000000000009</v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18"/>
        <v/>
      </c>
      <c r="BI10" s="40" t="str">
        <f t="shared" si="18"/>
        <v/>
      </c>
      <c r="BJ10" s="11" t="str">
        <f t="shared" si="19"/>
        <v/>
      </c>
      <c r="BK10" s="11" t="str">
        <f t="shared" si="20"/>
        <v/>
      </c>
      <c r="BL10" s="11" t="str">
        <f t="shared" si="20"/>
        <v/>
      </c>
      <c r="BM10" s="11" t="str">
        <f t="shared" si="21"/>
        <v/>
      </c>
      <c r="BN10" s="11" t="str">
        <f t="shared" si="22"/>
        <v/>
      </c>
      <c r="BO10" s="11" t="str">
        <f t="shared" si="23"/>
        <v/>
      </c>
      <c r="BP10" s="11" t="str">
        <f t="shared" si="23"/>
        <v/>
      </c>
      <c r="BQ10" s="11" t="str">
        <f t="shared" si="24"/>
        <v/>
      </c>
      <c r="BR10" s="11" t="str">
        <f t="shared" si="25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26"/>
        <v/>
      </c>
      <c r="CJ10" s="39" t="str">
        <f t="shared" si="26"/>
        <v/>
      </c>
      <c r="CK10" s="41" t="str">
        <f t="shared" si="27"/>
        <v/>
      </c>
      <c r="CL10" s="41" t="str">
        <f t="shared" si="28"/>
        <v/>
      </c>
      <c r="CM10" s="41" t="str">
        <f t="shared" si="28"/>
        <v/>
      </c>
      <c r="CN10" s="41" t="str">
        <f t="shared" si="29"/>
        <v/>
      </c>
      <c r="CO10" s="41" t="str">
        <f t="shared" si="30"/>
        <v/>
      </c>
      <c r="CP10" s="41" t="str">
        <f t="shared" si="31"/>
        <v/>
      </c>
      <c r="CQ10" s="41" t="str">
        <f t="shared" si="31"/>
        <v/>
      </c>
      <c r="CR10" s="41" t="str">
        <f t="shared" si="32"/>
        <v/>
      </c>
      <c r="CS10" s="41" t="str">
        <f t="shared" si="33"/>
        <v/>
      </c>
      <c r="CT10" s="52" t="str">
        <f t="shared" si="34"/>
        <v/>
      </c>
      <c r="CU10" s="52" t="str">
        <f t="shared" si="35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36"/>
        <v/>
      </c>
      <c r="DQ10" s="41" t="str">
        <f t="shared" si="36"/>
        <v/>
      </c>
      <c r="DR10" s="41" t="str">
        <f t="shared" si="37"/>
        <v/>
      </c>
      <c r="DS10" s="41" t="str">
        <f t="shared" si="38"/>
        <v/>
      </c>
      <c r="DT10" s="41" t="str">
        <f t="shared" si="38"/>
        <v/>
      </c>
      <c r="DU10" s="41" t="str">
        <f t="shared" si="39"/>
        <v/>
      </c>
      <c r="DV10" s="41" t="str">
        <f t="shared" si="40"/>
        <v/>
      </c>
      <c r="DW10" s="41" t="str">
        <f t="shared" si="41"/>
        <v/>
      </c>
      <c r="DX10" s="41" t="str">
        <f t="shared" si="41"/>
        <v/>
      </c>
      <c r="DY10" s="41" t="str">
        <f t="shared" si="42"/>
        <v/>
      </c>
      <c r="DZ10" s="41" t="str">
        <f t="shared" si="43"/>
        <v/>
      </c>
      <c r="EA10" s="41" t="str">
        <f t="shared" si="43"/>
        <v/>
      </c>
      <c r="EB10" s="41" t="str">
        <f t="shared" si="44"/>
        <v/>
      </c>
      <c r="EC10" s="41" t="str">
        <f t="shared" si="45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46"/>
        <v/>
      </c>
      <c r="EY10" s="11" t="str">
        <f t="shared" si="46"/>
        <v/>
      </c>
      <c r="EZ10" s="11" t="str">
        <f t="shared" si="47"/>
        <v/>
      </c>
      <c r="FA10" s="11" t="str">
        <f t="shared" si="48"/>
        <v/>
      </c>
      <c r="FB10" s="11" t="str">
        <f t="shared" si="48"/>
        <v/>
      </c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3"/>
        <v/>
      </c>
      <c r="FJ10" s="11" t="str">
        <f t="shared" si="54"/>
        <v/>
      </c>
      <c r="FK10" s="11" t="str">
        <f t="shared" si="55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56"/>
        <v/>
      </c>
      <c r="GG10" s="41" t="str">
        <f t="shared" si="56"/>
        <v/>
      </c>
      <c r="GH10" s="41" t="str">
        <f t="shared" si="57"/>
        <v/>
      </c>
      <c r="GI10" s="41" t="str">
        <f t="shared" si="58"/>
        <v/>
      </c>
      <c r="GJ10" s="41" t="str">
        <f t="shared" si="58"/>
        <v/>
      </c>
      <c r="GK10" s="41" t="str">
        <f t="shared" si="59"/>
        <v/>
      </c>
      <c r="GL10" s="41" t="str">
        <f t="shared" si="60"/>
        <v/>
      </c>
      <c r="GM10" s="41" t="str">
        <f t="shared" si="61"/>
        <v/>
      </c>
      <c r="GN10" s="41" t="str">
        <f t="shared" si="61"/>
        <v/>
      </c>
      <c r="GO10" s="41" t="str">
        <f t="shared" si="62"/>
        <v/>
      </c>
      <c r="GP10" s="41" t="str">
        <f t="shared" si="63"/>
        <v/>
      </c>
      <c r="GQ10" s="41" t="str">
        <f t="shared" si="63"/>
        <v/>
      </c>
      <c r="GR10" s="41" t="str">
        <f t="shared" si="64"/>
        <v/>
      </c>
      <c r="GS10" s="41" t="str">
        <f t="shared" si="65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66"/>
        <v/>
      </c>
      <c r="HO10" s="11" t="str">
        <f t="shared" si="66"/>
        <v/>
      </c>
      <c r="HP10" s="11" t="str">
        <f t="shared" si="67"/>
        <v/>
      </c>
      <c r="HQ10" s="11" t="str">
        <f t="shared" si="68"/>
        <v/>
      </c>
      <c r="HR10" s="11" t="str">
        <f t="shared" si="68"/>
        <v/>
      </c>
      <c r="HS10" s="11" t="str">
        <f t="shared" si="69"/>
        <v/>
      </c>
      <c r="HT10" s="11" t="str">
        <f t="shared" si="70"/>
        <v/>
      </c>
      <c r="HU10" s="11" t="str">
        <f t="shared" si="71"/>
        <v/>
      </c>
      <c r="HV10" s="11" t="str">
        <f t="shared" si="71"/>
        <v/>
      </c>
      <c r="HW10" s="11" t="str">
        <f t="shared" si="72"/>
        <v/>
      </c>
      <c r="HX10" s="11" t="str">
        <f t="shared" si="73"/>
        <v/>
      </c>
      <c r="HY10" s="11" t="str">
        <f t="shared" si="73"/>
        <v/>
      </c>
      <c r="HZ10" s="11" t="str">
        <f t="shared" si="74"/>
        <v/>
      </c>
      <c r="IA10" s="11" t="str">
        <f t="shared" si="75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76"/>
        <v/>
      </c>
      <c r="IW10" s="41" t="str">
        <f t="shared" si="76"/>
        <v/>
      </c>
      <c r="IX10" s="41" t="str">
        <f t="shared" si="77"/>
        <v/>
      </c>
      <c r="IY10" s="41" t="str">
        <f t="shared" si="78"/>
        <v/>
      </c>
      <c r="IZ10" s="41" t="str">
        <f t="shared" si="78"/>
        <v/>
      </c>
      <c r="JA10" s="41" t="str">
        <f t="shared" si="79"/>
        <v/>
      </c>
      <c r="JB10" s="41" t="str">
        <f t="shared" si="80"/>
        <v/>
      </c>
      <c r="JC10" s="41" t="str">
        <f t="shared" si="81"/>
        <v/>
      </c>
      <c r="JD10" s="41" t="str">
        <f t="shared" si="81"/>
        <v/>
      </c>
      <c r="JE10" s="41" t="str">
        <f t="shared" si="82"/>
        <v/>
      </c>
      <c r="JF10" s="41" t="str">
        <f t="shared" si="83"/>
        <v/>
      </c>
      <c r="JG10" s="41" t="str">
        <f t="shared" si="83"/>
        <v/>
      </c>
      <c r="JH10" s="41" t="str">
        <f t="shared" si="84"/>
        <v/>
      </c>
      <c r="JI10" s="41" t="str">
        <f t="shared" si="85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86"/>
        <v/>
      </c>
      <c r="KE10" s="11" t="str">
        <f t="shared" si="86"/>
        <v/>
      </c>
      <c r="KF10" s="11" t="str">
        <f t="shared" si="87"/>
        <v/>
      </c>
      <c r="KG10" s="11" t="str">
        <f t="shared" si="88"/>
        <v/>
      </c>
      <c r="KH10" s="11" t="str">
        <f t="shared" si="88"/>
        <v/>
      </c>
      <c r="KI10" s="11" t="str">
        <f t="shared" si="89"/>
        <v/>
      </c>
      <c r="KJ10" s="11" t="str">
        <f t="shared" si="90"/>
        <v/>
      </c>
      <c r="KK10" s="11" t="str">
        <f t="shared" si="91"/>
        <v/>
      </c>
      <c r="KL10" s="11" t="str">
        <f t="shared" si="91"/>
        <v/>
      </c>
      <c r="KM10" s="11" t="str">
        <f t="shared" si="92"/>
        <v/>
      </c>
      <c r="KN10" s="11" t="str">
        <f t="shared" si="93"/>
        <v/>
      </c>
      <c r="KO10" s="11" t="str">
        <f t="shared" si="93"/>
        <v/>
      </c>
      <c r="KP10" s="11" t="str">
        <f t="shared" si="94"/>
        <v/>
      </c>
      <c r="KQ10" s="11" t="str">
        <f t="shared" si="95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96"/>
        <v/>
      </c>
      <c r="LM10" s="41" t="str">
        <f t="shared" si="96"/>
        <v/>
      </c>
      <c r="LN10" s="41" t="str">
        <f t="shared" si="97"/>
        <v/>
      </c>
      <c r="LO10" s="41" t="str">
        <f t="shared" si="98"/>
        <v/>
      </c>
      <c r="LP10" s="41" t="str">
        <f t="shared" si="98"/>
        <v/>
      </c>
      <c r="LQ10" s="41" t="str">
        <f t="shared" si="99"/>
        <v/>
      </c>
      <c r="LR10" s="41" t="str">
        <f t="shared" si="100"/>
        <v/>
      </c>
      <c r="LS10" s="41" t="str">
        <f t="shared" si="101"/>
        <v/>
      </c>
      <c r="LT10" s="41" t="str">
        <f t="shared" si="101"/>
        <v/>
      </c>
      <c r="LU10" s="41" t="str">
        <f t="shared" si="102"/>
        <v/>
      </c>
      <c r="LV10" s="41" t="str">
        <f t="shared" si="103"/>
        <v/>
      </c>
      <c r="LW10" s="41" t="str">
        <f t="shared" si="103"/>
        <v/>
      </c>
      <c r="LX10" s="41" t="str">
        <f t="shared" si="104"/>
        <v/>
      </c>
      <c r="LY10" s="41" t="str">
        <f t="shared" si="105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06"/>
        <v/>
      </c>
      <c r="MU10" s="11" t="str">
        <f t="shared" si="106"/>
        <v/>
      </c>
      <c r="MV10" s="11" t="str">
        <f t="shared" si="107"/>
        <v/>
      </c>
      <c r="MW10" s="11" t="str">
        <f t="shared" si="108"/>
        <v/>
      </c>
      <c r="MX10" s="11" t="str">
        <f t="shared" si="108"/>
        <v/>
      </c>
      <c r="MY10" s="11" t="str">
        <f t="shared" si="109"/>
        <v/>
      </c>
      <c r="MZ10" s="11" t="str">
        <f t="shared" si="110"/>
        <v/>
      </c>
      <c r="NA10" s="11" t="str">
        <f t="shared" si="111"/>
        <v/>
      </c>
      <c r="NB10" s="11" t="str">
        <f t="shared" si="111"/>
        <v/>
      </c>
      <c r="NC10" s="11" t="str">
        <f t="shared" si="112"/>
        <v/>
      </c>
      <c r="ND10" s="11" t="str">
        <f t="shared" si="113"/>
        <v/>
      </c>
      <c r="NE10" s="11" t="str">
        <f t="shared" si="113"/>
        <v/>
      </c>
      <c r="NF10" s="11" t="str">
        <f t="shared" si="114"/>
        <v/>
      </c>
      <c r="NG10" s="11" t="str">
        <f t="shared" si="115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16"/>
        <v/>
      </c>
      <c r="OC10" s="41" t="str">
        <f t="shared" si="116"/>
        <v/>
      </c>
      <c r="OD10" s="41" t="str">
        <f t="shared" si="117"/>
        <v/>
      </c>
      <c r="OE10" s="41" t="str">
        <f t="shared" si="118"/>
        <v/>
      </c>
      <c r="OF10" s="41" t="str">
        <f t="shared" si="118"/>
        <v/>
      </c>
      <c r="OG10" s="41" t="str">
        <f t="shared" si="119"/>
        <v/>
      </c>
      <c r="OH10" s="41" t="str">
        <f t="shared" si="120"/>
        <v/>
      </c>
      <c r="OI10" s="41" t="str">
        <f t="shared" si="121"/>
        <v/>
      </c>
      <c r="OJ10" s="41" t="str">
        <f t="shared" si="121"/>
        <v/>
      </c>
      <c r="OK10" s="41" t="str">
        <f t="shared" si="122"/>
        <v/>
      </c>
      <c r="OL10" s="41" t="str">
        <f t="shared" si="123"/>
        <v/>
      </c>
      <c r="OM10" s="41" t="str">
        <f t="shared" si="123"/>
        <v/>
      </c>
      <c r="ON10" s="41" t="str">
        <f t="shared" si="124"/>
        <v/>
      </c>
      <c r="OO10" s="41" t="str">
        <f t="shared" si="125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26"/>
        <v/>
      </c>
      <c r="PK10" s="11" t="str">
        <f t="shared" si="126"/>
        <v/>
      </c>
      <c r="PL10" s="11" t="str">
        <f t="shared" si="127"/>
        <v/>
      </c>
      <c r="PM10" s="11" t="str">
        <f t="shared" si="128"/>
        <v/>
      </c>
      <c r="PN10" s="11" t="str">
        <f t="shared" si="128"/>
        <v/>
      </c>
      <c r="PO10" s="11" t="str">
        <f t="shared" si="129"/>
        <v/>
      </c>
      <c r="PP10" s="11" t="str">
        <f t="shared" si="130"/>
        <v/>
      </c>
      <c r="PQ10" s="11" t="str">
        <f t="shared" si="131"/>
        <v/>
      </c>
      <c r="PR10" s="11" t="str">
        <f t="shared" si="131"/>
        <v/>
      </c>
      <c r="PS10" s="11" t="str">
        <f t="shared" si="132"/>
        <v/>
      </c>
      <c r="PT10" s="11" t="str">
        <f t="shared" si="133"/>
        <v/>
      </c>
      <c r="PU10" s="11" t="str">
        <f t="shared" si="133"/>
        <v/>
      </c>
      <c r="PV10" s="11" t="str">
        <f t="shared" si="134"/>
        <v/>
      </c>
      <c r="PW10" s="11" t="str">
        <f t="shared" si="135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36"/>
        <v/>
      </c>
      <c r="QS10" s="41" t="str">
        <f t="shared" si="136"/>
        <v/>
      </c>
      <c r="QT10" s="41" t="str">
        <f t="shared" si="137"/>
        <v/>
      </c>
      <c r="QU10" s="41" t="str">
        <f t="shared" si="138"/>
        <v/>
      </c>
      <c r="QV10" s="41" t="str">
        <f t="shared" si="138"/>
        <v/>
      </c>
      <c r="QW10" s="41" t="str">
        <f t="shared" si="139"/>
        <v/>
      </c>
      <c r="QX10" s="41" t="str">
        <f t="shared" si="140"/>
        <v/>
      </c>
      <c r="QY10" s="41" t="str">
        <f t="shared" si="141"/>
        <v/>
      </c>
      <c r="QZ10" s="41" t="str">
        <f t="shared" si="141"/>
        <v/>
      </c>
      <c r="RA10" s="41" t="str">
        <f t="shared" si="142"/>
        <v/>
      </c>
      <c r="RB10" s="41" t="str">
        <f t="shared" si="143"/>
        <v/>
      </c>
      <c r="RC10" s="41" t="str">
        <f t="shared" si="143"/>
        <v/>
      </c>
      <c r="RD10" s="41" t="str">
        <f t="shared" si="144"/>
        <v/>
      </c>
      <c r="RE10" s="41" t="str">
        <f t="shared" si="145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46"/>
        <v/>
      </c>
      <c r="SA10" s="11" t="str">
        <f t="shared" si="146"/>
        <v/>
      </c>
      <c r="SB10" s="11" t="str">
        <f t="shared" si="147"/>
        <v/>
      </c>
      <c r="SC10" s="11" t="str">
        <f t="shared" si="148"/>
        <v/>
      </c>
      <c r="SD10" s="11" t="str">
        <f t="shared" si="148"/>
        <v/>
      </c>
      <c r="SE10" s="11" t="str">
        <f t="shared" si="149"/>
        <v/>
      </c>
      <c r="SF10" s="11" t="str">
        <f t="shared" si="150"/>
        <v/>
      </c>
      <c r="SG10" s="11" t="str">
        <f t="shared" si="151"/>
        <v/>
      </c>
      <c r="SH10" s="11" t="str">
        <f t="shared" si="151"/>
        <v/>
      </c>
      <c r="SI10" s="11" t="str">
        <f t="shared" si="152"/>
        <v/>
      </c>
      <c r="SJ10" s="11" t="str">
        <f t="shared" si="153"/>
        <v/>
      </c>
      <c r="SK10" s="11" t="str">
        <f t="shared" si="153"/>
        <v/>
      </c>
      <c r="SL10" s="11" t="str">
        <f t="shared" si="154"/>
        <v/>
      </c>
      <c r="SM10" s="11" t="str">
        <f t="shared" si="155"/>
        <v/>
      </c>
      <c r="SN10" s="23">
        <f t="shared" si="156"/>
        <v>0</v>
      </c>
      <c r="SO10" s="23">
        <f t="shared" si="156"/>
        <v>0</v>
      </c>
      <c r="SP10" s="23">
        <f t="shared" si="156"/>
        <v>0</v>
      </c>
      <c r="SQ10" s="23">
        <f t="shared" si="156"/>
        <v>0</v>
      </c>
      <c r="SR10" s="23">
        <f t="shared" si="156"/>
        <v>0</v>
      </c>
      <c r="SS10" s="23">
        <f t="shared" si="156"/>
        <v>0</v>
      </c>
      <c r="ST10" s="23">
        <f t="shared" si="156"/>
        <v>0</v>
      </c>
      <c r="SU10" s="23">
        <f t="shared" si="156"/>
        <v>0</v>
      </c>
      <c r="SV10" s="23">
        <f t="shared" si="156"/>
        <v>0</v>
      </c>
      <c r="SW10" s="23">
        <f t="shared" si="156"/>
        <v>0</v>
      </c>
      <c r="SX10" s="23">
        <f t="shared" si="156"/>
        <v>0</v>
      </c>
      <c r="SY10" s="23">
        <f t="shared" si="156"/>
        <v>0</v>
      </c>
      <c r="SZ10" s="23">
        <f t="shared" si="156"/>
        <v>0</v>
      </c>
      <c r="TA10" s="23">
        <f t="shared" si="156"/>
        <v>0</v>
      </c>
      <c r="TB10" s="23">
        <f t="shared" si="156"/>
        <v>0</v>
      </c>
      <c r="TC10" s="28" t="s">
        <v>58</v>
      </c>
      <c r="TD10" s="41" t="str">
        <f t="shared" si="157"/>
        <v/>
      </c>
      <c r="TE10" s="41" t="str">
        <f t="shared" si="157"/>
        <v/>
      </c>
      <c r="TF10" s="41" t="str">
        <f t="shared" si="158"/>
        <v/>
      </c>
      <c r="TG10" s="41" t="str">
        <f t="shared" si="159"/>
        <v/>
      </c>
      <c r="TH10" s="41" t="str">
        <f t="shared" si="159"/>
        <v/>
      </c>
      <c r="TI10" s="41" t="str">
        <f t="shared" si="160"/>
        <v/>
      </c>
      <c r="TJ10" s="41" t="str">
        <f t="shared" si="161"/>
        <v/>
      </c>
      <c r="TK10" s="41" t="str">
        <f t="shared" si="162"/>
        <v/>
      </c>
      <c r="TL10" s="41" t="str">
        <f t="shared" si="162"/>
        <v/>
      </c>
      <c r="TM10" s="41" t="str">
        <f t="shared" si="163"/>
        <v/>
      </c>
      <c r="TN10" s="41" t="str">
        <f t="shared" si="164"/>
        <v/>
      </c>
    </row>
    <row r="11" spans="1:534" x14ac:dyDescent="0.2">
      <c r="A11" s="4" t="str" cm="1">
        <f t="array" ref="A11">IF(AND(F11&lt;&gt;"",G11&lt;&gt;""),SUMPRODUCT((F$4:F$12&lt;&gt;"")*(G$4:G$12&lt;&gt;"")*(E$4:E$12&gt;E11))+1,IF(G11&lt;&gt;"",SUMPRODUCT((H$4:H$12="No DD")*(E$4:E$12&gt;E11))+1+SUMPRODUCT((F$4:F$12&lt;&gt;"")*(G$4:G$12&lt;&gt;"")),""))</f>
        <v/>
      </c>
      <c r="B11" s="5" t="s">
        <v>229</v>
      </c>
      <c r="C11" s="4" t="s">
        <v>3</v>
      </c>
      <c r="D11" s="4" t="s">
        <v>230</v>
      </c>
      <c r="E11" s="9">
        <f t="shared" si="0"/>
        <v>70.430000000000007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43.260000000000005</v>
      </c>
      <c r="K11" s="8" t="str">
        <f t="shared" si="5"/>
        <v>2023 Elite Canada</v>
      </c>
      <c r="L11" s="8">
        <f>IF(COUNT(AI11,AL11,AP11,BJ11,BM11,BQ11,CK11,CN11,CR11)&gt;1,LARGE((AI11,AL11,AP11,BJ11,BM11,BQ11,CK11,CN11,CR11),2),0)</f>
        <v>27.17</v>
      </c>
      <c r="M11" s="8" t="str">
        <f t="shared" si="6"/>
        <v>2023 Elite Canada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 t="shared" si="10"/>
        <v/>
      </c>
      <c r="AH11" s="39" t="str">
        <f t="shared" si="10"/>
        <v/>
      </c>
      <c r="AI11" s="41" t="str">
        <f t="shared" si="11"/>
        <v/>
      </c>
      <c r="AJ11" s="41" t="str">
        <f t="shared" si="12"/>
        <v/>
      </c>
      <c r="AK11" s="41" t="str">
        <f t="shared" si="12"/>
        <v/>
      </c>
      <c r="AL11" s="41" t="str">
        <f t="shared" si="13"/>
        <v/>
      </c>
      <c r="AM11" s="41" t="str">
        <f t="shared" si="14"/>
        <v/>
      </c>
      <c r="AN11" s="41" t="str">
        <f t="shared" si="15"/>
        <v/>
      </c>
      <c r="AO11" s="41" t="str">
        <f t="shared" si="15"/>
        <v/>
      </c>
      <c r="AP11" s="41" t="str">
        <f t="shared" si="16"/>
        <v/>
      </c>
      <c r="AQ11" s="41" t="str">
        <f t="shared" si="17"/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18"/>
        <v/>
      </c>
      <c r="BI11" s="40" t="str">
        <f t="shared" si="18"/>
        <v/>
      </c>
      <c r="BJ11" s="11" t="str">
        <f t="shared" si="19"/>
        <v/>
      </c>
      <c r="BK11" s="11" t="str">
        <f t="shared" si="20"/>
        <v/>
      </c>
      <c r="BL11" s="11" t="str">
        <f t="shared" si="20"/>
        <v/>
      </c>
      <c r="BM11" s="11" t="str">
        <f t="shared" si="21"/>
        <v/>
      </c>
      <c r="BN11" s="11" t="str">
        <f t="shared" si="22"/>
        <v/>
      </c>
      <c r="BO11" s="11" t="str">
        <f t="shared" si="23"/>
        <v/>
      </c>
      <c r="BP11" s="11" t="str">
        <f t="shared" si="23"/>
        <v/>
      </c>
      <c r="BQ11" s="11" t="str">
        <f t="shared" si="24"/>
        <v/>
      </c>
      <c r="BR11" s="11" t="str">
        <f t="shared" si="25"/>
        <v/>
      </c>
      <c r="BS11" s="23">
        <v>7.25</v>
      </c>
      <c r="BT11" s="23">
        <v>9.65</v>
      </c>
      <c r="BU11" s="23">
        <v>9.6</v>
      </c>
      <c r="BV11" s="23">
        <v>16.760000000000002</v>
      </c>
      <c r="BW11" s="23">
        <v>0</v>
      </c>
      <c r="BX11" s="23">
        <v>1.4</v>
      </c>
      <c r="BY11" s="23">
        <v>1.65</v>
      </c>
      <c r="BZ11" s="23">
        <v>2.1</v>
      </c>
      <c r="CA11" s="23">
        <v>3.78</v>
      </c>
      <c r="CB11" s="23">
        <v>0</v>
      </c>
      <c r="CC11" s="23">
        <v>4.3</v>
      </c>
      <c r="CD11" s="23">
        <v>5.55</v>
      </c>
      <c r="CE11" s="23">
        <v>7.1</v>
      </c>
      <c r="CF11" s="23">
        <v>10.220000000000001</v>
      </c>
      <c r="CG11" s="23">
        <v>0</v>
      </c>
      <c r="CH11" s="28"/>
      <c r="CI11" s="39">
        <f t="shared" si="26"/>
        <v>9.6</v>
      </c>
      <c r="CJ11" s="39">
        <f t="shared" si="26"/>
        <v>16.760000000000002</v>
      </c>
      <c r="CK11" s="41">
        <f t="shared" si="27"/>
        <v>43.260000000000005</v>
      </c>
      <c r="CL11" s="41">
        <f t="shared" si="28"/>
        <v>2.1</v>
      </c>
      <c r="CM11" s="41">
        <f t="shared" si="28"/>
        <v>3.78</v>
      </c>
      <c r="CN11" s="41">
        <f t="shared" si="29"/>
        <v>8.93</v>
      </c>
      <c r="CO11" s="41">
        <f t="shared" si="30"/>
        <v>43.260000000000005</v>
      </c>
      <c r="CP11" s="41">
        <f t="shared" si="31"/>
        <v>7.1</v>
      </c>
      <c r="CQ11" s="41">
        <f t="shared" si="31"/>
        <v>10.220000000000001</v>
      </c>
      <c r="CR11" s="41">
        <f t="shared" si="32"/>
        <v>27.17</v>
      </c>
      <c r="CS11" s="41">
        <f t="shared" si="33"/>
        <v>70.430000000000007</v>
      </c>
      <c r="CT11" s="52" t="str">
        <f t="shared" si="34"/>
        <v/>
      </c>
      <c r="CU11" s="52" t="str">
        <f t="shared" si="35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36"/>
        <v/>
      </c>
      <c r="DQ11" s="41" t="str">
        <f t="shared" si="36"/>
        <v/>
      </c>
      <c r="DR11" s="41" t="str">
        <f t="shared" si="37"/>
        <v/>
      </c>
      <c r="DS11" s="41" t="str">
        <f t="shared" si="38"/>
        <v/>
      </c>
      <c r="DT11" s="41" t="str">
        <f t="shared" si="38"/>
        <v/>
      </c>
      <c r="DU11" s="41" t="str">
        <f t="shared" si="39"/>
        <v/>
      </c>
      <c r="DV11" s="41" t="str">
        <f t="shared" si="40"/>
        <v/>
      </c>
      <c r="DW11" s="41" t="str">
        <f t="shared" si="41"/>
        <v/>
      </c>
      <c r="DX11" s="41" t="str">
        <f t="shared" si="41"/>
        <v/>
      </c>
      <c r="DY11" s="41" t="str">
        <f t="shared" si="42"/>
        <v/>
      </c>
      <c r="DZ11" s="41" t="str">
        <f t="shared" si="43"/>
        <v/>
      </c>
      <c r="EA11" s="41" t="str">
        <f t="shared" si="43"/>
        <v/>
      </c>
      <c r="EB11" s="41" t="str">
        <f t="shared" si="44"/>
        <v/>
      </c>
      <c r="EC11" s="41" t="str">
        <f t="shared" si="45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46"/>
        <v/>
      </c>
      <c r="EY11" s="11" t="str">
        <f t="shared" si="46"/>
        <v/>
      </c>
      <c r="EZ11" s="11" t="str">
        <f t="shared" si="47"/>
        <v/>
      </c>
      <c r="FA11" s="11" t="str">
        <f t="shared" si="48"/>
        <v/>
      </c>
      <c r="FB11" s="11" t="str">
        <f t="shared" si="48"/>
        <v/>
      </c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3"/>
        <v/>
      </c>
      <c r="FJ11" s="11" t="str">
        <f t="shared" si="54"/>
        <v/>
      </c>
      <c r="FK11" s="11" t="str">
        <f t="shared" si="55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56"/>
        <v/>
      </c>
      <c r="GG11" s="41" t="str">
        <f t="shared" si="56"/>
        <v/>
      </c>
      <c r="GH11" s="41" t="str">
        <f t="shared" si="57"/>
        <v/>
      </c>
      <c r="GI11" s="41" t="str">
        <f t="shared" si="58"/>
        <v/>
      </c>
      <c r="GJ11" s="41" t="str">
        <f t="shared" si="58"/>
        <v/>
      </c>
      <c r="GK11" s="41" t="str">
        <f t="shared" si="59"/>
        <v/>
      </c>
      <c r="GL11" s="41" t="str">
        <f t="shared" si="60"/>
        <v/>
      </c>
      <c r="GM11" s="41" t="str">
        <f t="shared" si="61"/>
        <v/>
      </c>
      <c r="GN11" s="41" t="str">
        <f t="shared" si="61"/>
        <v/>
      </c>
      <c r="GO11" s="41" t="str">
        <f t="shared" si="62"/>
        <v/>
      </c>
      <c r="GP11" s="41" t="str">
        <f t="shared" si="63"/>
        <v/>
      </c>
      <c r="GQ11" s="41" t="str">
        <f t="shared" si="63"/>
        <v/>
      </c>
      <c r="GR11" s="41" t="str">
        <f t="shared" si="64"/>
        <v/>
      </c>
      <c r="GS11" s="41" t="str">
        <f t="shared" si="65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66"/>
        <v/>
      </c>
      <c r="HO11" s="11" t="str">
        <f t="shared" si="66"/>
        <v/>
      </c>
      <c r="HP11" s="11" t="str">
        <f t="shared" si="67"/>
        <v/>
      </c>
      <c r="HQ11" s="11" t="str">
        <f t="shared" si="68"/>
        <v/>
      </c>
      <c r="HR11" s="11" t="str">
        <f t="shared" si="68"/>
        <v/>
      </c>
      <c r="HS11" s="11" t="str">
        <f t="shared" si="69"/>
        <v/>
      </c>
      <c r="HT11" s="11" t="str">
        <f t="shared" si="70"/>
        <v/>
      </c>
      <c r="HU11" s="11" t="str">
        <f t="shared" si="71"/>
        <v/>
      </c>
      <c r="HV11" s="11" t="str">
        <f t="shared" si="71"/>
        <v/>
      </c>
      <c r="HW11" s="11" t="str">
        <f t="shared" si="72"/>
        <v/>
      </c>
      <c r="HX11" s="11" t="str">
        <f t="shared" si="73"/>
        <v/>
      </c>
      <c r="HY11" s="11" t="str">
        <f t="shared" si="73"/>
        <v/>
      </c>
      <c r="HZ11" s="11" t="str">
        <f t="shared" si="74"/>
        <v/>
      </c>
      <c r="IA11" s="11" t="str">
        <f t="shared" si="75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76"/>
        <v/>
      </c>
      <c r="IW11" s="41" t="str">
        <f t="shared" si="76"/>
        <v/>
      </c>
      <c r="IX11" s="41" t="str">
        <f t="shared" si="77"/>
        <v/>
      </c>
      <c r="IY11" s="41" t="str">
        <f t="shared" si="78"/>
        <v/>
      </c>
      <c r="IZ11" s="41" t="str">
        <f t="shared" si="78"/>
        <v/>
      </c>
      <c r="JA11" s="41" t="str">
        <f t="shared" si="79"/>
        <v/>
      </c>
      <c r="JB11" s="41" t="str">
        <f t="shared" si="80"/>
        <v/>
      </c>
      <c r="JC11" s="41" t="str">
        <f t="shared" si="81"/>
        <v/>
      </c>
      <c r="JD11" s="41" t="str">
        <f t="shared" si="81"/>
        <v/>
      </c>
      <c r="JE11" s="41" t="str">
        <f t="shared" si="82"/>
        <v/>
      </c>
      <c r="JF11" s="41" t="str">
        <f t="shared" si="83"/>
        <v/>
      </c>
      <c r="JG11" s="41" t="str">
        <f t="shared" si="83"/>
        <v/>
      </c>
      <c r="JH11" s="41" t="str">
        <f t="shared" si="84"/>
        <v/>
      </c>
      <c r="JI11" s="41" t="str">
        <f t="shared" si="85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86"/>
        <v/>
      </c>
      <c r="KE11" s="11" t="str">
        <f t="shared" si="86"/>
        <v/>
      </c>
      <c r="KF11" s="11" t="str">
        <f t="shared" si="87"/>
        <v/>
      </c>
      <c r="KG11" s="11" t="str">
        <f t="shared" si="88"/>
        <v/>
      </c>
      <c r="KH11" s="11" t="str">
        <f t="shared" si="88"/>
        <v/>
      </c>
      <c r="KI11" s="11" t="str">
        <f t="shared" si="89"/>
        <v/>
      </c>
      <c r="KJ11" s="11" t="str">
        <f t="shared" si="90"/>
        <v/>
      </c>
      <c r="KK11" s="11" t="str">
        <f t="shared" si="91"/>
        <v/>
      </c>
      <c r="KL11" s="11" t="str">
        <f t="shared" si="91"/>
        <v/>
      </c>
      <c r="KM11" s="11" t="str">
        <f t="shared" si="92"/>
        <v/>
      </c>
      <c r="KN11" s="11" t="str">
        <f t="shared" si="93"/>
        <v/>
      </c>
      <c r="KO11" s="11" t="str">
        <f t="shared" si="93"/>
        <v/>
      </c>
      <c r="KP11" s="11" t="str">
        <f t="shared" si="94"/>
        <v/>
      </c>
      <c r="KQ11" s="11" t="str">
        <f t="shared" si="95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96"/>
        <v/>
      </c>
      <c r="LM11" s="41" t="str">
        <f t="shared" si="96"/>
        <v/>
      </c>
      <c r="LN11" s="41" t="str">
        <f t="shared" si="97"/>
        <v/>
      </c>
      <c r="LO11" s="41" t="str">
        <f t="shared" si="98"/>
        <v/>
      </c>
      <c r="LP11" s="41" t="str">
        <f t="shared" si="98"/>
        <v/>
      </c>
      <c r="LQ11" s="41" t="str">
        <f t="shared" si="99"/>
        <v/>
      </c>
      <c r="LR11" s="41" t="str">
        <f t="shared" si="100"/>
        <v/>
      </c>
      <c r="LS11" s="41" t="str">
        <f t="shared" si="101"/>
        <v/>
      </c>
      <c r="LT11" s="41" t="str">
        <f t="shared" si="101"/>
        <v/>
      </c>
      <c r="LU11" s="41" t="str">
        <f t="shared" si="102"/>
        <v/>
      </c>
      <c r="LV11" s="41" t="str">
        <f t="shared" si="103"/>
        <v/>
      </c>
      <c r="LW11" s="41" t="str">
        <f t="shared" si="103"/>
        <v/>
      </c>
      <c r="LX11" s="41" t="str">
        <f t="shared" si="104"/>
        <v/>
      </c>
      <c r="LY11" s="41" t="str">
        <f t="shared" si="105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06"/>
        <v/>
      </c>
      <c r="MU11" s="11" t="str">
        <f t="shared" si="106"/>
        <v/>
      </c>
      <c r="MV11" s="11" t="str">
        <f t="shared" si="107"/>
        <v/>
      </c>
      <c r="MW11" s="11" t="str">
        <f t="shared" si="108"/>
        <v/>
      </c>
      <c r="MX11" s="11" t="str">
        <f t="shared" si="108"/>
        <v/>
      </c>
      <c r="MY11" s="11" t="str">
        <f t="shared" si="109"/>
        <v/>
      </c>
      <c r="MZ11" s="11" t="str">
        <f t="shared" si="110"/>
        <v/>
      </c>
      <c r="NA11" s="11" t="str">
        <f t="shared" si="111"/>
        <v/>
      </c>
      <c r="NB11" s="11" t="str">
        <f t="shared" si="111"/>
        <v/>
      </c>
      <c r="NC11" s="11" t="str">
        <f t="shared" si="112"/>
        <v/>
      </c>
      <c r="ND11" s="11" t="str">
        <f t="shared" si="113"/>
        <v/>
      </c>
      <c r="NE11" s="11" t="str">
        <f t="shared" si="113"/>
        <v/>
      </c>
      <c r="NF11" s="11" t="str">
        <f t="shared" si="114"/>
        <v/>
      </c>
      <c r="NG11" s="11" t="str">
        <f t="shared" si="115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16"/>
        <v/>
      </c>
      <c r="OC11" s="41" t="str">
        <f t="shared" si="116"/>
        <v/>
      </c>
      <c r="OD11" s="41" t="str">
        <f t="shared" si="117"/>
        <v/>
      </c>
      <c r="OE11" s="41" t="str">
        <f t="shared" si="118"/>
        <v/>
      </c>
      <c r="OF11" s="41" t="str">
        <f t="shared" si="118"/>
        <v/>
      </c>
      <c r="OG11" s="41" t="str">
        <f t="shared" si="119"/>
        <v/>
      </c>
      <c r="OH11" s="41" t="str">
        <f t="shared" si="120"/>
        <v/>
      </c>
      <c r="OI11" s="41" t="str">
        <f t="shared" si="121"/>
        <v/>
      </c>
      <c r="OJ11" s="41" t="str">
        <f t="shared" si="121"/>
        <v/>
      </c>
      <c r="OK11" s="41" t="str">
        <f t="shared" si="122"/>
        <v/>
      </c>
      <c r="OL11" s="41" t="str">
        <f t="shared" si="123"/>
        <v/>
      </c>
      <c r="OM11" s="41" t="str">
        <f t="shared" si="123"/>
        <v/>
      </c>
      <c r="ON11" s="41" t="str">
        <f t="shared" si="124"/>
        <v/>
      </c>
      <c r="OO11" s="41" t="str">
        <f t="shared" si="125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26"/>
        <v/>
      </c>
      <c r="PK11" s="11" t="str">
        <f t="shared" si="126"/>
        <v/>
      </c>
      <c r="PL11" s="11" t="str">
        <f t="shared" si="127"/>
        <v/>
      </c>
      <c r="PM11" s="11" t="str">
        <f t="shared" si="128"/>
        <v/>
      </c>
      <c r="PN11" s="11" t="str">
        <f t="shared" si="128"/>
        <v/>
      </c>
      <c r="PO11" s="11" t="str">
        <f t="shared" si="129"/>
        <v/>
      </c>
      <c r="PP11" s="11" t="str">
        <f t="shared" si="130"/>
        <v/>
      </c>
      <c r="PQ11" s="11" t="str">
        <f t="shared" si="131"/>
        <v/>
      </c>
      <c r="PR11" s="11" t="str">
        <f t="shared" si="131"/>
        <v/>
      </c>
      <c r="PS11" s="11" t="str">
        <f t="shared" si="132"/>
        <v/>
      </c>
      <c r="PT11" s="11" t="str">
        <f t="shared" si="133"/>
        <v/>
      </c>
      <c r="PU11" s="11" t="str">
        <f t="shared" si="133"/>
        <v/>
      </c>
      <c r="PV11" s="11" t="str">
        <f t="shared" si="134"/>
        <v/>
      </c>
      <c r="PW11" s="11" t="str">
        <f t="shared" si="135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36"/>
        <v/>
      </c>
      <c r="QS11" s="41" t="str">
        <f t="shared" si="136"/>
        <v/>
      </c>
      <c r="QT11" s="41" t="str">
        <f t="shared" si="137"/>
        <v/>
      </c>
      <c r="QU11" s="41" t="str">
        <f t="shared" si="138"/>
        <v/>
      </c>
      <c r="QV11" s="41" t="str">
        <f t="shared" si="138"/>
        <v/>
      </c>
      <c r="QW11" s="41" t="str">
        <f t="shared" si="139"/>
        <v/>
      </c>
      <c r="QX11" s="41" t="str">
        <f t="shared" si="140"/>
        <v/>
      </c>
      <c r="QY11" s="41" t="str">
        <f t="shared" si="141"/>
        <v/>
      </c>
      <c r="QZ11" s="41" t="str">
        <f t="shared" si="141"/>
        <v/>
      </c>
      <c r="RA11" s="41" t="str">
        <f t="shared" si="142"/>
        <v/>
      </c>
      <c r="RB11" s="41" t="str">
        <f t="shared" si="143"/>
        <v/>
      </c>
      <c r="RC11" s="41" t="str">
        <f t="shared" si="143"/>
        <v/>
      </c>
      <c r="RD11" s="41" t="str">
        <f t="shared" si="144"/>
        <v/>
      </c>
      <c r="RE11" s="41" t="str">
        <f t="shared" si="145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46"/>
        <v/>
      </c>
      <c r="SA11" s="11" t="str">
        <f t="shared" si="146"/>
        <v/>
      </c>
      <c r="SB11" s="11" t="str">
        <f t="shared" si="147"/>
        <v/>
      </c>
      <c r="SC11" s="11" t="str">
        <f t="shared" si="148"/>
        <v/>
      </c>
      <c r="SD11" s="11" t="str">
        <f t="shared" si="148"/>
        <v/>
      </c>
      <c r="SE11" s="11" t="str">
        <f t="shared" si="149"/>
        <v/>
      </c>
      <c r="SF11" s="11" t="str">
        <f t="shared" si="150"/>
        <v/>
      </c>
      <c r="SG11" s="11" t="str">
        <f t="shared" si="151"/>
        <v/>
      </c>
      <c r="SH11" s="11" t="str">
        <f t="shared" si="151"/>
        <v/>
      </c>
      <c r="SI11" s="11" t="str">
        <f t="shared" si="152"/>
        <v/>
      </c>
      <c r="SJ11" s="11" t="str">
        <f t="shared" si="153"/>
        <v/>
      </c>
      <c r="SK11" s="11" t="str">
        <f t="shared" si="153"/>
        <v/>
      </c>
      <c r="SL11" s="11" t="str">
        <f t="shared" si="154"/>
        <v/>
      </c>
      <c r="SM11" s="11" t="str">
        <f t="shared" si="155"/>
        <v/>
      </c>
      <c r="SN11" s="23">
        <f t="shared" si="156"/>
        <v>3.625</v>
      </c>
      <c r="SO11" s="23">
        <f t="shared" si="156"/>
        <v>4.8250000000000002</v>
      </c>
      <c r="SP11" s="23">
        <f t="shared" si="156"/>
        <v>4.8</v>
      </c>
      <c r="SQ11" s="23">
        <f t="shared" si="156"/>
        <v>8.3800000000000008</v>
      </c>
      <c r="SR11" s="23">
        <f t="shared" si="156"/>
        <v>0</v>
      </c>
      <c r="SS11" s="23">
        <f t="shared" si="156"/>
        <v>0.7</v>
      </c>
      <c r="ST11" s="23">
        <f t="shared" si="156"/>
        <v>0.82499999999999996</v>
      </c>
      <c r="SU11" s="23">
        <f t="shared" si="156"/>
        <v>1.05</v>
      </c>
      <c r="SV11" s="23">
        <f t="shared" si="156"/>
        <v>1.89</v>
      </c>
      <c r="SW11" s="23">
        <f t="shared" si="156"/>
        <v>0</v>
      </c>
      <c r="SX11" s="23">
        <f t="shared" si="156"/>
        <v>2.15</v>
      </c>
      <c r="SY11" s="23">
        <f t="shared" si="156"/>
        <v>2.7749999999999999</v>
      </c>
      <c r="SZ11" s="23">
        <f t="shared" si="156"/>
        <v>3.55</v>
      </c>
      <c r="TA11" s="23">
        <f t="shared" si="156"/>
        <v>5.1100000000000003</v>
      </c>
      <c r="TB11" s="23">
        <f t="shared" si="156"/>
        <v>0</v>
      </c>
      <c r="TC11" s="28" t="s">
        <v>58</v>
      </c>
      <c r="TD11" s="41">
        <f t="shared" si="157"/>
        <v>4.8</v>
      </c>
      <c r="TE11" s="41">
        <f t="shared" si="157"/>
        <v>8.3800000000000008</v>
      </c>
      <c r="TF11" s="41">
        <f t="shared" si="158"/>
        <v>21.630000000000003</v>
      </c>
      <c r="TG11" s="41">
        <f t="shared" si="159"/>
        <v>1.05</v>
      </c>
      <c r="TH11" s="41">
        <f t="shared" si="159"/>
        <v>1.89</v>
      </c>
      <c r="TI11" s="41">
        <f t="shared" si="160"/>
        <v>4.4649999999999999</v>
      </c>
      <c r="TJ11" s="41">
        <f t="shared" si="161"/>
        <v>21.630000000000003</v>
      </c>
      <c r="TK11" s="41">
        <f t="shared" si="162"/>
        <v>3.55</v>
      </c>
      <c r="TL11" s="41">
        <f t="shared" si="162"/>
        <v>5.1100000000000003</v>
      </c>
      <c r="TM11" s="41">
        <f t="shared" si="163"/>
        <v>13.585000000000001</v>
      </c>
      <c r="TN11" s="41">
        <f t="shared" si="164"/>
        <v>35.215000000000003</v>
      </c>
    </row>
    <row r="12" spans="1:534" x14ac:dyDescent="0.2">
      <c r="B12" s="5"/>
      <c r="D12" s="1"/>
    </row>
    <row r="13" spans="1:534" x14ac:dyDescent="0.2">
      <c r="G13" s="37"/>
      <c r="I13" s="37"/>
    </row>
    <row r="14" spans="1:534" x14ac:dyDescent="0.2">
      <c r="B14" s="24" t="s">
        <v>55</v>
      </c>
      <c r="C14" s="5"/>
      <c r="G14" s="3"/>
      <c r="AJ14" s="42"/>
      <c r="AK14" s="42"/>
      <c r="AL14" s="42"/>
      <c r="AN14" s="33"/>
      <c r="AO14" s="33"/>
      <c r="AQ14" s="43">
        <v>10.4</v>
      </c>
      <c r="BK14" s="42"/>
      <c r="BL14" s="42"/>
      <c r="BM14" s="42"/>
      <c r="BO14" s="33"/>
      <c r="BP14" s="33"/>
      <c r="BR14" s="43">
        <v>10.4</v>
      </c>
      <c r="CL14" s="42"/>
      <c r="CM14" s="42"/>
      <c r="CN14" s="42"/>
      <c r="CP14" s="33"/>
      <c r="CQ14" s="33"/>
      <c r="CS14" s="43">
        <v>10.4</v>
      </c>
      <c r="DP14" s="5"/>
      <c r="DQ14" s="5"/>
      <c r="DZ14" s="2"/>
      <c r="EA14" s="2"/>
      <c r="EC14" s="43">
        <v>10.4</v>
      </c>
      <c r="EX14" s="5"/>
      <c r="EY14" s="5"/>
      <c r="FH14" s="2"/>
      <c r="FI14" s="2"/>
      <c r="FK14" s="43">
        <v>10.4</v>
      </c>
      <c r="GF14" s="5"/>
      <c r="GG14" s="5"/>
      <c r="GP14" s="2"/>
      <c r="GQ14" s="2"/>
      <c r="GS14" s="43">
        <v>10.4</v>
      </c>
      <c r="HN14" s="5"/>
      <c r="HO14" s="5"/>
      <c r="HX14" s="2"/>
      <c r="HY14" s="2"/>
      <c r="IA14" s="43">
        <v>10.4</v>
      </c>
      <c r="IV14" s="5"/>
      <c r="IW14" s="5"/>
      <c r="JF14" s="2"/>
      <c r="JG14" s="2"/>
      <c r="JI14" s="43">
        <v>10.4</v>
      </c>
      <c r="KD14" s="5"/>
      <c r="KE14" s="5"/>
      <c r="KN14" s="2"/>
      <c r="KO14" s="2"/>
      <c r="KQ14" s="43">
        <v>10.4</v>
      </c>
      <c r="LL14" s="5"/>
      <c r="LM14" s="5"/>
      <c r="LV14" s="2"/>
      <c r="LW14" s="2"/>
      <c r="LY14" s="43">
        <v>10.4</v>
      </c>
      <c r="MT14" s="5"/>
      <c r="MU14" s="5"/>
      <c r="ND14" s="2"/>
      <c r="NE14" s="2"/>
      <c r="NG14" s="43">
        <v>10.4</v>
      </c>
      <c r="OB14" s="5"/>
      <c r="OC14" s="5"/>
      <c r="OL14" s="2"/>
      <c r="OM14" s="2"/>
      <c r="OO14" s="43">
        <v>10.4</v>
      </c>
      <c r="PJ14" s="5"/>
      <c r="PK14" s="5"/>
      <c r="PT14" s="2"/>
      <c r="PU14" s="2"/>
      <c r="PW14" s="43">
        <v>10.4</v>
      </c>
      <c r="QR14" s="5"/>
      <c r="QS14" s="5"/>
      <c r="RB14" s="2"/>
      <c r="RC14" s="2"/>
      <c r="RE14" s="43">
        <v>10.4</v>
      </c>
      <c r="RZ14" s="5"/>
      <c r="SA14" s="5"/>
      <c r="SJ14" s="2"/>
      <c r="SK14" s="2"/>
      <c r="SM14" s="43">
        <v>10.4</v>
      </c>
    </row>
    <row r="15" spans="1:534" x14ac:dyDescent="0.2">
      <c r="B15" s="31" t="s">
        <v>54</v>
      </c>
      <c r="C15" s="5"/>
      <c r="P15" s="2"/>
      <c r="AJ15" s="42"/>
      <c r="AK15" s="42"/>
      <c r="AL15" s="42"/>
      <c r="AN15" s="33"/>
      <c r="AO15" s="33"/>
      <c r="AQ15" s="44">
        <v>11.2</v>
      </c>
      <c r="BK15" s="42"/>
      <c r="BL15" s="42"/>
      <c r="BM15" s="42"/>
      <c r="BO15" s="33"/>
      <c r="BP15" s="33"/>
      <c r="BR15" s="44">
        <v>11.2</v>
      </c>
      <c r="CL15" s="42"/>
      <c r="CM15" s="42"/>
      <c r="CN15" s="42"/>
      <c r="CP15" s="33"/>
      <c r="CQ15" s="33"/>
      <c r="CS15" s="44">
        <v>11.2</v>
      </c>
      <c r="DP15" s="5"/>
      <c r="DQ15" s="5"/>
      <c r="DZ15" s="2"/>
      <c r="EA15" s="2"/>
      <c r="EC15" s="44">
        <v>11.2</v>
      </c>
      <c r="EX15" s="5"/>
      <c r="EY15" s="5"/>
      <c r="FH15" s="2"/>
      <c r="FI15" s="2"/>
      <c r="FK15" s="44">
        <v>11.2</v>
      </c>
      <c r="GF15" s="5"/>
      <c r="GG15" s="5"/>
      <c r="GP15" s="2"/>
      <c r="GQ15" s="2"/>
      <c r="GS15" s="44">
        <v>11.2</v>
      </c>
      <c r="HN15" s="5"/>
      <c r="HO15" s="5"/>
      <c r="HX15" s="2"/>
      <c r="HY15" s="2"/>
      <c r="IA15" s="44">
        <v>11.2</v>
      </c>
      <c r="IV15" s="5"/>
      <c r="IW15" s="5"/>
      <c r="JF15" s="2"/>
      <c r="JG15" s="2"/>
      <c r="JI15" s="44">
        <v>11.2</v>
      </c>
      <c r="KD15" s="5"/>
      <c r="KE15" s="5"/>
      <c r="KN15" s="2"/>
      <c r="KO15" s="2"/>
      <c r="KQ15" s="44">
        <v>11.2</v>
      </c>
      <c r="LL15" s="5"/>
      <c r="LM15" s="5"/>
      <c r="LV15" s="2"/>
      <c r="LW15" s="2"/>
      <c r="LY15" s="44">
        <v>11.2</v>
      </c>
      <c r="MT15" s="5"/>
      <c r="MU15" s="5"/>
      <c r="ND15" s="2"/>
      <c r="NE15" s="2"/>
      <c r="NG15" s="44">
        <v>11.2</v>
      </c>
      <c r="OB15" s="5"/>
      <c r="OC15" s="5"/>
      <c r="OL15" s="2"/>
      <c r="OM15" s="2"/>
      <c r="OO15" s="44">
        <v>11.2</v>
      </c>
      <c r="PJ15" s="5"/>
      <c r="PK15" s="5"/>
      <c r="PT15" s="2"/>
      <c r="PU15" s="2"/>
      <c r="PW15" s="44">
        <v>11.2</v>
      </c>
      <c r="QR15" s="5"/>
      <c r="QS15" s="5"/>
      <c r="RB15" s="2"/>
      <c r="RC15" s="2"/>
      <c r="RE15" s="44">
        <v>11.2</v>
      </c>
      <c r="RZ15" s="5"/>
      <c r="SA15" s="5"/>
      <c r="SJ15" s="2"/>
      <c r="SK15" s="2"/>
      <c r="SM15" s="44">
        <v>11.2</v>
      </c>
    </row>
    <row r="16" spans="1:534" x14ac:dyDescent="0.2">
      <c r="A16" s="5"/>
      <c r="B16" s="32" t="s">
        <v>68</v>
      </c>
      <c r="C16" s="5"/>
      <c r="E16" s="2"/>
      <c r="AJ16" s="42"/>
      <c r="AK16" s="42"/>
      <c r="AL16" s="42"/>
      <c r="AM16" s="33"/>
      <c r="AN16" s="33"/>
      <c r="AO16" s="33"/>
      <c r="AP16" s="33"/>
      <c r="AQ16" s="45">
        <v>12</v>
      </c>
      <c r="BK16" s="42"/>
      <c r="BL16" s="42"/>
      <c r="BM16" s="42"/>
      <c r="BO16" s="33"/>
      <c r="BP16" s="33"/>
      <c r="BR16" s="45">
        <v>12</v>
      </c>
      <c r="CL16" s="42"/>
      <c r="CM16" s="42"/>
      <c r="CN16" s="42"/>
      <c r="CO16" s="33"/>
      <c r="CP16" s="33"/>
      <c r="CQ16" s="33"/>
      <c r="CR16" s="33"/>
      <c r="CS16" s="45">
        <v>12</v>
      </c>
      <c r="DP16" s="5"/>
      <c r="DQ16" s="5"/>
      <c r="DZ16" s="2"/>
      <c r="EA16" s="2"/>
      <c r="EC16" s="45">
        <v>12</v>
      </c>
      <c r="EX16" s="5"/>
      <c r="EY16" s="5"/>
      <c r="FH16" s="2"/>
      <c r="FI16" s="2"/>
      <c r="FK16" s="45">
        <v>12</v>
      </c>
      <c r="GF16" s="5"/>
      <c r="GG16" s="5"/>
      <c r="GP16" s="2"/>
      <c r="GQ16" s="2"/>
      <c r="GS16" s="45">
        <v>12</v>
      </c>
      <c r="HN16" s="5"/>
      <c r="HO16" s="5"/>
      <c r="HX16" s="2"/>
      <c r="HY16" s="2"/>
      <c r="IA16" s="45">
        <v>12</v>
      </c>
      <c r="IV16" s="5"/>
      <c r="IW16" s="5"/>
      <c r="JF16" s="2"/>
      <c r="JG16" s="2"/>
      <c r="JI16" s="45">
        <v>12</v>
      </c>
      <c r="KD16" s="5"/>
      <c r="KE16" s="5"/>
      <c r="KN16" s="2"/>
      <c r="KO16" s="2"/>
      <c r="KQ16" s="45">
        <v>12</v>
      </c>
      <c r="LL16" s="5"/>
      <c r="LM16" s="5"/>
      <c r="LV16" s="2"/>
      <c r="LW16" s="2"/>
      <c r="LY16" s="45">
        <v>12</v>
      </c>
      <c r="MT16" s="5"/>
      <c r="MU16" s="5"/>
      <c r="ND16" s="2"/>
      <c r="NE16" s="2"/>
      <c r="NG16" s="45">
        <v>12</v>
      </c>
      <c r="OB16" s="5"/>
      <c r="OC16" s="5"/>
      <c r="OL16" s="2"/>
      <c r="OM16" s="2"/>
      <c r="OO16" s="45">
        <v>12</v>
      </c>
      <c r="PJ16" s="5"/>
      <c r="PK16" s="5"/>
      <c r="PT16" s="2"/>
      <c r="PU16" s="2"/>
      <c r="PW16" s="45">
        <v>12</v>
      </c>
      <c r="QR16" s="5"/>
      <c r="QS16" s="5"/>
      <c r="RB16" s="2"/>
      <c r="RC16" s="2"/>
      <c r="RE16" s="45">
        <v>12</v>
      </c>
      <c r="RZ16" s="5"/>
      <c r="SA16" s="5"/>
      <c r="SJ16" s="2"/>
      <c r="SK16" s="2"/>
      <c r="SM16" s="45">
        <v>12</v>
      </c>
    </row>
    <row r="17" spans="1:536" x14ac:dyDescent="0.2">
      <c r="A17" s="5"/>
      <c r="B17" s="36" t="s">
        <v>81</v>
      </c>
      <c r="C17" s="5"/>
      <c r="E17" s="2"/>
      <c r="AJ17" s="42"/>
      <c r="AK17" s="42"/>
      <c r="AL17" s="42"/>
      <c r="AM17" s="33"/>
      <c r="AN17" s="33"/>
      <c r="AO17" s="33"/>
      <c r="AP17" s="33"/>
      <c r="AQ17" s="46">
        <v>12.4</v>
      </c>
      <c r="BK17" s="42"/>
      <c r="BL17" s="42"/>
      <c r="BM17" s="42"/>
      <c r="BO17" s="33"/>
      <c r="BP17" s="33"/>
      <c r="BR17" s="46">
        <v>12.4</v>
      </c>
      <c r="CL17" s="42"/>
      <c r="CM17" s="42"/>
      <c r="CN17" s="42"/>
      <c r="CO17" s="33"/>
      <c r="CP17" s="33"/>
      <c r="CQ17" s="33"/>
      <c r="CR17" s="33"/>
      <c r="CS17" s="46">
        <v>12.4</v>
      </c>
      <c r="DP17" s="5"/>
      <c r="DQ17" s="5"/>
      <c r="DZ17" s="2"/>
      <c r="EA17" s="2"/>
      <c r="EC17" s="46">
        <v>12.4</v>
      </c>
      <c r="EX17" s="5"/>
      <c r="EY17" s="5"/>
      <c r="FH17" s="2"/>
      <c r="FI17" s="2"/>
      <c r="FK17" s="46">
        <v>12.4</v>
      </c>
      <c r="GF17" s="5"/>
      <c r="GG17" s="5"/>
      <c r="GP17" s="2"/>
      <c r="GQ17" s="2"/>
      <c r="GS17" s="46">
        <v>12.4</v>
      </c>
      <c r="HN17" s="5"/>
      <c r="HO17" s="5"/>
      <c r="HX17" s="2"/>
      <c r="HY17" s="2"/>
      <c r="IA17" s="46">
        <v>12.4</v>
      </c>
      <c r="IV17" s="5"/>
      <c r="IW17" s="5"/>
      <c r="JF17" s="2"/>
      <c r="JG17" s="2"/>
      <c r="JI17" s="46">
        <v>12.4</v>
      </c>
      <c r="KD17" s="5"/>
      <c r="KE17" s="5"/>
      <c r="KN17" s="2"/>
      <c r="KO17" s="2"/>
      <c r="KQ17" s="46">
        <v>12.4</v>
      </c>
      <c r="LL17" s="5"/>
      <c r="LM17" s="5"/>
      <c r="LV17" s="2"/>
      <c r="LW17" s="2"/>
      <c r="LY17" s="46">
        <v>12.4</v>
      </c>
      <c r="MT17" s="5"/>
      <c r="MU17" s="5"/>
      <c r="ND17" s="2"/>
      <c r="NE17" s="2"/>
      <c r="NG17" s="46">
        <v>12.4</v>
      </c>
      <c r="OB17" s="5"/>
      <c r="OC17" s="5"/>
      <c r="OL17" s="2"/>
      <c r="OM17" s="2"/>
      <c r="OO17" s="46">
        <v>12.4</v>
      </c>
      <c r="PJ17" s="5"/>
      <c r="PK17" s="5"/>
      <c r="PT17" s="2"/>
      <c r="PU17" s="2"/>
      <c r="PW17" s="46">
        <v>12.4</v>
      </c>
      <c r="QR17" s="5"/>
      <c r="QS17" s="5"/>
      <c r="RB17" s="2"/>
      <c r="RC17" s="2"/>
      <c r="RE17" s="46">
        <v>12.4</v>
      </c>
      <c r="RZ17" s="5"/>
      <c r="SA17" s="5"/>
      <c r="SJ17" s="2"/>
      <c r="SK17" s="2"/>
      <c r="SM17" s="46">
        <v>12.4</v>
      </c>
    </row>
    <row r="18" spans="1:536" x14ac:dyDescent="0.2">
      <c r="A18" s="5"/>
      <c r="B18" s="35" t="s">
        <v>52</v>
      </c>
      <c r="C18" s="5"/>
      <c r="AJ18" s="42"/>
      <c r="AK18" s="42"/>
      <c r="AL18" s="42"/>
      <c r="AM18" s="33"/>
      <c r="AN18" s="33"/>
      <c r="AO18" s="33"/>
      <c r="AP18" s="33"/>
      <c r="AQ18" s="47">
        <v>44</v>
      </c>
      <c r="BK18" s="42"/>
      <c r="BL18" s="42"/>
      <c r="BM18" s="42"/>
      <c r="BO18" s="33"/>
      <c r="BP18" s="33"/>
      <c r="BR18" s="47">
        <v>44</v>
      </c>
      <c r="CL18" s="42"/>
      <c r="CM18" s="42"/>
      <c r="CN18" s="42"/>
      <c r="CO18" s="33"/>
      <c r="CP18" s="33"/>
      <c r="CQ18" s="33"/>
      <c r="CR18" s="33"/>
      <c r="CS18" s="47">
        <v>44</v>
      </c>
      <c r="DP18" s="5"/>
      <c r="DQ18" s="5"/>
      <c r="DZ18" s="2"/>
      <c r="EA18" s="2"/>
      <c r="EC18" s="47">
        <v>44</v>
      </c>
      <c r="EX18" s="5"/>
      <c r="EY18" s="5"/>
      <c r="FH18" s="2"/>
      <c r="FI18" s="2"/>
      <c r="FK18" s="47">
        <v>44</v>
      </c>
      <c r="GF18" s="5"/>
      <c r="GG18" s="5"/>
      <c r="GP18" s="2"/>
      <c r="GQ18" s="2"/>
      <c r="GS18" s="47">
        <v>44</v>
      </c>
      <c r="HN18" s="5"/>
      <c r="HO18" s="5"/>
      <c r="HX18" s="2"/>
      <c r="HY18" s="2"/>
      <c r="IA18" s="47">
        <v>44</v>
      </c>
      <c r="IV18" s="5"/>
      <c r="IW18" s="5"/>
      <c r="JF18" s="2"/>
      <c r="JG18" s="2"/>
      <c r="JI18" s="47">
        <v>44</v>
      </c>
      <c r="KD18" s="5"/>
      <c r="KE18" s="5"/>
      <c r="KN18" s="2"/>
      <c r="KO18" s="2"/>
      <c r="KQ18" s="47">
        <v>44</v>
      </c>
      <c r="LL18" s="5"/>
      <c r="LM18" s="5"/>
      <c r="LV18" s="2"/>
      <c r="LW18" s="2"/>
      <c r="LY18" s="47">
        <v>44</v>
      </c>
      <c r="MT18" s="5"/>
      <c r="MU18" s="5"/>
      <c r="ND18" s="2"/>
      <c r="NE18" s="2"/>
      <c r="NG18" s="47">
        <v>44</v>
      </c>
      <c r="OB18" s="5"/>
      <c r="OC18" s="5"/>
      <c r="OL18" s="2"/>
      <c r="OM18" s="2"/>
      <c r="OO18" s="47">
        <v>44</v>
      </c>
      <c r="PJ18" s="5"/>
      <c r="PK18" s="5"/>
      <c r="PT18" s="2"/>
      <c r="PU18" s="2"/>
      <c r="PW18" s="47">
        <v>44</v>
      </c>
      <c r="QR18" s="5"/>
      <c r="QS18" s="5"/>
      <c r="RB18" s="2"/>
      <c r="RC18" s="2"/>
      <c r="RE18" s="47">
        <v>44</v>
      </c>
      <c r="RZ18" s="5"/>
      <c r="SA18" s="5"/>
      <c r="SJ18" s="2"/>
      <c r="SK18" s="2"/>
      <c r="SM18" s="47">
        <v>44</v>
      </c>
    </row>
    <row r="19" spans="1:536" x14ac:dyDescent="0.2">
      <c r="A19" s="5"/>
      <c r="B19" s="25" t="s">
        <v>53</v>
      </c>
      <c r="C19" s="5"/>
      <c r="AJ19" s="42"/>
      <c r="AK19" s="42"/>
      <c r="AL19" s="42"/>
      <c r="AM19" s="33"/>
      <c r="AN19" s="33"/>
      <c r="AO19" s="33"/>
      <c r="AP19" s="33"/>
      <c r="AQ19" s="48">
        <v>45.3</v>
      </c>
      <c r="BK19" s="42"/>
      <c r="BL19" s="42"/>
      <c r="BM19" s="42"/>
      <c r="BO19" s="33"/>
      <c r="BP19" s="33"/>
      <c r="BR19" s="48">
        <v>45.3</v>
      </c>
      <c r="CL19" s="42"/>
      <c r="CM19" s="42"/>
      <c r="CN19" s="42"/>
      <c r="CO19" s="33"/>
      <c r="CP19" s="33"/>
      <c r="CQ19" s="33"/>
      <c r="CR19" s="33"/>
      <c r="CS19" s="48">
        <v>45.3</v>
      </c>
      <c r="DP19" s="5"/>
      <c r="DQ19" s="5"/>
      <c r="DZ19" s="2"/>
      <c r="EA19" s="2"/>
      <c r="EC19" s="48">
        <v>45.3</v>
      </c>
      <c r="EX19" s="5"/>
      <c r="EY19" s="5"/>
      <c r="FH19" s="2"/>
      <c r="FI19" s="2"/>
      <c r="FK19" s="48">
        <v>45.3</v>
      </c>
      <c r="GF19" s="5"/>
      <c r="GG19" s="5"/>
      <c r="GP19" s="2"/>
      <c r="GQ19" s="2"/>
      <c r="GS19" s="48">
        <v>45.3</v>
      </c>
      <c r="HN19" s="5"/>
      <c r="HO19" s="5"/>
      <c r="HX19" s="2"/>
      <c r="HY19" s="2"/>
      <c r="IA19" s="48">
        <v>45.3</v>
      </c>
      <c r="IV19" s="5"/>
      <c r="IW19" s="5"/>
      <c r="JF19" s="2"/>
      <c r="JG19" s="2"/>
      <c r="JI19" s="48">
        <v>45.3</v>
      </c>
      <c r="KD19" s="5"/>
      <c r="KE19" s="5"/>
      <c r="KN19" s="2"/>
      <c r="KO19" s="2"/>
      <c r="KQ19" s="48">
        <v>45.3</v>
      </c>
      <c r="LL19" s="5"/>
      <c r="LM19" s="5"/>
      <c r="LV19" s="2"/>
      <c r="LW19" s="2"/>
      <c r="LY19" s="48">
        <v>45.3</v>
      </c>
      <c r="MT19" s="5"/>
      <c r="MU19" s="5"/>
      <c r="ND19" s="2"/>
      <c r="NE19" s="2"/>
      <c r="NG19" s="48">
        <v>45.3</v>
      </c>
      <c r="OB19" s="5"/>
      <c r="OC19" s="5"/>
      <c r="OL19" s="2"/>
      <c r="OM19" s="2"/>
      <c r="OO19" s="48">
        <v>45.3</v>
      </c>
      <c r="PJ19" s="5"/>
      <c r="PK19" s="5"/>
      <c r="PT19" s="2"/>
      <c r="PU19" s="2"/>
      <c r="PW19" s="48">
        <v>45.3</v>
      </c>
      <c r="QR19" s="5"/>
      <c r="QS19" s="5"/>
      <c r="RB19" s="2"/>
      <c r="RC19" s="2"/>
      <c r="RE19" s="48">
        <v>45.3</v>
      </c>
      <c r="RZ19" s="5"/>
      <c r="SA19" s="5"/>
      <c r="SJ19" s="2"/>
      <c r="SK19" s="2"/>
      <c r="SM19" s="48">
        <v>45.3</v>
      </c>
    </row>
    <row r="20" spans="1:536" x14ac:dyDescent="0.2">
      <c r="A20" s="5"/>
      <c r="B20" s="34" t="s">
        <v>67</v>
      </c>
      <c r="C20" s="5"/>
      <c r="AJ20" s="42"/>
      <c r="AK20" s="42"/>
      <c r="AL20" s="42"/>
      <c r="AM20" s="33"/>
      <c r="AN20" s="33"/>
      <c r="AO20" s="33"/>
      <c r="AP20" s="33"/>
      <c r="AQ20" s="49">
        <v>46</v>
      </c>
      <c r="BK20" s="42"/>
      <c r="BL20" s="42"/>
      <c r="BM20" s="42"/>
      <c r="BO20" s="33"/>
      <c r="BP20" s="33"/>
      <c r="BR20" s="49">
        <v>46</v>
      </c>
      <c r="CL20" s="42"/>
      <c r="CM20" s="42"/>
      <c r="CN20" s="42"/>
      <c r="CO20" s="33"/>
      <c r="CP20" s="33"/>
      <c r="CQ20" s="33"/>
      <c r="CR20" s="33"/>
      <c r="CS20" s="49">
        <v>46</v>
      </c>
      <c r="DP20" s="5"/>
      <c r="DQ20" s="5"/>
      <c r="DZ20" s="2"/>
      <c r="EA20" s="2"/>
      <c r="EB20" s="38"/>
      <c r="EC20" s="49">
        <v>46</v>
      </c>
      <c r="EX20" s="5"/>
      <c r="EY20" s="5"/>
      <c r="FH20" s="2"/>
      <c r="FI20" s="2"/>
      <c r="FJ20" s="38"/>
      <c r="FK20" s="49">
        <v>46</v>
      </c>
      <c r="GF20" s="5"/>
      <c r="GG20" s="5"/>
      <c r="GP20" s="2"/>
      <c r="GQ20" s="2"/>
      <c r="GR20" s="38"/>
      <c r="GS20" s="49">
        <v>46</v>
      </c>
      <c r="HN20" s="5"/>
      <c r="HO20" s="5"/>
      <c r="HX20" s="2"/>
      <c r="HY20" s="2"/>
      <c r="HZ20" s="38"/>
      <c r="IA20" s="49">
        <v>46</v>
      </c>
      <c r="IV20" s="5"/>
      <c r="IW20" s="5"/>
      <c r="JF20" s="2"/>
      <c r="JG20" s="2"/>
      <c r="JH20" s="38"/>
      <c r="JI20" s="49">
        <v>46</v>
      </c>
      <c r="KD20" s="5"/>
      <c r="KE20" s="5"/>
      <c r="KN20" s="2"/>
      <c r="KO20" s="2"/>
      <c r="KP20" s="38"/>
      <c r="KQ20" s="49">
        <v>46</v>
      </c>
      <c r="LL20" s="5"/>
      <c r="LM20" s="5"/>
      <c r="LV20" s="2"/>
      <c r="LW20" s="2"/>
      <c r="LX20" s="38"/>
      <c r="LY20" s="49">
        <v>46</v>
      </c>
      <c r="MT20" s="5"/>
      <c r="MU20" s="5"/>
      <c r="ND20" s="2"/>
      <c r="NE20" s="2"/>
      <c r="NF20" s="38"/>
      <c r="NG20" s="49">
        <v>46</v>
      </c>
      <c r="OB20" s="5"/>
      <c r="OC20" s="5"/>
      <c r="OL20" s="2"/>
      <c r="OM20" s="2"/>
      <c r="ON20" s="38"/>
      <c r="OO20" s="49">
        <v>46</v>
      </c>
      <c r="PJ20" s="5"/>
      <c r="PK20" s="5"/>
      <c r="PT20" s="2"/>
      <c r="PU20" s="2"/>
      <c r="PV20" s="38"/>
      <c r="PW20" s="49">
        <v>46</v>
      </c>
      <c r="QR20" s="5"/>
      <c r="QS20" s="5"/>
      <c r="RB20" s="2"/>
      <c r="RC20" s="2"/>
      <c r="RD20" s="38"/>
      <c r="RE20" s="49">
        <v>46</v>
      </c>
      <c r="RZ20" s="5"/>
      <c r="SA20" s="5"/>
      <c r="SJ20" s="2"/>
      <c r="SK20" s="2"/>
      <c r="SL20" s="38"/>
      <c r="SM20" s="49">
        <v>46</v>
      </c>
    </row>
    <row r="21" spans="1:536" x14ac:dyDescent="0.2">
      <c r="A21" s="5"/>
      <c r="B21" s="26" t="s">
        <v>36</v>
      </c>
      <c r="C21" s="5"/>
      <c r="AJ21" s="42"/>
      <c r="AK21" s="42"/>
      <c r="AL21" s="42"/>
      <c r="AM21" s="33"/>
      <c r="AN21" s="42"/>
      <c r="AO21" s="42"/>
      <c r="AP21" s="33"/>
      <c r="AQ21" s="50">
        <v>46.6</v>
      </c>
      <c r="BK21" s="42"/>
      <c r="BL21" s="42"/>
      <c r="BM21" s="42"/>
      <c r="BO21" s="42"/>
      <c r="BP21" s="33"/>
      <c r="BR21" s="50">
        <v>46.6</v>
      </c>
      <c r="CL21" s="42"/>
      <c r="CM21" s="42"/>
      <c r="CN21" s="42"/>
      <c r="CO21" s="33"/>
      <c r="CP21" s="42"/>
      <c r="CQ21" s="33"/>
      <c r="CR21" s="33"/>
      <c r="CS21" s="50">
        <v>46.6</v>
      </c>
      <c r="DP21" s="5"/>
      <c r="DQ21" s="5"/>
      <c r="DZ21" s="42"/>
      <c r="EA21" s="2"/>
      <c r="EC21" s="50">
        <v>46.6</v>
      </c>
      <c r="EX21" s="5"/>
      <c r="EY21" s="5"/>
      <c r="FH21" s="42"/>
      <c r="FI21" s="2"/>
      <c r="FK21" s="50">
        <v>46.6</v>
      </c>
      <c r="GF21" s="5"/>
      <c r="GG21" s="5"/>
      <c r="GP21" s="42"/>
      <c r="GQ21" s="2"/>
      <c r="GS21" s="50">
        <v>46.6</v>
      </c>
      <c r="HN21" s="5"/>
      <c r="HO21" s="5"/>
      <c r="HX21" s="42"/>
      <c r="HY21" s="2"/>
      <c r="IA21" s="50">
        <v>46.6</v>
      </c>
      <c r="IV21" s="5"/>
      <c r="IW21" s="5"/>
      <c r="JF21" s="2"/>
      <c r="JG21" s="2"/>
      <c r="JI21" s="50">
        <v>46.6</v>
      </c>
      <c r="KD21" s="5"/>
      <c r="KE21" s="5"/>
      <c r="KN21" s="2"/>
      <c r="KO21" s="2"/>
      <c r="KQ21" s="50">
        <v>46.6</v>
      </c>
      <c r="LL21" s="5"/>
      <c r="LM21" s="5"/>
      <c r="LV21" s="2"/>
      <c r="LW21" s="2"/>
      <c r="LY21" s="50">
        <v>46.6</v>
      </c>
      <c r="MT21" s="5"/>
      <c r="MU21" s="5"/>
      <c r="ND21" s="2"/>
      <c r="NE21" s="2"/>
      <c r="NG21" s="50">
        <v>46.6</v>
      </c>
      <c r="OB21" s="5"/>
      <c r="OC21" s="5"/>
      <c r="OL21" s="2"/>
      <c r="OM21" s="2"/>
      <c r="OO21" s="50">
        <v>46.6</v>
      </c>
      <c r="PJ21" s="5"/>
      <c r="PK21" s="5"/>
      <c r="PT21" s="2"/>
      <c r="PU21" s="2"/>
      <c r="PW21" s="50">
        <v>46.6</v>
      </c>
      <c r="QR21" s="5"/>
      <c r="QS21" s="5"/>
      <c r="RB21" s="2"/>
      <c r="RC21" s="2"/>
      <c r="RE21" s="50">
        <v>46.6</v>
      </c>
      <c r="RZ21" s="5"/>
      <c r="SA21" s="5"/>
      <c r="SJ21" s="2"/>
      <c r="SK21" s="2"/>
      <c r="SM21" s="50">
        <v>46.6</v>
      </c>
    </row>
    <row r="22" spans="1:536" s="37" customFormat="1" x14ac:dyDescent="0.2">
      <c r="A22"/>
      <c r="B22" s="30" t="s">
        <v>59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3"/>
      <c r="AP22" s="33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3"/>
      <c r="CR22" s="33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536" s="37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3"/>
      <c r="AJ23" s="33"/>
      <c r="AK23" s="33"/>
      <c r="AL23" s="33"/>
      <c r="AM23" s="33"/>
      <c r="AP23" s="3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3"/>
      <c r="CL23" s="33"/>
      <c r="CM23" s="33"/>
      <c r="CN23" s="33"/>
      <c r="CO23" s="33"/>
      <c r="CR23" s="3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536" s="37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3"/>
      <c r="AJ24" s="33"/>
      <c r="AK24" s="33"/>
      <c r="AL24" s="33"/>
      <c r="AM24" s="33"/>
      <c r="AP24" s="33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3"/>
      <c r="CL24" s="33"/>
      <c r="CM24" s="33"/>
      <c r="CN24" s="33"/>
      <c r="CO24" s="33"/>
      <c r="CR24" s="33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536" s="37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3"/>
      <c r="AJ25" s="33"/>
      <c r="AK25" s="33"/>
      <c r="AL25" s="33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3"/>
      <c r="CL25" s="33"/>
      <c r="CM25" s="33"/>
      <c r="CN25" s="33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ht="17" x14ac:dyDescent="0.2">
      <c r="N38" s="10"/>
      <c r="O38" s="10"/>
      <c r="P38" s="10"/>
    </row>
    <row r="39" spans="1:536" ht="17" x14ac:dyDescent="0.2">
      <c r="N39" s="10"/>
      <c r="O39" s="10"/>
      <c r="P39" s="10"/>
    </row>
    <row r="40" spans="1:536" ht="17" x14ac:dyDescent="0.2">
      <c r="N40" s="10"/>
      <c r="O40" s="10"/>
      <c r="P40" s="1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1">
      <sortCondition descending="1" ref="F1:F12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1">
    <cfRule type="expression" dxfId="265" priority="45" stopIfTrue="1">
      <formula>IF($AF4&lt;&gt;"",1,0)</formula>
    </cfRule>
  </conditionalFormatting>
  <conditionalFormatting sqref="AR4:BR11">
    <cfRule type="expression" dxfId="264" priority="38" stopIfTrue="1">
      <formula>IF($BG4&lt;&gt;"",1,0)</formula>
    </cfRule>
  </conditionalFormatting>
  <conditionalFormatting sqref="BS4:CS11">
    <cfRule type="expression" dxfId="263" priority="37" stopIfTrue="1">
      <formula>IF($CH4&lt;&gt;"",1,0)</formula>
    </cfRule>
  </conditionalFormatting>
  <conditionalFormatting sqref="BO22:BO1048576 BH1:BH1048576 BK1:BK1048576 BO1:BO20">
    <cfRule type="cellIs" dxfId="262" priority="50" operator="between">
      <formula>$BR$17</formula>
      <formula>1000</formula>
    </cfRule>
    <cfRule type="cellIs" dxfId="261" priority="51" operator="between">
      <formula>$BR$16</formula>
      <formula>$BR$17</formula>
    </cfRule>
    <cfRule type="cellIs" dxfId="260" priority="52" operator="between">
      <formula>$BR$15</formula>
      <formula>$BR$16</formula>
    </cfRule>
    <cfRule type="cellIs" dxfId="259" priority="53" operator="between">
      <formula>$BR$14</formula>
      <formula>$BR$15</formula>
    </cfRule>
  </conditionalFormatting>
  <conditionalFormatting sqref="CP22:CP1048576 CI1:CI1048576 CL1:CL1048576 CP1:CP20">
    <cfRule type="cellIs" dxfId="258" priority="46" operator="between">
      <formula>$CS$17</formula>
      <formula>1000</formula>
    </cfRule>
    <cfRule type="cellIs" dxfId="257" priority="47" operator="between">
      <formula>$CS$16</formula>
      <formula>$CS$17</formula>
    </cfRule>
    <cfRule type="cellIs" dxfId="256" priority="48" operator="between">
      <formula>$CS$15</formula>
      <formula>$CS$16</formula>
    </cfRule>
    <cfRule type="cellIs" dxfId="255" priority="49" operator="between">
      <formula>$CS$14</formula>
      <formula>$CS$15</formula>
    </cfRule>
  </conditionalFormatting>
  <conditionalFormatting sqref="DZ22:DZ1048576 DP1:DP1048576 DS1:DS1048576 DW1:DW1048576 DZ1:DZ20">
    <cfRule type="cellIs" dxfId="254" priority="57" operator="between">
      <formula>$EC$17</formula>
      <formula>1000</formula>
    </cfRule>
    <cfRule type="cellIs" dxfId="253" priority="58" operator="between">
      <formula>$EC$16</formula>
      <formula>$EC$17</formula>
    </cfRule>
    <cfRule type="cellIs" dxfId="252" priority="59" operator="between">
      <formula>$EC$15</formula>
      <formula>$EC$16</formula>
    </cfRule>
    <cfRule type="cellIs" dxfId="251" priority="60" operator="between">
      <formula>$EC$14</formula>
      <formula>$EC$15</formula>
    </cfRule>
  </conditionalFormatting>
  <conditionalFormatting sqref="FH22:FH1048576 EX1:EX1048576 FA1:FA1048576 FE1:FE1048576 FH1:FH20">
    <cfRule type="cellIs" dxfId="250" priority="33" operator="between">
      <formula>$FK$17</formula>
      <formula>1000</formula>
    </cfRule>
    <cfRule type="cellIs" dxfId="249" priority="34" operator="between">
      <formula>$FK$16</formula>
      <formula>$FK$17</formula>
    </cfRule>
    <cfRule type="cellIs" dxfId="248" priority="35" operator="between">
      <formula>$FK$15</formula>
      <formula>$FK$16</formula>
    </cfRule>
    <cfRule type="cellIs" dxfId="247" priority="36" operator="between">
      <formula>$FK$14</formula>
      <formula>$FK$15</formula>
    </cfRule>
  </conditionalFormatting>
  <conditionalFormatting sqref="HX22:HX1048576 HN1:HN1048576 HQ1:HQ1048576 HU1:HU1048576 HX1:HX20">
    <cfRule type="cellIs" dxfId="246" priority="29" operator="between">
      <formula>$IA$17</formula>
      <formula>1000</formula>
    </cfRule>
    <cfRule type="cellIs" dxfId="245" priority="30" operator="between">
      <formula>$IA$16</formula>
      <formula>$IA$17</formula>
    </cfRule>
    <cfRule type="cellIs" dxfId="244" priority="31" operator="between">
      <formula>$IA$15</formula>
      <formula>$IA$16</formula>
    </cfRule>
    <cfRule type="cellIs" dxfId="243" priority="32" operator="between">
      <formula>$IA$14</formula>
      <formula>$IA$15</formula>
    </cfRule>
  </conditionalFormatting>
  <conditionalFormatting sqref="AO21 AG1:AG1048576 AJ1:AJ1048576 AN1:AN1048576">
    <cfRule type="cellIs" dxfId="242" priority="25" operator="between">
      <formula>$AQ$17</formula>
      <formula>1000</formula>
    </cfRule>
    <cfRule type="cellIs" dxfId="241" priority="26" operator="between">
      <formula>$AQ$16</formula>
      <formula>$AQ$17</formula>
    </cfRule>
    <cfRule type="cellIs" dxfId="240" priority="27" operator="between">
      <formula>$AQ$15</formula>
      <formula>$AQ$16</formula>
    </cfRule>
    <cfRule type="cellIs" dxfId="239" priority="28" operator="between">
      <formula>$AQ$14</formula>
      <formula>$AQ$15</formula>
    </cfRule>
  </conditionalFormatting>
  <conditionalFormatting sqref="BO21">
    <cfRule type="cellIs" dxfId="238" priority="21" operator="between">
      <formula>$AQ$17</formula>
      <formula>1000</formula>
    </cfRule>
    <cfRule type="cellIs" dxfId="237" priority="22" operator="between">
      <formula>$AQ$16</formula>
      <formula>$AQ$17</formula>
    </cfRule>
    <cfRule type="cellIs" dxfId="236" priority="23" operator="between">
      <formula>$AQ$15</formula>
      <formula>$AQ$16</formula>
    </cfRule>
    <cfRule type="cellIs" dxfId="235" priority="24" operator="between">
      <formula>$AQ$14</formula>
      <formula>$AQ$15</formula>
    </cfRule>
  </conditionalFormatting>
  <conditionalFormatting sqref="CP21">
    <cfRule type="cellIs" dxfId="234" priority="17" operator="between">
      <formula>$AQ$17</formula>
      <formula>1000</formula>
    </cfRule>
    <cfRule type="cellIs" dxfId="233" priority="18" operator="between">
      <formula>$AQ$16</formula>
      <formula>$AQ$17</formula>
    </cfRule>
    <cfRule type="cellIs" dxfId="232" priority="19" operator="between">
      <formula>$AQ$15</formula>
      <formula>$AQ$16</formula>
    </cfRule>
    <cfRule type="cellIs" dxfId="231" priority="20" operator="between">
      <formula>$AQ$14</formula>
      <formula>$AQ$15</formula>
    </cfRule>
  </conditionalFormatting>
  <conditionalFormatting sqref="DZ21">
    <cfRule type="cellIs" dxfId="230" priority="13" operator="between">
      <formula>$AQ$17</formula>
      <formula>1000</formula>
    </cfRule>
    <cfRule type="cellIs" dxfId="229" priority="14" operator="between">
      <formula>$AQ$16</formula>
      <formula>$AQ$17</formula>
    </cfRule>
    <cfRule type="cellIs" dxfId="228" priority="15" operator="between">
      <formula>$AQ$15</formula>
      <formula>$AQ$16</formula>
    </cfRule>
    <cfRule type="cellIs" dxfId="227" priority="16" operator="between">
      <formula>$AQ$14</formula>
      <formula>$AQ$15</formula>
    </cfRule>
  </conditionalFormatting>
  <conditionalFormatting sqref="FH21">
    <cfRule type="cellIs" dxfId="226" priority="9" operator="between">
      <formula>$AQ$17</formula>
      <formula>1000</formula>
    </cfRule>
    <cfRule type="cellIs" dxfId="225" priority="10" operator="between">
      <formula>$AQ$16</formula>
      <formula>$AQ$17</formula>
    </cfRule>
    <cfRule type="cellIs" dxfId="224" priority="11" operator="between">
      <formula>$AQ$15</formula>
      <formula>$AQ$16</formula>
    </cfRule>
    <cfRule type="cellIs" dxfId="223" priority="12" operator="between">
      <formula>$AQ$14</formula>
      <formula>$AQ$15</formula>
    </cfRule>
  </conditionalFormatting>
  <conditionalFormatting sqref="HX21">
    <cfRule type="cellIs" dxfId="222" priority="5" operator="between">
      <formula>$AQ$17</formula>
      <formula>1000</formula>
    </cfRule>
    <cfRule type="cellIs" dxfId="221" priority="6" operator="between">
      <formula>$AQ$16</formula>
      <formula>$AQ$17</formula>
    </cfRule>
    <cfRule type="cellIs" dxfId="220" priority="7" operator="between">
      <formula>$AQ$15</formula>
      <formula>$AQ$16</formula>
    </cfRule>
    <cfRule type="cellIs" dxfId="219" priority="8" operator="between">
      <formula>$AQ$14</formula>
      <formula>$AQ$15</formula>
    </cfRule>
  </conditionalFormatting>
  <conditionalFormatting sqref="CN1:CN1048576 AL1:AL1048576">
    <cfRule type="cellIs" dxfId="218" priority="61" operator="between">
      <formula>AQ$21</formula>
      <formula>1000</formula>
    </cfRule>
    <cfRule type="cellIs" dxfId="217" priority="62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16" priority="63" operator="between">
      <formula>EC$21</formula>
      <formula>1000</formula>
    </cfRule>
    <cfRule type="cellIs" dxfId="215" priority="64" operator="between">
      <formula>EC$20</formula>
      <formula>EC$21</formula>
    </cfRule>
  </conditionalFormatting>
  <conditionalFormatting sqref="AI1:AI1048576 AL1:AL1048576 AP1:AP1048576">
    <cfRule type="cellIs" dxfId="214" priority="67" operator="between">
      <formula>$AQ$21</formula>
      <formula>1000</formula>
    </cfRule>
    <cfRule type="cellIs" dxfId="213" priority="68" operator="between">
      <formula>$AQ$20</formula>
      <formula>$AQ$21</formula>
    </cfRule>
    <cfRule type="cellIs" dxfId="212" priority="69" operator="between">
      <formula>$AQ$19</formula>
      <formula>$AQ$20</formula>
    </cfRule>
    <cfRule type="cellIs" dxfId="211" priority="70" operator="between">
      <formula>$AQ$18</formula>
      <formula>$AQ$19</formula>
    </cfRule>
  </conditionalFormatting>
  <conditionalFormatting sqref="BJ1:BJ1048576 BM1:BM1048576 BQ1:BQ1048576">
    <cfRule type="cellIs" dxfId="210" priority="71" operator="between">
      <formula>$BR$21</formula>
      <formula>1000</formula>
    </cfRule>
    <cfRule type="cellIs" dxfId="209" priority="72" operator="between">
      <formula>$BR$20</formula>
      <formula>$BR$21</formula>
    </cfRule>
    <cfRule type="cellIs" dxfId="208" priority="73" operator="between">
      <formula>$BR$19</formula>
      <formula>$BR$20</formula>
    </cfRule>
    <cfRule type="cellIs" dxfId="207" priority="74" operator="between">
      <formula>$BR$18</formula>
      <formula>$BR$19</formula>
    </cfRule>
  </conditionalFormatting>
  <conditionalFormatting sqref="CK1:CK1048576 CN1:CN1048576 CR1:CR1048576">
    <cfRule type="cellIs" dxfId="206" priority="75" operator="between">
      <formula>$CS$21</formula>
      <formula>1000</formula>
    </cfRule>
    <cfRule type="cellIs" dxfId="205" priority="76" operator="between">
      <formula>$CS$20</formula>
      <formula>$CS$21</formula>
    </cfRule>
    <cfRule type="cellIs" dxfId="204" priority="77" operator="between">
      <formula>$CS$19</formula>
      <formula>$CS$20</formula>
    </cfRule>
    <cfRule type="cellIs" dxfId="203" priority="78" operator="between">
      <formula>$CS$18</formula>
      <formula>$CS$19</formula>
    </cfRule>
  </conditionalFormatting>
  <conditionalFormatting sqref="MT1:MT1048576 MW1:MW1048576 NA1:NA1048576 ND1:ND1048576">
    <cfRule type="cellIs" dxfId="202" priority="79" operator="between">
      <formula>$NG$14</formula>
      <formula>$NG$15</formula>
    </cfRule>
  </conditionalFormatting>
  <conditionalFormatting sqref="DR1:DR1048576 DU1:DU1048576 DY1:DY1048576 EB1:EB1048576">
    <cfRule type="cellIs" dxfId="201" priority="80" operator="between">
      <formula>$EC$21</formula>
      <formula>1000</formula>
    </cfRule>
    <cfRule type="cellIs" dxfId="200" priority="81" operator="between">
      <formula>$EC$20</formula>
      <formula>$EC$21</formula>
    </cfRule>
    <cfRule type="cellIs" dxfId="199" priority="82" operator="between">
      <formula>$EC$19</formula>
      <formula>$EC$20</formula>
    </cfRule>
    <cfRule type="cellIs" dxfId="198" priority="83" operator="between">
      <formula>$EC$18</formula>
      <formula>$EC$19</formula>
    </cfRule>
  </conditionalFormatting>
  <conditionalFormatting sqref="EZ1:EZ1048576 FC1:FC1048576 FG1:FG1048576 FJ1:FJ1048576">
    <cfRule type="cellIs" dxfId="197" priority="84" operator="between">
      <formula>$FK$21</formula>
      <formula>1000</formula>
    </cfRule>
    <cfRule type="cellIs" dxfId="196" priority="85" operator="between">
      <formula>$FK$20</formula>
      <formula>$FK$21</formula>
    </cfRule>
    <cfRule type="cellIs" dxfId="195" priority="86" operator="between">
      <formula>$FK$19</formula>
      <formula>$FK$20</formula>
    </cfRule>
    <cfRule type="cellIs" dxfId="194" priority="87" operator="between">
      <formula>$FK$18</formula>
      <formula>$FK$19</formula>
    </cfRule>
  </conditionalFormatting>
  <conditionalFormatting sqref="GP22:GP1048576 GF1:GF1048576 GI1:GI1048576 GM1:GM1048576 GP1:GP20">
    <cfRule type="cellIs" dxfId="193" priority="88" operator="between">
      <formula>$GS$17</formula>
      <formula>1000</formula>
    </cfRule>
    <cfRule type="cellIs" dxfId="192" priority="89" operator="between">
      <formula>$GS$16</formula>
      <formula>$GS$17</formula>
    </cfRule>
    <cfRule type="cellIs" dxfId="191" priority="90" operator="between">
      <formula>$GS$15</formula>
      <formula>$GS$16</formula>
    </cfRule>
    <cfRule type="cellIs" dxfId="190" priority="91" operator="between">
      <formula>$GS$14</formula>
      <formula>$GS$15</formula>
    </cfRule>
  </conditionalFormatting>
  <conditionalFormatting sqref="GH1:GH1048576 GK1:GK1048576 GO1:GO1048576 GR1:GR1048576">
    <cfRule type="cellIs" dxfId="189" priority="92" operator="between">
      <formula>$GS$21</formula>
      <formula>1000</formula>
    </cfRule>
    <cfRule type="cellIs" dxfId="188" priority="93" operator="between">
      <formula>$GS$20</formula>
      <formula>$GS$21</formula>
    </cfRule>
    <cfRule type="cellIs" dxfId="187" priority="94" operator="between">
      <formula>$GS$19</formula>
      <formula>$GS$20</formula>
    </cfRule>
    <cfRule type="cellIs" dxfId="186" priority="95" operator="between">
      <formula>$GS$18</formula>
      <formula>$GS$19</formula>
    </cfRule>
  </conditionalFormatting>
  <conditionalFormatting sqref="HP1:HP1048576 HS1:HS1048576 HW1:HW1048576 HZ1:HZ1048576">
    <cfRule type="cellIs" dxfId="185" priority="96" operator="between">
      <formula>$IA$21</formula>
      <formula>1000</formula>
    </cfRule>
    <cfRule type="cellIs" dxfId="184" priority="97" operator="between">
      <formula>$IA$20</formula>
      <formula>$IA$21</formula>
    </cfRule>
    <cfRule type="cellIs" dxfId="183" priority="98" operator="between">
      <formula>$IA$19</formula>
      <formula>$IA$20</formula>
    </cfRule>
    <cfRule type="cellIs" dxfId="182" priority="99" operator="between">
      <formula>$IA$18</formula>
      <formula>$IA$19</formula>
    </cfRule>
  </conditionalFormatting>
  <conditionalFormatting sqref="IV1:IV1048576 IY1:IY1048576 JC1:JC1048576 JF1:JF1048576">
    <cfRule type="cellIs" dxfId="181" priority="100" operator="between">
      <formula>$JI$17</formula>
      <formula>1000</formula>
    </cfRule>
    <cfRule type="cellIs" dxfId="180" priority="101" operator="between">
      <formula>$JI$16</formula>
      <formula>$JI$17</formula>
    </cfRule>
    <cfRule type="cellIs" dxfId="179" priority="102" operator="between">
      <formula>$JI$15</formula>
      <formula>$JI$16</formula>
    </cfRule>
    <cfRule type="cellIs" dxfId="178" priority="103" operator="between">
      <formula>$JI$14</formula>
      <formula>$JI$15</formula>
    </cfRule>
  </conditionalFormatting>
  <conditionalFormatting sqref="IX1:IX1048576 JA1:JA1048576 JE1:JE1048576 JH1:JH1048576">
    <cfRule type="cellIs" dxfId="177" priority="104" operator="between">
      <formula>$JI$21</formula>
      <formula>1000</formula>
    </cfRule>
    <cfRule type="cellIs" dxfId="176" priority="105" operator="between">
      <formula>$JI$20</formula>
      <formula>$JI$21</formula>
    </cfRule>
    <cfRule type="cellIs" dxfId="175" priority="106" operator="between">
      <formula>$JI$19</formula>
      <formula>$JI$20</formula>
    </cfRule>
    <cfRule type="cellIs" dxfId="174" priority="107" operator="between">
      <formula>$JI$18</formula>
      <formula>$JI$19</formula>
    </cfRule>
  </conditionalFormatting>
  <conditionalFormatting sqref="KD1:KD1048576 KG1:KG1048576 KK1:KK1048576 KN1:KN1048576">
    <cfRule type="cellIs" dxfId="173" priority="108" operator="between">
      <formula>$KQ$17</formula>
      <formula>1000</formula>
    </cfRule>
    <cfRule type="cellIs" dxfId="172" priority="109" operator="between">
      <formula>$KQ$16</formula>
      <formula>$KQ$17</formula>
    </cfRule>
    <cfRule type="cellIs" dxfId="171" priority="110" operator="between">
      <formula>$KQ$15</formula>
      <formula>$KQ$16</formula>
    </cfRule>
    <cfRule type="cellIs" dxfId="170" priority="111" operator="between">
      <formula>$KQ$14</formula>
      <formula>$KQ$15</formula>
    </cfRule>
  </conditionalFormatting>
  <conditionalFormatting sqref="KF1:KF1048576 KI1:KI1048576 KM1:KM1048576 KP1:KP1048576">
    <cfRule type="cellIs" dxfId="169" priority="112" operator="between">
      <formula>$KQ$21</formula>
      <formula>1000</formula>
    </cfRule>
    <cfRule type="cellIs" dxfId="168" priority="113" operator="between">
      <formula>$KQ$20</formula>
      <formula>$KQ$21</formula>
    </cfRule>
    <cfRule type="cellIs" dxfId="167" priority="114" operator="between">
      <formula>$KQ$19</formula>
      <formula>$KQ$20</formula>
    </cfRule>
    <cfRule type="cellIs" dxfId="166" priority="115" operator="between">
      <formula>$KQ$18</formula>
      <formula>$KQ$19</formula>
    </cfRule>
  </conditionalFormatting>
  <conditionalFormatting sqref="LL1:LL1048576 LO1:LO1048576 LS1:LS1048576 LV1:LV1048576">
    <cfRule type="cellIs" dxfId="165" priority="116" operator="between">
      <formula>$LY$17</formula>
      <formula>1000</formula>
    </cfRule>
    <cfRule type="cellIs" dxfId="164" priority="117" operator="between">
      <formula>$LY$16</formula>
      <formula>$LY$17</formula>
    </cfRule>
    <cfRule type="cellIs" dxfId="163" priority="118" operator="between">
      <formula>$LY$15</formula>
      <formula>$LY$16</formula>
    </cfRule>
    <cfRule type="cellIs" dxfId="162" priority="119" operator="between">
      <formula>$LY$14</formula>
      <formula>$LY$15</formula>
    </cfRule>
  </conditionalFormatting>
  <conditionalFormatting sqref="LN1:LN1048576 LQ1:LQ1048576 LU1:LU1048576 LX1:LX1048576">
    <cfRule type="cellIs" dxfId="161" priority="120" operator="between">
      <formula>$LY$21</formula>
      <formula>1000</formula>
    </cfRule>
    <cfRule type="cellIs" dxfId="160" priority="121" operator="between">
      <formula>$LY$20</formula>
      <formula>$LY$21</formula>
    </cfRule>
    <cfRule type="cellIs" dxfId="159" priority="122" operator="between">
      <formula>$LY$19</formula>
      <formula>$LY$20</formula>
    </cfRule>
    <cfRule type="cellIs" dxfId="158" priority="123" operator="between">
      <formula>$LY$18</formula>
      <formula>$LY$19</formula>
    </cfRule>
  </conditionalFormatting>
  <conditionalFormatting sqref="MT1:MT1048576 MW1:MW1048576 NA1:NA1048576">
    <cfRule type="cellIs" dxfId="157" priority="124" operator="between">
      <formula>$NG$17</formula>
      <formula>1000</formula>
    </cfRule>
    <cfRule type="cellIs" dxfId="156" priority="125" operator="between">
      <formula>$NG$16</formula>
      <formula>$NG$17</formula>
    </cfRule>
    <cfRule type="cellIs" dxfId="155" priority="126" operator="between">
      <formula>$NG$15</formula>
      <formula>$NG$16</formula>
    </cfRule>
  </conditionalFormatting>
  <conditionalFormatting sqref="MV1:MV1048576 MY1:MY1048576 NC1:NC1048576 NF1:NF1048576">
    <cfRule type="cellIs" dxfId="154" priority="127" operator="between">
      <formula>$NG$21</formula>
      <formula>1000</formula>
    </cfRule>
    <cfRule type="cellIs" dxfId="153" priority="128" operator="between">
      <formula>$NG$20</formula>
      <formula>$NG$21</formula>
    </cfRule>
    <cfRule type="cellIs" dxfId="152" priority="129" operator="between">
      <formula>$NG$19</formula>
      <formula>$NG$20</formula>
    </cfRule>
    <cfRule type="cellIs" dxfId="151" priority="130" operator="between">
      <formula>$NG$18</formula>
      <formula>$NG$19</formula>
    </cfRule>
  </conditionalFormatting>
  <conditionalFormatting sqref="OB1:OB1048576 OE1:OE1048576 OI1:OI1048576 OL1:OL1048576">
    <cfRule type="cellIs" dxfId="150" priority="131" operator="between">
      <formula>$OO$17</formula>
      <formula>1000</formula>
    </cfRule>
    <cfRule type="cellIs" dxfId="149" priority="132" operator="between">
      <formula>$OO$16</formula>
      <formula>$OO$17</formula>
    </cfRule>
    <cfRule type="cellIs" dxfId="148" priority="133" operator="between">
      <formula>$OO$15</formula>
      <formula>$OO$16</formula>
    </cfRule>
    <cfRule type="cellIs" dxfId="147" priority="134" operator="between">
      <formula>$OO$14</formula>
      <formula>$OO$15</formula>
    </cfRule>
  </conditionalFormatting>
  <conditionalFormatting sqref="OD1:OD1048576 OG1:OG1048576 OK1:OK1048576 ON1:ON1048576">
    <cfRule type="cellIs" dxfId="146" priority="135" operator="between">
      <formula>$OO$21</formula>
      <formula>1000</formula>
    </cfRule>
    <cfRule type="cellIs" dxfId="145" priority="136" operator="between">
      <formula>$OO$20</formula>
      <formula>$OO$21</formula>
    </cfRule>
    <cfRule type="cellIs" dxfId="144" priority="137" operator="between">
      <formula>$OO$19</formula>
      <formula>$OO$20</formula>
    </cfRule>
    <cfRule type="cellIs" dxfId="143" priority="138" operator="between">
      <formula>$OO$18</formula>
      <formula>$OO$19</formula>
    </cfRule>
  </conditionalFormatting>
  <conditionalFormatting sqref="PJ1:PJ1048576 PM1:PM1048576 PQ1:PQ1048576 PT1:PT1048576">
    <cfRule type="cellIs" dxfId="142" priority="139" operator="between">
      <formula>$PW$17</formula>
      <formula>1000</formula>
    </cfRule>
    <cfRule type="cellIs" dxfId="141" priority="140" operator="between">
      <formula>$PW$16</formula>
      <formula>$PW$17</formula>
    </cfRule>
    <cfRule type="cellIs" dxfId="140" priority="141" operator="between">
      <formula>$PW$15</formula>
      <formula>$PW$16</formula>
    </cfRule>
    <cfRule type="cellIs" dxfId="139" priority="142" operator="between">
      <formula>$PW$14</formula>
      <formula>$PW$15</formula>
    </cfRule>
  </conditionalFormatting>
  <conditionalFormatting sqref="PL1:PL1048576 PO1:PO1048576 PS1:PS1048576 PV1:PV1048576">
    <cfRule type="cellIs" dxfId="138" priority="143" operator="between">
      <formula>$PW$21</formula>
      <formula>1000</formula>
    </cfRule>
    <cfRule type="cellIs" dxfId="137" priority="144" operator="between">
      <formula>$PW$20</formula>
      <formula>$PW$21</formula>
    </cfRule>
    <cfRule type="cellIs" dxfId="136" priority="145" operator="between">
      <formula>$PW$19</formula>
      <formula>$PW$20</formula>
    </cfRule>
    <cfRule type="cellIs" dxfId="135" priority="146" operator="between">
      <formula>$PW$18</formula>
      <formula>$PW$19</formula>
    </cfRule>
  </conditionalFormatting>
  <conditionalFormatting sqref="QR1:QR1048576 QU1:QU1048576 QY1:QY1048576 RB1:RB1048576">
    <cfRule type="cellIs" dxfId="134" priority="147" operator="between">
      <formula>$RE$17</formula>
      <formula>1000</formula>
    </cfRule>
    <cfRule type="cellIs" dxfId="133" priority="148" operator="between">
      <formula>$RE$16</formula>
      <formula>$RE$17</formula>
    </cfRule>
    <cfRule type="cellIs" dxfId="132" priority="149" operator="between">
      <formula>$RE$15</formula>
      <formula>$RE$16</formula>
    </cfRule>
    <cfRule type="cellIs" dxfId="131" priority="150" operator="between">
      <formula>$RE$14</formula>
      <formula>$RE$15</formula>
    </cfRule>
  </conditionalFormatting>
  <conditionalFormatting sqref="QT1:QT1048576 QW1:QW1048576 RA1:RA1048576 RD1:RD1048576">
    <cfRule type="cellIs" dxfId="130" priority="151" operator="between">
      <formula>$RE$21</formula>
      <formula>1000</formula>
    </cfRule>
    <cfRule type="cellIs" dxfId="129" priority="152" operator="between">
      <formula>$RE$20</formula>
      <formula>$RE$21</formula>
    </cfRule>
    <cfRule type="cellIs" dxfId="128" priority="153" operator="between">
      <formula>$RE$19</formula>
      <formula>$RE$20</formula>
    </cfRule>
    <cfRule type="cellIs" dxfId="127" priority="154" operator="between">
      <formula>$RE$18</formula>
      <formula>$RE$19</formula>
    </cfRule>
  </conditionalFormatting>
  <conditionalFormatting sqref="RZ1:RZ1048576 SC1:SC1048576 SG1:SG1048576 SJ1:SJ1048576">
    <cfRule type="cellIs" dxfId="126" priority="155" operator="between">
      <formula>$SM$17</formula>
      <formula>1000</formula>
    </cfRule>
    <cfRule type="cellIs" dxfId="125" priority="156" operator="between">
      <formula>$SM$16</formula>
      <formula>$SM$17</formula>
    </cfRule>
    <cfRule type="cellIs" dxfId="124" priority="157" operator="between">
      <formula>$SM$15</formula>
      <formula>$SM$16</formula>
    </cfRule>
    <cfRule type="cellIs" dxfId="123" priority="158" operator="between">
      <formula>$SM$14</formula>
      <formula>$SM$15</formula>
    </cfRule>
  </conditionalFormatting>
  <conditionalFormatting sqref="SB1:SB1048576 SE1:SE1048576 SI1:SI1048576 SL1:SL1048576">
    <cfRule type="cellIs" dxfId="122" priority="159" operator="between">
      <formula>$SM$21</formula>
      <formula>1000</formula>
    </cfRule>
    <cfRule type="cellIs" dxfId="121" priority="160" operator="between">
      <formula>$SM$20</formula>
      <formula>$SM$21</formula>
    </cfRule>
    <cfRule type="cellIs" dxfId="120" priority="161" operator="between">
      <formula>$SM$19</formula>
      <formula>$SM$20</formula>
    </cfRule>
    <cfRule type="cellIs" dxfId="119" priority="162" operator="between">
      <formula>$SM$18</formula>
      <formula>$SM$19</formula>
    </cfRule>
  </conditionalFormatting>
  <conditionalFormatting sqref="GP21">
    <cfRule type="cellIs" dxfId="118" priority="1" operator="between">
      <formula>$AQ$17</formula>
      <formula>1000</formula>
    </cfRule>
    <cfRule type="cellIs" dxfId="117" priority="2" operator="between">
      <formula>$AQ$16</formula>
      <formula>$AQ$17</formula>
    </cfRule>
    <cfRule type="cellIs" dxfId="116" priority="3" operator="between">
      <formula>$AQ$15</formula>
      <formula>$AQ$16</formula>
    </cfRule>
    <cfRule type="cellIs" dxfId="115" priority="4" operator="between">
      <formula>$AQ$14</formula>
      <formula>$AQ$15</formula>
    </cfRule>
  </conditionalFormatting>
  <conditionalFormatting sqref="K1:K1048576 M1:M1048576">
    <cfRule type="expression" dxfId="114" priority="54" stopIfTrue="1">
      <formula>IF(K1=$BS$1,1,0)</formula>
    </cfRule>
    <cfRule type="expression" dxfId="113" priority="55">
      <formula>IF(K1=$AR$1,1,0)</formula>
    </cfRule>
    <cfRule type="expression" dxfId="112" priority="56">
      <formula>IF(K1=$Q$1,1,0)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159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164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203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201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206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IF(AND(F4="P",G4="P"),SUMPRODUCT((F$4:F$11="P")*(G$4:G$11="P")*(E$4:E$11&gt;E4))+1,IF(G4="P",SUMPRODUCT((F$4:F$11="")*(G$4:G$11="P")*(E$4:E$11&gt;E4))+1+SUMPRODUCT((F$4:F$11="P")*(G$4:G$11="P")),""))</f>
        <v>1</v>
      </c>
      <c r="B4" s="5" t="s">
        <v>133</v>
      </c>
      <c r="C4" s="4" t="s">
        <v>3</v>
      </c>
      <c r="D4" s="4">
        <v>2003</v>
      </c>
      <c r="E4" s="9">
        <f t="shared" ref="E4:E10" si="0">SUM(J4:R4)+SUM(J4:N4)*0.0000001+SUM(J4)*0.0000000000001</f>
        <v>183.40001279000518</v>
      </c>
      <c r="F4" s="3" t="str">
        <f t="shared" ref="F4:F10" si="1">IF(OR(AND(AP4&gt;=AW$13,AQ4&gt;=AW$17,AP4&lt;&gt;"",AO4=""),AND(AU4&gt;=AW$13,AV4&gt;=AW$17,AU4&lt;&gt;"",AO4=""),AND(BS4&gt;=BZ$13,BT4&gt;=BZ$17,BS4&lt;&gt;"",BR4=""),AND(BX4&gt;=BZ$13,BY4&gt;=BZ$17,BX4&lt;&gt;"",BR4=""),AND(CV4&gt;=DC$13,CW4&gt;=DC$17,CV4&lt;&gt;"",CU4=""),AND(DA4&gt;=DC$13,DB4&gt;=DC$17,DA4&lt;&gt;""),AND(EA4&gt;=EH$13,EB4&gt;=EH$17,EA4&lt;&gt;""),AND(EF4&gt;=EH$13,EG4&gt;=EH$17,EF4&lt;&gt;""),AND(FC4&gt;=FJ$13,FD4&gt;=FJ$17,FC4&lt;&gt;""),AND(FH4&gt;=FJ$13,FI4&gt;=FJ$17,FH4&lt;&gt;""),AND(GE4&gt;=GL$13,GF4&gt;=GL$17,GE4&lt;&gt;""),AND(GJ4&gt;=GL$13,GK4&gt;=GL$17,GJ4&lt;&gt;""),AND(HG4&gt;=HN$13,HH4&gt;=HN$17,HG4&lt;&gt;""),AND(HL4&gt;=HN$13,HM4&gt;=HN$17,HL4&lt;&gt;""),AND(II4&gt;=IP$13,IJ4&gt;=IP$17,II4&lt;&gt;""),AND(IN4&gt;=IP$13,IO4&gt;=IP$17,IN4&lt;&gt;""),AND(JK4&gt;=JR$13,JL4&gt;=JR$17,JK4&lt;&gt;""),AND(JP4&gt;=JR$13,JQ4&gt;=JR$17,JP4&lt;&gt;""),AND(KM4&gt;=KT$13,KN4&gt;=KT$17,KM4&lt;&gt;""),AND(KR4&gt;=KT$13,KS4&gt;=KT$17,KR4&lt;&gt;""),AND(LO4&gt;=LV$13,LP4&gt;=LV$17,LO4&lt;&gt;""),AND(LT4&gt;=LV$13,LU4&gt;=LV$17,LT4&lt;&gt;""),AND(MQ4&gt;=MX$13,MR4&gt;=MX$17,MQ4&lt;&gt;""),AND(MV4&gt;=MX$13,MW4&gt;=MX$17,MV4&lt;&gt;""),AND(NS4&gt;=NZ$13,NT4&gt;=NZ$17,NS4&lt;&gt;""),AND(NX4&gt;=NZ$13,NY4&gt;=NZ$17,NX4&lt;&gt;""),AND(OU4&gt;=PB$13,OV4&gt;=PB$17,OU4&lt;&gt;""),AND(OZ4&gt;=PB$13,PA4&gt;=PB$17,OZ4&lt;&gt;""),AND(PW4&gt;=QD$13,PX4&gt;=QD$17,PW4&lt;&gt;""),AND(QB4&gt;=QD$13,QC4&gt;=QD$17,QB4&lt;&gt;"")),"P","")</f>
        <v>P</v>
      </c>
      <c r="G4" s="3" t="str">
        <f t="shared" ref="G4:G10" si="2">IF(OR(AND(AQ4&gt;=AW$17,AQ4&lt;&gt;"",AO4=""),AND(AV4&gt;=AW$17,AV4&lt;&gt;"",AO4=""),AND(BT4&gt;=BZ$17,BT4&lt;&gt;"",BR4=""),AND(BY4&gt;=BZ$17,BY4&lt;&gt;"",BR4=""),AND(CW4&gt;=DC$17,CW4&lt;&gt;"",CU4=""),AND(DB4&gt;=DC$17,DB4&lt;&gt;"",CU4=""),AND(EB4&gt;=EH$17,EB4&lt;&gt;""),AND(EG4&gt;=EH$17,EG4&lt;&gt;""),AND(FD4&gt;=FJ$17,FD4&lt;&gt;""),AND(FI4&gt;=FJ$17,FI4&lt;&gt;""),AND(GF4&gt;=GL$17,GF4&lt;&gt;""),AND(GK4&gt;=GL$17,GK4&lt;&gt;""),AND(HH4&gt;=HN$17,HH4&lt;&gt;""),AND(HM4&gt;=HN$17,HM4&lt;&gt;""),AND(IJ4&gt;=IP$17,IJ4&lt;&gt;""),AND(IO4&gt;=IP$17,IO4&lt;&gt;""),AND(JL4&gt;=JR$17,JL4&lt;&gt;""),AND(JQ4&gt;=JR$17,JQ4&lt;&gt;""),AND(KN4&gt;=KT$17,KN4&lt;&gt;""),AND(KS4&gt;=KT$17,KS4&lt;&gt;""),AND(LP4&gt;=LV$17,LP4&lt;&gt;""),AND(LU4&gt;=LV$17,LU4&lt;&gt;""),AND(MR4&gt;=MX$17,MR4&lt;&gt;""),AND(MW4&gt;=MX$17,MW4&lt;&gt;""),AND(NT4&gt;=NZ$17,NT4&lt;&gt;""),AND(NY4&gt;=NZ$17,NY4&lt;&gt;""),AND(OV4&gt;=PB$17,OV4&lt;&gt;""),AND(PA4&gt;=PB$17,PA4&lt;&gt;""),AND(PX4&gt;=QD$17,PX4&lt;&gt;""),AND(QC4&gt;=QD$17,QC4&lt;&gt;"")),"P","")</f>
        <v>P</v>
      </c>
      <c r="H4" s="37" t="str">
        <f>IF(AND(G4="P",F4=""),"No DD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Merit",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Excellence",IF(I4="P","Worlds Team",IF(F4="P","National Team","")))))</f>
        <v>Merit</v>
      </c>
      <c r="I4" s="3" t="str">
        <f>IF(OR(AND(AS4&gt;=AW$14,AT4&gt;=AW$18,AS4&lt;&gt;"",AO4=""),AND(BV4&gt;=BZ$14,BW4&gt;=BZ$18,BV4&lt;&gt;"",BR4=""),AND(CY4&gt;=DC$14,CZ4&gt;=DC$18,CY4&lt;&gt;"",CU4=""),AND(ED4&gt;=EH$14,EE4&gt;=EH$18,ED4&lt;&gt;""),AND(FF4&gt;=FJ$14,FG4&gt;=FJ$18,FF4&lt;&gt;""),AND(GH4&gt;=GL$14,GI4&gt;=GL$18,GH4&lt;&gt;""),AND(HJ4&gt;=HN$14,HK4&gt;=HN$18,HJ4&lt;&gt;""),AND(IL4&gt;=IP$14,IM4&gt;=IP$18,IL4&lt;&gt;""),AND(JN4&gt;=JR$14,JO4&gt;=JR$18,JN4&lt;&gt;""),AND(KP4&gt;=KT$14,KQ4&gt;=KT$18,KP4&lt;&gt;""),AND(LR4&gt;=LV$14,LS4&gt;=LV$18,LR4&lt;&gt;""),AND(MT4&gt;=MX$14,MU4&gt;=MX$18,MT4&lt;&gt;""),AND(NV4&gt;=NZ$14,NW4&gt;=NZ$18,NV4&lt;&gt;""),AND(OX4&gt;=PB$14,OY4&gt;=PB$18,OX4&lt;&gt;""),AND(PZ4&gt;=QD$14,QA4&gt;=QD$18,PZ4&lt;&gt;"")),"P","")</f>
        <v>P</v>
      </c>
      <c r="J4" s="8">
        <f>IF(COUNT(AQ4,BT4,CW4)&gt;0,LARGE((AQ4,BT4,CW4),1),0)</f>
        <v>51.599999999999994</v>
      </c>
      <c r="K4" s="8" t="str">
        <f t="shared" ref="K4:K10" si="3">IF(J4=0,"",IF(J4=CW4,$CA$1,IF(J4=BT4,$AX$1,IF(J4=AQ4,$U$1,""))))</f>
        <v>2023 Elite Canada</v>
      </c>
      <c r="L4" s="8">
        <f>IF(COUNT(AQ4,BT4,CW4)&gt;1,LARGE((AQ4,BT4,CW4),2),0)</f>
        <v>49.300000000000004</v>
      </c>
      <c r="M4" s="8" t="str">
        <f t="shared" ref="M4:M10" si="4">IF(L4=0,"",IF(L4=CW4,$CA$1,IF(L4=BT4,$AX$1,IF(L4=AQ4,$U$1,""))))</f>
        <v>2022 3rd Domestic Trial</v>
      </c>
      <c r="N4" s="8">
        <f>IF(COUNT(AR4,BU4,CX4)&gt;0,LARGE((AR4,BU4,CX4),1),0)</f>
        <v>27</v>
      </c>
      <c r="O4" s="8" t="str">
        <f t="shared" ref="O4:O10" si="5">IF(N4=0,"",IF(N4=CX4,$CA$1,IF(N4=BU4,$AX$1,IF(N4=AR4,$U$1,""))))</f>
        <v>2023 Elite Canada</v>
      </c>
      <c r="P4" s="8">
        <f t="shared" ref="P4:P10" si="6">IF(MAX(AV4,BY4,DB4)&gt;0,MAX(AV4,BY4,DB4),0)</f>
        <v>53.400000000000006</v>
      </c>
      <c r="Q4" s="8" t="str">
        <f t="shared" ref="Q4:Q10" si="7">IF(P4=0,"",IF(P4=DB4,$CA$1,IF(P4=BY4,$AX$1,IF(P4=AV4,$U$1,""))))</f>
        <v>2023 Elite Canada</v>
      </c>
      <c r="R4" s="8">
        <f t="shared" ref="R4:R10" si="8">IF(MAX(DD4:DF4)&gt;0,MAX(DD4:DF4),"")</f>
        <v>2.0999999999999943</v>
      </c>
      <c r="S4" s="11" t="str">
        <f t="shared" ref="S4:S10" si="9">IF(R4="","",IF(R4=DD4,"("&amp;DD$2&amp;")",IF(R4=DE4,"("&amp;DE$2&amp;")",IF(R4=DF4,"("&amp;DF$2&amp;")"))))</f>
        <v>(Q1)</v>
      </c>
      <c r="T4" s="8" t="str">
        <f t="shared" ref="T4:T10" si="10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16)</v>
      </c>
      <c r="U4" s="19">
        <v>8.75</v>
      </c>
      <c r="V4" s="19">
        <v>3.25</v>
      </c>
      <c r="W4" s="19">
        <v>0</v>
      </c>
      <c r="X4" s="19">
        <v>0</v>
      </c>
      <c r="Y4" s="19">
        <v>9.18</v>
      </c>
      <c r="Z4" s="19">
        <v>2.95</v>
      </c>
      <c r="AA4" s="19">
        <v>0</v>
      </c>
      <c r="AB4" s="19">
        <v>0</v>
      </c>
      <c r="AC4" s="19"/>
      <c r="AD4" s="19"/>
      <c r="AE4" s="19"/>
      <c r="AF4" s="19"/>
      <c r="AG4" s="19">
        <v>9.0500000000000007</v>
      </c>
      <c r="AH4" s="19">
        <v>3.25</v>
      </c>
      <c r="AI4" s="19">
        <v>0</v>
      </c>
      <c r="AJ4" s="19">
        <v>0</v>
      </c>
      <c r="AK4" s="19">
        <v>9.1</v>
      </c>
      <c r="AL4" s="19">
        <v>2.95</v>
      </c>
      <c r="AM4" s="19">
        <v>0</v>
      </c>
      <c r="AN4" s="19">
        <v>0</v>
      </c>
      <c r="AO4" s="28" t="s">
        <v>58</v>
      </c>
      <c r="AP4" s="41">
        <f t="shared" ref="AP4:AP10" si="11">IF(SUM(V4,Z4)&gt;0,SUM(V4,Z4),"")</f>
        <v>6.2</v>
      </c>
      <c r="AQ4" s="41">
        <f t="shared" ref="AQ4:AQ10" si="12">IF(SUM(U4:V4,X4:Z4,AB4)-W4-AA4&gt;0,SUM(U4:V4,X4:Z4,AB4)-W4-AA4,"")</f>
        <v>24.13</v>
      </c>
      <c r="AR4" s="41" t="str">
        <f t="shared" ref="AR4:AR10" si="13">IF(SUM(AC4:AD4,AF4)-AE4&gt;0,SUM(AC4:AD4,AF4)-AE4,"")</f>
        <v/>
      </c>
      <c r="AS4" s="41">
        <f t="shared" ref="AS4:AS10" si="14">IF(SUM(V4,Z4,AD4)&gt;0,SUM(V4,Z4,AD4),"")</f>
        <v>6.2</v>
      </c>
      <c r="AT4" s="41">
        <f t="shared" ref="AT4:AT10" si="15">IF(SUM(AQ4,AR4)&gt;0,SUM(AQ4,AR4),"")</f>
        <v>24.13</v>
      </c>
      <c r="AU4" s="41">
        <f t="shared" ref="AU4:AU10" si="16">IF(SUM(AH4,AL4)&gt;0,SUM(AH4,AL4),"")</f>
        <v>6.2</v>
      </c>
      <c r="AV4" s="41">
        <f t="shared" ref="AV4:AV10" si="17">IF(SUM(AG4:AH4,AJ4:AL4,AN4)-SUM(AI4,AM4)&gt;0,SUM(AG4:AH4,AJ4:AL4,AN4)-SUM(AI4,AM4),"")</f>
        <v>24.349999999999998</v>
      </c>
      <c r="AW4" s="41">
        <f t="shared" ref="AW4:AW10" si="18">IF(SUM(AQ4,AV4)&gt;0,SUM(AQ4,AV4),"")</f>
        <v>48.48</v>
      </c>
      <c r="AX4" s="18">
        <v>17.8</v>
      </c>
      <c r="AY4" s="18">
        <v>6.9</v>
      </c>
      <c r="AZ4" s="18">
        <v>0</v>
      </c>
      <c r="BA4" s="18">
        <v>0</v>
      </c>
      <c r="BB4" s="18">
        <v>17.7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17.96</v>
      </c>
      <c r="BK4" s="18">
        <v>6.9</v>
      </c>
      <c r="BL4" s="18">
        <v>0</v>
      </c>
      <c r="BM4" s="18">
        <v>0</v>
      </c>
      <c r="BN4" s="18">
        <v>17.7</v>
      </c>
      <c r="BO4" s="18">
        <v>6.9</v>
      </c>
      <c r="BP4" s="18">
        <v>0</v>
      </c>
      <c r="BQ4" s="18">
        <v>0</v>
      </c>
      <c r="BR4" s="29"/>
      <c r="BS4" s="11">
        <f t="shared" ref="BS4:BS10" si="19">IF(SUM(AY4,BC4)&gt;0,SUM(AY4,BC4),"")</f>
        <v>13.8</v>
      </c>
      <c r="BT4" s="11">
        <f t="shared" ref="BT4:BT10" si="20">IF(SUM(AX4:AY4,BA4:BC4,BE4)-AZ4-BD4&gt;0,SUM(AX4:AY4,BA4:BC4,BE4)-AZ4-BD4,"")</f>
        <v>49.300000000000004</v>
      </c>
      <c r="BU4" s="11" t="str">
        <f t="shared" ref="BU4:BU10" si="21">IF(SUM(BF4:BG4,BI4)-BH4&gt;0,SUM(BF4:BG4,BI4)-BH4,"")</f>
        <v/>
      </c>
      <c r="BV4" s="11">
        <f t="shared" ref="BV4:BV10" si="22">IF(SUM(AY4,BC4,BG4)&gt;0,SUM(AY4,BC4,BG4),"")</f>
        <v>13.8</v>
      </c>
      <c r="BW4" s="11">
        <f t="shared" ref="BW4:BW10" si="23">IF(SUM(BT4,BU4)&gt;0,SUM(BT4,BU4),"")</f>
        <v>49.300000000000004</v>
      </c>
      <c r="BX4" s="11">
        <f t="shared" ref="BX4:BX10" si="24">IF(SUM(BK4,BO4)&gt;0,SUM(BK4,BO4),"")</f>
        <v>13.8</v>
      </c>
      <c r="BY4" s="11">
        <f t="shared" ref="BY4:BY10" si="25">IF(SUM(BJ4:BK4,BM4:BO4,BQ4)-SUM(BL4,BP4)&gt;0,SUM(BJ4:BK4,BM4:BO4,BQ4)-SUM(BL4,BP4),"")</f>
        <v>49.46</v>
      </c>
      <c r="BZ4" s="11">
        <f t="shared" ref="BZ4:BZ10" si="26">IF(SUM(BT4,BY4)&gt;0,SUM(BT4,BY4),"")</f>
        <v>98.76</v>
      </c>
      <c r="CA4" s="19">
        <v>18.8</v>
      </c>
      <c r="CB4" s="19">
        <v>8.1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18.899999999999999</v>
      </c>
      <c r="CJ4" s="19">
        <v>8.1</v>
      </c>
      <c r="CK4" s="19">
        <v>0</v>
      </c>
      <c r="CL4" s="19">
        <v>0</v>
      </c>
      <c r="CM4" s="19">
        <v>19.100000000000001</v>
      </c>
      <c r="CN4" s="19">
        <v>8.1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8"/>
      <c r="CV4" s="41">
        <f t="shared" ref="CV4:CV10" si="27">IF(SUM(CB4,CF4)&gt;0,SUM(CB4,CF4),"")</f>
        <v>14.6</v>
      </c>
      <c r="CW4" s="41">
        <f t="shared" ref="CW4:CW10" si="28">IF(SUM(CA4:CB4,CD4:CF4,CH4)-CC4-CG4&gt;0,SUM(CA4:CB4,CD4:CF4,CH4)-CC4-CG4,"")</f>
        <v>51.599999999999994</v>
      </c>
      <c r="CX4" s="41">
        <f t="shared" ref="CX4:CX10" si="29">IF(SUM(CI4:CJ4,CL4)-CK4&gt;0,SUM(CI4:CJ4,CL4)-CK4,"")</f>
        <v>27</v>
      </c>
      <c r="CY4" s="41">
        <f t="shared" ref="CY4:CY10" si="30">IF(SUM(CB4,CF4,CJ4)&gt;0,SUM(CB4,CF4,CJ4),"")</f>
        <v>22.7</v>
      </c>
      <c r="CZ4" s="41">
        <f t="shared" ref="CZ4:CZ10" si="31">IF(SUM(CW4,CX4)&gt;0,SUM(CW4,CX4),"")</f>
        <v>78.599999999999994</v>
      </c>
      <c r="DA4" s="41">
        <f t="shared" ref="DA4:DA10" si="32">IF(SUM(CN4,CR4)&gt;0,SUM(CN4,CR4),"")</f>
        <v>15.8</v>
      </c>
      <c r="DB4" s="41">
        <f t="shared" ref="DB4:DB10" si="33">IF(SUM(CM4:CN4,CP4:CR4,CT4)-SUM(CO4,CS4)&gt;0,SUM(CM4:CN4,CP4:CR4,CT4)-SUM(CO4,CS4),"")</f>
        <v>53.400000000000006</v>
      </c>
      <c r="DC4" s="41">
        <f t="shared" ref="DC4:DC10" si="34">IF(SUM(CW4,DB4)&gt;0,SUM(CW4,DB4),"")</f>
        <v>105</v>
      </c>
      <c r="DD4" s="52">
        <f t="shared" ref="DD4:DD10" si="35">IF(MAX(EB4,FD4,GF4,HH4,IJ4,JL4,KN4,LP4,MR4,NT4,OV4,PX4)-IF(L4="",0,L4)&gt;0.001,MAX(EB4,FD4,GF4,HH4,IJ4,JL4,KN4,LP4,MR4,NT4,OV4,PX4)-IF(L4="",0,L4),"")</f>
        <v>2.0999999999999943</v>
      </c>
      <c r="DE4" s="52" t="str">
        <f t="shared" ref="DE4:DE10" si="36">IF(MAX(EC4,FE4,GG4,HI4,IK4,JM4,KO4,LQ4,MS4,NU4,OW4,PY4)-IF(N4="",0,N4)&gt;0.001,MAX(EC4,FE4,GG4,HI4,IK4,JM4,KO4,LQ4,MS4,NU4,OW4,PY4)-IF(N4="",0,N4),"")</f>
        <v/>
      </c>
      <c r="DF4" s="52" t="str">
        <f t="shared" ref="DF4:DF10" si="37">IF(MAX(EG4,FI4,GK4,HM4,IO4,JQ4,KS4,LU4,MW4,NY4,PA4,QC4)-IF(P4="",0,P4)&gt;0.001,MAX(EG4,FI4,GK4,HM4,IO4,JQ4,KS4,LU4,MW4,NY4,PA4,QC4)-IF(P4="",0,P4),"")</f>
        <v/>
      </c>
      <c r="DG4" s="17">
        <v>17.8</v>
      </c>
      <c r="DH4" s="17">
        <v>6.9</v>
      </c>
      <c r="DI4" s="17">
        <v>0</v>
      </c>
      <c r="DJ4" s="17">
        <v>0</v>
      </c>
      <c r="DK4" s="17">
        <v>17.3</v>
      </c>
      <c r="DL4" s="17">
        <v>5.7</v>
      </c>
      <c r="DM4" s="17">
        <v>0</v>
      </c>
      <c r="DN4" s="17">
        <v>0</v>
      </c>
      <c r="DO4" s="17"/>
      <c r="DP4" s="17"/>
      <c r="DQ4" s="17"/>
      <c r="DR4" s="17"/>
      <c r="DS4" s="17">
        <v>17.5</v>
      </c>
      <c r="DT4" s="17">
        <v>6.5</v>
      </c>
      <c r="DU4" s="17">
        <v>0</v>
      </c>
      <c r="DV4" s="17">
        <v>0</v>
      </c>
      <c r="DW4" s="17">
        <v>16.2</v>
      </c>
      <c r="DX4" s="17">
        <v>3.7</v>
      </c>
      <c r="DY4" s="17">
        <v>0</v>
      </c>
      <c r="DZ4" s="17">
        <v>0</v>
      </c>
      <c r="EA4" s="41">
        <f t="shared" ref="EA4:EA10" si="38">IF(SUM(DH4,DL4)&gt;0,SUM(DH4,DL4),"")</f>
        <v>12.600000000000001</v>
      </c>
      <c r="EB4" s="41">
        <f t="shared" ref="EB4:EB10" si="39">IF(SUM(DG4:DH4,DJ4:DL4,DN4)-DI4-DM4&gt;0,SUM(DG4:DH4,DJ4:DL4,DN4)-DI4-DM4,"")</f>
        <v>47.7</v>
      </c>
      <c r="EC4" s="41" t="str">
        <f t="shared" ref="EC4:EC10" si="40">IF(SUM(DO4:DP4,DR4)-DQ4&gt;0,SUM(DO4:DP4,DR4)-DQ4,"")</f>
        <v/>
      </c>
      <c r="ED4" s="41">
        <f t="shared" ref="ED4:ED10" si="41">IF(SUM(DH4,DL4,DP4)&gt;0,SUM(DH4,DL4,DP4),"")</f>
        <v>12.600000000000001</v>
      </c>
      <c r="EE4" s="41">
        <f t="shared" ref="EE4:EE10" si="42">IF(SUM(EB4,EC4)&gt;0,SUM(EB4,EC4),"")</f>
        <v>47.7</v>
      </c>
      <c r="EF4" s="41">
        <f t="shared" ref="EF4:EF10" si="43">IF(SUM(DT4,DX4)&gt;0,SUM(DT4,DX4),"")</f>
        <v>10.199999999999999</v>
      </c>
      <c r="EG4" s="41">
        <f t="shared" ref="EG4:EG10" si="44">IF(SUM(DS4:DT4,DV4:DX4,DZ4)-SUM(DU4,DY4)&gt;0,SUM(DS4:DT4,DV4:DX4,DZ4)-SUM(DU4,DY4),"")</f>
        <v>43.900000000000006</v>
      </c>
      <c r="EH4" s="41">
        <f t="shared" ref="EH4:EH10" si="45">IF(SUM(EB4,EG4)&gt;0,SUM(EB4,EG4),"")</f>
        <v>91.600000000000009</v>
      </c>
      <c r="EI4" s="18">
        <v>17.7</v>
      </c>
      <c r="EJ4" s="18">
        <v>7.7</v>
      </c>
      <c r="EK4" s="18">
        <v>0</v>
      </c>
      <c r="EL4" s="18">
        <v>0</v>
      </c>
      <c r="EM4" s="18">
        <v>17.600000000000001</v>
      </c>
      <c r="EN4" s="18">
        <v>6.9</v>
      </c>
      <c r="EO4" s="18">
        <v>0</v>
      </c>
      <c r="EP4" s="18">
        <v>0</v>
      </c>
      <c r="EQ4" s="18"/>
      <c r="ER4" s="18"/>
      <c r="ES4" s="18"/>
      <c r="ET4" s="18"/>
      <c r="EU4" s="18">
        <v>18</v>
      </c>
      <c r="EV4" s="18">
        <v>7.7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10" si="46">IF(SUM(EJ4,EN4)&gt;0,SUM(EJ4,EN4),"")</f>
        <v>14.600000000000001</v>
      </c>
      <c r="FD4" s="11">
        <f t="shared" ref="FD4:FD10" si="47">IF(SUM(EI4:EJ4,EL4:EN4,EP4)-EK4-EO4&gt;0,SUM(EI4:EJ4,EL4:EN4,EP4)-EK4-EO4,"")</f>
        <v>49.9</v>
      </c>
      <c r="FE4" s="11" t="str">
        <f t="shared" ref="FE4:FE10" si="48">IF(SUM(EQ4:ER4,ET4)-ES4&gt;0,SUM(EQ4:ER4,ET4)-ES4,"")</f>
        <v/>
      </c>
      <c r="FF4" s="11">
        <f t="shared" ref="FF4:FF10" si="49">IF(SUM(EJ4,EN4,ER4)&gt;0,SUM(EJ4,EN4,ER4),"")</f>
        <v>14.600000000000001</v>
      </c>
      <c r="FG4" s="11">
        <f t="shared" ref="FG4:FG10" si="50">IF(SUM(FD4,FE4)&gt;0,SUM(FD4,FE4),"")</f>
        <v>49.9</v>
      </c>
      <c r="FH4" s="11">
        <f t="shared" ref="FH4:FH10" si="51">IF(SUM(EV4,EZ4)&gt;0,SUM(EV4,EZ4),"")</f>
        <v>7.7</v>
      </c>
      <c r="FI4" s="11">
        <f t="shared" ref="FI4:FI10" si="52">IF(SUM(EU4:EV4,EX4:EZ4,FB4)-SUM(EW4,FA4)&gt;0,SUM(EU4:EV4,EX4:EZ4,FB4)-SUM(EW4,FA4),"")</f>
        <v>25.7</v>
      </c>
      <c r="FJ4" s="11">
        <f t="shared" ref="FJ4:FJ10" si="53">IF(SUM(FD4,FI4)&gt;0,SUM(FD4,FI4),"")</f>
        <v>75.599999999999994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0" si="54">IF(SUM(FL4,FP4)&gt;0,SUM(FL4,FP4),"")</f>
        <v/>
      </c>
      <c r="GF4" s="41" t="str">
        <f t="shared" ref="GF4:GF10" si="55">IF(SUM(FK4:FL4,FN4:FP4,FR4)-FM4-FQ4&gt;0,SUM(FK4:FL4,FN4:FP4,FR4)-FM4-FQ4,"")</f>
        <v/>
      </c>
      <c r="GG4" s="41" t="str">
        <f t="shared" ref="GG4:GG10" si="56">IF(SUM(FS4:FT4,FV4)-FU4&gt;0,SUM(FS4:FT4,FV4)-FU4,"")</f>
        <v/>
      </c>
      <c r="GH4" s="41" t="str">
        <f t="shared" ref="GH4:GH10" si="57">IF(SUM(FL4,FP4,FT4)&gt;0,SUM(FL4,FP4,FT4),"")</f>
        <v/>
      </c>
      <c r="GI4" s="41" t="str">
        <f t="shared" ref="GI4:GI10" si="58">IF(SUM(GF4,GG4)&gt;0,SUM(GF4,GG4),"")</f>
        <v/>
      </c>
      <c r="GJ4" s="41" t="str">
        <f t="shared" ref="GJ4:GJ10" si="59">IF(SUM(FX4,GB4)&gt;0,SUM(FX4,GB4),"")</f>
        <v/>
      </c>
      <c r="GK4" s="41" t="str">
        <f t="shared" ref="GK4:GK10" si="60">IF(SUM(FW4:FX4,FZ4:GB4,GD4)-SUM(FY4,GC4)&gt;0,SUM(FW4:FX4,FZ4:GB4,GD4)-SUM(FY4,GC4),"")</f>
        <v/>
      </c>
      <c r="GL4" s="41" t="str">
        <f t="shared" ref="GL4:GL10" si="61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0" si="62">IF(SUM(GN4,GR4)&gt;0,SUM(GN4,GR4),"")</f>
        <v/>
      </c>
      <c r="HH4" s="11" t="str">
        <f t="shared" ref="HH4:HH10" si="63">IF(SUM(GM4:GN4,GP4:GR4,GT4)-GO4-GS4&gt;0,SUM(GM4:GN4,GP4:GR4,GT4)-GO4-GS4,"")</f>
        <v/>
      </c>
      <c r="HI4" s="11" t="str">
        <f t="shared" ref="HI4:HI10" si="64">IF(SUM(GU4:GV4,GX4)-GW4&gt;0,SUM(GU4:GV4,GX4)-GW4,"")</f>
        <v/>
      </c>
      <c r="HJ4" s="11" t="str">
        <f t="shared" ref="HJ4:HJ10" si="65">IF(SUM(GN4,GR4,GV4)&gt;0,SUM(GN4,GR4,GV4),"")</f>
        <v/>
      </c>
      <c r="HK4" s="11" t="str">
        <f t="shared" ref="HK4:HK10" si="66">IF(SUM(HH4,HI4)&gt;0,SUM(HH4,HI4),"")</f>
        <v/>
      </c>
      <c r="HL4" s="11" t="str">
        <f t="shared" ref="HL4:HL10" si="67">IF(SUM(GZ4,HD4)&gt;0,SUM(GZ4,HD4),"")</f>
        <v/>
      </c>
      <c r="HM4" s="11" t="str">
        <f t="shared" ref="HM4:HM10" si="68">IF(SUM(GY4:GZ4,HB4:HD4,HF4)-SUM(HA4,HE4)&gt;0,SUM(GY4:GZ4,HB4:HD4,HF4)-SUM(HA4,HE4),"")</f>
        <v/>
      </c>
      <c r="HN4" s="11" t="str">
        <f t="shared" ref="HN4:HN10" si="69">IF(SUM(HH4,HM4)&gt;0,SUM(HH4,HM4),"")</f>
        <v/>
      </c>
      <c r="HO4" s="17">
        <v>16.8</v>
      </c>
      <c r="HP4" s="17">
        <v>7.3</v>
      </c>
      <c r="HQ4" s="17">
        <v>0</v>
      </c>
      <c r="HR4" s="17">
        <v>0</v>
      </c>
      <c r="HS4" s="17">
        <v>16.399999999999999</v>
      </c>
      <c r="HT4" s="17">
        <v>3.7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 t="shared" ref="II4:II10" si="70">IF(SUM(HP4,HT4)&gt;0,SUM(HP4,HT4),"")</f>
        <v>11</v>
      </c>
      <c r="IJ4" s="41">
        <f t="shared" ref="IJ4:IJ10" si="71">IF(SUM(HO4:HP4,HR4:HT4,HV4)-HQ4-HU4&gt;0,SUM(HO4:HP4,HR4:HT4,HV4)-HQ4-HU4,"")</f>
        <v>44.2</v>
      </c>
      <c r="IK4" s="41" t="str">
        <f t="shared" ref="IK4:IK10" si="72">IF(SUM(HW4:HX4,HZ4)-HY4&gt;0,SUM(HW4:HX4,HZ4)-HY4,"")</f>
        <v/>
      </c>
      <c r="IL4" s="41">
        <f t="shared" ref="IL4:IL10" si="73">IF(SUM(HP4,HT4,HX4)&gt;0,SUM(HP4,HT4,HX4),"")</f>
        <v>11</v>
      </c>
      <c r="IM4" s="41">
        <f t="shared" ref="IM4:IM10" si="74">IF(SUM(IJ4,IK4)&gt;0,SUM(IJ4,IK4),"")</f>
        <v>44.2</v>
      </c>
      <c r="IN4" s="41" t="str">
        <f t="shared" ref="IN4:IN10" si="75">IF(SUM(IB4,IF4)&gt;0,SUM(IB4,IF4),"")</f>
        <v/>
      </c>
      <c r="IO4" s="41" t="str">
        <f t="shared" ref="IO4:IO10" si="76">IF(SUM(IA4:IB4,ID4:IF4,IH4)-SUM(IC4,IG4)&gt;0,SUM(IA4:IB4,ID4:IF4,IH4)-SUM(IC4,IG4),"")</f>
        <v/>
      </c>
      <c r="IP4" s="41">
        <f t="shared" ref="IP4:IP10" si="77">IF(SUM(IJ4,IO4)&gt;0,SUM(IJ4,IO4),"")</f>
        <v>44.2</v>
      </c>
      <c r="IQ4" s="18">
        <v>17.8</v>
      </c>
      <c r="IR4" s="18">
        <v>8.1</v>
      </c>
      <c r="IS4" s="18">
        <v>0.2</v>
      </c>
      <c r="IT4" s="18">
        <v>0</v>
      </c>
      <c r="IU4" s="18">
        <v>18</v>
      </c>
      <c r="IV4" s="18">
        <v>7.7</v>
      </c>
      <c r="IW4" s="18">
        <v>0</v>
      </c>
      <c r="IX4" s="18">
        <v>0</v>
      </c>
      <c r="IY4" s="18">
        <v>17.7</v>
      </c>
      <c r="IZ4" s="18">
        <v>8.9</v>
      </c>
      <c r="JA4" s="18">
        <v>0</v>
      </c>
      <c r="JB4" s="18">
        <v>0</v>
      </c>
      <c r="JC4" s="18"/>
      <c r="JD4" s="18"/>
      <c r="JE4" s="18"/>
      <c r="JF4" s="18"/>
      <c r="JG4" s="18"/>
      <c r="JH4" s="18"/>
      <c r="JI4" s="18"/>
      <c r="JJ4" s="18"/>
      <c r="JK4" s="11">
        <f t="shared" ref="JK4:JK10" si="78">IF(SUM(IR4,IV4)&gt;0,SUM(IR4,IV4),"")</f>
        <v>15.8</v>
      </c>
      <c r="JL4" s="11">
        <f t="shared" ref="JL4:JL10" si="79">IF(SUM(IQ4:IR4,IT4:IV4,IX4)-IS4-IW4&gt;0,SUM(IQ4:IR4,IT4:IV4,IX4)-IS4-IW4,"")</f>
        <v>51.4</v>
      </c>
      <c r="JM4" s="11">
        <f t="shared" ref="JM4:JM10" si="80">IF(SUM(IY4:IZ4,JB4)-JA4&gt;0,SUM(IY4:IZ4,JB4)-JA4,"")</f>
        <v>26.6</v>
      </c>
      <c r="JN4" s="11">
        <f t="shared" ref="JN4:JN10" si="81">IF(SUM(IR4,IV4,IZ4)&gt;0,SUM(IR4,IV4,IZ4),"")</f>
        <v>24.700000000000003</v>
      </c>
      <c r="JO4" s="11">
        <f t="shared" ref="JO4:JO10" si="82">IF(SUM(JL4,JM4)&gt;0,SUM(JL4,JM4),"")</f>
        <v>78</v>
      </c>
      <c r="JP4" s="11" t="str">
        <f t="shared" ref="JP4:JP10" si="83">IF(SUM(JD4,JH4)&gt;0,SUM(JD4,JH4),"")</f>
        <v/>
      </c>
      <c r="JQ4" s="11" t="str">
        <f t="shared" ref="JQ4:JQ10" si="84">IF(SUM(JC4:JD4,JF4:JH4,JJ4)-SUM(JE4,JI4)&gt;0,SUM(JC4:JD4,JF4:JH4,JJ4)-SUM(JE4,JI4),"")</f>
        <v/>
      </c>
      <c r="JR4" s="11">
        <f t="shared" ref="JR4:JR10" si="85">IF(SUM(JL4,JQ4)&gt;0,SUM(JL4,JQ4),"")</f>
        <v>51.4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17.899999999999999</v>
      </c>
      <c r="KJ4" s="17">
        <v>7.7</v>
      </c>
      <c r="KK4" s="17">
        <v>0</v>
      </c>
      <c r="KL4" s="17">
        <v>0</v>
      </c>
      <c r="KM4" s="41" t="str">
        <f t="shared" ref="KM4:KM10" si="86">IF(SUM(JT4,JX4)&gt;0,SUM(JT4,JX4),"")</f>
        <v/>
      </c>
      <c r="KN4" s="41" t="str">
        <f t="shared" ref="KN4:KN10" si="87">IF(SUM(JS4:JT4,JV4:JX4,JZ4)-JU4-JY4&gt;0,SUM(JS4:JT4,JV4:JX4,JZ4)-JU4-JY4,"")</f>
        <v/>
      </c>
      <c r="KO4" s="41" t="str">
        <f t="shared" ref="KO4:KO10" si="88">IF(SUM(KA4:KB4,KD4)-KC4&gt;0,SUM(KA4:KB4,KD4)-KC4,"")</f>
        <v/>
      </c>
      <c r="KP4" s="41" t="str">
        <f t="shared" ref="KP4:KP10" si="89">IF(SUM(JT4,JX4,KB4)&gt;0,SUM(JT4,JX4,KB4),"")</f>
        <v/>
      </c>
      <c r="KQ4" s="41" t="str">
        <f t="shared" ref="KQ4:KQ10" si="90">IF(SUM(KN4,KO4)&gt;0,SUM(KN4,KO4),"")</f>
        <v/>
      </c>
      <c r="KR4" s="41">
        <f t="shared" ref="KR4:KR10" si="91">IF(SUM(KF4,KJ4)&gt;0,SUM(KF4,KJ4),"")</f>
        <v>7.7</v>
      </c>
      <c r="KS4" s="41">
        <f t="shared" ref="KS4:KS10" si="92">IF(SUM(KE4:KF4,KH4:KJ4,KL4)-SUM(KG4,KK4)&gt;0,SUM(KE4:KF4,KH4:KJ4,KL4)-SUM(KG4,KK4),"")</f>
        <v>25.599999999999998</v>
      </c>
      <c r="KT4" s="41">
        <f t="shared" ref="KT4:KT10" si="93">IF(SUM(KN4,KS4)&gt;0,SUM(KN4,KS4),"")</f>
        <v>25.599999999999998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0" si="94">IF(SUM(KV4,KZ4)&gt;0,SUM(KV4,KZ4),"")</f>
        <v/>
      </c>
      <c r="LP4" s="11" t="str">
        <f t="shared" ref="LP4:LP10" si="95">IF(SUM(KU4:KV4,KX4:KZ4,LB4)-KW4-LA4&gt;0,SUM(KU4:KV4,KX4:KZ4,LB4)-KW4-LA4,"")</f>
        <v/>
      </c>
      <c r="LQ4" s="11" t="str">
        <f t="shared" ref="LQ4:LQ10" si="96">IF(SUM(LC4:LD4,LF4)-LE4&gt;0,SUM(LC4:LD4,LF4)-LE4,"")</f>
        <v/>
      </c>
      <c r="LR4" s="11" t="str">
        <f t="shared" ref="LR4:LR10" si="97">IF(SUM(KV4,KZ4,LD4)&gt;0,SUM(KV4,KZ4,LD4),"")</f>
        <v/>
      </c>
      <c r="LS4" s="11" t="str">
        <f t="shared" ref="LS4:LS10" si="98">IF(SUM(LP4,LQ4)&gt;0,SUM(LP4,LQ4),"")</f>
        <v/>
      </c>
      <c r="LT4" s="11" t="str">
        <f t="shared" ref="LT4:LT10" si="99">IF(SUM(LH4,LL4)&gt;0,SUM(LH4,LL4),"")</f>
        <v/>
      </c>
      <c r="LU4" s="11" t="str">
        <f t="shared" ref="LU4:LU10" si="100">IF(SUM(LG4:LH4,LJ4:LL4,LN4)-SUM(LI4,LM4)&gt;0,SUM(LG4:LH4,LJ4:LL4,LN4)-SUM(LI4,LM4),"")</f>
        <v/>
      </c>
      <c r="LV4" s="11" t="str">
        <f t="shared" ref="LV4:LV10" si="101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0" si="102">IF(SUM(LX4,MB4)&gt;0,SUM(LX4,MB4),"")</f>
        <v/>
      </c>
      <c r="MR4" s="41" t="str">
        <f t="shared" ref="MR4:MR10" si="103">IF(SUM(LW4:LX4,LZ4:MB4,MD4)-LY4-MC4&gt;0,SUM(LW4:LX4,LZ4:MB4,MD4)-LY4-MC4,"")</f>
        <v/>
      </c>
      <c r="MS4" s="41" t="str">
        <f t="shared" ref="MS4:MS10" si="104">IF(SUM(ME4:MF4,MH4)-MG4&gt;0,SUM(ME4:MF4,MH4)-MG4,"")</f>
        <v/>
      </c>
      <c r="MT4" s="41" t="str">
        <f t="shared" ref="MT4:MT10" si="105">IF(SUM(LX4,MB4,MF4)&gt;0,SUM(LX4,MB4,MF4),"")</f>
        <v/>
      </c>
      <c r="MU4" s="41" t="str">
        <f t="shared" ref="MU4:MU10" si="106">IF(SUM(MR4,MS4)&gt;0,SUM(MR4,MS4),"")</f>
        <v/>
      </c>
      <c r="MV4" s="41" t="str">
        <f t="shared" ref="MV4:MV10" si="107">IF(SUM(MJ4,MN4)&gt;0,SUM(MJ4,MN4),"")</f>
        <v/>
      </c>
      <c r="MW4" s="41" t="str">
        <f t="shared" ref="MW4:MW10" si="108">IF(SUM(MI4:MJ4,ML4:MN4,MP4)-SUM(MK4,MO4)&gt;0,SUM(MI4:MJ4,ML4:MN4,MP4)-SUM(MK4,MO4),"")</f>
        <v/>
      </c>
      <c r="MX4" s="41" t="str">
        <f t="shared" ref="MX4:MX10" si="109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0" si="110">IF(SUM(MZ4,ND4)&gt;0,SUM(MZ4,ND4),"")</f>
        <v/>
      </c>
      <c r="NT4" s="11" t="str">
        <f t="shared" ref="NT4:NT10" si="111">IF(SUM(MY4:MZ4,NB4:ND4,NF4)-NA4-NE4&gt;0,SUM(MY4:MZ4,NB4:ND4,NF4)-NA4-NE4,"")</f>
        <v/>
      </c>
      <c r="NU4" s="11" t="str">
        <f t="shared" ref="NU4:NU10" si="112">IF(SUM(NG4:NH4,NJ4)-NI4&gt;0,SUM(NG4:NH4,NJ4)-NI4,"")</f>
        <v/>
      </c>
      <c r="NV4" s="11" t="str">
        <f t="shared" ref="NV4:NV10" si="113">IF(SUM(MZ4,ND4,NH4)&gt;0,SUM(MZ4,ND4,NH4),"")</f>
        <v/>
      </c>
      <c r="NW4" s="11" t="str">
        <f t="shared" ref="NW4:NW10" si="114">IF(SUM(NT4,NU4)&gt;0,SUM(NT4,NU4),"")</f>
        <v/>
      </c>
      <c r="NX4" s="11" t="str">
        <f t="shared" ref="NX4:NX10" si="115">IF(SUM(NL4,NP4)&gt;0,SUM(NL4,NP4),"")</f>
        <v/>
      </c>
      <c r="NY4" s="11" t="str">
        <f t="shared" ref="NY4:NY10" si="116">IF(SUM(NK4:NL4,NN4:NP4,NR4)-SUM(NM4,NQ4)&gt;0,SUM(NK4:NL4,NN4:NP4,NR4)-SUM(NM4,NQ4),"")</f>
        <v/>
      </c>
      <c r="NZ4" s="11" t="str">
        <f t="shared" ref="NZ4:NZ10" si="117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0" si="118">IF(SUM(OB4,OF4)&gt;0,SUM(OB4,OF4),"")</f>
        <v/>
      </c>
      <c r="OV4" s="41" t="str">
        <f t="shared" ref="OV4:OV10" si="119">IF(SUM(OA4:OB4,OD4:OF4,OH4)-OC4-OG4&gt;0,SUM(OA4:OB4,OD4:OF4,OH4)-OC4-OG4,"")</f>
        <v/>
      </c>
      <c r="OW4" s="41" t="str">
        <f t="shared" ref="OW4:OW10" si="120">IF(SUM(OI4:OJ4,OL4)-OK4&gt;0,SUM(OI4:OJ4,OL4)-OK4,"")</f>
        <v/>
      </c>
      <c r="OX4" s="41" t="str">
        <f t="shared" ref="OX4:OX10" si="121">IF(SUM(OB4,OF4,OJ4)&gt;0,SUM(OB4,OF4,OJ4),"")</f>
        <v/>
      </c>
      <c r="OY4" s="41" t="str">
        <f t="shared" ref="OY4:OY10" si="122">IF(SUM(OV4,OW4)&gt;0,SUM(OV4,OW4),"")</f>
        <v/>
      </c>
      <c r="OZ4" s="41" t="str">
        <f t="shared" ref="OZ4:OZ10" si="123">IF(SUM(ON4,OR4)&gt;0,SUM(ON4,OR4),"")</f>
        <v/>
      </c>
      <c r="PA4" s="41" t="str">
        <f t="shared" ref="PA4:PA10" si="124">IF(SUM(OM4:ON4,OP4:OR4,OT4)-SUM(OO4,OS4)&gt;0,SUM(OM4:ON4,OP4:OR4,OT4)-SUM(OO4,OS4),"")</f>
        <v/>
      </c>
      <c r="PB4" s="41" t="str">
        <f t="shared" ref="PB4:PB10" si="125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0" si="126">IF(SUM(PD4,PH4)&gt;0,SUM(PD4,PH4),"")</f>
        <v/>
      </c>
      <c r="PX4" s="11" t="str">
        <f t="shared" ref="PX4:PX10" si="127">IF(SUM(PC4:PD4,PF4:PH4,PJ4)-PE4-PI4&gt;0,SUM(PC4:PD4,PF4:PH4,PJ4)-PE4-PI4,"")</f>
        <v/>
      </c>
      <c r="PY4" s="11" t="str">
        <f t="shared" ref="PY4:PY10" si="128">IF(SUM(PK4:PL4,PN4)-PM4&gt;0,SUM(PK4:PL4,PN4)-PM4,"")</f>
        <v/>
      </c>
      <c r="PZ4" s="11" t="str">
        <f t="shared" ref="PZ4:PZ10" si="129">IF(SUM(PD4,PH4,PL4)&gt;0,SUM(PD4,PH4,PL4),"")</f>
        <v/>
      </c>
      <c r="QA4" s="11" t="str">
        <f t="shared" ref="QA4:QA10" si="130">IF(SUM(PX4,PY4)&gt;0,SUM(PX4,PY4),"")</f>
        <v/>
      </c>
      <c r="QB4" s="11" t="str">
        <f t="shared" ref="QB4:QB10" si="131">IF(SUM(PP4,PT4)&gt;0,SUM(PP4,PT4),"")</f>
        <v/>
      </c>
      <c r="QC4" s="11" t="str">
        <f t="shared" ref="QC4:QC10" si="132">IF(SUM(PO4:PP4,PR4:PT4,PV4)-SUM(PQ4,PU4)&gt;0,SUM(PO4:PP4,PR4:PT4,PV4)-SUM(PQ4,PU4),"")</f>
        <v/>
      </c>
      <c r="QD4" s="11" t="str">
        <f t="shared" ref="QD4:QD10" si="133">IF(SUM(PX4,QC4)&gt;0,SUM(PX4,QC4),"")</f>
        <v/>
      </c>
      <c r="QE4" s="23">
        <f t="shared" ref="QE4:QN10" si="134">IF($CU4="P",CA4,(CA4+AX4)/2)</f>
        <v>18.3</v>
      </c>
      <c r="QF4" s="23">
        <f t="shared" si="134"/>
        <v>7.5</v>
      </c>
      <c r="QG4" s="23">
        <f t="shared" si="134"/>
        <v>0</v>
      </c>
      <c r="QH4" s="23">
        <f t="shared" si="134"/>
        <v>0</v>
      </c>
      <c r="QI4" s="23">
        <f t="shared" si="134"/>
        <v>17.95</v>
      </c>
      <c r="QJ4" s="23">
        <f t="shared" si="134"/>
        <v>6.7</v>
      </c>
      <c r="QK4" s="23">
        <f t="shared" si="134"/>
        <v>0</v>
      </c>
      <c r="QL4" s="23">
        <f t="shared" si="134"/>
        <v>0</v>
      </c>
      <c r="QM4" s="23">
        <f t="shared" si="134"/>
        <v>9.4499999999999993</v>
      </c>
      <c r="QN4" s="23">
        <f t="shared" si="134"/>
        <v>4.05</v>
      </c>
      <c r="QO4" s="23">
        <f t="shared" ref="QO4:QX10" si="135">IF($CU4="P",CK4,(CK4+BH4)/2)</f>
        <v>0</v>
      </c>
      <c r="QP4" s="23">
        <f t="shared" si="135"/>
        <v>0</v>
      </c>
      <c r="QQ4" s="23">
        <f t="shared" si="135"/>
        <v>18.53</v>
      </c>
      <c r="QR4" s="23">
        <f t="shared" si="135"/>
        <v>7.5</v>
      </c>
      <c r="QS4" s="23">
        <f t="shared" si="135"/>
        <v>0</v>
      </c>
      <c r="QT4" s="23">
        <f t="shared" si="135"/>
        <v>0</v>
      </c>
      <c r="QU4" s="23">
        <f t="shared" si="135"/>
        <v>18.100000000000001</v>
      </c>
      <c r="QV4" s="23">
        <f t="shared" si="135"/>
        <v>7.3000000000000007</v>
      </c>
      <c r="QW4" s="23">
        <f t="shared" si="135"/>
        <v>0</v>
      </c>
      <c r="QX4" s="23">
        <f t="shared" si="135"/>
        <v>0</v>
      </c>
      <c r="QY4" s="28" t="s">
        <v>58</v>
      </c>
      <c r="QZ4" s="41">
        <f t="shared" ref="QZ4:QZ10" si="136">IF(SUM(QF4,QJ4)&gt;0,SUM(QF4,QJ4),"")</f>
        <v>14.2</v>
      </c>
      <c r="RA4" s="41">
        <f t="shared" ref="RA4:RA10" si="137">IF(SUM(QE4:QF4,QH4:QJ4,QL4)-QG4-QK4&gt;0,SUM(QE4:QF4,QH4:QJ4,QL4)-QG4-QK4,"")</f>
        <v>50.45</v>
      </c>
      <c r="RB4" s="41">
        <f t="shared" ref="RB4:RB10" si="138">IF(SUM(QM4:QN4,QP4)-QO4&gt;0,SUM(QM4:QN4,QP4)-QO4,"")</f>
        <v>13.5</v>
      </c>
      <c r="RC4" s="41">
        <f t="shared" ref="RC4:RC10" si="139">IF(SUM(QF4,QJ4,QN4)&gt;0,SUM(QF4,QJ4,QN4),"")</f>
        <v>18.25</v>
      </c>
      <c r="RD4" s="41">
        <f t="shared" ref="RD4:RD10" si="140">IF(SUM(RA4,RB4)&gt;0,SUM(RA4,RB4),"")</f>
        <v>63.95</v>
      </c>
      <c r="RE4" s="41">
        <f t="shared" ref="RE4:RE10" si="141">IF(SUM(QR4,QV4)&gt;0,SUM(QR4,QV4),"")</f>
        <v>14.8</v>
      </c>
      <c r="RF4" s="41">
        <f t="shared" ref="RF4:RF10" si="142">IF(SUM(QQ4:QR4,QT4:QV4,QX4)-SUM(QS4,QW4)&gt;0,SUM(QQ4:QR4,QT4:QV4,QX4)-SUM(QS4,QW4),"")</f>
        <v>51.430000000000007</v>
      </c>
      <c r="RG4" s="41">
        <f t="shared" ref="RG4:RG10" si="143">IF(SUM(RA4,RF4)&gt;0,SUM(RA4,RF4),"")</f>
        <v>101.88000000000001</v>
      </c>
    </row>
    <row r="5" spans="1:475" x14ac:dyDescent="0.2">
      <c r="A5" s="4">
        <f>IF(AND(F5="P",G5="P"),SUMPRODUCT((F$4:F$11="P")*(G$4:G$11="P")*(E$4:E$11&gt;E5))+1,IF(G5="P",SUMPRODUCT((F$4:F$11="")*(G$4:G$11="P")*(E$4:E$11&gt;E5))+1+SUMPRODUCT((F$4:F$11="P")*(G$4:G$11="P")),""))</f>
        <v>2</v>
      </c>
      <c r="B5" s="5" t="s">
        <v>217</v>
      </c>
      <c r="C5" s="4" t="s">
        <v>3</v>
      </c>
      <c r="D5" s="4">
        <v>2006</v>
      </c>
      <c r="E5" s="9">
        <f t="shared" si="0"/>
        <v>176.00001203000497</v>
      </c>
      <c r="F5" s="3" t="str">
        <f t="shared" si="1"/>
        <v>P</v>
      </c>
      <c r="G5" s="3" t="str">
        <f t="shared" si="2"/>
        <v>P</v>
      </c>
      <c r="H5" s="37" t="str">
        <f>IF(AND(G5="P",F5=""),"No DD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Merit",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Excellence",IF(I5="P","Worlds Team",IF(F5="P","National Team","")))))</f>
        <v>Excellence</v>
      </c>
      <c r="I5" s="3" t="str">
        <f>IF(OR(AND(AS5&gt;=AW$14,AT5&gt;=AW$18,AS5&lt;&gt;"",AO5=""),AND(BV5&gt;=BZ$14,BW5&gt;=BZ$18,BV5&lt;&gt;"",BR5=""),AND(CY5&gt;=DC$14,CZ5&gt;=DC$18,CY5&lt;&gt;"",CU5=""),AND(ED5&gt;=EH$14,EE5&gt;=EH$18,ED5&lt;&gt;""),AND(FF5&gt;=FJ$14,FG5&gt;=FJ$18,FF5&lt;&gt;""),AND(GH5&gt;=GL$14,GI5&gt;=GL$18,GH5&lt;&gt;""),AND(HJ5&gt;=HN$14,HK5&gt;=HN$18,HJ5&lt;&gt;""),AND(IL5&gt;=IP$14,IM5&gt;=IP$18,IL5&lt;&gt;""),AND(JN5&gt;=JR$14,JO5&gt;=JR$18,JN5&lt;&gt;""),AND(KP5&gt;=KT$14,KQ5&gt;=KT$18,KP5&lt;&gt;""),AND(LR5&gt;=LV$14,LS5&gt;=LV$18,LR5&lt;&gt;""),AND(MT5&gt;=MX$14,MU5&gt;=MX$18,MT5&lt;&gt;""),AND(NV5&gt;=NZ$14,NW5&gt;=NZ$18,NV5&lt;&gt;""),AND(OX5&gt;=PB$14,OY5&gt;=PB$18,OX5&lt;&gt;""),AND(PZ5&gt;=QD$14,QA5&gt;=QD$18,PZ5&lt;&gt;"")),"P","")</f>
        <v>P</v>
      </c>
      <c r="J5" s="8">
        <f>IF(COUNT(AQ5,BT5,CW5)&gt;0,LARGE((AQ5,BT5,CW5),1),0)</f>
        <v>49.6</v>
      </c>
      <c r="K5" s="8" t="str">
        <f t="shared" si="3"/>
        <v>2022 3rd Domestic Trial</v>
      </c>
      <c r="L5" s="8">
        <f>IF(COUNT(AQ5,BT5,CW5)&gt;1,LARGE((AQ5,BT5,CW5),2),0)</f>
        <v>45.6</v>
      </c>
      <c r="M5" s="8" t="str">
        <f t="shared" si="4"/>
        <v>2023 Elite Canada</v>
      </c>
      <c r="N5" s="8">
        <f>IF(COUNT(AR5,BU5,CX5)&gt;0,LARGE((AR5,BU5,CX5),1),0)</f>
        <v>25.1</v>
      </c>
      <c r="O5" s="8" t="str">
        <f t="shared" si="5"/>
        <v>2023 Elite Canada</v>
      </c>
      <c r="P5" s="8">
        <f t="shared" si="6"/>
        <v>50.699999999999996</v>
      </c>
      <c r="Q5" s="8" t="str">
        <f t="shared" si="7"/>
        <v>2023 Elite Canada</v>
      </c>
      <c r="R5" s="8">
        <f t="shared" si="8"/>
        <v>4.9999999999999929</v>
      </c>
      <c r="S5" s="11" t="str">
        <f t="shared" si="9"/>
        <v>(Q1)</v>
      </c>
      <c r="T5" s="8" t="str">
        <f t="shared" si="10"/>
        <v>2022 WAGC (Nov 24)</v>
      </c>
      <c r="U5" s="19">
        <v>8.85</v>
      </c>
      <c r="V5" s="19">
        <v>3.45</v>
      </c>
      <c r="W5" s="19">
        <v>0.1</v>
      </c>
      <c r="X5" s="19">
        <v>0.15</v>
      </c>
      <c r="Y5" s="19">
        <v>8.5</v>
      </c>
      <c r="Z5" s="19">
        <v>3.15</v>
      </c>
      <c r="AA5" s="19">
        <v>0</v>
      </c>
      <c r="AB5" s="19">
        <v>0.15</v>
      </c>
      <c r="AC5" s="19"/>
      <c r="AD5" s="19"/>
      <c r="AE5" s="19"/>
      <c r="AF5" s="19"/>
      <c r="AG5" s="19">
        <v>8.85</v>
      </c>
      <c r="AH5" s="19">
        <v>3.25</v>
      </c>
      <c r="AI5" s="19">
        <v>0</v>
      </c>
      <c r="AJ5" s="19">
        <v>0.15</v>
      </c>
      <c r="AK5" s="19">
        <v>8.65</v>
      </c>
      <c r="AL5" s="19">
        <v>3.15</v>
      </c>
      <c r="AM5" s="19">
        <v>0</v>
      </c>
      <c r="AN5" s="19">
        <v>0.15</v>
      </c>
      <c r="AO5" s="28" t="s">
        <v>58</v>
      </c>
      <c r="AP5" s="41">
        <f t="shared" si="11"/>
        <v>6.6</v>
      </c>
      <c r="AQ5" s="41">
        <f t="shared" si="12"/>
        <v>24.15</v>
      </c>
      <c r="AR5" s="41" t="str">
        <f t="shared" si="13"/>
        <v/>
      </c>
      <c r="AS5" s="41">
        <f t="shared" si="14"/>
        <v>6.6</v>
      </c>
      <c r="AT5" s="41">
        <f t="shared" si="15"/>
        <v>24.15</v>
      </c>
      <c r="AU5" s="41">
        <f t="shared" si="16"/>
        <v>6.4</v>
      </c>
      <c r="AV5" s="41">
        <f t="shared" si="17"/>
        <v>24.199999999999996</v>
      </c>
      <c r="AW5" s="41">
        <f t="shared" si="18"/>
        <v>48.349999999999994</v>
      </c>
      <c r="AX5" s="18">
        <v>17.2</v>
      </c>
      <c r="AY5" s="18">
        <v>7.8</v>
      </c>
      <c r="AZ5" s="18">
        <v>0</v>
      </c>
      <c r="BA5" s="18">
        <v>0.3</v>
      </c>
      <c r="BB5" s="18">
        <v>17.100000000000001</v>
      </c>
      <c r="BC5" s="18">
        <v>6.9</v>
      </c>
      <c r="BD5" s="18">
        <v>0</v>
      </c>
      <c r="BE5" s="18">
        <v>0.3</v>
      </c>
      <c r="BF5" s="18"/>
      <c r="BG5" s="18"/>
      <c r="BH5" s="18"/>
      <c r="BI5" s="18"/>
      <c r="BJ5" s="18">
        <v>17.100000000000001</v>
      </c>
      <c r="BK5" s="18">
        <v>7.8</v>
      </c>
      <c r="BL5" s="18">
        <v>0</v>
      </c>
      <c r="BM5" s="18">
        <v>0.3</v>
      </c>
      <c r="BN5" s="18">
        <v>17.3</v>
      </c>
      <c r="BO5" s="18">
        <v>7.3</v>
      </c>
      <c r="BP5" s="18">
        <v>0</v>
      </c>
      <c r="BQ5" s="18">
        <v>0.3</v>
      </c>
      <c r="BR5" s="29"/>
      <c r="BS5" s="11">
        <f t="shared" si="19"/>
        <v>14.7</v>
      </c>
      <c r="BT5" s="11">
        <f t="shared" si="20"/>
        <v>49.6</v>
      </c>
      <c r="BU5" s="11" t="str">
        <f t="shared" si="21"/>
        <v/>
      </c>
      <c r="BV5" s="11">
        <f t="shared" si="22"/>
        <v>14.7</v>
      </c>
      <c r="BW5" s="11">
        <f t="shared" si="23"/>
        <v>49.6</v>
      </c>
      <c r="BX5" s="11">
        <f t="shared" si="24"/>
        <v>15.1</v>
      </c>
      <c r="BY5" s="11">
        <f t="shared" si="25"/>
        <v>50.099999999999994</v>
      </c>
      <c r="BZ5" s="11">
        <f t="shared" si="26"/>
        <v>99.699999999999989</v>
      </c>
      <c r="CA5" s="19">
        <v>16.899999999999999</v>
      </c>
      <c r="CB5" s="19">
        <v>3.3</v>
      </c>
      <c r="CC5" s="19">
        <v>0</v>
      </c>
      <c r="CD5" s="19">
        <v>0</v>
      </c>
      <c r="CE5" s="19">
        <v>18.5</v>
      </c>
      <c r="CF5" s="19">
        <v>6.9</v>
      </c>
      <c r="CG5" s="19">
        <v>0</v>
      </c>
      <c r="CH5" s="19">
        <v>0</v>
      </c>
      <c r="CI5" s="19">
        <v>18.600000000000001</v>
      </c>
      <c r="CJ5" s="19">
        <v>6.5</v>
      </c>
      <c r="CK5" s="19">
        <v>0</v>
      </c>
      <c r="CL5" s="19">
        <v>0</v>
      </c>
      <c r="CM5" s="19">
        <v>18.899999999999999</v>
      </c>
      <c r="CN5" s="19">
        <v>6.9</v>
      </c>
      <c r="CO5" s="19">
        <v>0</v>
      </c>
      <c r="CP5" s="19">
        <v>0</v>
      </c>
      <c r="CQ5" s="19">
        <v>18</v>
      </c>
      <c r="CR5" s="19">
        <v>6.9</v>
      </c>
      <c r="CS5" s="19">
        <v>0</v>
      </c>
      <c r="CT5" s="19">
        <v>0</v>
      </c>
      <c r="CU5" s="28"/>
      <c r="CV5" s="41">
        <f t="shared" si="27"/>
        <v>10.199999999999999</v>
      </c>
      <c r="CW5" s="41">
        <f t="shared" si="28"/>
        <v>45.6</v>
      </c>
      <c r="CX5" s="41">
        <f t="shared" si="29"/>
        <v>25.1</v>
      </c>
      <c r="CY5" s="41">
        <f t="shared" si="30"/>
        <v>16.7</v>
      </c>
      <c r="CZ5" s="41">
        <f t="shared" si="31"/>
        <v>70.7</v>
      </c>
      <c r="DA5" s="41">
        <f t="shared" si="32"/>
        <v>13.8</v>
      </c>
      <c r="DB5" s="41">
        <f t="shared" si="33"/>
        <v>50.699999999999996</v>
      </c>
      <c r="DC5" s="41">
        <f t="shared" si="34"/>
        <v>96.3</v>
      </c>
      <c r="DD5" s="52">
        <f t="shared" si="35"/>
        <v>4.9999999999999929</v>
      </c>
      <c r="DE5" s="52" t="str">
        <f t="shared" si="36"/>
        <v/>
      </c>
      <c r="DF5" s="52" t="str">
        <f t="shared" si="37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38"/>
        <v/>
      </c>
      <c r="EB5" s="41" t="str">
        <f t="shared" si="39"/>
        <v/>
      </c>
      <c r="EC5" s="41" t="str">
        <f t="shared" si="40"/>
        <v/>
      </c>
      <c r="ED5" s="41" t="str">
        <f t="shared" si="41"/>
        <v/>
      </c>
      <c r="EE5" s="41" t="str">
        <f t="shared" si="42"/>
        <v/>
      </c>
      <c r="EF5" s="41" t="str">
        <f t="shared" si="43"/>
        <v/>
      </c>
      <c r="EG5" s="41" t="str">
        <f t="shared" si="44"/>
        <v/>
      </c>
      <c r="EH5" s="41" t="str">
        <f t="shared" si="45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6"/>
        <v/>
      </c>
      <c r="FD5" s="11" t="str">
        <f t="shared" si="47"/>
        <v/>
      </c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 t="str">
        <f t="shared" si="53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4"/>
        <v/>
      </c>
      <c r="GF5" s="41" t="str">
        <f t="shared" si="55"/>
        <v/>
      </c>
      <c r="GG5" s="41" t="str">
        <f t="shared" si="56"/>
        <v/>
      </c>
      <c r="GH5" s="41" t="str">
        <f t="shared" si="57"/>
        <v/>
      </c>
      <c r="GI5" s="41" t="str">
        <f t="shared" si="58"/>
        <v/>
      </c>
      <c r="GJ5" s="41" t="str">
        <f t="shared" si="59"/>
        <v/>
      </c>
      <c r="GK5" s="41" t="str">
        <f t="shared" si="60"/>
        <v/>
      </c>
      <c r="GL5" s="41" t="str">
        <f t="shared" si="61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2"/>
        <v/>
      </c>
      <c r="HH5" s="11" t="str">
        <f t="shared" si="63"/>
        <v/>
      </c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0"/>
        <v/>
      </c>
      <c r="IJ5" s="41" t="str">
        <f t="shared" si="71"/>
        <v/>
      </c>
      <c r="IK5" s="41" t="str">
        <f t="shared" si="72"/>
        <v/>
      </c>
      <c r="IL5" s="41" t="str">
        <f t="shared" si="73"/>
        <v/>
      </c>
      <c r="IM5" s="41" t="str">
        <f t="shared" si="74"/>
        <v/>
      </c>
      <c r="IN5" s="41" t="str">
        <f t="shared" si="75"/>
        <v/>
      </c>
      <c r="IO5" s="41" t="str">
        <f t="shared" si="76"/>
        <v/>
      </c>
      <c r="IP5" s="41" t="str">
        <f t="shared" si="77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8"/>
        <v/>
      </c>
      <c r="JL5" s="11" t="str">
        <f t="shared" si="79"/>
        <v/>
      </c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6"/>
        <v/>
      </c>
      <c r="KN5" s="41" t="str">
        <f t="shared" si="87"/>
        <v/>
      </c>
      <c r="KO5" s="41" t="str">
        <f t="shared" si="88"/>
        <v/>
      </c>
      <c r="KP5" s="41" t="str">
        <f t="shared" si="89"/>
        <v/>
      </c>
      <c r="KQ5" s="41" t="str">
        <f t="shared" si="90"/>
        <v/>
      </c>
      <c r="KR5" s="41" t="str">
        <f t="shared" si="91"/>
        <v/>
      </c>
      <c r="KS5" s="41" t="str">
        <f t="shared" si="92"/>
        <v/>
      </c>
      <c r="KT5" s="41" t="str">
        <f t="shared" si="93"/>
        <v/>
      </c>
      <c r="KU5" s="18">
        <v>18.3</v>
      </c>
      <c r="KV5" s="18">
        <v>7.6</v>
      </c>
      <c r="KW5" s="18">
        <v>0</v>
      </c>
      <c r="KX5" s="18">
        <v>0</v>
      </c>
      <c r="KY5" s="18">
        <v>17.399999999999999</v>
      </c>
      <c r="KZ5" s="18">
        <v>7.3</v>
      </c>
      <c r="LA5" s="18">
        <v>0</v>
      </c>
      <c r="LB5" s="18">
        <v>0</v>
      </c>
      <c r="LC5" s="18"/>
      <c r="LD5" s="18"/>
      <c r="LE5" s="18"/>
      <c r="LF5" s="18"/>
      <c r="LG5" s="18">
        <v>16.7</v>
      </c>
      <c r="LH5" s="18">
        <v>8.8000000000000007</v>
      </c>
      <c r="LI5" s="18">
        <v>0</v>
      </c>
      <c r="LJ5" s="18">
        <v>0</v>
      </c>
      <c r="LK5" s="18">
        <v>16.5</v>
      </c>
      <c r="LL5" s="18">
        <v>3.3</v>
      </c>
      <c r="LM5" s="18">
        <v>0</v>
      </c>
      <c r="LN5" s="18">
        <v>0</v>
      </c>
      <c r="LO5" s="11">
        <f t="shared" si="94"/>
        <v>14.899999999999999</v>
      </c>
      <c r="LP5" s="11">
        <f t="shared" si="95"/>
        <v>50.599999999999994</v>
      </c>
      <c r="LQ5" s="11" t="str">
        <f t="shared" si="96"/>
        <v/>
      </c>
      <c r="LR5" s="11">
        <f t="shared" si="97"/>
        <v>14.899999999999999</v>
      </c>
      <c r="LS5" s="11">
        <f t="shared" si="98"/>
        <v>50.599999999999994</v>
      </c>
      <c r="LT5" s="11">
        <f t="shared" si="99"/>
        <v>12.100000000000001</v>
      </c>
      <c r="LU5" s="11">
        <f t="shared" si="100"/>
        <v>45.3</v>
      </c>
      <c r="LV5" s="11">
        <f t="shared" si="101"/>
        <v>95.899999999999991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2"/>
        <v/>
      </c>
      <c r="MR5" s="41" t="str">
        <f t="shared" si="103"/>
        <v/>
      </c>
      <c r="MS5" s="41" t="str">
        <f t="shared" si="104"/>
        <v/>
      </c>
      <c r="MT5" s="41" t="str">
        <f t="shared" si="105"/>
        <v/>
      </c>
      <c r="MU5" s="41" t="str">
        <f t="shared" si="106"/>
        <v/>
      </c>
      <c r="MV5" s="41" t="str">
        <f t="shared" si="107"/>
        <v/>
      </c>
      <c r="MW5" s="41" t="str">
        <f t="shared" si="108"/>
        <v/>
      </c>
      <c r="MX5" s="41" t="str">
        <f t="shared" si="109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0"/>
        <v/>
      </c>
      <c r="NT5" s="11" t="str">
        <f t="shared" si="111"/>
        <v/>
      </c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8"/>
        <v/>
      </c>
      <c r="OV5" s="41" t="str">
        <f t="shared" si="119"/>
        <v/>
      </c>
      <c r="OW5" s="41" t="str">
        <f t="shared" si="120"/>
        <v/>
      </c>
      <c r="OX5" s="41" t="str">
        <f t="shared" si="121"/>
        <v/>
      </c>
      <c r="OY5" s="41" t="str">
        <f t="shared" si="122"/>
        <v/>
      </c>
      <c r="OZ5" s="41" t="str">
        <f t="shared" si="123"/>
        <v/>
      </c>
      <c r="PA5" s="41" t="str">
        <f t="shared" si="124"/>
        <v/>
      </c>
      <c r="PB5" s="41" t="str">
        <f t="shared" si="125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6"/>
        <v/>
      </c>
      <c r="PX5" s="11" t="str">
        <f t="shared" si="127"/>
        <v/>
      </c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23">
        <f t="shared" si="134"/>
        <v>17.049999999999997</v>
      </c>
      <c r="QF5" s="23">
        <f t="shared" si="134"/>
        <v>5.55</v>
      </c>
      <c r="QG5" s="23">
        <f t="shared" si="134"/>
        <v>0</v>
      </c>
      <c r="QH5" s="23">
        <f t="shared" si="134"/>
        <v>0.15</v>
      </c>
      <c r="QI5" s="23">
        <f t="shared" si="134"/>
        <v>17.8</v>
      </c>
      <c r="QJ5" s="23">
        <f t="shared" si="134"/>
        <v>6.9</v>
      </c>
      <c r="QK5" s="23">
        <f t="shared" si="134"/>
        <v>0</v>
      </c>
      <c r="QL5" s="23">
        <f t="shared" si="134"/>
        <v>0.15</v>
      </c>
      <c r="QM5" s="23">
        <f t="shared" si="134"/>
        <v>9.3000000000000007</v>
      </c>
      <c r="QN5" s="23">
        <f t="shared" si="134"/>
        <v>3.25</v>
      </c>
      <c r="QO5" s="23">
        <f t="shared" si="135"/>
        <v>0</v>
      </c>
      <c r="QP5" s="23">
        <f t="shared" si="135"/>
        <v>0</v>
      </c>
      <c r="QQ5" s="23">
        <f t="shared" si="135"/>
        <v>18</v>
      </c>
      <c r="QR5" s="23">
        <f t="shared" si="135"/>
        <v>7.35</v>
      </c>
      <c r="QS5" s="23">
        <f t="shared" si="135"/>
        <v>0</v>
      </c>
      <c r="QT5" s="23">
        <f t="shared" si="135"/>
        <v>0.15</v>
      </c>
      <c r="QU5" s="23">
        <f t="shared" si="135"/>
        <v>17.649999999999999</v>
      </c>
      <c r="QV5" s="23">
        <f t="shared" si="135"/>
        <v>7.1</v>
      </c>
      <c r="QW5" s="23">
        <f t="shared" si="135"/>
        <v>0</v>
      </c>
      <c r="QX5" s="23">
        <f t="shared" si="135"/>
        <v>0.15</v>
      </c>
      <c r="QY5" s="28" t="s">
        <v>58</v>
      </c>
      <c r="QZ5" s="41">
        <f t="shared" si="136"/>
        <v>12.45</v>
      </c>
      <c r="RA5" s="41">
        <f t="shared" si="137"/>
        <v>47.599999999999994</v>
      </c>
      <c r="RB5" s="41">
        <f t="shared" si="138"/>
        <v>12.55</v>
      </c>
      <c r="RC5" s="41">
        <f t="shared" si="139"/>
        <v>15.7</v>
      </c>
      <c r="RD5" s="41">
        <f t="shared" si="140"/>
        <v>60.149999999999991</v>
      </c>
      <c r="RE5" s="41">
        <f t="shared" si="141"/>
        <v>14.45</v>
      </c>
      <c r="RF5" s="41">
        <f t="shared" si="142"/>
        <v>50.4</v>
      </c>
      <c r="RG5" s="41">
        <f t="shared" si="143"/>
        <v>98</v>
      </c>
    </row>
    <row r="6" spans="1:475" x14ac:dyDescent="0.2">
      <c r="A6" s="4">
        <f>IF(AND(F6="P",G6="P"),SUMPRODUCT((F$4:F$11="P")*(G$4:G$11="P")*(E$4:E$11&gt;E6))+1,IF(G6="P",SUMPRODUCT((F$4:F$11="")*(G$4:G$11="P")*(E$4:E$11&gt;E6))+1+SUMPRODUCT((F$4:F$11="P")*(G$4:G$11="P")),""))</f>
        <v>3</v>
      </c>
      <c r="B6" s="5" t="s">
        <v>86</v>
      </c>
      <c r="C6" s="4" t="s">
        <v>5</v>
      </c>
      <c r="D6" s="4">
        <v>2002</v>
      </c>
      <c r="E6" s="9">
        <f t="shared" si="0"/>
        <v>163.00001120000456</v>
      </c>
      <c r="F6" s="3" t="str">
        <f t="shared" si="1"/>
        <v>P</v>
      </c>
      <c r="G6" s="3" t="str">
        <f t="shared" si="2"/>
        <v>P</v>
      </c>
      <c r="H6" s="37" t="str">
        <f>IF(AND(G6="P",F6=""),"No DD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Merit",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Excellence",IF(I6="P","Worlds Team",IF(F6="P","National Team","")))))</f>
        <v>Worlds Team</v>
      </c>
      <c r="I6" s="3" t="str">
        <f>IF(OR(AND(AS6&gt;=AW$14,AT6&gt;=AW$18,AS6&lt;&gt;"",AO6=""),AND(BV6&gt;=BZ$14,BW6&gt;=BZ$18,BV6&lt;&gt;"",BR6=""),AND(CY6&gt;=DC$14,CZ6&gt;=DC$18,CY6&lt;&gt;"",CU6=""),AND(ED6&gt;=EH$14,EE6&gt;=EH$18,ED6&lt;&gt;""),AND(FF6&gt;=FJ$14,FG6&gt;=FJ$18,FF6&lt;&gt;""),AND(GH6&gt;=GL$14,GI6&gt;=GL$18,GH6&lt;&gt;""),AND(HJ6&gt;=HN$14,HK6&gt;=HN$18,HJ6&lt;&gt;""),AND(IL6&gt;=IP$14,IM6&gt;=IP$18,IL6&lt;&gt;""),AND(JN6&gt;=JR$14,JO6&gt;=JR$18,JN6&lt;&gt;""),AND(KP6&gt;=KT$14,KQ6&gt;=KT$18,KP6&lt;&gt;""),AND(LR6&gt;=LV$14,LS6&gt;=LV$18,LR6&lt;&gt;""),AND(MT6&gt;=MX$14,MU6&gt;=MX$18,MT6&lt;&gt;""),AND(NV6&gt;=NZ$14,NW6&gt;=NZ$18,NV6&lt;&gt;""),AND(OX6&gt;=PB$14,OY6&gt;=PB$18,OX6&lt;&gt;""),AND(PZ6&gt;=QD$14,QA6&gt;=QD$18,PZ6&lt;&gt;"")),"P","")</f>
        <v>P</v>
      </c>
      <c r="J6" s="8">
        <f>IF(COUNT(AQ6,BT6,CW6)&gt;0,LARGE((AQ6,BT6,CW6),1),0)</f>
        <v>45.9</v>
      </c>
      <c r="K6" s="8" t="str">
        <f t="shared" si="3"/>
        <v>2023 Elite Canada</v>
      </c>
      <c r="L6" s="8">
        <f>IF(COUNT(AQ6,BT6,CW6)&gt;1,LARGE((AQ6,BT6,CW6),2),0)</f>
        <v>42.7</v>
      </c>
      <c r="M6" s="8" t="str">
        <f t="shared" si="4"/>
        <v>2022 Nationals</v>
      </c>
      <c r="N6" s="8">
        <f>IF(COUNT(AR6,BU6,CX6)&gt;0,LARGE((AR6,BU6,CX6),1),0)</f>
        <v>23.4</v>
      </c>
      <c r="O6" s="8" t="str">
        <f t="shared" si="5"/>
        <v>2023 Elite Canada</v>
      </c>
      <c r="P6" s="8">
        <f t="shared" si="6"/>
        <v>46.9</v>
      </c>
      <c r="Q6" s="8" t="str">
        <f t="shared" si="7"/>
        <v>2022 Nationals</v>
      </c>
      <c r="R6" s="8">
        <f t="shared" si="8"/>
        <v>4.1000000000000014</v>
      </c>
      <c r="S6" s="11" t="str">
        <f t="shared" si="9"/>
        <v>(Q1)</v>
      </c>
      <c r="T6" s="8" t="str">
        <f t="shared" si="10"/>
        <v>2022 World Cup POR (June 26)</v>
      </c>
      <c r="U6" s="19">
        <v>16.3</v>
      </c>
      <c r="V6" s="19">
        <v>3.4</v>
      </c>
      <c r="W6" s="19">
        <v>0</v>
      </c>
      <c r="X6" s="19">
        <v>0</v>
      </c>
      <c r="Y6" s="19">
        <v>17.3</v>
      </c>
      <c r="Z6" s="19">
        <v>5.7</v>
      </c>
      <c r="AA6" s="19">
        <v>0</v>
      </c>
      <c r="AB6" s="19">
        <v>0</v>
      </c>
      <c r="AC6" s="19"/>
      <c r="AD6" s="19"/>
      <c r="AE6" s="19"/>
      <c r="AF6" s="19"/>
      <c r="AG6" s="19">
        <v>17.600000000000001</v>
      </c>
      <c r="AH6" s="19">
        <v>6.1</v>
      </c>
      <c r="AI6" s="19">
        <v>0.2</v>
      </c>
      <c r="AJ6" s="19">
        <v>0</v>
      </c>
      <c r="AK6" s="19">
        <v>17.5</v>
      </c>
      <c r="AL6" s="19">
        <v>5.9</v>
      </c>
      <c r="AM6" s="19">
        <v>0</v>
      </c>
      <c r="AN6" s="19">
        <v>0</v>
      </c>
      <c r="AO6" s="28"/>
      <c r="AP6" s="41">
        <f t="shared" si="11"/>
        <v>9.1</v>
      </c>
      <c r="AQ6" s="41">
        <f t="shared" si="12"/>
        <v>42.7</v>
      </c>
      <c r="AR6" s="41" t="str">
        <f t="shared" si="13"/>
        <v/>
      </c>
      <c r="AS6" s="41">
        <f t="shared" si="14"/>
        <v>9.1</v>
      </c>
      <c r="AT6" s="41">
        <f t="shared" si="15"/>
        <v>42.7</v>
      </c>
      <c r="AU6" s="41">
        <f t="shared" si="16"/>
        <v>12</v>
      </c>
      <c r="AV6" s="41">
        <f t="shared" si="17"/>
        <v>46.9</v>
      </c>
      <c r="AW6" s="41">
        <f t="shared" si="18"/>
        <v>89.6</v>
      </c>
      <c r="AX6" s="18">
        <v>17.100000000000001</v>
      </c>
      <c r="AY6" s="18">
        <v>6.1</v>
      </c>
      <c r="AZ6" s="18">
        <v>0</v>
      </c>
      <c r="BA6" s="18">
        <v>0</v>
      </c>
      <c r="BB6" s="18">
        <v>15.2</v>
      </c>
      <c r="BC6" s="18">
        <v>3.7</v>
      </c>
      <c r="BD6" s="18">
        <v>0</v>
      </c>
      <c r="BE6" s="18">
        <v>0</v>
      </c>
      <c r="BF6" s="18"/>
      <c r="BG6" s="18"/>
      <c r="BH6" s="18"/>
      <c r="BI6" s="18"/>
      <c r="BJ6" s="18">
        <v>16.5</v>
      </c>
      <c r="BK6" s="18">
        <v>5.3</v>
      </c>
      <c r="BL6" s="18">
        <v>0.2</v>
      </c>
      <c r="BM6" s="18">
        <v>0</v>
      </c>
      <c r="BN6" s="18">
        <v>16.2</v>
      </c>
      <c r="BO6" s="18">
        <v>6.1</v>
      </c>
      <c r="BP6" s="18">
        <v>0</v>
      </c>
      <c r="BQ6" s="18">
        <v>0</v>
      </c>
      <c r="BR6" s="29"/>
      <c r="BS6" s="11">
        <f t="shared" si="19"/>
        <v>9.8000000000000007</v>
      </c>
      <c r="BT6" s="11">
        <f t="shared" si="20"/>
        <v>42.100000000000009</v>
      </c>
      <c r="BU6" s="11" t="str">
        <f t="shared" si="21"/>
        <v/>
      </c>
      <c r="BV6" s="11">
        <f t="shared" si="22"/>
        <v>9.8000000000000007</v>
      </c>
      <c r="BW6" s="11">
        <f t="shared" si="23"/>
        <v>42.100000000000009</v>
      </c>
      <c r="BX6" s="11">
        <f t="shared" si="24"/>
        <v>11.399999999999999</v>
      </c>
      <c r="BY6" s="11">
        <f t="shared" si="25"/>
        <v>43.9</v>
      </c>
      <c r="BZ6" s="11">
        <f t="shared" si="26"/>
        <v>86</v>
      </c>
      <c r="CA6" s="19">
        <v>17.399999999999999</v>
      </c>
      <c r="CB6" s="19">
        <v>5.7</v>
      </c>
      <c r="CC6" s="19">
        <v>0</v>
      </c>
      <c r="CD6" s="19">
        <v>0</v>
      </c>
      <c r="CE6" s="19">
        <v>16.899999999999999</v>
      </c>
      <c r="CF6" s="19">
        <v>5.9</v>
      </c>
      <c r="CG6" s="19">
        <v>0</v>
      </c>
      <c r="CH6" s="19">
        <v>0</v>
      </c>
      <c r="CI6" s="19">
        <v>17.3</v>
      </c>
      <c r="CJ6" s="19">
        <v>6.1</v>
      </c>
      <c r="CK6" s="19">
        <v>0</v>
      </c>
      <c r="CL6" s="19">
        <v>0</v>
      </c>
      <c r="CM6" s="19">
        <v>18.2</v>
      </c>
      <c r="CN6" s="19">
        <v>5.3</v>
      </c>
      <c r="CO6" s="19">
        <v>0</v>
      </c>
      <c r="CP6" s="19">
        <v>0</v>
      </c>
      <c r="CQ6" s="19">
        <v>17.3</v>
      </c>
      <c r="CR6" s="19">
        <v>4.3</v>
      </c>
      <c r="CS6" s="19">
        <v>0.5</v>
      </c>
      <c r="CT6" s="19">
        <v>0</v>
      </c>
      <c r="CU6" s="28"/>
      <c r="CV6" s="41">
        <f t="shared" si="27"/>
        <v>11.600000000000001</v>
      </c>
      <c r="CW6" s="41">
        <f t="shared" si="28"/>
        <v>45.9</v>
      </c>
      <c r="CX6" s="41">
        <f t="shared" si="29"/>
        <v>23.4</v>
      </c>
      <c r="CY6" s="41">
        <f t="shared" si="30"/>
        <v>17.700000000000003</v>
      </c>
      <c r="CZ6" s="41">
        <f t="shared" si="31"/>
        <v>69.3</v>
      </c>
      <c r="DA6" s="41">
        <f t="shared" si="32"/>
        <v>9.6</v>
      </c>
      <c r="DB6" s="41">
        <f t="shared" si="33"/>
        <v>44.599999999999994</v>
      </c>
      <c r="DC6" s="41">
        <f t="shared" si="34"/>
        <v>90.5</v>
      </c>
      <c r="DD6" s="52">
        <f t="shared" si="35"/>
        <v>4.1000000000000014</v>
      </c>
      <c r="DE6" s="52" t="str">
        <f t="shared" si="36"/>
        <v/>
      </c>
      <c r="DF6" s="52" t="str">
        <f t="shared" si="37"/>
        <v/>
      </c>
      <c r="DG6" s="17">
        <v>16.8</v>
      </c>
      <c r="DH6" s="17">
        <v>5.9</v>
      </c>
      <c r="DI6" s="17">
        <v>0</v>
      </c>
      <c r="DJ6" s="17">
        <v>0</v>
      </c>
      <c r="DK6" s="17">
        <v>17.2</v>
      </c>
      <c r="DL6" s="17">
        <v>6.1</v>
      </c>
      <c r="DM6" s="17">
        <v>0</v>
      </c>
      <c r="DN6" s="17">
        <v>0</v>
      </c>
      <c r="DO6" s="17"/>
      <c r="DP6" s="17"/>
      <c r="DQ6" s="17"/>
      <c r="DR6" s="17"/>
      <c r="DS6" s="17">
        <v>17.3</v>
      </c>
      <c r="DT6" s="17">
        <v>6.1</v>
      </c>
      <c r="DU6" s="17">
        <v>0</v>
      </c>
      <c r="DV6" s="17">
        <v>0</v>
      </c>
      <c r="DW6" s="17">
        <v>17.3</v>
      </c>
      <c r="DX6" s="17">
        <v>5.9</v>
      </c>
      <c r="DY6" s="17">
        <v>0</v>
      </c>
      <c r="DZ6" s="17">
        <v>0</v>
      </c>
      <c r="EA6" s="41">
        <f t="shared" si="38"/>
        <v>12</v>
      </c>
      <c r="EB6" s="41">
        <f t="shared" si="39"/>
        <v>46.000000000000007</v>
      </c>
      <c r="EC6" s="41" t="str">
        <f t="shared" si="40"/>
        <v/>
      </c>
      <c r="ED6" s="41">
        <f t="shared" si="41"/>
        <v>12</v>
      </c>
      <c r="EE6" s="41">
        <f t="shared" si="42"/>
        <v>46.000000000000007</v>
      </c>
      <c r="EF6" s="41">
        <f t="shared" si="43"/>
        <v>12</v>
      </c>
      <c r="EG6" s="41">
        <f t="shared" si="44"/>
        <v>46.6</v>
      </c>
      <c r="EH6" s="41">
        <f t="shared" si="45"/>
        <v>92.600000000000009</v>
      </c>
      <c r="EI6" s="18">
        <v>16.899999999999999</v>
      </c>
      <c r="EJ6" s="18">
        <v>6.1</v>
      </c>
      <c r="EK6" s="18">
        <v>0</v>
      </c>
      <c r="EL6" s="18">
        <v>0</v>
      </c>
      <c r="EM6" s="18">
        <v>16.2</v>
      </c>
      <c r="EN6" s="18">
        <v>4</v>
      </c>
      <c r="EO6" s="18">
        <v>2</v>
      </c>
      <c r="EP6" s="18">
        <v>0</v>
      </c>
      <c r="EQ6" s="18"/>
      <c r="ER6" s="18"/>
      <c r="ES6" s="18"/>
      <c r="ET6" s="18"/>
      <c r="EU6" s="18">
        <v>17.2</v>
      </c>
      <c r="EV6" s="18">
        <v>6.5</v>
      </c>
      <c r="EW6" s="18">
        <v>0</v>
      </c>
      <c r="EX6" s="18">
        <v>0</v>
      </c>
      <c r="EY6" s="18"/>
      <c r="EZ6" s="18"/>
      <c r="FA6" s="18"/>
      <c r="FB6" s="18"/>
      <c r="FC6" s="11">
        <f t="shared" si="46"/>
        <v>10.1</v>
      </c>
      <c r="FD6" s="11">
        <f t="shared" si="47"/>
        <v>41.2</v>
      </c>
      <c r="FE6" s="11" t="str">
        <f t="shared" si="48"/>
        <v/>
      </c>
      <c r="FF6" s="11">
        <f t="shared" si="49"/>
        <v>10.1</v>
      </c>
      <c r="FG6" s="11">
        <f t="shared" si="50"/>
        <v>41.2</v>
      </c>
      <c r="FH6" s="11">
        <f t="shared" si="51"/>
        <v>6.5</v>
      </c>
      <c r="FI6" s="11">
        <f t="shared" si="52"/>
        <v>23.7</v>
      </c>
      <c r="FJ6" s="11">
        <f t="shared" si="53"/>
        <v>64.900000000000006</v>
      </c>
      <c r="FK6" s="17">
        <v>17.600000000000001</v>
      </c>
      <c r="FL6" s="17">
        <v>6.1</v>
      </c>
      <c r="FM6" s="17">
        <v>0</v>
      </c>
      <c r="FN6" s="17">
        <v>0</v>
      </c>
      <c r="FO6" s="17">
        <v>17.2</v>
      </c>
      <c r="FP6" s="17">
        <v>5.9</v>
      </c>
      <c r="FQ6" s="17">
        <v>0</v>
      </c>
      <c r="FR6" s="17">
        <v>0</v>
      </c>
      <c r="FS6" s="17"/>
      <c r="FT6" s="17"/>
      <c r="FU6" s="17"/>
      <c r="FV6" s="17"/>
      <c r="FW6" s="17">
        <v>13.2</v>
      </c>
      <c r="FX6" s="17">
        <v>3.6</v>
      </c>
      <c r="FY6" s="17">
        <v>0</v>
      </c>
      <c r="FZ6" s="17">
        <v>0</v>
      </c>
      <c r="GA6" s="17"/>
      <c r="GB6" s="17"/>
      <c r="GC6" s="17"/>
      <c r="GD6" s="17"/>
      <c r="GE6" s="41">
        <f t="shared" si="54"/>
        <v>12</v>
      </c>
      <c r="GF6" s="41">
        <f t="shared" si="55"/>
        <v>46.800000000000004</v>
      </c>
      <c r="GG6" s="41" t="str">
        <f t="shared" si="56"/>
        <v/>
      </c>
      <c r="GH6" s="41">
        <f t="shared" si="57"/>
        <v>12</v>
      </c>
      <c r="GI6" s="41">
        <f t="shared" si="58"/>
        <v>46.800000000000004</v>
      </c>
      <c r="GJ6" s="41">
        <f t="shared" si="59"/>
        <v>3.6</v>
      </c>
      <c r="GK6" s="41">
        <f t="shared" si="60"/>
        <v>16.8</v>
      </c>
      <c r="GL6" s="41">
        <f t="shared" si="61"/>
        <v>63.600000000000009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2"/>
        <v/>
      </c>
      <c r="HH6" s="11" t="str">
        <f t="shared" si="63"/>
        <v/>
      </c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 t="str">
        <f t="shared" si="69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0"/>
        <v/>
      </c>
      <c r="IJ6" s="41" t="str">
        <f t="shared" si="71"/>
        <v/>
      </c>
      <c r="IK6" s="41" t="str">
        <f t="shared" si="72"/>
        <v/>
      </c>
      <c r="IL6" s="41" t="str">
        <f t="shared" si="73"/>
        <v/>
      </c>
      <c r="IM6" s="41" t="str">
        <f t="shared" si="74"/>
        <v/>
      </c>
      <c r="IN6" s="41" t="str">
        <f t="shared" si="75"/>
        <v/>
      </c>
      <c r="IO6" s="41" t="str">
        <f t="shared" si="76"/>
        <v/>
      </c>
      <c r="IP6" s="41" t="str">
        <f t="shared" si="77"/>
        <v/>
      </c>
      <c r="IQ6" s="18">
        <v>15</v>
      </c>
      <c r="IR6" s="18">
        <v>3.8</v>
      </c>
      <c r="IS6" s="18">
        <v>0</v>
      </c>
      <c r="IT6" s="18">
        <v>0</v>
      </c>
      <c r="IU6" s="18">
        <v>8.4</v>
      </c>
      <c r="IV6" s="18">
        <v>2.7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78"/>
        <v>6.5</v>
      </c>
      <c r="JL6" s="11">
        <f t="shared" si="79"/>
        <v>29.900000000000002</v>
      </c>
      <c r="JM6" s="11" t="str">
        <f t="shared" si="80"/>
        <v/>
      </c>
      <c r="JN6" s="11">
        <f t="shared" si="81"/>
        <v>6.5</v>
      </c>
      <c r="JO6" s="11">
        <f t="shared" si="82"/>
        <v>29.900000000000002</v>
      </c>
      <c r="JP6" s="11" t="str">
        <f t="shared" si="83"/>
        <v/>
      </c>
      <c r="JQ6" s="11" t="str">
        <f t="shared" si="84"/>
        <v/>
      </c>
      <c r="JR6" s="11">
        <f t="shared" si="85"/>
        <v>29.900000000000002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6"/>
        <v/>
      </c>
      <c r="KN6" s="41" t="str">
        <f t="shared" si="87"/>
        <v/>
      </c>
      <c r="KO6" s="41" t="str">
        <f t="shared" si="88"/>
        <v/>
      </c>
      <c r="KP6" s="41" t="str">
        <f t="shared" si="89"/>
        <v/>
      </c>
      <c r="KQ6" s="41" t="str">
        <f t="shared" si="90"/>
        <v/>
      </c>
      <c r="KR6" s="41" t="str">
        <f t="shared" si="91"/>
        <v/>
      </c>
      <c r="KS6" s="41" t="str">
        <f t="shared" si="92"/>
        <v/>
      </c>
      <c r="KT6" s="41" t="str">
        <f t="shared" si="93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4"/>
        <v/>
      </c>
      <c r="LP6" s="11" t="str">
        <f t="shared" si="95"/>
        <v/>
      </c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2"/>
        <v/>
      </c>
      <c r="MR6" s="41" t="str">
        <f t="shared" si="103"/>
        <v/>
      </c>
      <c r="MS6" s="41" t="str">
        <f t="shared" si="104"/>
        <v/>
      </c>
      <c r="MT6" s="41" t="str">
        <f t="shared" si="105"/>
        <v/>
      </c>
      <c r="MU6" s="41" t="str">
        <f t="shared" si="106"/>
        <v/>
      </c>
      <c r="MV6" s="41" t="str">
        <f t="shared" si="107"/>
        <v/>
      </c>
      <c r="MW6" s="41" t="str">
        <f t="shared" si="108"/>
        <v/>
      </c>
      <c r="MX6" s="41" t="str">
        <f t="shared" si="109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0"/>
        <v/>
      </c>
      <c r="NT6" s="11" t="str">
        <f t="shared" si="111"/>
        <v/>
      </c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8"/>
        <v/>
      </c>
      <c r="OV6" s="41" t="str">
        <f t="shared" si="119"/>
        <v/>
      </c>
      <c r="OW6" s="41" t="str">
        <f t="shared" si="120"/>
        <v/>
      </c>
      <c r="OX6" s="41" t="str">
        <f t="shared" si="121"/>
        <v/>
      </c>
      <c r="OY6" s="41" t="str">
        <f t="shared" si="122"/>
        <v/>
      </c>
      <c r="OZ6" s="41" t="str">
        <f t="shared" si="123"/>
        <v/>
      </c>
      <c r="PA6" s="41" t="str">
        <f t="shared" si="124"/>
        <v/>
      </c>
      <c r="PB6" s="41" t="str">
        <f t="shared" si="125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6"/>
        <v/>
      </c>
      <c r="PX6" s="11" t="str">
        <f t="shared" si="127"/>
        <v/>
      </c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23">
        <f t="shared" si="134"/>
        <v>17.25</v>
      </c>
      <c r="QF6" s="23">
        <f t="shared" si="134"/>
        <v>5.9</v>
      </c>
      <c r="QG6" s="23">
        <f t="shared" si="134"/>
        <v>0</v>
      </c>
      <c r="QH6" s="23">
        <f t="shared" si="134"/>
        <v>0</v>
      </c>
      <c r="QI6" s="23">
        <f t="shared" si="134"/>
        <v>16.049999999999997</v>
      </c>
      <c r="QJ6" s="23">
        <f t="shared" si="134"/>
        <v>4.8000000000000007</v>
      </c>
      <c r="QK6" s="23">
        <f t="shared" si="134"/>
        <v>0</v>
      </c>
      <c r="QL6" s="23">
        <f t="shared" si="134"/>
        <v>0</v>
      </c>
      <c r="QM6" s="23">
        <f t="shared" si="134"/>
        <v>8.65</v>
      </c>
      <c r="QN6" s="23">
        <f t="shared" si="134"/>
        <v>3.05</v>
      </c>
      <c r="QO6" s="23">
        <f t="shared" si="135"/>
        <v>0</v>
      </c>
      <c r="QP6" s="23">
        <f t="shared" si="135"/>
        <v>0</v>
      </c>
      <c r="QQ6" s="23">
        <f t="shared" si="135"/>
        <v>17.350000000000001</v>
      </c>
      <c r="QR6" s="23">
        <f t="shared" si="135"/>
        <v>5.3</v>
      </c>
      <c r="QS6" s="23">
        <f t="shared" si="135"/>
        <v>0.1</v>
      </c>
      <c r="QT6" s="23">
        <f t="shared" si="135"/>
        <v>0</v>
      </c>
      <c r="QU6" s="23">
        <f t="shared" si="135"/>
        <v>16.75</v>
      </c>
      <c r="QV6" s="23">
        <f t="shared" si="135"/>
        <v>5.1999999999999993</v>
      </c>
      <c r="QW6" s="23">
        <f t="shared" si="135"/>
        <v>0.25</v>
      </c>
      <c r="QX6" s="23">
        <f t="shared" si="135"/>
        <v>0</v>
      </c>
      <c r="QY6" s="28" t="s">
        <v>58</v>
      </c>
      <c r="QZ6" s="41">
        <f t="shared" si="136"/>
        <v>10.700000000000001</v>
      </c>
      <c r="RA6" s="41">
        <f t="shared" si="137"/>
        <v>44</v>
      </c>
      <c r="RB6" s="41">
        <f t="shared" si="138"/>
        <v>11.7</v>
      </c>
      <c r="RC6" s="41">
        <f t="shared" si="139"/>
        <v>13.75</v>
      </c>
      <c r="RD6" s="41">
        <f t="shared" si="140"/>
        <v>55.7</v>
      </c>
      <c r="RE6" s="41">
        <f t="shared" si="141"/>
        <v>10.5</v>
      </c>
      <c r="RF6" s="41">
        <f t="shared" si="142"/>
        <v>44.250000000000007</v>
      </c>
      <c r="RG6" s="41">
        <f t="shared" si="143"/>
        <v>88.25</v>
      </c>
    </row>
    <row r="7" spans="1:475" x14ac:dyDescent="0.2">
      <c r="A7" s="4" cm="1">
        <f t="array" ref="A7">IF(AND(F7="P",G7="P"),SUMPRODUCT((F$4:F$11="P")*(G$4:G$11="P")*(E$4:E$11&gt;E7))+1,IF(G7="P",SUMPRODUCT((F$4:F$11="")*(G$4:G$11="P")*(E$4:E$11&gt;E7))+1+SUMPRODUCT((F$4:F$11="P")*(G$4:G$11="P")),""))</f>
        <v>4</v>
      </c>
      <c r="B7" s="5" t="s">
        <v>187</v>
      </c>
      <c r="C7" s="4" t="s">
        <v>3</v>
      </c>
      <c r="D7" s="4">
        <v>2003</v>
      </c>
      <c r="E7" s="9">
        <f t="shared" si="0"/>
        <v>152.10001042000459</v>
      </c>
      <c r="F7" s="3" t="str">
        <f t="shared" si="1"/>
        <v>P</v>
      </c>
      <c r="G7" s="3" t="str">
        <f t="shared" si="2"/>
        <v>P</v>
      </c>
      <c r="H7" s="37" t="str">
        <f ca="1">IF(TODAY()&lt;45103,"Excellence",IF(AND(G7="P",F7=""),"No DD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Merit",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Excellence",IF(I7="P","Worlds Team",IF(F7="P","National Team",""))))))</f>
        <v>Excellence</v>
      </c>
      <c r="I7" s="3" t="str">
        <f ca="1">IF(TODAY()&lt;45103,"P",IF(OR(AND(AS7&gt;=AW$14,AT7&gt;=AW$18,AS7&lt;&gt;"",AO7=""),AND(BV7&gt;=BZ$14,BW7&gt;=BZ$18,BV7&lt;&gt;"",BR7=""),AND(CY7&gt;=DC$14,CZ7&gt;=DC$18,CY7&lt;&gt;"",CU7=""),AND(ED7&gt;=EH$14,EE7&gt;=EH$18,ED7&lt;&gt;""),AND(FF7&gt;=FJ$14,FG7&gt;=FJ$18,FF7&lt;&gt;""),AND(GH7&gt;=GL$14,GI7&gt;=GL$18,GH7&lt;&gt;""),AND(HJ7&gt;=HN$14,HK7&gt;=HN$18,HJ7&lt;&gt;""),AND(IL7&gt;=IP$14,IM7&gt;=IP$18,IL7&lt;&gt;""),AND(JN7&gt;=JR$14,JO7&gt;=JR$18,JN7&lt;&gt;""),AND(KP7&gt;=KT$14,KQ7&gt;=KT$18,KP7&lt;&gt;""),AND(LR7&gt;=LV$14,LS7&gt;=LV$18,LR7&lt;&gt;""),AND(MT7&gt;=MX$14,MU7&gt;=MX$18,MT7&lt;&gt;""),AND(NV7&gt;=NZ$14,NW7&gt;=NZ$18,NV7&lt;&gt;""),AND(OX7&gt;=PB$14,OY7&gt;=PB$18,OX7&lt;&gt;""),AND(PZ7&gt;=QD$14,QA7&gt;=QD$18,PZ7&lt;&gt;"")),"P",""))</f>
        <v>P</v>
      </c>
      <c r="J7" s="8">
        <f>IF(COUNT(AQ7,BT7,CW7)&gt;0,LARGE((AQ7,BT7,CW7),1),0)</f>
        <v>45.7</v>
      </c>
      <c r="K7" s="8" t="str">
        <f t="shared" si="3"/>
        <v>2023 Elite Canada</v>
      </c>
      <c r="L7" s="8">
        <f>IF(COUNT(AQ7,BT7,CW7)&gt;1,LARGE((AQ7,BT7,CW7),2),0)</f>
        <v>39.800000000000004</v>
      </c>
      <c r="M7" s="8" t="str">
        <f t="shared" si="4"/>
        <v>2022 Nationals</v>
      </c>
      <c r="N7" s="8">
        <f>IF(COUNT(AR7,BU7,CX7)&gt;0,LARGE((AR7,BU7,CX7),1),0)</f>
        <v>18.7</v>
      </c>
      <c r="O7" s="8" t="str">
        <f t="shared" si="5"/>
        <v>2023 Elite Canada</v>
      </c>
      <c r="P7" s="8">
        <f t="shared" si="6"/>
        <v>45.6</v>
      </c>
      <c r="Q7" s="8" t="str">
        <f t="shared" si="7"/>
        <v>2022 Nationals</v>
      </c>
      <c r="R7" s="8">
        <f t="shared" si="8"/>
        <v>2.3000000000000043</v>
      </c>
      <c r="S7" s="11" t="str">
        <f t="shared" si="9"/>
        <v>(Q1)</v>
      </c>
      <c r="T7" s="8" t="str">
        <f t="shared" si="10"/>
        <v>2022 Coimbra Gym Fest (June 26)</v>
      </c>
      <c r="U7" s="19">
        <v>18.100000000000001</v>
      </c>
      <c r="V7" s="19">
        <v>5.3</v>
      </c>
      <c r="W7" s="19">
        <v>0.2</v>
      </c>
      <c r="X7" s="19">
        <v>0</v>
      </c>
      <c r="Y7" s="19">
        <v>16</v>
      </c>
      <c r="Z7" s="19">
        <v>2.6</v>
      </c>
      <c r="AA7" s="19">
        <v>2</v>
      </c>
      <c r="AB7" s="19">
        <v>0</v>
      </c>
      <c r="AC7" s="19"/>
      <c r="AD7" s="19"/>
      <c r="AE7" s="19"/>
      <c r="AF7" s="19"/>
      <c r="AG7" s="19">
        <v>17.5</v>
      </c>
      <c r="AH7" s="19">
        <v>5.3</v>
      </c>
      <c r="AI7" s="19">
        <v>0</v>
      </c>
      <c r="AJ7" s="19">
        <v>0</v>
      </c>
      <c r="AK7" s="19">
        <v>17.8</v>
      </c>
      <c r="AL7" s="19">
        <v>5</v>
      </c>
      <c r="AM7" s="19">
        <v>0</v>
      </c>
      <c r="AN7" s="19">
        <v>0</v>
      </c>
      <c r="AO7" s="28"/>
      <c r="AP7" s="41">
        <f t="shared" si="11"/>
        <v>7.9</v>
      </c>
      <c r="AQ7" s="41">
        <f t="shared" si="12"/>
        <v>39.800000000000004</v>
      </c>
      <c r="AR7" s="41" t="str">
        <f t="shared" si="13"/>
        <v/>
      </c>
      <c r="AS7" s="41">
        <f t="shared" si="14"/>
        <v>7.9</v>
      </c>
      <c r="AT7" s="41">
        <f t="shared" si="15"/>
        <v>39.800000000000004</v>
      </c>
      <c r="AU7" s="41">
        <f t="shared" si="16"/>
        <v>10.3</v>
      </c>
      <c r="AV7" s="41">
        <f t="shared" si="17"/>
        <v>45.6</v>
      </c>
      <c r="AW7" s="41">
        <f t="shared" si="18"/>
        <v>85.4</v>
      </c>
      <c r="AX7" s="18">
        <v>16.3</v>
      </c>
      <c r="AY7" s="18">
        <v>5.3</v>
      </c>
      <c r="AZ7" s="18">
        <v>0.2</v>
      </c>
      <c r="BA7" s="18">
        <v>0</v>
      </c>
      <c r="BB7" s="18">
        <v>16</v>
      </c>
      <c r="BC7" s="18">
        <v>1.9</v>
      </c>
      <c r="BD7" s="18">
        <v>0</v>
      </c>
      <c r="BE7" s="18">
        <v>0</v>
      </c>
      <c r="BF7" s="18"/>
      <c r="BG7" s="18"/>
      <c r="BH7" s="18"/>
      <c r="BI7" s="18"/>
      <c r="BJ7" s="18">
        <v>0</v>
      </c>
      <c r="BK7" s="18">
        <v>0</v>
      </c>
      <c r="BL7" s="18">
        <v>0</v>
      </c>
      <c r="BM7" s="18">
        <v>0</v>
      </c>
      <c r="BN7" s="18">
        <v>0</v>
      </c>
      <c r="BO7" s="18">
        <v>0</v>
      </c>
      <c r="BP7" s="18">
        <v>0</v>
      </c>
      <c r="BQ7" s="18">
        <v>0</v>
      </c>
      <c r="BR7" s="29"/>
      <c r="BS7" s="11">
        <f t="shared" si="19"/>
        <v>7.1999999999999993</v>
      </c>
      <c r="BT7" s="11">
        <f t="shared" si="20"/>
        <v>39.299999999999997</v>
      </c>
      <c r="BU7" s="11" t="str">
        <f t="shared" si="21"/>
        <v/>
      </c>
      <c r="BV7" s="11">
        <f t="shared" si="22"/>
        <v>7.1999999999999993</v>
      </c>
      <c r="BW7" s="11">
        <f t="shared" si="23"/>
        <v>39.299999999999997</v>
      </c>
      <c r="BX7" s="11" t="str">
        <f t="shared" si="24"/>
        <v/>
      </c>
      <c r="BY7" s="11" t="str">
        <f t="shared" si="25"/>
        <v/>
      </c>
      <c r="BZ7" s="11">
        <f t="shared" si="26"/>
        <v>39.299999999999997</v>
      </c>
      <c r="CA7" s="19">
        <v>17</v>
      </c>
      <c r="CB7" s="19">
        <v>5.5</v>
      </c>
      <c r="CC7" s="19">
        <v>0</v>
      </c>
      <c r="CD7" s="19">
        <v>0</v>
      </c>
      <c r="CE7" s="19">
        <v>17.600000000000001</v>
      </c>
      <c r="CF7" s="19">
        <v>5.6</v>
      </c>
      <c r="CG7" s="19">
        <v>0</v>
      </c>
      <c r="CH7" s="19">
        <v>0</v>
      </c>
      <c r="CI7" s="19">
        <v>16.7</v>
      </c>
      <c r="CJ7" s="19">
        <v>3</v>
      </c>
      <c r="CK7" s="19">
        <v>1</v>
      </c>
      <c r="CL7" s="19">
        <v>0</v>
      </c>
      <c r="CM7" s="19">
        <v>17.399999999999999</v>
      </c>
      <c r="CN7" s="19">
        <v>5.5</v>
      </c>
      <c r="CO7" s="19">
        <v>0</v>
      </c>
      <c r="CP7" s="19">
        <v>0</v>
      </c>
      <c r="CQ7" s="19">
        <v>16</v>
      </c>
      <c r="CR7" s="19">
        <v>3.7</v>
      </c>
      <c r="CS7" s="19">
        <v>0</v>
      </c>
      <c r="CT7" s="19">
        <v>0</v>
      </c>
      <c r="CU7" s="28"/>
      <c r="CV7" s="41">
        <f t="shared" si="27"/>
        <v>11.1</v>
      </c>
      <c r="CW7" s="41">
        <f t="shared" si="28"/>
        <v>45.7</v>
      </c>
      <c r="CX7" s="41">
        <f t="shared" si="29"/>
        <v>18.7</v>
      </c>
      <c r="CY7" s="41">
        <f t="shared" si="30"/>
        <v>14.1</v>
      </c>
      <c r="CZ7" s="41">
        <f t="shared" si="31"/>
        <v>64.400000000000006</v>
      </c>
      <c r="DA7" s="41">
        <f t="shared" si="32"/>
        <v>9.1999999999999993</v>
      </c>
      <c r="DB7" s="41">
        <f t="shared" si="33"/>
        <v>42.6</v>
      </c>
      <c r="DC7" s="41">
        <f t="shared" si="34"/>
        <v>88.300000000000011</v>
      </c>
      <c r="DD7" s="52">
        <f t="shared" si="35"/>
        <v>2.3000000000000043</v>
      </c>
      <c r="DE7" s="52" t="str">
        <f t="shared" si="36"/>
        <v/>
      </c>
      <c r="DF7" s="52">
        <f t="shared" si="37"/>
        <v>1.9999999999999929</v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38"/>
        <v/>
      </c>
      <c r="EB7" s="41" t="str">
        <f t="shared" si="39"/>
        <v/>
      </c>
      <c r="EC7" s="41" t="str">
        <f t="shared" si="40"/>
        <v/>
      </c>
      <c r="ED7" s="41" t="str">
        <f t="shared" si="41"/>
        <v/>
      </c>
      <c r="EE7" s="41" t="str">
        <f t="shared" si="42"/>
        <v/>
      </c>
      <c r="EF7" s="41" t="str">
        <f t="shared" si="43"/>
        <v/>
      </c>
      <c r="EG7" s="41" t="str">
        <f t="shared" si="44"/>
        <v/>
      </c>
      <c r="EH7" s="41" t="str">
        <f t="shared" si="45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6"/>
        <v/>
      </c>
      <c r="FD7" s="11" t="str">
        <f t="shared" si="47"/>
        <v/>
      </c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4"/>
        <v/>
      </c>
      <c r="GF7" s="41" t="str">
        <f t="shared" si="55"/>
        <v/>
      </c>
      <c r="GG7" s="41" t="str">
        <f t="shared" si="56"/>
        <v/>
      </c>
      <c r="GH7" s="41" t="str">
        <f t="shared" si="57"/>
        <v/>
      </c>
      <c r="GI7" s="41" t="str">
        <f t="shared" si="58"/>
        <v/>
      </c>
      <c r="GJ7" s="41" t="str">
        <f t="shared" si="59"/>
        <v/>
      </c>
      <c r="GK7" s="41" t="str">
        <f t="shared" si="60"/>
        <v/>
      </c>
      <c r="GL7" s="41" t="str">
        <f t="shared" si="61"/>
        <v/>
      </c>
      <c r="GM7" s="18">
        <v>17.3</v>
      </c>
      <c r="GN7" s="18">
        <v>5.3</v>
      </c>
      <c r="GO7" s="18">
        <v>0</v>
      </c>
      <c r="GP7" s="18">
        <v>0</v>
      </c>
      <c r="GQ7" s="18">
        <v>15.8</v>
      </c>
      <c r="GR7" s="18">
        <v>3.7</v>
      </c>
      <c r="GS7" s="18">
        <v>0</v>
      </c>
      <c r="GT7" s="18">
        <v>0</v>
      </c>
      <c r="GU7" s="18"/>
      <c r="GV7" s="18"/>
      <c r="GW7" s="18"/>
      <c r="GX7" s="18"/>
      <c r="GY7" s="18">
        <v>18.3</v>
      </c>
      <c r="GZ7" s="18">
        <v>5.7</v>
      </c>
      <c r="HA7" s="18">
        <v>0</v>
      </c>
      <c r="HB7" s="18">
        <v>0</v>
      </c>
      <c r="HC7" s="18">
        <v>18</v>
      </c>
      <c r="HD7" s="18">
        <v>5.8</v>
      </c>
      <c r="HE7" s="18">
        <v>0.2</v>
      </c>
      <c r="HF7" s="18">
        <v>0</v>
      </c>
      <c r="HG7" s="11">
        <f t="shared" si="62"/>
        <v>9</v>
      </c>
      <c r="HH7" s="11">
        <f t="shared" si="63"/>
        <v>42.100000000000009</v>
      </c>
      <c r="HI7" s="11" t="str">
        <f t="shared" si="64"/>
        <v/>
      </c>
      <c r="HJ7" s="11">
        <f t="shared" si="65"/>
        <v>9</v>
      </c>
      <c r="HK7" s="11">
        <f t="shared" si="66"/>
        <v>42.100000000000009</v>
      </c>
      <c r="HL7" s="11">
        <f t="shared" si="67"/>
        <v>11.5</v>
      </c>
      <c r="HM7" s="11">
        <f t="shared" si="68"/>
        <v>47.599999999999994</v>
      </c>
      <c r="HN7" s="11">
        <f t="shared" si="69"/>
        <v>89.7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0"/>
        <v/>
      </c>
      <c r="IJ7" s="41" t="str">
        <f t="shared" si="71"/>
        <v/>
      </c>
      <c r="IK7" s="41" t="str">
        <f t="shared" si="72"/>
        <v/>
      </c>
      <c r="IL7" s="41" t="str">
        <f t="shared" si="73"/>
        <v/>
      </c>
      <c r="IM7" s="41" t="str">
        <f t="shared" si="74"/>
        <v/>
      </c>
      <c r="IN7" s="41" t="str">
        <f t="shared" si="75"/>
        <v/>
      </c>
      <c r="IO7" s="41" t="str">
        <f t="shared" si="76"/>
        <v/>
      </c>
      <c r="IP7" s="41" t="str">
        <f t="shared" si="77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8"/>
        <v/>
      </c>
      <c r="JL7" s="11" t="str">
        <f t="shared" si="79"/>
        <v/>
      </c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6"/>
        <v/>
      </c>
      <c r="KN7" s="41" t="str">
        <f t="shared" si="87"/>
        <v/>
      </c>
      <c r="KO7" s="41" t="str">
        <f t="shared" si="88"/>
        <v/>
      </c>
      <c r="KP7" s="41" t="str">
        <f t="shared" si="89"/>
        <v/>
      </c>
      <c r="KQ7" s="41" t="str">
        <f t="shared" si="90"/>
        <v/>
      </c>
      <c r="KR7" s="41" t="str">
        <f t="shared" si="91"/>
        <v/>
      </c>
      <c r="KS7" s="41" t="str">
        <f t="shared" si="92"/>
        <v/>
      </c>
      <c r="KT7" s="41" t="str">
        <f t="shared" si="93"/>
        <v/>
      </c>
      <c r="KU7" s="18">
        <v>15.5</v>
      </c>
      <c r="KV7" s="18">
        <v>3.3</v>
      </c>
      <c r="KW7" s="18">
        <v>0</v>
      </c>
      <c r="KX7" s="18">
        <v>0</v>
      </c>
      <c r="KY7" s="18">
        <v>16.899999999999999</v>
      </c>
      <c r="KZ7" s="18">
        <v>5.5</v>
      </c>
      <c r="LA7" s="18">
        <v>0.2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 t="shared" si="94"/>
        <v>8.8000000000000007</v>
      </c>
      <c r="LP7" s="11">
        <f t="shared" si="95"/>
        <v>41</v>
      </c>
      <c r="LQ7" s="11" t="str">
        <f t="shared" si="96"/>
        <v/>
      </c>
      <c r="LR7" s="11">
        <f t="shared" si="97"/>
        <v>8.8000000000000007</v>
      </c>
      <c r="LS7" s="11">
        <f t="shared" si="98"/>
        <v>41</v>
      </c>
      <c r="LT7" s="11" t="str">
        <f t="shared" si="99"/>
        <v/>
      </c>
      <c r="LU7" s="11" t="str">
        <f t="shared" si="100"/>
        <v/>
      </c>
      <c r="LV7" s="11">
        <f t="shared" si="101"/>
        <v>41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2"/>
        <v/>
      </c>
      <c r="MR7" s="41" t="str">
        <f t="shared" si="103"/>
        <v/>
      </c>
      <c r="MS7" s="41" t="str">
        <f t="shared" si="104"/>
        <v/>
      </c>
      <c r="MT7" s="41" t="str">
        <f t="shared" si="105"/>
        <v/>
      </c>
      <c r="MU7" s="41" t="str">
        <f t="shared" si="106"/>
        <v/>
      </c>
      <c r="MV7" s="41" t="str">
        <f t="shared" si="107"/>
        <v/>
      </c>
      <c r="MW7" s="41" t="str">
        <f t="shared" si="108"/>
        <v/>
      </c>
      <c r="MX7" s="41" t="str">
        <f t="shared" si="109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0"/>
        <v/>
      </c>
      <c r="NT7" s="11" t="str">
        <f t="shared" si="111"/>
        <v/>
      </c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8"/>
        <v/>
      </c>
      <c r="OV7" s="41" t="str">
        <f t="shared" si="119"/>
        <v/>
      </c>
      <c r="OW7" s="41" t="str">
        <f t="shared" si="120"/>
        <v/>
      </c>
      <c r="OX7" s="41" t="str">
        <f t="shared" si="121"/>
        <v/>
      </c>
      <c r="OY7" s="41" t="str">
        <f t="shared" si="122"/>
        <v/>
      </c>
      <c r="OZ7" s="41" t="str">
        <f t="shared" si="123"/>
        <v/>
      </c>
      <c r="PA7" s="41" t="str">
        <f t="shared" si="124"/>
        <v/>
      </c>
      <c r="PB7" s="41" t="str">
        <f t="shared" si="125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6"/>
        <v/>
      </c>
      <c r="PX7" s="11" t="str">
        <f t="shared" si="127"/>
        <v/>
      </c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23">
        <f t="shared" si="134"/>
        <v>16.649999999999999</v>
      </c>
      <c r="QF7" s="23">
        <f t="shared" si="134"/>
        <v>5.4</v>
      </c>
      <c r="QG7" s="23">
        <f t="shared" si="134"/>
        <v>0.1</v>
      </c>
      <c r="QH7" s="23">
        <f t="shared" si="134"/>
        <v>0</v>
      </c>
      <c r="QI7" s="23">
        <f t="shared" si="134"/>
        <v>16.8</v>
      </c>
      <c r="QJ7" s="23">
        <f t="shared" si="134"/>
        <v>3.75</v>
      </c>
      <c r="QK7" s="23">
        <f t="shared" si="134"/>
        <v>0</v>
      </c>
      <c r="QL7" s="23">
        <f t="shared" si="134"/>
        <v>0</v>
      </c>
      <c r="QM7" s="23">
        <f t="shared" si="134"/>
        <v>8.35</v>
      </c>
      <c r="QN7" s="23">
        <f t="shared" si="134"/>
        <v>1.5</v>
      </c>
      <c r="QO7" s="23">
        <f t="shared" si="135"/>
        <v>0.5</v>
      </c>
      <c r="QP7" s="23">
        <f t="shared" si="135"/>
        <v>0</v>
      </c>
      <c r="QQ7" s="23">
        <f t="shared" si="135"/>
        <v>8.6999999999999993</v>
      </c>
      <c r="QR7" s="23">
        <f t="shared" si="135"/>
        <v>2.75</v>
      </c>
      <c r="QS7" s="23">
        <f t="shared" si="135"/>
        <v>0</v>
      </c>
      <c r="QT7" s="23">
        <f t="shared" si="135"/>
        <v>0</v>
      </c>
      <c r="QU7" s="23">
        <f t="shared" si="135"/>
        <v>8</v>
      </c>
      <c r="QV7" s="23">
        <f t="shared" si="135"/>
        <v>1.85</v>
      </c>
      <c r="QW7" s="23">
        <f t="shared" si="135"/>
        <v>0</v>
      </c>
      <c r="QX7" s="23">
        <f t="shared" si="135"/>
        <v>0</v>
      </c>
      <c r="QY7" s="28" t="s">
        <v>58</v>
      </c>
      <c r="QZ7" s="41">
        <f t="shared" si="136"/>
        <v>9.15</v>
      </c>
      <c r="RA7" s="41">
        <f t="shared" si="137"/>
        <v>42.499999999999993</v>
      </c>
      <c r="RB7" s="41">
        <f t="shared" si="138"/>
        <v>9.35</v>
      </c>
      <c r="RC7" s="41">
        <f t="shared" si="139"/>
        <v>10.65</v>
      </c>
      <c r="RD7" s="41">
        <f t="shared" si="140"/>
        <v>51.849999999999994</v>
      </c>
      <c r="RE7" s="41">
        <f t="shared" si="141"/>
        <v>4.5999999999999996</v>
      </c>
      <c r="RF7" s="41">
        <f t="shared" si="142"/>
        <v>21.3</v>
      </c>
      <c r="RG7" s="41">
        <f t="shared" si="143"/>
        <v>63.8</v>
      </c>
    </row>
    <row r="8" spans="1:475" x14ac:dyDescent="0.2">
      <c r="A8" s="4" t="str">
        <f>IF(AND(F8="P",G8="P"),SUMPRODUCT((F$4:F$11="P")*(G$4:G$11="P")*(E$4:E$11&gt;E8))+1,IF(G8="P",SUMPRODUCT((F$4:F$11="")*(G$4:G$11="P")*(E$4:E$11&gt;E8))+1+SUMPRODUCT((F$4:F$11="P")*(G$4:G$11="P")),""))</f>
        <v/>
      </c>
      <c r="B8" s="5" t="s">
        <v>138</v>
      </c>
      <c r="C8" s="4" t="s">
        <v>5</v>
      </c>
      <c r="D8" s="4">
        <v>2004</v>
      </c>
      <c r="E8" s="9">
        <f t="shared" si="0"/>
        <v>156.30001114000453</v>
      </c>
      <c r="F8" s="3" t="str">
        <f t="shared" si="1"/>
        <v/>
      </c>
      <c r="G8" s="3" t="str">
        <f t="shared" si="2"/>
        <v/>
      </c>
      <c r="H8" s="37" t="str">
        <f>IF(AND(G8="P",F8=""),"No DD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Merit",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Excellence",IF(I8="P","Worlds Team",IF(F8="P","National Team","")))))</f>
        <v/>
      </c>
      <c r="I8" s="3" t="str">
        <f>IF(OR(AND(AS8&gt;=AW$14,AT8&gt;=AW$18,AS8&lt;&gt;"",AO8=""),AND(BV8&gt;=BZ$14,BW8&gt;=BZ$18,BV8&lt;&gt;"",BR8=""),AND(CY8&gt;=DC$14,CZ8&gt;=DC$18,CY8&lt;&gt;"",CU8=""),AND(ED8&gt;=EH$14,EE8&gt;=EH$18,ED8&lt;&gt;""),AND(FF8&gt;=FJ$14,FG8&gt;=FJ$18,FF8&lt;&gt;""),AND(GH8&gt;=GL$14,GI8&gt;=GL$18,GH8&lt;&gt;""),AND(HJ8&gt;=HN$14,HK8&gt;=HN$18,HJ8&lt;&gt;""),AND(IL8&gt;=IP$14,IM8&gt;=IP$18,IL8&lt;&gt;""),AND(JN8&gt;=JR$14,JO8&gt;=JR$18,JN8&lt;&gt;""),AND(KP8&gt;=KT$14,KQ8&gt;=KT$18,KP8&lt;&gt;""),AND(LR8&gt;=LV$14,LS8&gt;=LV$18,LR8&lt;&gt;""),AND(MT8&gt;=MX$14,MU8&gt;=MX$18,MT8&lt;&gt;""),AND(NV8&gt;=NZ$14,NW8&gt;=NZ$18,NV8&lt;&gt;""),AND(OX8&gt;=PB$14,OY8&gt;=PB$18,OX8&lt;&gt;""),AND(PZ8&gt;=QD$14,QA8&gt;=QD$18,PZ8&lt;&gt;"")),"P","")</f>
        <v/>
      </c>
      <c r="J8" s="8">
        <f>IF(COUNT(AQ8,BT8,CW8)&gt;0,LARGE((AQ8,BT8,CW8),1),0)</f>
        <v>45.2</v>
      </c>
      <c r="K8" s="8" t="str">
        <f t="shared" si="3"/>
        <v>2023 Elite Canada</v>
      </c>
      <c r="L8" s="8">
        <f>IF(COUNT(AQ8,BT8,CW8)&gt;1,LARGE((AQ8,BT8,CW8),2),0)</f>
        <v>43.699999999999996</v>
      </c>
      <c r="M8" s="8" t="str">
        <f t="shared" si="4"/>
        <v>2022 Nationals</v>
      </c>
      <c r="N8" s="8">
        <f>IF(COUNT(AR8,BU8,CX8)&gt;0,LARGE((AR8,BU8,CX8),1),0)</f>
        <v>22.5</v>
      </c>
      <c r="O8" s="8" t="str">
        <f t="shared" si="5"/>
        <v>2023 Elite Canada</v>
      </c>
      <c r="P8" s="8">
        <f t="shared" si="6"/>
        <v>43.74</v>
      </c>
      <c r="Q8" s="8" t="str">
        <f t="shared" si="7"/>
        <v>2022 3rd Domestic Trial</v>
      </c>
      <c r="R8" s="8">
        <f t="shared" si="8"/>
        <v>1.1599999999999966</v>
      </c>
      <c r="S8" s="11" t="str">
        <f t="shared" si="9"/>
        <v>(Final)</v>
      </c>
      <c r="T8" s="8" t="str">
        <f t="shared" si="10"/>
        <v>2022 Coimbra Gym Fest (June 26)</v>
      </c>
      <c r="U8" s="19">
        <v>17.600000000000001</v>
      </c>
      <c r="V8" s="19">
        <v>4.8</v>
      </c>
      <c r="W8" s="19">
        <v>0.9</v>
      </c>
      <c r="X8" s="19">
        <v>0</v>
      </c>
      <c r="Y8" s="19">
        <v>16.399999999999999</v>
      </c>
      <c r="Z8" s="19">
        <v>5.8</v>
      </c>
      <c r="AA8" s="19">
        <v>0</v>
      </c>
      <c r="AB8" s="19">
        <v>0</v>
      </c>
      <c r="AC8" s="19"/>
      <c r="AD8" s="19"/>
      <c r="AE8" s="19"/>
      <c r="AF8" s="19"/>
      <c r="AG8" s="19">
        <v>15.5</v>
      </c>
      <c r="AH8" s="19">
        <v>4.4000000000000004</v>
      </c>
      <c r="AI8" s="19">
        <v>0.6</v>
      </c>
      <c r="AJ8" s="19">
        <v>0</v>
      </c>
      <c r="AK8" s="19">
        <v>15.6</v>
      </c>
      <c r="AL8" s="19">
        <v>3</v>
      </c>
      <c r="AM8" s="19">
        <v>0</v>
      </c>
      <c r="AN8" s="19">
        <v>0</v>
      </c>
      <c r="AO8" s="28"/>
      <c r="AP8" s="41">
        <f t="shared" si="11"/>
        <v>10.6</v>
      </c>
      <c r="AQ8" s="41">
        <f t="shared" si="12"/>
        <v>43.699999999999996</v>
      </c>
      <c r="AR8" s="41" t="str">
        <f t="shared" si="13"/>
        <v/>
      </c>
      <c r="AS8" s="41">
        <f t="shared" si="14"/>
        <v>10.6</v>
      </c>
      <c r="AT8" s="41">
        <f t="shared" si="15"/>
        <v>43.699999999999996</v>
      </c>
      <c r="AU8" s="41">
        <f t="shared" si="16"/>
        <v>7.4</v>
      </c>
      <c r="AV8" s="41">
        <f t="shared" si="17"/>
        <v>37.9</v>
      </c>
      <c r="AW8" s="41">
        <f t="shared" si="18"/>
        <v>81.599999999999994</v>
      </c>
      <c r="AX8" s="18">
        <v>15.3</v>
      </c>
      <c r="AY8" s="18">
        <v>5.5</v>
      </c>
      <c r="AZ8" s="18">
        <v>0</v>
      </c>
      <c r="BA8" s="18">
        <v>0</v>
      </c>
      <c r="BB8" s="18">
        <v>16.8</v>
      </c>
      <c r="BC8" s="18">
        <v>5.5</v>
      </c>
      <c r="BD8" s="18">
        <v>0</v>
      </c>
      <c r="BE8" s="18">
        <v>0</v>
      </c>
      <c r="BF8" s="18"/>
      <c r="BG8" s="18"/>
      <c r="BH8" s="18"/>
      <c r="BI8" s="18"/>
      <c r="BJ8" s="18">
        <v>16.54</v>
      </c>
      <c r="BK8" s="18">
        <v>5.7</v>
      </c>
      <c r="BL8" s="18">
        <v>0</v>
      </c>
      <c r="BM8" s="18">
        <v>0</v>
      </c>
      <c r="BN8" s="18">
        <v>16.399999999999999</v>
      </c>
      <c r="BO8" s="18">
        <v>5.0999999999999996</v>
      </c>
      <c r="BP8" s="18">
        <v>0</v>
      </c>
      <c r="BQ8" s="18">
        <v>0</v>
      </c>
      <c r="BR8" s="29"/>
      <c r="BS8" s="11">
        <f t="shared" si="19"/>
        <v>11</v>
      </c>
      <c r="BT8" s="11">
        <f t="shared" si="20"/>
        <v>43.1</v>
      </c>
      <c r="BU8" s="11" t="str">
        <f t="shared" si="21"/>
        <v/>
      </c>
      <c r="BV8" s="11">
        <f t="shared" si="22"/>
        <v>11</v>
      </c>
      <c r="BW8" s="11">
        <f t="shared" si="23"/>
        <v>43.1</v>
      </c>
      <c r="BX8" s="11">
        <f t="shared" si="24"/>
        <v>10.8</v>
      </c>
      <c r="BY8" s="11">
        <f t="shared" si="25"/>
        <v>43.74</v>
      </c>
      <c r="BZ8" s="11">
        <f t="shared" si="26"/>
        <v>86.84</v>
      </c>
      <c r="CA8" s="19">
        <v>16.5</v>
      </c>
      <c r="CB8" s="19">
        <v>6.1</v>
      </c>
      <c r="CC8" s="19">
        <v>0.2</v>
      </c>
      <c r="CD8" s="19">
        <v>0</v>
      </c>
      <c r="CE8" s="19">
        <v>16.600000000000001</v>
      </c>
      <c r="CF8" s="19">
        <v>6.2</v>
      </c>
      <c r="CG8" s="19">
        <v>0</v>
      </c>
      <c r="CH8" s="19">
        <v>0</v>
      </c>
      <c r="CI8" s="19">
        <v>16.3</v>
      </c>
      <c r="CJ8" s="19">
        <v>6.2</v>
      </c>
      <c r="CK8" s="19">
        <v>0</v>
      </c>
      <c r="CL8" s="19">
        <v>0</v>
      </c>
      <c r="CM8" s="19">
        <v>15.8</v>
      </c>
      <c r="CN8" s="19">
        <v>3.3</v>
      </c>
      <c r="CO8" s="19">
        <v>0</v>
      </c>
      <c r="CP8" s="19">
        <v>0</v>
      </c>
      <c r="CQ8" s="19">
        <v>13.5</v>
      </c>
      <c r="CR8" s="19">
        <v>5.7</v>
      </c>
      <c r="CS8" s="19">
        <v>0</v>
      </c>
      <c r="CT8" s="19">
        <v>0</v>
      </c>
      <c r="CU8" s="28"/>
      <c r="CV8" s="41">
        <f t="shared" si="27"/>
        <v>12.3</v>
      </c>
      <c r="CW8" s="41">
        <f t="shared" si="28"/>
        <v>45.2</v>
      </c>
      <c r="CX8" s="41">
        <f t="shared" si="29"/>
        <v>22.5</v>
      </c>
      <c r="CY8" s="41">
        <f t="shared" si="30"/>
        <v>18.5</v>
      </c>
      <c r="CZ8" s="41">
        <f t="shared" si="31"/>
        <v>67.7</v>
      </c>
      <c r="DA8" s="41">
        <f t="shared" si="32"/>
        <v>9</v>
      </c>
      <c r="DB8" s="41">
        <f t="shared" si="33"/>
        <v>38.300000000000004</v>
      </c>
      <c r="DC8" s="41">
        <f t="shared" si="34"/>
        <v>83.5</v>
      </c>
      <c r="DD8" s="52" t="str">
        <f t="shared" si="35"/>
        <v/>
      </c>
      <c r="DE8" s="52" t="str">
        <f t="shared" si="36"/>
        <v/>
      </c>
      <c r="DF8" s="52">
        <f t="shared" si="37"/>
        <v>1.1599999999999966</v>
      </c>
      <c r="DG8" s="17">
        <v>15.3</v>
      </c>
      <c r="DH8" s="17">
        <v>2.9</v>
      </c>
      <c r="DI8" s="17">
        <v>0</v>
      </c>
      <c r="DJ8" s="17">
        <v>0</v>
      </c>
      <c r="DK8" s="17">
        <v>17</v>
      </c>
      <c r="DL8" s="17">
        <v>4.8</v>
      </c>
      <c r="DM8" s="17">
        <v>0</v>
      </c>
      <c r="DN8" s="17">
        <v>0</v>
      </c>
      <c r="DO8" s="17"/>
      <c r="DP8" s="17"/>
      <c r="DQ8" s="17"/>
      <c r="DR8" s="17"/>
      <c r="DS8" s="17">
        <v>16.600000000000001</v>
      </c>
      <c r="DT8" s="17">
        <v>5.3</v>
      </c>
      <c r="DU8" s="17">
        <v>0.2</v>
      </c>
      <c r="DV8" s="17">
        <v>0</v>
      </c>
      <c r="DW8" s="17">
        <v>16.899999999999999</v>
      </c>
      <c r="DX8" s="17">
        <v>4.4000000000000004</v>
      </c>
      <c r="DY8" s="17">
        <v>0.4</v>
      </c>
      <c r="DZ8" s="17">
        <v>0</v>
      </c>
      <c r="EA8" s="41">
        <f t="shared" si="38"/>
        <v>7.6999999999999993</v>
      </c>
      <c r="EB8" s="41">
        <f t="shared" si="39"/>
        <v>40</v>
      </c>
      <c r="EC8" s="41" t="str">
        <f t="shared" si="40"/>
        <v/>
      </c>
      <c r="ED8" s="41">
        <f t="shared" si="41"/>
        <v>7.6999999999999993</v>
      </c>
      <c r="EE8" s="41">
        <f t="shared" si="42"/>
        <v>40</v>
      </c>
      <c r="EF8" s="41">
        <f t="shared" si="43"/>
        <v>9.6999999999999993</v>
      </c>
      <c r="EG8" s="41">
        <f t="shared" si="44"/>
        <v>42.599999999999994</v>
      </c>
      <c r="EH8" s="41">
        <f t="shared" si="45"/>
        <v>82.6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6"/>
        <v/>
      </c>
      <c r="FD8" s="11" t="str">
        <f t="shared" si="47"/>
        <v/>
      </c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4"/>
        <v/>
      </c>
      <c r="GF8" s="41" t="str">
        <f t="shared" si="55"/>
        <v/>
      </c>
      <c r="GG8" s="41" t="str">
        <f t="shared" si="56"/>
        <v/>
      </c>
      <c r="GH8" s="41" t="str">
        <f t="shared" si="57"/>
        <v/>
      </c>
      <c r="GI8" s="41" t="str">
        <f t="shared" si="58"/>
        <v/>
      </c>
      <c r="GJ8" s="41" t="str">
        <f t="shared" si="59"/>
        <v/>
      </c>
      <c r="GK8" s="41" t="str">
        <f t="shared" si="60"/>
        <v/>
      </c>
      <c r="GL8" s="41" t="str">
        <f t="shared" si="61"/>
        <v/>
      </c>
      <c r="GM8" s="18">
        <v>15.3</v>
      </c>
      <c r="GN8" s="18">
        <v>5.3</v>
      </c>
      <c r="GO8" s="18">
        <v>0</v>
      </c>
      <c r="GP8" s="18">
        <v>0</v>
      </c>
      <c r="GQ8" s="18">
        <v>16.5</v>
      </c>
      <c r="GR8" s="18">
        <v>4.8</v>
      </c>
      <c r="GS8" s="18">
        <v>0.2</v>
      </c>
      <c r="GT8" s="18">
        <v>0</v>
      </c>
      <c r="GU8" s="18"/>
      <c r="GV8" s="18"/>
      <c r="GW8" s="18"/>
      <c r="GX8" s="18"/>
      <c r="GY8" s="18">
        <v>17.399999999999999</v>
      </c>
      <c r="GZ8" s="18">
        <v>4.8</v>
      </c>
      <c r="HA8" s="18">
        <v>0</v>
      </c>
      <c r="HB8" s="18">
        <v>0</v>
      </c>
      <c r="HC8" s="18">
        <v>17.2</v>
      </c>
      <c r="HD8" s="18">
        <v>5.7</v>
      </c>
      <c r="HE8" s="18">
        <v>0.2</v>
      </c>
      <c r="HF8" s="18">
        <v>0</v>
      </c>
      <c r="HG8" s="11">
        <f t="shared" si="62"/>
        <v>10.1</v>
      </c>
      <c r="HH8" s="11">
        <f t="shared" si="63"/>
        <v>41.699999999999996</v>
      </c>
      <c r="HI8" s="11" t="str">
        <f t="shared" si="64"/>
        <v/>
      </c>
      <c r="HJ8" s="11">
        <f t="shared" si="65"/>
        <v>10.1</v>
      </c>
      <c r="HK8" s="11">
        <f t="shared" si="66"/>
        <v>41.699999999999996</v>
      </c>
      <c r="HL8" s="11">
        <f t="shared" si="67"/>
        <v>10.5</v>
      </c>
      <c r="HM8" s="11">
        <f t="shared" si="68"/>
        <v>44.9</v>
      </c>
      <c r="HN8" s="11">
        <f t="shared" si="69"/>
        <v>86.6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0"/>
        <v/>
      </c>
      <c r="IJ8" s="41" t="str">
        <f t="shared" si="71"/>
        <v/>
      </c>
      <c r="IK8" s="41" t="str">
        <f t="shared" si="72"/>
        <v/>
      </c>
      <c r="IL8" s="41" t="str">
        <f t="shared" si="73"/>
        <v/>
      </c>
      <c r="IM8" s="41" t="str">
        <f t="shared" si="74"/>
        <v/>
      </c>
      <c r="IN8" s="41" t="str">
        <f t="shared" si="75"/>
        <v/>
      </c>
      <c r="IO8" s="41" t="str">
        <f t="shared" si="76"/>
        <v/>
      </c>
      <c r="IP8" s="41" t="str">
        <f t="shared" si="77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8"/>
        <v/>
      </c>
      <c r="JL8" s="11" t="str">
        <f t="shared" si="79"/>
        <v/>
      </c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6"/>
        <v/>
      </c>
      <c r="KN8" s="41" t="str">
        <f t="shared" si="87"/>
        <v/>
      </c>
      <c r="KO8" s="41" t="str">
        <f t="shared" si="88"/>
        <v/>
      </c>
      <c r="KP8" s="41" t="str">
        <f t="shared" si="89"/>
        <v/>
      </c>
      <c r="KQ8" s="41" t="str">
        <f t="shared" si="90"/>
        <v/>
      </c>
      <c r="KR8" s="41" t="str">
        <f t="shared" si="91"/>
        <v/>
      </c>
      <c r="KS8" s="41" t="str">
        <f t="shared" si="92"/>
        <v/>
      </c>
      <c r="KT8" s="41" t="str">
        <f t="shared" si="93"/>
        <v/>
      </c>
      <c r="KU8" s="18">
        <v>12.3</v>
      </c>
      <c r="KV8" s="18">
        <v>2.6</v>
      </c>
      <c r="KW8" s="18">
        <v>0</v>
      </c>
      <c r="KX8" s="18">
        <v>0</v>
      </c>
      <c r="KY8" s="18">
        <v>18</v>
      </c>
      <c r="KZ8" s="18">
        <v>4.8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 t="shared" si="94"/>
        <v>7.4</v>
      </c>
      <c r="LP8" s="11">
        <f t="shared" si="95"/>
        <v>37.699999999999996</v>
      </c>
      <c r="LQ8" s="11" t="str">
        <f t="shared" si="96"/>
        <v/>
      </c>
      <c r="LR8" s="11">
        <f t="shared" si="97"/>
        <v>7.4</v>
      </c>
      <c r="LS8" s="11">
        <f t="shared" si="98"/>
        <v>37.699999999999996</v>
      </c>
      <c r="LT8" s="11" t="str">
        <f t="shared" si="99"/>
        <v/>
      </c>
      <c r="LU8" s="11" t="str">
        <f t="shared" si="100"/>
        <v/>
      </c>
      <c r="LV8" s="11">
        <f t="shared" si="101"/>
        <v>37.699999999999996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2"/>
        <v/>
      </c>
      <c r="MR8" s="41" t="str">
        <f t="shared" si="103"/>
        <v/>
      </c>
      <c r="MS8" s="41" t="str">
        <f t="shared" si="104"/>
        <v/>
      </c>
      <c r="MT8" s="41" t="str">
        <f t="shared" si="105"/>
        <v/>
      </c>
      <c r="MU8" s="41" t="str">
        <f t="shared" si="106"/>
        <v/>
      </c>
      <c r="MV8" s="41" t="str">
        <f t="shared" si="107"/>
        <v/>
      </c>
      <c r="MW8" s="41" t="str">
        <f t="shared" si="108"/>
        <v/>
      </c>
      <c r="MX8" s="41" t="str">
        <f t="shared" si="109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0"/>
        <v/>
      </c>
      <c r="NT8" s="11" t="str">
        <f t="shared" si="111"/>
        <v/>
      </c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8"/>
        <v/>
      </c>
      <c r="OV8" s="41" t="str">
        <f t="shared" si="119"/>
        <v/>
      </c>
      <c r="OW8" s="41" t="str">
        <f t="shared" si="120"/>
        <v/>
      </c>
      <c r="OX8" s="41" t="str">
        <f t="shared" si="121"/>
        <v/>
      </c>
      <c r="OY8" s="41" t="str">
        <f t="shared" si="122"/>
        <v/>
      </c>
      <c r="OZ8" s="41" t="str">
        <f t="shared" si="123"/>
        <v/>
      </c>
      <c r="PA8" s="41" t="str">
        <f t="shared" si="124"/>
        <v/>
      </c>
      <c r="PB8" s="41" t="str">
        <f t="shared" si="125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6"/>
        <v/>
      </c>
      <c r="PX8" s="11" t="str">
        <f t="shared" si="127"/>
        <v/>
      </c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23">
        <f t="shared" si="134"/>
        <v>15.9</v>
      </c>
      <c r="QF8" s="23">
        <f t="shared" si="134"/>
        <v>5.8</v>
      </c>
      <c r="QG8" s="23">
        <f t="shared" si="134"/>
        <v>0.1</v>
      </c>
      <c r="QH8" s="23">
        <f t="shared" si="134"/>
        <v>0</v>
      </c>
      <c r="QI8" s="23">
        <f t="shared" si="134"/>
        <v>16.700000000000003</v>
      </c>
      <c r="QJ8" s="23">
        <f t="shared" si="134"/>
        <v>5.85</v>
      </c>
      <c r="QK8" s="23">
        <f t="shared" si="134"/>
        <v>0</v>
      </c>
      <c r="QL8" s="23">
        <f t="shared" si="134"/>
        <v>0</v>
      </c>
      <c r="QM8" s="23">
        <f t="shared" si="134"/>
        <v>8.15</v>
      </c>
      <c r="QN8" s="23">
        <f t="shared" si="134"/>
        <v>3.1</v>
      </c>
      <c r="QO8" s="23">
        <f t="shared" si="135"/>
        <v>0</v>
      </c>
      <c r="QP8" s="23">
        <f t="shared" si="135"/>
        <v>0</v>
      </c>
      <c r="QQ8" s="23">
        <f t="shared" si="135"/>
        <v>16.170000000000002</v>
      </c>
      <c r="QR8" s="23">
        <f t="shared" si="135"/>
        <v>4.5</v>
      </c>
      <c r="QS8" s="23">
        <f t="shared" si="135"/>
        <v>0</v>
      </c>
      <c r="QT8" s="23">
        <f t="shared" si="135"/>
        <v>0</v>
      </c>
      <c r="QU8" s="23">
        <f t="shared" si="135"/>
        <v>14.95</v>
      </c>
      <c r="QV8" s="23">
        <f t="shared" si="135"/>
        <v>5.4</v>
      </c>
      <c r="QW8" s="23">
        <f t="shared" si="135"/>
        <v>0</v>
      </c>
      <c r="QX8" s="23">
        <f t="shared" si="135"/>
        <v>0</v>
      </c>
      <c r="QY8" s="28" t="s">
        <v>58</v>
      </c>
      <c r="QZ8" s="41">
        <f t="shared" si="136"/>
        <v>11.649999999999999</v>
      </c>
      <c r="RA8" s="41">
        <f t="shared" si="137"/>
        <v>44.150000000000006</v>
      </c>
      <c r="RB8" s="41">
        <f t="shared" si="138"/>
        <v>11.25</v>
      </c>
      <c r="RC8" s="41">
        <f t="shared" si="139"/>
        <v>14.749999999999998</v>
      </c>
      <c r="RD8" s="41">
        <f t="shared" si="140"/>
        <v>55.400000000000006</v>
      </c>
      <c r="RE8" s="41">
        <f t="shared" si="141"/>
        <v>9.9</v>
      </c>
      <c r="RF8" s="41">
        <f t="shared" si="142"/>
        <v>41.02</v>
      </c>
      <c r="RG8" s="41">
        <f t="shared" si="143"/>
        <v>85.170000000000016</v>
      </c>
    </row>
    <row r="9" spans="1:475" x14ac:dyDescent="0.2">
      <c r="A9" s="4" t="str">
        <f>IF(AND(F9="P",G9="P"),SUMPRODUCT((F$4:F$11="P")*(G$4:G$11="P")*(E$4:E$11&gt;E9))+1,IF(G9="P",SUMPRODUCT((F$4:F$11="")*(G$4:G$11="P")*(E$4:E$11&gt;E9))+1+SUMPRODUCT((F$4:F$11="P")*(G$4:G$11="P")),""))</f>
        <v/>
      </c>
      <c r="B9" s="5" t="s">
        <v>89</v>
      </c>
      <c r="C9" s="4" t="s">
        <v>5</v>
      </c>
      <c r="D9" s="4">
        <v>2003</v>
      </c>
      <c r="E9" s="9">
        <f t="shared" si="0"/>
        <v>123.80000801000409</v>
      </c>
      <c r="F9" s="3" t="str">
        <f t="shared" si="1"/>
        <v/>
      </c>
      <c r="G9" s="3" t="str">
        <f t="shared" si="2"/>
        <v/>
      </c>
      <c r="H9" s="37" t="str">
        <f>IF(AND(G9="P",F9=""),"No DD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Merit",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Excellence",IF(I9="P","Worlds Team",IF(F9="P","National Team","")))))</f>
        <v/>
      </c>
      <c r="I9" s="3" t="str">
        <f>IF(OR(AND(AS9&gt;=AW$14,AT9&gt;=AW$18,AS9&lt;&gt;"",AO9=""),AND(BV9&gt;=BZ$14,BW9&gt;=BZ$18,BV9&lt;&gt;"",BR9=""),AND(CY9&gt;=DC$14,CZ9&gt;=DC$18,CY9&lt;&gt;"",CU9=""),AND(ED9&gt;=EH$14,EE9&gt;=EH$18,ED9&lt;&gt;""),AND(FF9&gt;=FJ$14,FG9&gt;=FJ$18,FF9&lt;&gt;""),AND(GH9&gt;=GL$14,GI9&gt;=GL$18,GH9&lt;&gt;""),AND(HJ9&gt;=HN$14,HK9&gt;=HN$18,HJ9&lt;&gt;""),AND(IL9&gt;=IP$14,IM9&gt;=IP$18,IL9&lt;&gt;""),AND(JN9&gt;=JR$14,JO9&gt;=JR$18,JN9&lt;&gt;""),AND(KP9&gt;=KT$14,KQ9&gt;=KT$18,KP9&lt;&gt;""),AND(LR9&gt;=LV$14,LS9&gt;=LV$18,LR9&lt;&gt;""),AND(MT9&gt;=MX$14,MU9&gt;=MX$18,MT9&lt;&gt;""),AND(NV9&gt;=NZ$14,NW9&gt;=NZ$18,NV9&lt;&gt;""),AND(OX9&gt;=PB$14,OY9&gt;=PB$18,OX9&lt;&gt;""),AND(PZ9&gt;=QD$14,QA9&gt;=QD$18,PZ9&lt;&gt;"")),"P","")</f>
        <v/>
      </c>
      <c r="J9" s="8">
        <f>IF(COUNT(AQ9,BT9,CW9)&gt;0,LARGE((AQ9,BT9,CW9),1),0)</f>
        <v>40.800000000000004</v>
      </c>
      <c r="K9" s="8" t="str">
        <f t="shared" si="3"/>
        <v>2022 Nationals</v>
      </c>
      <c r="L9" s="8">
        <f>IF(COUNT(AQ9,BT9,CW9)&gt;1,LARGE((AQ9,BT9,CW9),2),0)</f>
        <v>39.299999999999997</v>
      </c>
      <c r="M9" s="8" t="str">
        <f t="shared" si="4"/>
        <v>2022 3rd Domestic Trial</v>
      </c>
      <c r="N9" s="8">
        <f>IF(COUNT(AR9,BU9,CX9)&gt;0,LARGE((AR9,BU9,CX9),1),0)</f>
        <v>0</v>
      </c>
      <c r="O9" s="8" t="str">
        <f t="shared" si="5"/>
        <v/>
      </c>
      <c r="P9" s="8">
        <f t="shared" si="6"/>
        <v>43.70000000000001</v>
      </c>
      <c r="Q9" s="8" t="str">
        <f t="shared" si="7"/>
        <v>2022 Nationals</v>
      </c>
      <c r="R9" s="8" t="str">
        <f t="shared" si="8"/>
        <v/>
      </c>
      <c r="S9" s="11" t="str">
        <f t="shared" si="9"/>
        <v/>
      </c>
      <c r="T9" s="8" t="str">
        <f t="shared" si="10"/>
        <v/>
      </c>
      <c r="U9" s="19">
        <v>16.600000000000001</v>
      </c>
      <c r="V9" s="19">
        <v>5.0999999999999996</v>
      </c>
      <c r="W9" s="19">
        <v>0</v>
      </c>
      <c r="X9" s="19">
        <v>0.3</v>
      </c>
      <c r="Y9" s="19">
        <v>14.9</v>
      </c>
      <c r="Z9" s="19">
        <v>3.3</v>
      </c>
      <c r="AA9" s="19">
        <v>0</v>
      </c>
      <c r="AB9" s="19">
        <v>0.6</v>
      </c>
      <c r="AC9" s="19"/>
      <c r="AD9" s="19"/>
      <c r="AE9" s="19"/>
      <c r="AF9" s="19"/>
      <c r="AG9" s="19">
        <v>16.600000000000001</v>
      </c>
      <c r="AH9" s="19">
        <v>5.0999999999999996</v>
      </c>
      <c r="AI9" s="19">
        <v>0</v>
      </c>
      <c r="AJ9" s="19">
        <v>0.3</v>
      </c>
      <c r="AK9" s="19">
        <v>16.100000000000001</v>
      </c>
      <c r="AL9" s="19">
        <v>5</v>
      </c>
      <c r="AM9" s="19">
        <v>0</v>
      </c>
      <c r="AN9" s="19">
        <v>0.6</v>
      </c>
      <c r="AO9" s="28"/>
      <c r="AP9" s="41">
        <f t="shared" si="11"/>
        <v>8.3999999999999986</v>
      </c>
      <c r="AQ9" s="41">
        <f t="shared" si="12"/>
        <v>40.800000000000004</v>
      </c>
      <c r="AR9" s="41" t="str">
        <f t="shared" si="13"/>
        <v/>
      </c>
      <c r="AS9" s="41">
        <f t="shared" si="14"/>
        <v>8.3999999999999986</v>
      </c>
      <c r="AT9" s="41">
        <f t="shared" si="15"/>
        <v>40.800000000000004</v>
      </c>
      <c r="AU9" s="41">
        <f t="shared" si="16"/>
        <v>10.1</v>
      </c>
      <c r="AV9" s="41">
        <f t="shared" si="17"/>
        <v>43.70000000000001</v>
      </c>
      <c r="AW9" s="41">
        <f t="shared" si="18"/>
        <v>84.500000000000014</v>
      </c>
      <c r="AX9" s="18">
        <v>15.3</v>
      </c>
      <c r="AY9" s="18">
        <v>5.7</v>
      </c>
      <c r="AZ9" s="18">
        <v>0</v>
      </c>
      <c r="BA9" s="18">
        <v>0.6</v>
      </c>
      <c r="BB9" s="18">
        <v>14.5</v>
      </c>
      <c r="BC9" s="18">
        <v>2.9</v>
      </c>
      <c r="BD9" s="18">
        <v>0</v>
      </c>
      <c r="BE9" s="18">
        <v>0.3</v>
      </c>
      <c r="BF9" s="18"/>
      <c r="BG9" s="18"/>
      <c r="BH9" s="18"/>
      <c r="BI9" s="18"/>
      <c r="BJ9" s="18">
        <v>14.8</v>
      </c>
      <c r="BK9" s="18">
        <v>2.9</v>
      </c>
      <c r="BL9" s="18">
        <v>0</v>
      </c>
      <c r="BM9" s="18">
        <v>0.3</v>
      </c>
      <c r="BN9" s="18">
        <v>15.5</v>
      </c>
      <c r="BO9" s="18">
        <v>5</v>
      </c>
      <c r="BP9" s="18">
        <v>0</v>
      </c>
      <c r="BQ9" s="18">
        <v>0.6</v>
      </c>
      <c r="BR9" s="29"/>
      <c r="BS9" s="11">
        <f t="shared" si="19"/>
        <v>8.6</v>
      </c>
      <c r="BT9" s="11">
        <f t="shared" si="20"/>
        <v>39.299999999999997</v>
      </c>
      <c r="BU9" s="11" t="str">
        <f t="shared" si="21"/>
        <v/>
      </c>
      <c r="BV9" s="11">
        <f t="shared" si="22"/>
        <v>8.6</v>
      </c>
      <c r="BW9" s="11">
        <f t="shared" si="23"/>
        <v>39.299999999999997</v>
      </c>
      <c r="BX9" s="11">
        <f t="shared" si="24"/>
        <v>7.9</v>
      </c>
      <c r="BY9" s="11">
        <f t="shared" si="25"/>
        <v>39.1</v>
      </c>
      <c r="BZ9" s="11">
        <f t="shared" si="26"/>
        <v>78.400000000000006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 t="shared" si="27"/>
        <v/>
      </c>
      <c r="CW9" s="41" t="str">
        <f t="shared" si="28"/>
        <v/>
      </c>
      <c r="CX9" s="41" t="str">
        <f t="shared" si="29"/>
        <v/>
      </c>
      <c r="CY9" s="41" t="str">
        <f t="shared" si="30"/>
        <v/>
      </c>
      <c r="CZ9" s="41" t="str">
        <f t="shared" si="31"/>
        <v/>
      </c>
      <c r="DA9" s="41" t="str">
        <f t="shared" si="32"/>
        <v/>
      </c>
      <c r="DB9" s="41" t="str">
        <f t="shared" si="33"/>
        <v/>
      </c>
      <c r="DC9" s="41" t="str">
        <f t="shared" si="34"/>
        <v/>
      </c>
      <c r="DD9" s="52" t="str">
        <f t="shared" si="35"/>
        <v/>
      </c>
      <c r="DE9" s="52" t="str">
        <f t="shared" si="36"/>
        <v/>
      </c>
      <c r="DF9" s="52" t="str">
        <f t="shared" si="37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8"/>
        <v/>
      </c>
      <c r="EB9" s="41" t="str">
        <f t="shared" si="39"/>
        <v/>
      </c>
      <c r="EC9" s="41" t="str">
        <f t="shared" si="40"/>
        <v/>
      </c>
      <c r="ED9" s="41" t="str">
        <f t="shared" si="41"/>
        <v/>
      </c>
      <c r="EE9" s="41" t="str">
        <f t="shared" si="42"/>
        <v/>
      </c>
      <c r="EF9" s="41" t="str">
        <f t="shared" si="43"/>
        <v/>
      </c>
      <c r="EG9" s="41" t="str">
        <f t="shared" si="44"/>
        <v/>
      </c>
      <c r="EH9" s="41" t="str">
        <f t="shared" si="45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6"/>
        <v/>
      </c>
      <c r="FD9" s="11" t="str">
        <f t="shared" si="47"/>
        <v/>
      </c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4"/>
        <v/>
      </c>
      <c r="GF9" s="41" t="str">
        <f t="shared" si="55"/>
        <v/>
      </c>
      <c r="GG9" s="41" t="str">
        <f t="shared" si="56"/>
        <v/>
      </c>
      <c r="GH9" s="41" t="str">
        <f t="shared" si="57"/>
        <v/>
      </c>
      <c r="GI9" s="41" t="str">
        <f t="shared" si="58"/>
        <v/>
      </c>
      <c r="GJ9" s="41" t="str">
        <f t="shared" si="59"/>
        <v/>
      </c>
      <c r="GK9" s="41" t="str">
        <f t="shared" si="60"/>
        <v/>
      </c>
      <c r="GL9" s="41" t="str">
        <f t="shared" si="61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2"/>
        <v/>
      </c>
      <c r="HH9" s="11" t="str">
        <f t="shared" si="63"/>
        <v/>
      </c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0"/>
        <v/>
      </c>
      <c r="IJ9" s="41" t="str">
        <f t="shared" si="71"/>
        <v/>
      </c>
      <c r="IK9" s="41" t="str">
        <f t="shared" si="72"/>
        <v/>
      </c>
      <c r="IL9" s="41" t="str">
        <f t="shared" si="73"/>
        <v/>
      </c>
      <c r="IM9" s="41" t="str">
        <f t="shared" si="74"/>
        <v/>
      </c>
      <c r="IN9" s="41" t="str">
        <f t="shared" si="75"/>
        <v/>
      </c>
      <c r="IO9" s="41" t="str">
        <f t="shared" si="76"/>
        <v/>
      </c>
      <c r="IP9" s="41" t="str">
        <f t="shared" si="77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8"/>
        <v/>
      </c>
      <c r="JL9" s="11" t="str">
        <f t="shared" si="79"/>
        <v/>
      </c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6"/>
        <v/>
      </c>
      <c r="KN9" s="41" t="str">
        <f t="shared" si="87"/>
        <v/>
      </c>
      <c r="KO9" s="41" t="str">
        <f t="shared" si="88"/>
        <v/>
      </c>
      <c r="KP9" s="41" t="str">
        <f t="shared" si="89"/>
        <v/>
      </c>
      <c r="KQ9" s="41" t="str">
        <f t="shared" si="90"/>
        <v/>
      </c>
      <c r="KR9" s="41" t="str">
        <f t="shared" si="91"/>
        <v/>
      </c>
      <c r="KS9" s="41" t="str">
        <f t="shared" si="92"/>
        <v/>
      </c>
      <c r="KT9" s="41" t="str">
        <f t="shared" si="93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4"/>
        <v/>
      </c>
      <c r="LP9" s="11" t="str">
        <f t="shared" si="95"/>
        <v/>
      </c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2"/>
        <v/>
      </c>
      <c r="MR9" s="41" t="str">
        <f t="shared" si="103"/>
        <v/>
      </c>
      <c r="MS9" s="41" t="str">
        <f t="shared" si="104"/>
        <v/>
      </c>
      <c r="MT9" s="41" t="str">
        <f t="shared" si="105"/>
        <v/>
      </c>
      <c r="MU9" s="41" t="str">
        <f t="shared" si="106"/>
        <v/>
      </c>
      <c r="MV9" s="41" t="str">
        <f t="shared" si="107"/>
        <v/>
      </c>
      <c r="MW9" s="41" t="str">
        <f t="shared" si="108"/>
        <v/>
      </c>
      <c r="MX9" s="41" t="str">
        <f t="shared" si="109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0"/>
        <v/>
      </c>
      <c r="NT9" s="11" t="str">
        <f t="shared" si="111"/>
        <v/>
      </c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8"/>
        <v/>
      </c>
      <c r="OV9" s="41" t="str">
        <f t="shared" si="119"/>
        <v/>
      </c>
      <c r="OW9" s="41" t="str">
        <f t="shared" si="120"/>
        <v/>
      </c>
      <c r="OX9" s="41" t="str">
        <f t="shared" si="121"/>
        <v/>
      </c>
      <c r="OY9" s="41" t="str">
        <f t="shared" si="122"/>
        <v/>
      </c>
      <c r="OZ9" s="41" t="str">
        <f t="shared" si="123"/>
        <v/>
      </c>
      <c r="PA9" s="41" t="str">
        <f t="shared" si="124"/>
        <v/>
      </c>
      <c r="PB9" s="41" t="str">
        <f t="shared" si="125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6"/>
        <v/>
      </c>
      <c r="PX9" s="11" t="str">
        <f t="shared" si="127"/>
        <v/>
      </c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23">
        <f t="shared" si="134"/>
        <v>7.65</v>
      </c>
      <c r="QF9" s="23">
        <f t="shared" si="134"/>
        <v>2.85</v>
      </c>
      <c r="QG9" s="23">
        <f t="shared" si="134"/>
        <v>0</v>
      </c>
      <c r="QH9" s="23">
        <f t="shared" si="134"/>
        <v>0.3</v>
      </c>
      <c r="QI9" s="23">
        <f t="shared" si="134"/>
        <v>7.25</v>
      </c>
      <c r="QJ9" s="23">
        <f t="shared" si="134"/>
        <v>1.45</v>
      </c>
      <c r="QK9" s="23">
        <f t="shared" si="134"/>
        <v>0</v>
      </c>
      <c r="QL9" s="23">
        <f t="shared" si="134"/>
        <v>0.15</v>
      </c>
      <c r="QM9" s="23">
        <f t="shared" si="134"/>
        <v>0</v>
      </c>
      <c r="QN9" s="23">
        <f t="shared" si="134"/>
        <v>0</v>
      </c>
      <c r="QO9" s="23">
        <f t="shared" si="135"/>
        <v>0</v>
      </c>
      <c r="QP9" s="23">
        <f t="shared" si="135"/>
        <v>0</v>
      </c>
      <c r="QQ9" s="23">
        <f t="shared" si="135"/>
        <v>7.4</v>
      </c>
      <c r="QR9" s="23">
        <f t="shared" si="135"/>
        <v>1.45</v>
      </c>
      <c r="QS9" s="23">
        <f t="shared" si="135"/>
        <v>0</v>
      </c>
      <c r="QT9" s="23">
        <f t="shared" si="135"/>
        <v>0.15</v>
      </c>
      <c r="QU9" s="23">
        <f t="shared" si="135"/>
        <v>7.75</v>
      </c>
      <c r="QV9" s="23">
        <f t="shared" si="135"/>
        <v>2.5</v>
      </c>
      <c r="QW9" s="23">
        <f t="shared" si="135"/>
        <v>0</v>
      </c>
      <c r="QX9" s="23">
        <f t="shared" si="135"/>
        <v>0.3</v>
      </c>
      <c r="QY9" s="28" t="s">
        <v>58</v>
      </c>
      <c r="QZ9" s="41">
        <f t="shared" si="136"/>
        <v>4.3</v>
      </c>
      <c r="RA9" s="41">
        <f t="shared" si="137"/>
        <v>19.649999999999999</v>
      </c>
      <c r="RB9" s="41" t="str">
        <f t="shared" si="138"/>
        <v/>
      </c>
      <c r="RC9" s="41">
        <f t="shared" si="139"/>
        <v>4.3</v>
      </c>
      <c r="RD9" s="41">
        <f t="shared" si="140"/>
        <v>19.649999999999999</v>
      </c>
      <c r="RE9" s="41">
        <f t="shared" si="141"/>
        <v>3.95</v>
      </c>
      <c r="RF9" s="41">
        <f t="shared" si="142"/>
        <v>19.55</v>
      </c>
      <c r="RG9" s="41">
        <f t="shared" si="143"/>
        <v>39.200000000000003</v>
      </c>
    </row>
    <row r="10" spans="1:475" x14ac:dyDescent="0.2">
      <c r="A10" s="4" t="str">
        <f>IF(AND(F10="P",G10="P"),SUMPRODUCT((F$4:F$11="P")*(G$4:G$11="P")*(E$4:E$11&gt;E10))+1,IF(G10="P",SUMPRODUCT((F$4:F$11="")*(G$4:G$11="P")*(E$4:E$11&gt;E10))+1+SUMPRODUCT((F$4:F$11="P")*(G$4:G$11="P")),""))</f>
        <v/>
      </c>
      <c r="B10" s="5" t="s">
        <v>186</v>
      </c>
      <c r="C10" s="4" t="s">
        <v>5</v>
      </c>
      <c r="D10" s="4">
        <v>2003</v>
      </c>
      <c r="E10" s="9">
        <f t="shared" si="0"/>
        <v>122.30000797000434</v>
      </c>
      <c r="F10" s="3" t="str">
        <f t="shared" si="1"/>
        <v/>
      </c>
      <c r="G10" s="3" t="str">
        <f t="shared" si="2"/>
        <v/>
      </c>
      <c r="H10" s="37" t="str">
        <f>IF(AND(G10="P",F10=""),"No DD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Merit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Excellence",IF(I10="P","Worlds Team",IF(F10="P","National Team","")))))</f>
        <v/>
      </c>
      <c r="I10" s="3" t="str">
        <f>IF(OR(AND(AS10&gt;=AW$14,AT10&gt;=AW$18,AS10&lt;&gt;"",AO10=""),AND(BV10&gt;=BZ$14,BW10&gt;=BZ$18,BV10&lt;&gt;"",BR10=""),AND(CY10&gt;=DC$14,CZ10&gt;=DC$18,CY10&lt;&gt;"",CU10=""),AND(ED10&gt;=EH$14,EE10&gt;=EH$18,ED10&lt;&gt;""),AND(FF10&gt;=FJ$14,FG10&gt;=FJ$18,FF10&lt;&gt;""),AND(GH10&gt;=GL$14,GI10&gt;=GL$18,GH10&lt;&gt;""),AND(HJ10&gt;=HN$14,HK10&gt;=HN$18,HJ10&lt;&gt;""),AND(IL10&gt;=IP$14,IM10&gt;=IP$18,IL10&lt;&gt;""),AND(JN10&gt;=JR$14,JO10&gt;=JR$18,JN10&lt;&gt;""),AND(KP10&gt;=KT$14,KQ10&gt;=KT$18,KP10&lt;&gt;""),AND(LR10&gt;=LV$14,LS10&gt;=LV$18,LR10&lt;&gt;""),AND(MT10&gt;=MX$14,MU10&gt;=MX$18,MT10&lt;&gt;""),AND(NV10&gt;=NZ$14,NW10&gt;=NZ$18,NV10&lt;&gt;""),AND(OX10&gt;=PB$14,OY10&gt;=PB$18,OX10&lt;&gt;""),AND(PZ10&gt;=QD$14,QA10&gt;=QD$18,PZ10&lt;&gt;"")),"P","")</f>
        <v/>
      </c>
      <c r="J10" s="8">
        <f>IF(COUNT(AQ10,BT10,CW10)&gt;0,LARGE((AQ10,BT10,CW10),1),0)</f>
        <v>43.5</v>
      </c>
      <c r="K10" s="8" t="str">
        <f t="shared" si="3"/>
        <v>2022 Nationals</v>
      </c>
      <c r="L10" s="8">
        <f>IF(COUNT(AQ10,BT10,CW10)&gt;1,LARGE((AQ10,BT10,CW10),2),0)</f>
        <v>36.199999999999996</v>
      </c>
      <c r="M10" s="8" t="str">
        <f t="shared" si="4"/>
        <v>2022 3rd Domestic Trial</v>
      </c>
      <c r="N10" s="8">
        <f>IF(COUNT(AR10,BU10,CX10)&gt;0,LARGE((AR10,BU10,CX10),1),0)</f>
        <v>0</v>
      </c>
      <c r="O10" s="8" t="str">
        <f t="shared" si="5"/>
        <v/>
      </c>
      <c r="P10" s="8">
        <f t="shared" si="6"/>
        <v>42.600000000000009</v>
      </c>
      <c r="Q10" s="8" t="str">
        <f t="shared" si="7"/>
        <v>2022 Nationals</v>
      </c>
      <c r="R10" s="8" t="str">
        <f t="shared" si="8"/>
        <v/>
      </c>
      <c r="S10" s="11" t="str">
        <f t="shared" si="9"/>
        <v/>
      </c>
      <c r="T10" s="8" t="str">
        <f t="shared" si="10"/>
        <v/>
      </c>
      <c r="U10" s="19">
        <v>16.399999999999999</v>
      </c>
      <c r="V10" s="19">
        <v>5.5</v>
      </c>
      <c r="W10" s="19">
        <v>0.2</v>
      </c>
      <c r="X10" s="19">
        <v>0</v>
      </c>
      <c r="Y10" s="19">
        <v>16.3</v>
      </c>
      <c r="Z10" s="19">
        <v>5.5</v>
      </c>
      <c r="AA10" s="19">
        <v>0</v>
      </c>
      <c r="AB10" s="19">
        <v>0</v>
      </c>
      <c r="AC10" s="19"/>
      <c r="AD10" s="19"/>
      <c r="AE10" s="19"/>
      <c r="AF10" s="19"/>
      <c r="AG10" s="19">
        <v>17</v>
      </c>
      <c r="AH10" s="19">
        <v>5.3</v>
      </c>
      <c r="AI10" s="19">
        <v>0</v>
      </c>
      <c r="AJ10" s="19">
        <v>0</v>
      </c>
      <c r="AK10" s="19">
        <v>16.100000000000001</v>
      </c>
      <c r="AL10" s="19">
        <v>4.7</v>
      </c>
      <c r="AM10" s="19">
        <v>0.5</v>
      </c>
      <c r="AN10" s="19">
        <v>0</v>
      </c>
      <c r="AO10" s="28"/>
      <c r="AP10" s="41">
        <f t="shared" si="11"/>
        <v>11</v>
      </c>
      <c r="AQ10" s="41">
        <f t="shared" si="12"/>
        <v>43.5</v>
      </c>
      <c r="AR10" s="41" t="str">
        <f t="shared" si="13"/>
        <v/>
      </c>
      <c r="AS10" s="41">
        <f t="shared" si="14"/>
        <v>11</v>
      </c>
      <c r="AT10" s="41">
        <f t="shared" si="15"/>
        <v>43.5</v>
      </c>
      <c r="AU10" s="41">
        <f t="shared" si="16"/>
        <v>10</v>
      </c>
      <c r="AV10" s="41">
        <f t="shared" si="17"/>
        <v>42.600000000000009</v>
      </c>
      <c r="AW10" s="41">
        <f t="shared" si="18"/>
        <v>86.100000000000009</v>
      </c>
      <c r="AX10" s="18">
        <v>15.8</v>
      </c>
      <c r="AY10" s="18">
        <v>2.9</v>
      </c>
      <c r="AZ10" s="18">
        <v>0</v>
      </c>
      <c r="BA10" s="18">
        <v>0</v>
      </c>
      <c r="BB10" s="18">
        <v>14.1</v>
      </c>
      <c r="BC10" s="18">
        <v>4.3</v>
      </c>
      <c r="BD10" s="18">
        <v>0.9</v>
      </c>
      <c r="BE10" s="18">
        <v>0</v>
      </c>
      <c r="BF10" s="18"/>
      <c r="BG10" s="18"/>
      <c r="BH10" s="18"/>
      <c r="BI10" s="18"/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9"/>
      <c r="BS10" s="11">
        <f t="shared" si="19"/>
        <v>7.1999999999999993</v>
      </c>
      <c r="BT10" s="11">
        <f t="shared" si="20"/>
        <v>36.199999999999996</v>
      </c>
      <c r="BU10" s="11" t="str">
        <f t="shared" si="21"/>
        <v/>
      </c>
      <c r="BV10" s="11">
        <f t="shared" si="22"/>
        <v>7.1999999999999993</v>
      </c>
      <c r="BW10" s="11">
        <f t="shared" si="23"/>
        <v>36.199999999999996</v>
      </c>
      <c r="BX10" s="11" t="str">
        <f t="shared" si="24"/>
        <v/>
      </c>
      <c r="BY10" s="11" t="str">
        <f t="shared" si="25"/>
        <v/>
      </c>
      <c r="BZ10" s="11">
        <f t="shared" si="26"/>
        <v>36.199999999999996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7"/>
        <v/>
      </c>
      <c r="CW10" s="41" t="str">
        <f t="shared" si="28"/>
        <v/>
      </c>
      <c r="CX10" s="41" t="str">
        <f t="shared" si="29"/>
        <v/>
      </c>
      <c r="CY10" s="41" t="str">
        <f t="shared" si="30"/>
        <v/>
      </c>
      <c r="CZ10" s="41" t="str">
        <f t="shared" si="31"/>
        <v/>
      </c>
      <c r="DA10" s="41" t="str">
        <f t="shared" si="32"/>
        <v/>
      </c>
      <c r="DB10" s="41" t="str">
        <f t="shared" si="33"/>
        <v/>
      </c>
      <c r="DC10" s="41" t="str">
        <f t="shared" si="34"/>
        <v/>
      </c>
      <c r="DD10" s="52" t="str">
        <f t="shared" si="35"/>
        <v/>
      </c>
      <c r="DE10" s="52" t="str">
        <f t="shared" si="36"/>
        <v/>
      </c>
      <c r="DF10" s="52" t="str">
        <f t="shared" si="37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8"/>
        <v/>
      </c>
      <c r="EB10" s="41" t="str">
        <f t="shared" si="39"/>
        <v/>
      </c>
      <c r="EC10" s="41" t="str">
        <f t="shared" si="40"/>
        <v/>
      </c>
      <c r="ED10" s="41" t="str">
        <f t="shared" si="41"/>
        <v/>
      </c>
      <c r="EE10" s="41" t="str">
        <f t="shared" si="42"/>
        <v/>
      </c>
      <c r="EF10" s="41" t="str">
        <f t="shared" si="43"/>
        <v/>
      </c>
      <c r="EG10" s="41" t="str">
        <f t="shared" si="44"/>
        <v/>
      </c>
      <c r="EH10" s="41" t="str">
        <f t="shared" si="45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6"/>
        <v/>
      </c>
      <c r="FD10" s="11" t="str">
        <f t="shared" si="47"/>
        <v/>
      </c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4"/>
        <v/>
      </c>
      <c r="GF10" s="41" t="str">
        <f t="shared" si="55"/>
        <v/>
      </c>
      <c r="GG10" s="41" t="str">
        <f t="shared" si="56"/>
        <v/>
      </c>
      <c r="GH10" s="41" t="str">
        <f t="shared" si="57"/>
        <v/>
      </c>
      <c r="GI10" s="41" t="str">
        <f t="shared" si="58"/>
        <v/>
      </c>
      <c r="GJ10" s="41" t="str">
        <f t="shared" si="59"/>
        <v/>
      </c>
      <c r="GK10" s="41" t="str">
        <f t="shared" si="60"/>
        <v/>
      </c>
      <c r="GL10" s="41" t="str">
        <f t="shared" si="61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2"/>
        <v/>
      </c>
      <c r="HH10" s="11" t="str">
        <f t="shared" si="63"/>
        <v/>
      </c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0"/>
        <v/>
      </c>
      <c r="IJ10" s="41" t="str">
        <f t="shared" si="71"/>
        <v/>
      </c>
      <c r="IK10" s="41" t="str">
        <f t="shared" si="72"/>
        <v/>
      </c>
      <c r="IL10" s="41" t="str">
        <f t="shared" si="73"/>
        <v/>
      </c>
      <c r="IM10" s="41" t="str">
        <f t="shared" si="74"/>
        <v/>
      </c>
      <c r="IN10" s="41" t="str">
        <f t="shared" si="75"/>
        <v/>
      </c>
      <c r="IO10" s="41" t="str">
        <f t="shared" si="76"/>
        <v/>
      </c>
      <c r="IP10" s="41" t="str">
        <f t="shared" si="77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8"/>
        <v/>
      </c>
      <c r="JL10" s="11" t="str">
        <f t="shared" si="79"/>
        <v/>
      </c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6"/>
        <v/>
      </c>
      <c r="KN10" s="41" t="str">
        <f t="shared" si="87"/>
        <v/>
      </c>
      <c r="KO10" s="41" t="str">
        <f t="shared" si="88"/>
        <v/>
      </c>
      <c r="KP10" s="41" t="str">
        <f t="shared" si="89"/>
        <v/>
      </c>
      <c r="KQ10" s="41" t="str">
        <f t="shared" si="90"/>
        <v/>
      </c>
      <c r="KR10" s="41" t="str">
        <f t="shared" si="91"/>
        <v/>
      </c>
      <c r="KS10" s="41" t="str">
        <f t="shared" si="92"/>
        <v/>
      </c>
      <c r="KT10" s="41" t="str">
        <f t="shared" si="93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4"/>
        <v/>
      </c>
      <c r="LP10" s="11" t="str">
        <f t="shared" si="95"/>
        <v/>
      </c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2"/>
        <v/>
      </c>
      <c r="MR10" s="41" t="str">
        <f t="shared" si="103"/>
        <v/>
      </c>
      <c r="MS10" s="41" t="str">
        <f t="shared" si="104"/>
        <v/>
      </c>
      <c r="MT10" s="41" t="str">
        <f t="shared" si="105"/>
        <v/>
      </c>
      <c r="MU10" s="41" t="str">
        <f t="shared" si="106"/>
        <v/>
      </c>
      <c r="MV10" s="41" t="str">
        <f t="shared" si="107"/>
        <v/>
      </c>
      <c r="MW10" s="41" t="str">
        <f t="shared" si="108"/>
        <v/>
      </c>
      <c r="MX10" s="41" t="str">
        <f t="shared" si="109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0"/>
        <v/>
      </c>
      <c r="NT10" s="11" t="str">
        <f t="shared" si="111"/>
        <v/>
      </c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8"/>
        <v/>
      </c>
      <c r="OV10" s="41" t="str">
        <f t="shared" si="119"/>
        <v/>
      </c>
      <c r="OW10" s="41" t="str">
        <f t="shared" si="120"/>
        <v/>
      </c>
      <c r="OX10" s="41" t="str">
        <f t="shared" si="121"/>
        <v/>
      </c>
      <c r="OY10" s="41" t="str">
        <f t="shared" si="122"/>
        <v/>
      </c>
      <c r="OZ10" s="41" t="str">
        <f t="shared" si="123"/>
        <v/>
      </c>
      <c r="PA10" s="41" t="str">
        <f t="shared" si="124"/>
        <v/>
      </c>
      <c r="PB10" s="41" t="str">
        <f t="shared" si="125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6"/>
        <v/>
      </c>
      <c r="PX10" s="11" t="str">
        <f t="shared" si="127"/>
        <v/>
      </c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23">
        <f t="shared" si="134"/>
        <v>7.9</v>
      </c>
      <c r="QF10" s="23">
        <f t="shared" si="134"/>
        <v>1.45</v>
      </c>
      <c r="QG10" s="23">
        <f t="shared" si="134"/>
        <v>0</v>
      </c>
      <c r="QH10" s="23">
        <f t="shared" si="134"/>
        <v>0</v>
      </c>
      <c r="QI10" s="23">
        <f t="shared" si="134"/>
        <v>7.05</v>
      </c>
      <c r="QJ10" s="23">
        <f t="shared" si="134"/>
        <v>2.15</v>
      </c>
      <c r="QK10" s="23">
        <f t="shared" si="134"/>
        <v>0.45</v>
      </c>
      <c r="QL10" s="23">
        <f t="shared" si="134"/>
        <v>0</v>
      </c>
      <c r="QM10" s="23">
        <f t="shared" si="134"/>
        <v>0</v>
      </c>
      <c r="QN10" s="23">
        <f t="shared" si="134"/>
        <v>0</v>
      </c>
      <c r="QO10" s="23">
        <f t="shared" si="135"/>
        <v>0</v>
      </c>
      <c r="QP10" s="23">
        <f t="shared" si="135"/>
        <v>0</v>
      </c>
      <c r="QQ10" s="23">
        <f t="shared" si="135"/>
        <v>0</v>
      </c>
      <c r="QR10" s="23">
        <f t="shared" si="135"/>
        <v>0</v>
      </c>
      <c r="QS10" s="23">
        <f t="shared" si="135"/>
        <v>0</v>
      </c>
      <c r="QT10" s="23">
        <f t="shared" si="135"/>
        <v>0</v>
      </c>
      <c r="QU10" s="23">
        <f t="shared" si="135"/>
        <v>0</v>
      </c>
      <c r="QV10" s="23">
        <f t="shared" si="135"/>
        <v>0</v>
      </c>
      <c r="QW10" s="23">
        <f t="shared" si="135"/>
        <v>0</v>
      </c>
      <c r="QX10" s="23">
        <f t="shared" si="135"/>
        <v>0</v>
      </c>
      <c r="QY10" s="28" t="s">
        <v>58</v>
      </c>
      <c r="QZ10" s="41">
        <f t="shared" si="136"/>
        <v>3.5999999999999996</v>
      </c>
      <c r="RA10" s="41">
        <f t="shared" si="137"/>
        <v>18.099999999999998</v>
      </c>
      <c r="RB10" s="41" t="str">
        <f t="shared" si="138"/>
        <v/>
      </c>
      <c r="RC10" s="41">
        <f t="shared" si="139"/>
        <v>3.5999999999999996</v>
      </c>
      <c r="RD10" s="41">
        <f t="shared" si="140"/>
        <v>18.099999999999998</v>
      </c>
      <c r="RE10" s="41" t="str">
        <f t="shared" si="141"/>
        <v/>
      </c>
      <c r="RF10" s="41" t="str">
        <f t="shared" si="142"/>
        <v/>
      </c>
      <c r="RG10" s="41">
        <f t="shared" si="143"/>
        <v>18.099999999999998</v>
      </c>
    </row>
    <row r="11" spans="1:475" ht="17" x14ac:dyDescent="0.2">
      <c r="R11" s="10"/>
      <c r="S11" s="10"/>
      <c r="T11" s="10"/>
    </row>
    <row r="12" spans="1:475" ht="17" x14ac:dyDescent="0.2">
      <c r="R12" s="10"/>
      <c r="S12" s="10"/>
      <c r="T12" s="10"/>
    </row>
    <row r="13" spans="1:475" ht="17" x14ac:dyDescent="0.2">
      <c r="B13" s="24" t="s">
        <v>55</v>
      </c>
      <c r="R13" s="10"/>
      <c r="S13" s="10"/>
      <c r="T13" s="10"/>
      <c r="AP13" s="4"/>
      <c r="AW13" s="43">
        <v>11</v>
      </c>
      <c r="BS13" s="4"/>
      <c r="BZ13" s="43">
        <v>11</v>
      </c>
      <c r="CV13" s="4"/>
      <c r="DC13" s="43">
        <v>11.4</v>
      </c>
      <c r="EA13" s="4"/>
      <c r="EH13" s="43">
        <v>11</v>
      </c>
      <c r="FC13" s="4"/>
      <c r="FJ13" s="43">
        <v>11</v>
      </c>
      <c r="GE13" s="4"/>
      <c r="GL13" s="43">
        <v>11</v>
      </c>
      <c r="HG13" s="4"/>
      <c r="HN13" s="43">
        <v>11</v>
      </c>
      <c r="II13" s="4"/>
      <c r="IP13" s="43">
        <v>11</v>
      </c>
      <c r="JK13" s="4"/>
      <c r="JR13" s="43">
        <v>11</v>
      </c>
      <c r="KM13" s="4"/>
      <c r="KT13" s="43">
        <v>11</v>
      </c>
      <c r="LO13" s="4"/>
      <c r="LV13" s="43">
        <v>11</v>
      </c>
      <c r="MQ13" s="4"/>
      <c r="MX13" s="43">
        <v>11.4</v>
      </c>
      <c r="NS13" s="4"/>
      <c r="NZ13" s="43">
        <v>11.4</v>
      </c>
      <c r="OU13" s="4"/>
      <c r="PB13" s="43">
        <v>11.4</v>
      </c>
      <c r="PW13" s="4"/>
      <c r="QD13" s="43">
        <v>11.4</v>
      </c>
    </row>
    <row r="14" spans="1:475" ht="17" x14ac:dyDescent="0.2">
      <c r="B14" s="31" t="s">
        <v>54</v>
      </c>
      <c r="R14" s="10"/>
      <c r="S14" s="10"/>
      <c r="T14" s="10"/>
      <c r="AP14" s="4"/>
      <c r="AW14" s="53">
        <v>11</v>
      </c>
      <c r="BS14" s="4"/>
      <c r="BZ14" s="53">
        <v>11</v>
      </c>
      <c r="CV14" s="4"/>
      <c r="DC14" s="53">
        <v>17.7</v>
      </c>
      <c r="EA14" s="4"/>
      <c r="EH14" s="53">
        <v>11</v>
      </c>
      <c r="FC14" s="4"/>
      <c r="FJ14" s="53">
        <v>11</v>
      </c>
      <c r="GE14" s="4"/>
      <c r="GL14" s="53">
        <v>11</v>
      </c>
      <c r="HG14" s="4"/>
      <c r="HN14" s="53">
        <v>11</v>
      </c>
      <c r="II14" s="4"/>
      <c r="IP14" s="53">
        <v>11</v>
      </c>
      <c r="JK14" s="4"/>
      <c r="JR14" s="53">
        <v>11</v>
      </c>
      <c r="KM14" s="4"/>
      <c r="KT14" s="53">
        <v>11</v>
      </c>
      <c r="LO14" s="4"/>
      <c r="LV14" s="53">
        <v>11</v>
      </c>
      <c r="MQ14" s="4"/>
      <c r="MX14" s="53">
        <v>17.7</v>
      </c>
      <c r="NS14" s="4"/>
      <c r="NZ14" s="53">
        <v>17.7</v>
      </c>
      <c r="OU14" s="4"/>
      <c r="PB14" s="53">
        <v>17.7</v>
      </c>
      <c r="PW14" s="4"/>
      <c r="QD14" s="53">
        <v>17.7</v>
      </c>
    </row>
    <row r="15" spans="1:475" ht="17" x14ac:dyDescent="0.2">
      <c r="A15" s="5"/>
      <c r="B15" s="32" t="s">
        <v>68</v>
      </c>
      <c r="C15" s="20"/>
      <c r="R15" s="10"/>
      <c r="S15" s="10"/>
      <c r="T15" s="10"/>
      <c r="AP15" s="4"/>
      <c r="AW15" s="45">
        <v>11</v>
      </c>
      <c r="BS15" s="4"/>
      <c r="BZ15" s="45">
        <v>11</v>
      </c>
      <c r="CV15" s="4"/>
      <c r="DC15" s="45">
        <v>20.7</v>
      </c>
      <c r="EA15" s="4"/>
      <c r="EH15" s="45">
        <v>11</v>
      </c>
      <c r="FC15" s="4"/>
      <c r="FJ15" s="45">
        <v>11</v>
      </c>
      <c r="GE15" s="4"/>
      <c r="GL15" s="45">
        <v>11</v>
      </c>
      <c r="HG15" s="4"/>
      <c r="HN15" s="45">
        <v>11</v>
      </c>
      <c r="II15" s="4"/>
      <c r="IP15" s="45">
        <v>11</v>
      </c>
      <c r="JK15" s="4"/>
      <c r="JR15" s="45">
        <v>11</v>
      </c>
      <c r="KM15" s="4"/>
      <c r="KT15" s="45">
        <v>11</v>
      </c>
      <c r="LO15" s="4"/>
      <c r="LV15" s="45">
        <v>11</v>
      </c>
      <c r="MQ15" s="4"/>
      <c r="MX15" s="45">
        <v>20.7</v>
      </c>
      <c r="NS15" s="4"/>
      <c r="NZ15" s="45">
        <v>20.7</v>
      </c>
      <c r="OU15" s="4"/>
      <c r="PB15" s="45">
        <v>20.7</v>
      </c>
      <c r="PW15" s="4"/>
      <c r="QD15" s="45">
        <v>20.7</v>
      </c>
    </row>
    <row r="16" spans="1:475" ht="17" x14ac:dyDescent="0.2">
      <c r="A16" s="5"/>
      <c r="B16" s="36" t="s">
        <v>81</v>
      </c>
      <c r="C16" s="20"/>
      <c r="R16" s="10"/>
      <c r="S16" s="10"/>
      <c r="T16" s="10"/>
      <c r="AP16" s="4"/>
      <c r="AW16" s="46">
        <v>14.6</v>
      </c>
      <c r="BS16" s="4"/>
      <c r="BZ16" s="46">
        <v>14.6</v>
      </c>
      <c r="CV16" s="4"/>
      <c r="DC16" s="46">
        <v>20.7</v>
      </c>
      <c r="EA16" s="4"/>
      <c r="EH16" s="46">
        <v>14.6</v>
      </c>
      <c r="FC16" s="4"/>
      <c r="FJ16" s="46">
        <v>14.6</v>
      </c>
      <c r="GE16" s="4"/>
      <c r="GL16" s="46">
        <v>14.6</v>
      </c>
      <c r="HG16" s="4"/>
      <c r="HN16" s="46">
        <v>14.6</v>
      </c>
      <c r="II16" s="4"/>
      <c r="IP16" s="46">
        <v>14.6</v>
      </c>
      <c r="JK16" s="4"/>
      <c r="JR16" s="46">
        <v>14.6</v>
      </c>
      <c r="KM16" s="4"/>
      <c r="KT16" s="46">
        <v>14.6</v>
      </c>
      <c r="LO16" s="4"/>
      <c r="LV16" s="46">
        <v>14.6</v>
      </c>
      <c r="MQ16" s="4"/>
      <c r="MX16" s="46">
        <v>20.7</v>
      </c>
      <c r="NS16" s="4"/>
      <c r="NZ16" s="46">
        <v>20.7</v>
      </c>
      <c r="OU16" s="4"/>
      <c r="PB16" s="46">
        <v>20.7</v>
      </c>
      <c r="PW16" s="4"/>
      <c r="QD16" s="46">
        <v>20.7</v>
      </c>
    </row>
    <row r="17" spans="1:456" ht="17" x14ac:dyDescent="0.2">
      <c r="A17" s="5"/>
      <c r="B17" s="35" t="s">
        <v>52</v>
      </c>
      <c r="C17" s="20"/>
      <c r="R17" s="10"/>
      <c r="S17" s="10"/>
      <c r="T17" s="10"/>
      <c r="AP17" s="4"/>
      <c r="AW17" s="47">
        <v>45</v>
      </c>
      <c r="BS17" s="4"/>
      <c r="BZ17" s="47">
        <v>45</v>
      </c>
      <c r="CV17" s="4"/>
      <c r="DC17" s="47">
        <v>46.2</v>
      </c>
      <c r="EA17" s="4"/>
      <c r="EH17" s="47">
        <v>45</v>
      </c>
      <c r="FC17" s="4"/>
      <c r="FJ17" s="47">
        <v>45</v>
      </c>
      <c r="GE17" s="4"/>
      <c r="GL17" s="47">
        <v>45</v>
      </c>
      <c r="HG17" s="4"/>
      <c r="HN17" s="47">
        <v>45</v>
      </c>
      <c r="II17" s="4"/>
      <c r="IP17" s="47">
        <v>45</v>
      </c>
      <c r="JK17" s="4"/>
      <c r="JR17" s="47">
        <v>45</v>
      </c>
      <c r="KM17" s="4"/>
      <c r="KT17" s="47">
        <v>45</v>
      </c>
      <c r="LO17" s="4"/>
      <c r="LV17" s="47">
        <v>45</v>
      </c>
      <c r="MQ17" s="4"/>
      <c r="MX17" s="47">
        <v>46.2</v>
      </c>
      <c r="NS17" s="4"/>
      <c r="NZ17" s="47">
        <v>46.2</v>
      </c>
      <c r="OU17" s="4"/>
      <c r="PB17" s="47">
        <v>46.2</v>
      </c>
      <c r="PW17" s="4"/>
      <c r="QD17" s="47">
        <v>46.2</v>
      </c>
    </row>
    <row r="18" spans="1:456" ht="17" x14ac:dyDescent="0.2">
      <c r="A18" s="5"/>
      <c r="B18" s="25" t="s">
        <v>53</v>
      </c>
      <c r="C18" s="20"/>
      <c r="R18" s="10"/>
      <c r="S18" s="10"/>
      <c r="T18" s="10"/>
      <c r="AP18" s="4"/>
      <c r="AW18" s="48">
        <v>46.2</v>
      </c>
      <c r="BS18" s="4"/>
      <c r="BZ18" s="48">
        <v>46.2</v>
      </c>
      <c r="CV18" s="4"/>
      <c r="DC18" s="48">
        <v>70.5</v>
      </c>
      <c r="EA18" s="4"/>
      <c r="EH18" s="48">
        <v>46.2</v>
      </c>
      <c r="FC18" s="4"/>
      <c r="FJ18" s="48">
        <v>46.2</v>
      </c>
      <c r="GE18" s="4"/>
      <c r="GL18" s="48">
        <v>46.2</v>
      </c>
      <c r="HG18" s="4"/>
      <c r="HN18" s="48">
        <v>46.2</v>
      </c>
      <c r="II18" s="4"/>
      <c r="IP18" s="48">
        <v>46.2</v>
      </c>
      <c r="JK18" s="4"/>
      <c r="JR18" s="48">
        <v>46.2</v>
      </c>
      <c r="KM18" s="4"/>
      <c r="KT18" s="48">
        <v>46.2</v>
      </c>
      <c r="LO18" s="4"/>
      <c r="LV18" s="48">
        <v>46.2</v>
      </c>
      <c r="MQ18" s="4"/>
      <c r="MX18" s="48">
        <v>70.5</v>
      </c>
      <c r="NS18" s="4"/>
      <c r="NZ18" s="48">
        <v>70.5</v>
      </c>
      <c r="OU18" s="4"/>
      <c r="PB18" s="48">
        <v>70.5</v>
      </c>
      <c r="PW18" s="4"/>
      <c r="QD18" s="48">
        <v>70.5</v>
      </c>
    </row>
    <row r="19" spans="1:456" ht="17" x14ac:dyDescent="0.2">
      <c r="A19" s="5"/>
      <c r="B19" s="34" t="s">
        <v>67</v>
      </c>
      <c r="C19" s="20"/>
      <c r="R19" s="10"/>
      <c r="S19" s="10"/>
      <c r="T19" s="10"/>
      <c r="AP19" s="4"/>
      <c r="AW19" s="49">
        <v>47.4</v>
      </c>
      <c r="BS19" s="4"/>
      <c r="BZ19" s="49">
        <v>47.4</v>
      </c>
      <c r="CV19" s="4"/>
      <c r="DC19" s="49">
        <v>74.400000000000006</v>
      </c>
      <c r="EA19" s="4"/>
      <c r="EH19" s="49">
        <v>47.4</v>
      </c>
      <c r="FC19" s="4"/>
      <c r="FJ19" s="49">
        <v>47.4</v>
      </c>
      <c r="GE19" s="4"/>
      <c r="GL19" s="49">
        <v>47.4</v>
      </c>
      <c r="HG19" s="4"/>
      <c r="HN19" s="49">
        <v>47.4</v>
      </c>
      <c r="II19" s="4"/>
      <c r="IP19" s="49">
        <v>47.4</v>
      </c>
      <c r="JK19" s="4"/>
      <c r="JR19" s="49">
        <v>47.4</v>
      </c>
      <c r="KM19" s="4"/>
      <c r="KT19" s="49">
        <v>47.4</v>
      </c>
      <c r="LO19" s="4"/>
      <c r="LV19" s="49">
        <v>47.4</v>
      </c>
      <c r="MQ19" s="4"/>
      <c r="MX19" s="49">
        <v>74.400000000000006</v>
      </c>
      <c r="NS19" s="4"/>
      <c r="NZ19" s="49">
        <v>74.400000000000006</v>
      </c>
      <c r="OU19" s="4"/>
      <c r="PB19" s="49">
        <v>74.400000000000006</v>
      </c>
      <c r="PW19" s="4"/>
      <c r="QD19" s="49">
        <v>74.400000000000006</v>
      </c>
    </row>
    <row r="20" spans="1:456" ht="17" x14ac:dyDescent="0.2">
      <c r="A20" s="5"/>
      <c r="B20" s="26" t="s">
        <v>36</v>
      </c>
      <c r="C20" s="20"/>
      <c r="R20" s="10"/>
      <c r="S20" s="10"/>
      <c r="T20" s="10"/>
      <c r="AP20" s="4"/>
      <c r="AW20" s="50">
        <v>51</v>
      </c>
      <c r="BS20" s="4"/>
      <c r="BZ20" s="50">
        <v>51</v>
      </c>
      <c r="CV20" s="4"/>
      <c r="DC20" s="50">
        <v>76.7</v>
      </c>
      <c r="EA20" s="4"/>
      <c r="EH20" s="50">
        <v>51</v>
      </c>
      <c r="FC20" s="4"/>
      <c r="FJ20" s="50">
        <v>51</v>
      </c>
      <c r="GE20" s="4"/>
      <c r="GL20" s="50">
        <v>51</v>
      </c>
      <c r="HG20" s="4"/>
      <c r="HN20" s="50">
        <v>51</v>
      </c>
      <c r="II20" s="4"/>
      <c r="IP20" s="50">
        <v>51</v>
      </c>
      <c r="JK20" s="4"/>
      <c r="JR20" s="50">
        <v>51</v>
      </c>
      <c r="KM20" s="4"/>
      <c r="KT20" s="50">
        <v>51</v>
      </c>
      <c r="LO20" s="4"/>
      <c r="LV20" s="50">
        <v>51</v>
      </c>
      <c r="MQ20" s="4"/>
      <c r="MX20" s="50">
        <v>76.7</v>
      </c>
      <c r="NS20" s="4"/>
      <c r="NZ20" s="50">
        <v>76.7</v>
      </c>
      <c r="OU20" s="4"/>
      <c r="PB20" s="50">
        <v>76.7</v>
      </c>
      <c r="PW20" s="4"/>
      <c r="QD20" s="50">
        <v>76.7</v>
      </c>
    </row>
    <row r="21" spans="1:456" x14ac:dyDescent="0.2">
      <c r="B21" s="30" t="s">
        <v>59</v>
      </c>
      <c r="C21" s="2"/>
    </row>
    <row r="22" spans="1:456" x14ac:dyDescent="0.2">
      <c r="A22" s="5"/>
      <c r="B22" s="5"/>
      <c r="C22" s="20"/>
      <c r="QF22" s="2"/>
      <c r="QG22" s="2"/>
      <c r="QH22" s="2"/>
      <c r="QI22" s="2"/>
      <c r="QJ22" s="2"/>
      <c r="QK22" s="2"/>
      <c r="QL22" s="2"/>
      <c r="QM22" s="2"/>
      <c r="QN22" s="2"/>
    </row>
    <row r="23" spans="1:456" x14ac:dyDescent="0.2">
      <c r="A23" s="5"/>
      <c r="B23" s="5"/>
      <c r="C23" s="20"/>
    </row>
    <row r="24" spans="1:456" x14ac:dyDescent="0.2">
      <c r="A24" s="5"/>
      <c r="B24" s="5"/>
      <c r="C24" s="20"/>
    </row>
    <row r="25" spans="1:456" x14ac:dyDescent="0.2">
      <c r="A25" s="5"/>
      <c r="B25" s="5"/>
      <c r="C25" s="5"/>
    </row>
    <row r="28" spans="1:456" x14ac:dyDescent="0.2">
      <c r="B28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0">
      <sortCondition descending="1" ref="F1:F1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0">
    <cfRule type="expression" dxfId="111" priority="28" stopIfTrue="1">
      <formula>IF($AO4&lt;&gt;"",1,0)</formula>
    </cfRule>
  </conditionalFormatting>
  <conditionalFormatting sqref="AX4:BZ10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0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1:AT1048576 BW21:BW1048576 EE21:EE1048576 BW1:BW19 CZ1:CZ1048576 EE1:EE19 FG1:FG1048576 GI1:GI1048576 HK1:HK1048576 IM1:IM1048576 JO1:JO1048576 KQ1:KQ1048576 LS1:LS1048576 MU1:MU1048576 NW1:NW1048576 OY1:OY1048576 QA1:QA1048576 AT1:AT19">
    <cfRule type="cellIs" dxfId="99" priority="14" operator="between">
      <formula>AW$20</formula>
      <formula>1000</formula>
    </cfRule>
    <cfRule type="cellIs" dxfId="98" priority="15" operator="between">
      <formula>AW$19</formula>
      <formula>AW$20</formula>
    </cfRule>
    <cfRule type="cellIs" dxfId="97" priority="16" operator="between">
      <formula>AW$18</formula>
      <formula>AW$19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AW$13</formula>
      <formula>AW$14</formula>
    </cfRule>
    <cfRule type="cellIs" dxfId="93" priority="75276" operator="between">
      <formula>AW$14</formula>
      <formula>AW$15</formula>
    </cfRule>
    <cfRule type="cellIs" dxfId="92" priority="75277" operator="between">
      <formula>AW$15</formula>
      <formula>AW$16</formula>
    </cfRule>
    <cfRule type="cellIs" dxfId="91" priority="75278" operator="between">
      <formula>AW$16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AW$17</formula>
      <formula>AW$18</formula>
    </cfRule>
    <cfRule type="cellIs" dxfId="89" priority="75456" operator="between">
      <formula>AW$18</formula>
      <formula>AW$19</formula>
    </cfRule>
    <cfRule type="cellIs" dxfId="88" priority="75457" operator="between">
      <formula>AW$19</formula>
      <formula>AW$20</formula>
    </cfRule>
    <cfRule type="cellIs" dxfId="87" priority="75458" operator="between">
      <formula>AW$20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AW$16</formula>
      <formula>1000</formula>
    </cfRule>
    <cfRule type="cellIs" dxfId="85" priority="75636" operator="between">
      <formula>AW$15</formula>
      <formula>AW$16</formula>
    </cfRule>
    <cfRule type="cellIs" dxfId="84" priority="75637" operator="between">
      <formula>AW$14</formula>
      <formula>AW$15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164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166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200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201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206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IF(AND(F4="P",G4="P"),SUMPRODUCT((F$4:F$13="P")*(G$4:G$13="P")*(E$4:E$13&gt;E4))+1,IF(G4="P",SUMPRODUCT((F$4:F$13="")*(G$4:G$13="P")*(E$4:E$13&gt;E4))+1+SUMPRODUCT((F$4:F$13="P")*(G$4:G$13="P")),""))</f>
        <v>1</v>
      </c>
      <c r="B4" s="5" t="s">
        <v>79</v>
      </c>
      <c r="C4" s="4" t="s">
        <v>3</v>
      </c>
      <c r="D4" s="4">
        <v>2003</v>
      </c>
      <c r="E4" s="9">
        <f t="shared" ref="E4:E12" si="0">SUM(J4:R4)+SUM(J4:N4)*0.0000001+SUM(J4)*0.0000000000001</f>
        <v>150.90001052000434</v>
      </c>
      <c r="F4" s="3" t="str">
        <f t="shared" ref="F4:F12" si="1">IF(OR(AND(AP4&gt;=AW$15,AQ4&gt;=AW$19,AP4&lt;&gt;"",AO4=""),AND(AU4&gt;=AW$15,AV4&gt;=AW$19,AU4&lt;&gt;"",AO4=""),AND(BS4&gt;=BZ$15,BT4&gt;=BZ$19,BS4&lt;&gt;"",BR4=""),AND(BX4&gt;=BZ$15,BY4&gt;=BZ$19,BX4&lt;&gt;"",BR4=""),AND(CV4&gt;=DC$15,CW4&gt;=DC$19,CV4&lt;&gt;"",CU4=""),AND(DA4&gt;=DC$15,DB4&gt;=DC$19,DA4&lt;&gt;""),AND(EA4&gt;=EH$15,EB4&gt;=EH$19,EA4&lt;&gt;""),AND(EF4&gt;=EH$15,EG4&gt;=EH$19,EF4&lt;&gt;""),AND(FC4&gt;=FJ$15,FD4&gt;=FJ$19,FC4&lt;&gt;""),AND(FH4&gt;=FJ$15,FI4&gt;=FJ$19,FH4&lt;&gt;""),AND(GE4&gt;=GL$15,GF4&gt;=GL$19,GE4&lt;&gt;""),AND(GJ4&gt;=GL$15,GK4&gt;=GL$19,GJ4&lt;&gt;""),AND(HG4&gt;=HN$15,HH4&gt;=HN$19,HG4&lt;&gt;""),AND(HL4&gt;=HN$15,HM4&gt;=HN$19,HL4&lt;&gt;""),AND(II4&gt;=IP$15,IJ4&gt;=IP$19,II4&lt;&gt;""),AND(IN4&gt;=IP$15,IO4&gt;=IP$19,IN4&lt;&gt;""),AND(JK4&gt;=JR$15,JL4&gt;=JR$19,JK4&lt;&gt;""),AND(JP4&gt;=JR$15,JQ4&gt;=JR$19,JP4&lt;&gt;""),AND(KM4&gt;=KT$15,KN4&gt;=KT$19,KM4&lt;&gt;""),AND(KR4&gt;=KT$15,KS4&gt;=KT$19,KR4&lt;&gt;""),AND(LO4&gt;=LV$15,LP4&gt;=LV$19,LO4&lt;&gt;""),AND(LT4&gt;=LV$15,LU4&gt;=LV$19,LT4&lt;&gt;""),AND(MQ4&gt;=MX$15,MR4&gt;=MX$19,MQ4&lt;&gt;""),AND(MV4&gt;=MX$15,MW4&gt;=MX$19,MV4&lt;&gt;""),AND(NS4&gt;=NZ$15,NT4&gt;=NZ$19,NS4&lt;&gt;""),AND(NX4&gt;=NZ$15,NY4&gt;=NZ$19,NX4&lt;&gt;""),AND(OU4&gt;=PB$15,OV4&gt;=PB$19,OU4&lt;&gt;""),AND(OZ4&gt;=PB$15,PA4&gt;=PB$19,OZ4&lt;&gt;""),AND(PW4&gt;=QD$15,PX4&gt;=QD$19,PW4&lt;&gt;""),AND(QB4&gt;=QD$15,QC4&gt;=QD$19,QB4&lt;&gt;"")),"P","")</f>
        <v>P</v>
      </c>
      <c r="G4" s="3" t="str">
        <f t="shared" ref="G4:G12" si="2">IF(OR(AND(AQ4&gt;=AW$19,AQ4&lt;&gt;"",AO4=""),AND(AV4&gt;=AW$19,AV4&lt;&gt;"",AO4=""),AND(BT4&gt;=BZ$19,BT4&lt;&gt;"",BR4=""),AND(BY4&gt;=BZ$19,BY4&lt;&gt;"",BR4=""),AND(CW4&gt;=DC$19,CW4&lt;&gt;"",CU4=""),AND(DB4&gt;=DC$19,DB4&lt;&gt;"",CU4=""),AND(EB4&gt;=EH$19,EB4&lt;&gt;""),AND(EG4&gt;=EH$19,EG4&lt;&gt;""),AND(FD4&gt;=FJ$19,FD4&lt;&gt;""),AND(FI4&gt;=FJ$19,FI4&lt;&gt;""),AND(GF4&gt;=GL$19,GF4&lt;&gt;""),AND(GK4&gt;=GL$19,GK4&lt;&gt;""),AND(HH4&gt;=HN$19,HH4&lt;&gt;""),AND(HM4&gt;=HN$19,HM4&lt;&gt;""),AND(IJ4&gt;=IP$19,IJ4&lt;&gt;""),AND(IO4&gt;=IP$19,IO4&lt;&gt;""),AND(JL4&gt;=JR$19,JL4&lt;&gt;""),AND(JQ4&gt;=JR$19,JQ4&lt;&gt;""),AND(KN4&gt;=KT$19,KN4&lt;&gt;""),AND(KS4&gt;=KT$19,KS4&lt;&gt;""),AND(LP4&gt;=LV$19,LP4&lt;&gt;""),AND(LU4&gt;=LV$19,LU4&lt;&gt;""),AND(MR4&gt;=MX$19,MR4&lt;&gt;""),AND(MW4&gt;=MX$19,MW4&lt;&gt;""),AND(NT4&gt;=NZ$19,NT4&lt;&gt;""),AND(NY4&gt;=NZ$19,NY4&lt;&gt;""),AND(OV4&gt;=PB$19,OV4&lt;&gt;""),AND(PA4&gt;=PB$19,PA4&lt;&gt;""),AND(PX4&gt;=QD$19,PX4&lt;&gt;""),AND(QC4&gt;=QD$19,QC4&lt;&gt;"")),"P","")</f>
        <v>P</v>
      </c>
      <c r="H4" s="37" t="str">
        <f t="shared" ref="H4:H12" si="3">IF(AND(G4="P",F4=""),"No DD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Merit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Excellence",IF(I4="P","Worlds Team",IF(F4="P","National Team","")))))</f>
        <v>Worlds Team</v>
      </c>
      <c r="I4" s="3" t="str">
        <f t="shared" ref="I4:I12" si="4">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P","")</f>
        <v>P</v>
      </c>
      <c r="J4" s="8">
        <f>IF(COUNT(AQ4,BT4,CW4)&gt;0,LARGE((AQ4,BT4,CW4),1),0)</f>
        <v>43.399999999999991</v>
      </c>
      <c r="K4" s="8" t="str">
        <f t="shared" ref="K4:K12" si="5">IF(J4=0,"",IF(J4=CW4,$CA$1,IF(J4=BT4,$AX$1,IF(J4=AQ4,$U$1,""))))</f>
        <v>2023 Elite Canada</v>
      </c>
      <c r="L4" s="8">
        <f>IF(COUNT(AQ4,BT4,CW4)&gt;1,LARGE((AQ4,BT4,CW4),2),0)</f>
        <v>39.599999999999994</v>
      </c>
      <c r="M4" s="8" t="str">
        <f t="shared" ref="M4:M12" si="6">IF(L4=0,"",IF(L4=CW4,$CA$1,IF(L4=BT4,$AX$1,IF(L4=AQ4,$U$1,""))))</f>
        <v>2022 Nationals</v>
      </c>
      <c r="N4" s="8">
        <f>IF(COUNT(AR4,BU4,CX4)&gt;0,LARGE((AR4,BU4,CX4),1),0)</f>
        <v>22.200000000000003</v>
      </c>
      <c r="O4" s="8" t="str">
        <f t="shared" ref="O4:O12" si="7">IF(N4=0,"",IF(N4=CX4,$CA$1,IF(N4=BU4,$AX$1,IF(N4=AR4,$U$1,""))))</f>
        <v>2023 Elite Canada</v>
      </c>
      <c r="P4" s="8">
        <f t="shared" ref="P4:P12" si="8">IF(MAX(AV4,BY4,DB4)&gt;0,MAX(AV4,BY4,DB4),0)</f>
        <v>44.4</v>
      </c>
      <c r="Q4" s="8" t="str">
        <f t="shared" ref="Q4:Q12" si="9">IF(P4=0,"",IF(P4=DB4,$CA$1,IF(P4=BY4,$AX$1,IF(P4=AV4,$U$1,""))))</f>
        <v>2022 Nationals</v>
      </c>
      <c r="R4" s="8">
        <f t="shared" ref="R4:R12" si="10">IF(MAX(DD4:DF4)&gt;0,MAX(DD4:DF4),"")</f>
        <v>1.3000000000000043</v>
      </c>
      <c r="S4" s="11" t="str">
        <f t="shared" ref="S4:S12" si="11">IF(R4="","",IF(R4=DD4,"("&amp;DD$2&amp;")",IF(R4=DE4,"("&amp;DE$2&amp;")",IF(R4=DF4,"("&amp;DF$2&amp;")"))))</f>
        <v>(Q1)</v>
      </c>
      <c r="T4" s="8" t="str">
        <f t="shared" ref="T4:T12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17)</v>
      </c>
      <c r="U4" s="19">
        <v>16.8</v>
      </c>
      <c r="V4" s="19">
        <v>3.9</v>
      </c>
      <c r="W4" s="19">
        <v>0</v>
      </c>
      <c r="X4" s="19">
        <v>0.3</v>
      </c>
      <c r="Y4" s="19">
        <v>16.399999999999999</v>
      </c>
      <c r="Z4" s="19">
        <v>1.9</v>
      </c>
      <c r="AA4" s="19">
        <v>0</v>
      </c>
      <c r="AB4" s="19">
        <v>0.3</v>
      </c>
      <c r="AC4" s="19"/>
      <c r="AD4" s="19"/>
      <c r="AE4" s="19"/>
      <c r="AF4" s="19"/>
      <c r="AG4" s="19">
        <v>17.399999999999999</v>
      </c>
      <c r="AH4" s="19">
        <v>4.3</v>
      </c>
      <c r="AI4" s="19">
        <v>0.2</v>
      </c>
      <c r="AJ4" s="19">
        <v>0.3</v>
      </c>
      <c r="AK4" s="19">
        <v>17</v>
      </c>
      <c r="AL4" s="19">
        <v>5</v>
      </c>
      <c r="AM4" s="19">
        <v>0</v>
      </c>
      <c r="AN4" s="19">
        <v>0.6</v>
      </c>
      <c r="AO4" s="28"/>
      <c r="AP4" s="41">
        <f t="shared" ref="AP4:AP12" si="13">IF(SUM(V4,Z4)&gt;0,SUM(V4,Z4),"")</f>
        <v>5.8</v>
      </c>
      <c r="AQ4" s="41">
        <f t="shared" ref="AQ4:AQ12" si="14">IF(SUM(U4:V4,X4:Z4,AB4)-W4-AA4&gt;0,SUM(U4:V4,X4:Z4,AB4)-W4-AA4,"")</f>
        <v>39.599999999999994</v>
      </c>
      <c r="AR4" s="41" t="str">
        <f t="shared" ref="AR4:AR12" si="15">IF(SUM(AC4:AD4,AF4)-AE4&gt;0,SUM(AC4:AD4,AF4)-AE4,"")</f>
        <v/>
      </c>
      <c r="AS4" s="41">
        <f t="shared" ref="AS4:AS12" si="16">IF(SUM(V4,Z4,AD4)&gt;0,SUM(V4,Z4,AD4),"")</f>
        <v>5.8</v>
      </c>
      <c r="AT4" s="41">
        <f t="shared" ref="AT4:AT12" si="17">IF(SUM(AQ4,AR4)&gt;0,SUM(AQ4,AR4),"")</f>
        <v>39.599999999999994</v>
      </c>
      <c r="AU4" s="41">
        <f t="shared" ref="AU4:AU12" si="18">IF(SUM(AH4,AL4)&gt;0,SUM(AH4,AL4),"")</f>
        <v>9.3000000000000007</v>
      </c>
      <c r="AV4" s="41">
        <f t="shared" ref="AV4:AV12" si="19">IF(SUM(AG4:AH4,AJ4:AL4,AN4)-SUM(AI4,AM4)&gt;0,SUM(AG4:AH4,AJ4:AL4,AN4)-SUM(AI4,AM4),"")</f>
        <v>44.4</v>
      </c>
      <c r="AW4" s="41">
        <f t="shared" ref="AW4:AW12" si="20">IF(SUM(AQ4,AV4)&gt;0,SUM(AQ4,AV4),"")</f>
        <v>84</v>
      </c>
      <c r="AX4" s="18">
        <v>16.8</v>
      </c>
      <c r="AY4" s="18">
        <v>4.0999999999999996</v>
      </c>
      <c r="AZ4" s="18">
        <v>0</v>
      </c>
      <c r="BA4" s="18">
        <v>0.3</v>
      </c>
      <c r="BB4" s="18">
        <v>16.100000000000001</v>
      </c>
      <c r="BC4" s="18">
        <v>3.1</v>
      </c>
      <c r="BD4" s="18">
        <v>4.7</v>
      </c>
      <c r="BE4" s="18">
        <v>0.6</v>
      </c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9"/>
      <c r="BS4" s="11">
        <f t="shared" ref="BS4:BS12" si="21">IF(SUM(AY4,BC4)&gt;0,SUM(AY4,BC4),"")</f>
        <v>7.1999999999999993</v>
      </c>
      <c r="BT4" s="11">
        <f t="shared" ref="BT4:BT12" si="22">IF(SUM(AX4:AY4,BA4:BC4,BE4)-AZ4-BD4&gt;0,SUM(AX4:AY4,BA4:BC4,BE4)-AZ4-BD4,"")</f>
        <v>36.299999999999997</v>
      </c>
      <c r="BU4" s="11" t="str">
        <f t="shared" ref="BU4:BU12" si="23">IF(SUM(BF4:BG4,BI4)-BH4&gt;0,SUM(BF4:BG4,BI4)-BH4,"")</f>
        <v/>
      </c>
      <c r="BV4" s="11">
        <f t="shared" ref="BV4:BV12" si="24">IF(SUM(AY4,BC4,BG4)&gt;0,SUM(AY4,BC4,BG4),"")</f>
        <v>7.1999999999999993</v>
      </c>
      <c r="BW4" s="11">
        <f t="shared" ref="BW4:BW12" si="25">IF(SUM(BT4,BU4)&gt;0,SUM(BT4,BU4),"")</f>
        <v>36.299999999999997</v>
      </c>
      <c r="BX4" s="11" t="str">
        <f t="shared" ref="BX4:BX12" si="26">IF(SUM(BK4,BO4)&gt;0,SUM(BK4,BO4),"")</f>
        <v/>
      </c>
      <c r="BY4" s="11" t="str">
        <f t="shared" ref="BY4:BY12" si="27">IF(SUM(BJ4:BK4,BM4:BO4,BQ4)-SUM(BL4,BP4)&gt;0,SUM(BJ4:BK4,BM4:BO4,BQ4)-SUM(BL4,BP4),"")</f>
        <v/>
      </c>
      <c r="BZ4" s="11">
        <f t="shared" ref="BZ4:BZ12" si="28">IF(SUM(BT4,BY4)&gt;0,SUM(BT4,BY4),"")</f>
        <v>36.299999999999997</v>
      </c>
      <c r="CA4" s="19">
        <v>17.3</v>
      </c>
      <c r="CB4" s="19">
        <v>3.9</v>
      </c>
      <c r="CC4" s="19">
        <v>0</v>
      </c>
      <c r="CD4" s="19">
        <v>0.3</v>
      </c>
      <c r="CE4" s="19">
        <v>17.3</v>
      </c>
      <c r="CF4" s="19">
        <v>4.3</v>
      </c>
      <c r="CG4" s="19">
        <v>0</v>
      </c>
      <c r="CH4" s="19">
        <v>0.3</v>
      </c>
      <c r="CI4" s="19">
        <v>16.8</v>
      </c>
      <c r="CJ4" s="19">
        <v>4.8</v>
      </c>
      <c r="CK4" s="19">
        <v>0</v>
      </c>
      <c r="CL4" s="19">
        <v>0.6</v>
      </c>
      <c r="CM4" s="19">
        <v>17.100000000000001</v>
      </c>
      <c r="CN4" s="19">
        <v>4.3</v>
      </c>
      <c r="CO4" s="19">
        <v>0</v>
      </c>
      <c r="CP4" s="19">
        <v>0.3</v>
      </c>
      <c r="CQ4" s="19">
        <v>14.9</v>
      </c>
      <c r="CR4" s="19">
        <v>4.8</v>
      </c>
      <c r="CS4" s="19">
        <v>0</v>
      </c>
      <c r="CT4" s="19">
        <v>0.6</v>
      </c>
      <c r="CU4" s="28"/>
      <c r="CV4" s="41">
        <f t="shared" ref="CV4:CV12" si="29">IF(SUM(CB4,CF4)&gt;0,SUM(CB4,CF4),"")</f>
        <v>8.1999999999999993</v>
      </c>
      <c r="CW4" s="41">
        <f t="shared" ref="CW4:CW12" si="30">IF(SUM(CA4:CB4,CD4:CF4,CH4)-CC4-CG4&gt;0,SUM(CA4:CB4,CD4:CF4,CH4)-CC4-CG4,"")</f>
        <v>43.399999999999991</v>
      </c>
      <c r="CX4" s="41">
        <f t="shared" ref="CX4:CX12" si="31">IF(SUM(CI4:CJ4,CL4)-CK4&gt;0,SUM(CI4:CJ4,CL4)-CK4,"")</f>
        <v>22.200000000000003</v>
      </c>
      <c r="CY4" s="41">
        <f t="shared" ref="CY4:CY12" si="32">IF(SUM(CB4,CF4,CJ4)&gt;0,SUM(CB4,CF4,CJ4),"")</f>
        <v>13</v>
      </c>
      <c r="CZ4" s="41">
        <f t="shared" ref="CZ4:CZ12" si="33">IF(SUM(CW4,CX4)&gt;0,SUM(CW4,CX4),"")</f>
        <v>65.599999999999994</v>
      </c>
      <c r="DA4" s="41">
        <f t="shared" ref="DA4:DA12" si="34">IF(SUM(CN4,CR4)&gt;0,SUM(CN4,CR4),"")</f>
        <v>9.1</v>
      </c>
      <c r="DB4" s="41">
        <f t="shared" ref="DB4:DB12" si="35">IF(SUM(CM4:CN4,CP4:CR4,CT4)-SUM(CO4,CS4)&gt;0,SUM(CM4:CN4,CP4:CR4,CT4)-SUM(CO4,CS4),"")</f>
        <v>42</v>
      </c>
      <c r="DC4" s="41">
        <f t="shared" ref="DC4:DC12" si="36">IF(SUM(CW4,DB4)&gt;0,SUM(CW4,DB4),"")</f>
        <v>85.399999999999991</v>
      </c>
      <c r="DD4" s="52">
        <f t="shared" ref="DD4:DD12" si="37">IF(MAX(EB4,FD4,GF4,HH4,IJ4,JL4,KN4,LP4,MR4,NT4,OV4,PX4)-IF(L4="",0,L4)&gt;0.001,MAX(EB4,FD4,GF4,HH4,IJ4,JL4,KN4,LP4,MR4,NT4,OV4,PX4)-IF(L4="",0,L4),"")</f>
        <v>1.3000000000000043</v>
      </c>
      <c r="DE4" s="52" t="str">
        <f t="shared" ref="DE4:DE12" si="38">IF(MAX(EC4,FE4,GG4,HI4,IK4,JM4,KO4,LQ4,MS4,NU4,OW4,PY4)-IF(N4="",0,N4)&gt;0.001,MAX(EC4,FE4,GG4,HI4,IK4,JM4,KO4,LQ4,MS4,NU4,OW4,PY4)-IF(N4="",0,N4),"")</f>
        <v/>
      </c>
      <c r="DF4" s="52" t="str">
        <f t="shared" ref="DF4:DF12" si="39">IF(MAX(EG4,FI4,GK4,HM4,IO4,JQ4,KS4,LU4,MW4,NY4,PA4,QC4)-IF(P4="",0,P4)&gt;0.001,MAX(EG4,FI4,GK4,HM4,IO4,JQ4,KS4,LU4,MW4,NY4,PA4,QC4)-IF(P4="",0,P4),"")</f>
        <v/>
      </c>
      <c r="DG4" s="17">
        <v>16.2</v>
      </c>
      <c r="DH4" s="17">
        <v>1.2</v>
      </c>
      <c r="DI4" s="17">
        <v>0</v>
      </c>
      <c r="DJ4" s="17">
        <v>0</v>
      </c>
      <c r="DK4" s="17">
        <v>16.3</v>
      </c>
      <c r="DL4" s="17">
        <v>3.9</v>
      </c>
      <c r="DM4" s="17">
        <v>0.2</v>
      </c>
      <c r="DN4" s="17">
        <v>0.3</v>
      </c>
      <c r="DO4" s="17"/>
      <c r="DP4" s="17"/>
      <c r="DQ4" s="17"/>
      <c r="DR4" s="17"/>
      <c r="DS4" s="17">
        <v>17.5</v>
      </c>
      <c r="DT4" s="17">
        <v>3.6</v>
      </c>
      <c r="DU4" s="17">
        <v>0</v>
      </c>
      <c r="DV4" s="17">
        <v>0</v>
      </c>
      <c r="DW4" s="17">
        <v>17</v>
      </c>
      <c r="DX4" s="17">
        <v>4.3</v>
      </c>
      <c r="DY4" s="17">
        <v>0</v>
      </c>
      <c r="DZ4" s="17">
        <v>0.3</v>
      </c>
      <c r="EA4" s="41">
        <f t="shared" ref="EA4:EA12" si="40">IF(SUM(DH4,DL4)&gt;0,SUM(DH4,DL4),"")</f>
        <v>5.0999999999999996</v>
      </c>
      <c r="EB4" s="41">
        <f t="shared" ref="EB4:EB12" si="41">IF(SUM(DG4:DH4,DJ4:DL4,DN4)-DI4-DM4&gt;0,SUM(DG4:DH4,DJ4:DL4,DN4)-DI4-DM4,"")</f>
        <v>37.699999999999996</v>
      </c>
      <c r="EC4" s="41" t="str">
        <f t="shared" ref="EC4:EC12" si="42">IF(SUM(DO4:DP4,DR4)-DQ4&gt;0,SUM(DO4:DP4,DR4)-DQ4,"")</f>
        <v/>
      </c>
      <c r="ED4" s="41">
        <f t="shared" ref="ED4:ED12" si="43">IF(SUM(DH4,DL4,DP4)&gt;0,SUM(DH4,DL4,DP4),"")</f>
        <v>5.0999999999999996</v>
      </c>
      <c r="EE4" s="41">
        <f t="shared" ref="EE4:EE12" si="44">IF(SUM(EB4,EC4)&gt;0,SUM(EB4,EC4),"")</f>
        <v>37.699999999999996</v>
      </c>
      <c r="EF4" s="41">
        <f t="shared" ref="EF4:EF12" si="45">IF(SUM(DT4,DX4)&gt;0,SUM(DT4,DX4),"")</f>
        <v>7.9</v>
      </c>
      <c r="EG4" s="41">
        <f t="shared" ref="EG4:EG12" si="46">IF(SUM(DS4:DT4,DV4:DX4,DZ4)-SUM(DU4,DY4)&gt;0,SUM(DS4:DT4,DV4:DX4,DZ4)-SUM(DU4,DY4),"")</f>
        <v>42.699999999999996</v>
      </c>
      <c r="EH4" s="41">
        <f t="shared" ref="EH4:EH12" si="47">IF(SUM(EB4,EG4)&gt;0,SUM(EB4,EG4),"")</f>
        <v>80.399999999999991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2" si="48">IF(SUM(EJ4,EN4)&gt;0,SUM(EJ4,EN4),"")</f>
        <v/>
      </c>
      <c r="FD4" s="11" t="str">
        <f t="shared" ref="FD4:FD12" si="49">IF(SUM(EI4:EJ4,EL4:EN4,EP4)-EK4-EO4&gt;0,SUM(EI4:EJ4,EL4:EN4,EP4)-EK4-EO4,"")</f>
        <v/>
      </c>
      <c r="FE4" s="11" t="str">
        <f t="shared" ref="FE4:FE12" si="50">IF(SUM(EQ4:ER4,ET4)-ES4&gt;0,SUM(EQ4:ER4,ET4)-ES4,"")</f>
        <v/>
      </c>
      <c r="FF4" s="11" t="str">
        <f t="shared" ref="FF4:FF12" si="51">IF(SUM(EJ4,EN4,ER4)&gt;0,SUM(EJ4,EN4,ER4),"")</f>
        <v/>
      </c>
      <c r="FG4" s="11" t="str">
        <f t="shared" ref="FG4:FG12" si="52">IF(SUM(FD4,FE4)&gt;0,SUM(FD4,FE4),"")</f>
        <v/>
      </c>
      <c r="FH4" s="11" t="str">
        <f t="shared" ref="FH4:FH12" si="53">IF(SUM(EV4,EZ4)&gt;0,SUM(EV4,EZ4),"")</f>
        <v/>
      </c>
      <c r="FI4" s="11" t="str">
        <f t="shared" ref="FI4:FI12" si="54">IF(SUM(EU4:EV4,EX4:EZ4,FB4)-SUM(EW4,FA4)&gt;0,SUM(EU4:EV4,EX4:EZ4,FB4)-SUM(EW4,FA4),"")</f>
        <v/>
      </c>
      <c r="FJ4" s="11" t="str">
        <f t="shared" ref="FJ4:FJ12" si="55">IF(SUM(FD4,FI4)&gt;0,SUM(FD4,FI4),"")</f>
        <v/>
      </c>
      <c r="FK4" s="17">
        <v>17.5</v>
      </c>
      <c r="FL4" s="17">
        <v>4.3</v>
      </c>
      <c r="FM4" s="17">
        <v>0</v>
      </c>
      <c r="FN4" s="17">
        <v>0</v>
      </c>
      <c r="FO4" s="17">
        <v>15.6</v>
      </c>
      <c r="FP4" s="17">
        <v>2.6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 t="shared" ref="GE4:GE12" si="56">IF(SUM(FL4,FP4)&gt;0,SUM(FL4,FP4),"")</f>
        <v>6.9</v>
      </c>
      <c r="GF4" s="41">
        <f t="shared" ref="GF4:GF12" si="57">IF(SUM(FK4:FL4,FN4:FP4,FR4)-FM4-FQ4&gt;0,SUM(FK4:FL4,FN4:FP4,FR4)-FM4-FQ4,"")</f>
        <v>40</v>
      </c>
      <c r="GG4" s="41" t="str">
        <f t="shared" ref="GG4:GG12" si="58">IF(SUM(FS4:FT4,FV4)-FU4&gt;0,SUM(FS4:FT4,FV4)-FU4,"")</f>
        <v/>
      </c>
      <c r="GH4" s="41">
        <f t="shared" ref="GH4:GH12" si="59">IF(SUM(FL4,FP4,FT4)&gt;0,SUM(FL4,FP4,FT4),"")</f>
        <v>6.9</v>
      </c>
      <c r="GI4" s="41">
        <f t="shared" ref="GI4:GI12" si="60">IF(SUM(GF4,GG4)&gt;0,SUM(GF4,GG4),"")</f>
        <v>40</v>
      </c>
      <c r="GJ4" s="41" t="str">
        <f t="shared" ref="GJ4:GJ12" si="61">IF(SUM(FX4,GB4)&gt;0,SUM(FX4,GB4),"")</f>
        <v/>
      </c>
      <c r="GK4" s="41" t="str">
        <f t="shared" ref="GK4:GK12" si="62">IF(SUM(FW4:FX4,FZ4:GB4,GD4)-SUM(FY4,GC4)&gt;0,SUM(FW4:FX4,FZ4:GB4,GD4)-SUM(FY4,GC4),"")</f>
        <v/>
      </c>
      <c r="GL4" s="41">
        <f t="shared" ref="GL4:GL12" si="63">IF(SUM(GF4,GK4)&gt;0,SUM(GF4,GK4),"")</f>
        <v>40</v>
      </c>
      <c r="GM4" s="18">
        <v>16.7</v>
      </c>
      <c r="GN4" s="18">
        <v>4.5999999999999996</v>
      </c>
      <c r="GO4" s="18">
        <v>0</v>
      </c>
      <c r="GP4" s="18">
        <v>0</v>
      </c>
      <c r="GQ4" s="18">
        <v>15.2</v>
      </c>
      <c r="GR4" s="18">
        <v>4.8</v>
      </c>
      <c r="GS4" s="18">
        <v>0.4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12" si="64">IF(SUM(GN4,GR4)&gt;0,SUM(GN4,GR4),"")</f>
        <v>9.3999999999999986</v>
      </c>
      <c r="HH4" s="11">
        <f t="shared" ref="HH4:HH12" si="65">IF(SUM(GM4:GN4,GP4:GR4,GT4)-GO4-GS4&gt;0,SUM(GM4:GN4,GP4:GR4,GT4)-GO4-GS4,"")</f>
        <v>40.9</v>
      </c>
      <c r="HI4" s="11" t="str">
        <f t="shared" ref="HI4:HI12" si="66">IF(SUM(GU4:GV4,GX4)-GW4&gt;0,SUM(GU4:GV4,GX4)-GW4,"")</f>
        <v/>
      </c>
      <c r="HJ4" s="11">
        <f t="shared" ref="HJ4:HJ12" si="67">IF(SUM(GN4,GR4,GV4)&gt;0,SUM(GN4,GR4,GV4),"")</f>
        <v>9.3999999999999986</v>
      </c>
      <c r="HK4" s="11">
        <f t="shared" ref="HK4:HK12" si="68">IF(SUM(HH4,HI4)&gt;0,SUM(HH4,HI4),"")</f>
        <v>40.9</v>
      </c>
      <c r="HL4" s="11" t="str">
        <f t="shared" ref="HL4:HL12" si="69">IF(SUM(GZ4,HD4)&gt;0,SUM(GZ4,HD4),"")</f>
        <v/>
      </c>
      <c r="HM4" s="11" t="str">
        <f t="shared" ref="HM4:HM12" si="70">IF(SUM(GY4:GZ4,HB4:HD4,HF4)-SUM(HA4,HE4)&gt;0,SUM(GY4:GZ4,HB4:HD4,HF4)-SUM(HA4,HE4),"")</f>
        <v/>
      </c>
      <c r="HN4" s="11">
        <f t="shared" ref="HN4:HN12" si="71">IF(SUM(HH4,HM4)&gt;0,SUM(HH4,HM4),"")</f>
        <v>40.9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2" si="72">IF(SUM(HP4,HT4)&gt;0,SUM(HP4,HT4),"")</f>
        <v/>
      </c>
      <c r="IJ4" s="41" t="str">
        <f t="shared" ref="IJ4:IJ12" si="73">IF(SUM(HO4:HP4,HR4:HT4,HV4)-HQ4-HU4&gt;0,SUM(HO4:HP4,HR4:HT4,HV4)-HQ4-HU4,"")</f>
        <v/>
      </c>
      <c r="IK4" s="41" t="str">
        <f t="shared" ref="IK4:IK12" si="74">IF(SUM(HW4:HX4,HZ4)-HY4&gt;0,SUM(HW4:HX4,HZ4)-HY4,"")</f>
        <v/>
      </c>
      <c r="IL4" s="41" t="str">
        <f t="shared" ref="IL4:IL12" si="75">IF(SUM(HP4,HT4,HX4)&gt;0,SUM(HP4,HT4,HX4),"")</f>
        <v/>
      </c>
      <c r="IM4" s="41" t="str">
        <f t="shared" ref="IM4:IM12" si="76">IF(SUM(IJ4,IK4)&gt;0,SUM(IJ4,IK4),"")</f>
        <v/>
      </c>
      <c r="IN4" s="41" t="str">
        <f t="shared" ref="IN4:IN12" si="77">IF(SUM(IB4,IF4)&gt;0,SUM(IB4,IF4),"")</f>
        <v/>
      </c>
      <c r="IO4" s="41" t="str">
        <f t="shared" ref="IO4:IO12" si="78">IF(SUM(IA4:IB4,ID4:IF4,IH4)-SUM(IC4,IG4)&gt;0,SUM(IA4:IB4,ID4:IF4,IH4)-SUM(IC4,IG4),"")</f>
        <v/>
      </c>
      <c r="IP4" s="41" t="str">
        <f t="shared" ref="IP4:IP12" si="79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2" si="80">IF(SUM(IR4,IV4)&gt;0,SUM(IR4,IV4),"")</f>
        <v/>
      </c>
      <c r="JL4" s="11" t="str">
        <f t="shared" ref="JL4:JL12" si="81">IF(SUM(IQ4:IR4,IT4:IV4,IX4)-IS4-IW4&gt;0,SUM(IQ4:IR4,IT4:IV4,IX4)-IS4-IW4,"")</f>
        <v/>
      </c>
      <c r="JM4" s="11" t="str">
        <f t="shared" ref="JM4:JM12" si="82">IF(SUM(IY4:IZ4,JB4)-JA4&gt;0,SUM(IY4:IZ4,JB4)-JA4,"")</f>
        <v/>
      </c>
      <c r="JN4" s="11" t="str">
        <f t="shared" ref="JN4:JN12" si="83">IF(SUM(IR4,IV4,IZ4)&gt;0,SUM(IR4,IV4,IZ4),"")</f>
        <v/>
      </c>
      <c r="JO4" s="11" t="str">
        <f t="shared" ref="JO4:JO12" si="84">IF(SUM(JL4,JM4)&gt;0,SUM(JL4,JM4),"")</f>
        <v/>
      </c>
      <c r="JP4" s="11" t="str">
        <f t="shared" ref="JP4:JP12" si="85">IF(SUM(JD4,JH4)&gt;0,SUM(JD4,JH4),"")</f>
        <v/>
      </c>
      <c r="JQ4" s="11" t="str">
        <f t="shared" ref="JQ4:JQ12" si="86">IF(SUM(JC4:JD4,JF4:JH4,JJ4)-SUM(JE4,JI4)&gt;0,SUM(JC4:JD4,JF4:JH4,JJ4)-SUM(JE4,JI4),"")</f>
        <v/>
      </c>
      <c r="JR4" s="11" t="str">
        <f t="shared" ref="JR4:JR12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2" si="88">IF(SUM(JT4,JX4)&gt;0,SUM(JT4,JX4),"")</f>
        <v/>
      </c>
      <c r="KN4" s="41" t="str">
        <f t="shared" ref="KN4:KN12" si="89">IF(SUM(JS4:JT4,JV4:JX4,JZ4)-JU4-JY4&gt;0,SUM(JS4:JT4,JV4:JX4,JZ4)-JU4-JY4,"")</f>
        <v/>
      </c>
      <c r="KO4" s="41" t="str">
        <f t="shared" ref="KO4:KO12" si="90">IF(SUM(KA4:KB4,KD4)-KC4&gt;0,SUM(KA4:KB4,KD4)-KC4,"")</f>
        <v/>
      </c>
      <c r="KP4" s="41" t="str">
        <f t="shared" ref="KP4:KP12" si="91">IF(SUM(JT4,JX4,KB4)&gt;0,SUM(JT4,JX4,KB4),"")</f>
        <v/>
      </c>
      <c r="KQ4" s="41" t="str">
        <f t="shared" ref="KQ4:KQ12" si="92">IF(SUM(KN4,KO4)&gt;0,SUM(KN4,KO4),"")</f>
        <v/>
      </c>
      <c r="KR4" s="41" t="str">
        <f t="shared" ref="KR4:KR12" si="93">IF(SUM(KF4,KJ4)&gt;0,SUM(KF4,KJ4),"")</f>
        <v/>
      </c>
      <c r="KS4" s="41" t="str">
        <f t="shared" ref="KS4:KS12" si="94">IF(SUM(KE4:KF4,KH4:KJ4,KL4)-SUM(KG4,KK4)&gt;0,SUM(KE4:KF4,KH4:KJ4,KL4)-SUM(KG4,KK4),"")</f>
        <v/>
      </c>
      <c r="KT4" s="41" t="str">
        <f t="shared" ref="KT4:KT12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2" si="96">IF(SUM(KV4,KZ4)&gt;0,SUM(KV4,KZ4),"")</f>
        <v/>
      </c>
      <c r="LP4" s="11" t="str">
        <f t="shared" ref="LP4:LP12" si="97">IF(SUM(KU4:KV4,KX4:KZ4,LB4)-KW4-LA4&gt;0,SUM(KU4:KV4,KX4:KZ4,LB4)-KW4-LA4,"")</f>
        <v/>
      </c>
      <c r="LQ4" s="11" t="str">
        <f t="shared" ref="LQ4:LQ12" si="98">IF(SUM(LC4:LD4,LF4)-LE4&gt;0,SUM(LC4:LD4,LF4)-LE4,"")</f>
        <v/>
      </c>
      <c r="LR4" s="11" t="str">
        <f t="shared" ref="LR4:LR12" si="99">IF(SUM(KV4,KZ4,LD4)&gt;0,SUM(KV4,KZ4,LD4),"")</f>
        <v/>
      </c>
      <c r="LS4" s="11" t="str">
        <f t="shared" ref="LS4:LS12" si="100">IF(SUM(LP4,LQ4)&gt;0,SUM(LP4,LQ4),"")</f>
        <v/>
      </c>
      <c r="LT4" s="11" t="str">
        <f t="shared" ref="LT4:LT12" si="101">IF(SUM(LH4,LL4)&gt;0,SUM(LH4,LL4),"")</f>
        <v/>
      </c>
      <c r="LU4" s="11" t="str">
        <f t="shared" ref="LU4:LU12" si="102">IF(SUM(LG4:LH4,LJ4:LL4,LN4)-SUM(LI4,LM4)&gt;0,SUM(LG4:LH4,LJ4:LL4,LN4)-SUM(LI4,LM4),"")</f>
        <v/>
      </c>
      <c r="LV4" s="11" t="str">
        <f t="shared" ref="LV4:LV12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2" si="104">IF(SUM(LX4,MB4)&gt;0,SUM(LX4,MB4),"")</f>
        <v/>
      </c>
      <c r="MR4" s="41" t="str">
        <f t="shared" ref="MR4:MR12" si="105">IF(SUM(LW4:LX4,LZ4:MB4,MD4)-LY4-MC4&gt;0,SUM(LW4:LX4,LZ4:MB4,MD4)-LY4-MC4,"")</f>
        <v/>
      </c>
      <c r="MS4" s="41" t="str">
        <f t="shared" ref="MS4:MS12" si="106">IF(SUM(ME4:MF4,MH4)-MG4&gt;0,SUM(ME4:MF4,MH4)-MG4,"")</f>
        <v/>
      </c>
      <c r="MT4" s="41" t="str">
        <f t="shared" ref="MT4:MT12" si="107">IF(SUM(LX4,MB4,MF4)&gt;0,SUM(LX4,MB4,MF4),"")</f>
        <v/>
      </c>
      <c r="MU4" s="41" t="str">
        <f t="shared" ref="MU4:MU12" si="108">IF(SUM(MR4,MS4)&gt;0,SUM(MR4,MS4),"")</f>
        <v/>
      </c>
      <c r="MV4" s="41" t="str">
        <f t="shared" ref="MV4:MV12" si="109">IF(SUM(MJ4,MN4)&gt;0,SUM(MJ4,MN4),"")</f>
        <v/>
      </c>
      <c r="MW4" s="41" t="str">
        <f t="shared" ref="MW4:MW12" si="110">IF(SUM(MI4:MJ4,ML4:MN4,MP4)-SUM(MK4,MO4)&gt;0,SUM(MI4:MJ4,ML4:MN4,MP4)-SUM(MK4,MO4),"")</f>
        <v/>
      </c>
      <c r="MX4" s="41" t="str">
        <f t="shared" ref="MX4:MX12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2" si="112">IF(SUM(MZ4,ND4)&gt;0,SUM(MZ4,ND4),"")</f>
        <v/>
      </c>
      <c r="NT4" s="11" t="str">
        <f t="shared" ref="NT4:NT12" si="113">IF(SUM(MY4:MZ4,NB4:ND4,NF4)-NA4-NE4&gt;0,SUM(MY4:MZ4,NB4:ND4,NF4)-NA4-NE4,"")</f>
        <v/>
      </c>
      <c r="NU4" s="11" t="str">
        <f t="shared" ref="NU4:NU12" si="114">IF(SUM(NG4:NH4,NJ4)-NI4&gt;0,SUM(NG4:NH4,NJ4)-NI4,"")</f>
        <v/>
      </c>
      <c r="NV4" s="11" t="str">
        <f t="shared" ref="NV4:NV12" si="115">IF(SUM(MZ4,ND4,NH4)&gt;0,SUM(MZ4,ND4,NH4),"")</f>
        <v/>
      </c>
      <c r="NW4" s="11" t="str">
        <f t="shared" ref="NW4:NW12" si="116">IF(SUM(NT4,NU4)&gt;0,SUM(NT4,NU4),"")</f>
        <v/>
      </c>
      <c r="NX4" s="11" t="str">
        <f t="shared" ref="NX4:NX12" si="117">IF(SUM(NL4,NP4)&gt;0,SUM(NL4,NP4),"")</f>
        <v/>
      </c>
      <c r="NY4" s="11" t="str">
        <f t="shared" ref="NY4:NY12" si="118">IF(SUM(NK4:NL4,NN4:NP4,NR4)-SUM(NM4,NQ4)&gt;0,SUM(NK4:NL4,NN4:NP4,NR4)-SUM(NM4,NQ4),"")</f>
        <v/>
      </c>
      <c r="NZ4" s="11" t="str">
        <f t="shared" ref="NZ4:NZ12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2" si="120">IF(SUM(OB4,OF4)&gt;0,SUM(OB4,OF4),"")</f>
        <v/>
      </c>
      <c r="OV4" s="41" t="str">
        <f t="shared" ref="OV4:OV12" si="121">IF(SUM(OA4:OB4,OD4:OF4,OH4)-OC4-OG4&gt;0,SUM(OA4:OB4,OD4:OF4,OH4)-OC4-OG4,"")</f>
        <v/>
      </c>
      <c r="OW4" s="41" t="str">
        <f t="shared" ref="OW4:OW12" si="122">IF(SUM(OI4:OJ4,OL4)-OK4&gt;0,SUM(OI4:OJ4,OL4)-OK4,"")</f>
        <v/>
      </c>
      <c r="OX4" s="41" t="str">
        <f t="shared" ref="OX4:OX12" si="123">IF(SUM(OB4,OF4,OJ4)&gt;0,SUM(OB4,OF4,OJ4),"")</f>
        <v/>
      </c>
      <c r="OY4" s="41" t="str">
        <f t="shared" ref="OY4:OY12" si="124">IF(SUM(OV4,OW4)&gt;0,SUM(OV4,OW4),"")</f>
        <v/>
      </c>
      <c r="OZ4" s="41" t="str">
        <f t="shared" ref="OZ4:OZ12" si="125">IF(SUM(ON4,OR4)&gt;0,SUM(ON4,OR4),"")</f>
        <v/>
      </c>
      <c r="PA4" s="41" t="str">
        <f t="shared" ref="PA4:PA12" si="126">IF(SUM(OM4:ON4,OP4:OR4,OT4)-SUM(OO4,OS4)&gt;0,SUM(OM4:ON4,OP4:OR4,OT4)-SUM(OO4,OS4),"")</f>
        <v/>
      </c>
      <c r="PB4" s="41" t="str">
        <f t="shared" ref="PB4:PB12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2" si="128">IF(SUM(PD4,PH4)&gt;0,SUM(PD4,PH4),"")</f>
        <v/>
      </c>
      <c r="PX4" s="11" t="str">
        <f t="shared" ref="PX4:PX12" si="129">IF(SUM(PC4:PD4,PF4:PH4,PJ4)-PE4-PI4&gt;0,SUM(PC4:PD4,PF4:PH4,PJ4)-PE4-PI4,"")</f>
        <v/>
      </c>
      <c r="PY4" s="11" t="str">
        <f t="shared" ref="PY4:PY12" si="130">IF(SUM(PK4:PL4,PN4)-PM4&gt;0,SUM(PK4:PL4,PN4)-PM4,"")</f>
        <v/>
      </c>
      <c r="PZ4" s="11" t="str">
        <f t="shared" ref="PZ4:PZ12" si="131">IF(SUM(PD4,PH4,PL4)&gt;0,SUM(PD4,PH4,PL4),"")</f>
        <v/>
      </c>
      <c r="QA4" s="11" t="str">
        <f t="shared" ref="QA4:QA12" si="132">IF(SUM(PX4,PY4)&gt;0,SUM(PX4,PY4),"")</f>
        <v/>
      </c>
      <c r="QB4" s="11" t="str">
        <f t="shared" ref="QB4:QB12" si="133">IF(SUM(PP4,PT4)&gt;0,SUM(PP4,PT4),"")</f>
        <v/>
      </c>
      <c r="QC4" s="11" t="str">
        <f t="shared" ref="QC4:QC12" si="134">IF(SUM(PO4:PP4,PR4:PT4,PV4)-SUM(PQ4,PU4)&gt;0,SUM(PO4:PP4,PR4:PT4,PV4)-SUM(PQ4,PU4),"")</f>
        <v/>
      </c>
      <c r="QD4" s="11" t="str">
        <f t="shared" ref="QD4:QD12" si="135">IF(SUM(PX4,QC4)&gt;0,SUM(PX4,QC4),"")</f>
        <v/>
      </c>
      <c r="QE4" s="23">
        <f t="shared" ref="QE4:QE12" si="136">IF($CU4="P",CA4,(CA4+AX4)/2)</f>
        <v>17.05</v>
      </c>
      <c r="QF4" s="23">
        <f t="shared" ref="QF4:QF12" si="137">IF($CU4="P",CB4,(CB4+AY4)/2)</f>
        <v>4</v>
      </c>
      <c r="QG4" s="23">
        <f t="shared" ref="QG4:QG12" si="138">IF($CU4="P",CC4,(CC4+AZ4)/2)</f>
        <v>0</v>
      </c>
      <c r="QH4" s="23">
        <f t="shared" ref="QH4:QH12" si="139">IF($CU4="P",CD4,(CD4+BA4)/2)</f>
        <v>0.3</v>
      </c>
      <c r="QI4" s="23">
        <f t="shared" ref="QI4:QI12" si="140">IF($CU4="P",CE4,(CE4+BB4)/2)</f>
        <v>16.700000000000003</v>
      </c>
      <c r="QJ4" s="23">
        <f t="shared" ref="QJ4:QJ12" si="141">IF($CU4="P",CF4,(CF4+BC4)/2)</f>
        <v>3.7</v>
      </c>
      <c r="QK4" s="23">
        <f t="shared" ref="QK4:QK12" si="142">IF($CU4="P",CG4,(CG4+BD4)/2)</f>
        <v>2.35</v>
      </c>
      <c r="QL4" s="23">
        <f t="shared" ref="QL4:QL12" si="143">IF($CU4="P",CH4,(CH4+BE4)/2)</f>
        <v>0.44999999999999996</v>
      </c>
      <c r="QM4" s="23">
        <f t="shared" ref="QM4:QM12" si="144">IF($CU4="P",CI4,(CI4+BF4)/2)</f>
        <v>8.4</v>
      </c>
      <c r="QN4" s="23">
        <f t="shared" ref="QN4:QN12" si="145">IF($CU4="P",CJ4,(CJ4+BG4)/2)</f>
        <v>2.4</v>
      </c>
      <c r="QO4" s="23">
        <f t="shared" ref="QO4:QO12" si="146">IF($CU4="P",CK4,(CK4+BH4)/2)</f>
        <v>0</v>
      </c>
      <c r="QP4" s="23">
        <f t="shared" ref="QP4:QP12" si="147">IF($CU4="P",CL4,(CL4+BI4)/2)</f>
        <v>0.3</v>
      </c>
      <c r="QQ4" s="23">
        <f t="shared" ref="QQ4:QQ12" si="148">IF($CU4="P",CM4,(CM4+BJ4)/2)</f>
        <v>8.5500000000000007</v>
      </c>
      <c r="QR4" s="23">
        <f t="shared" ref="QR4:QR12" si="149">IF($CU4="P",CN4,(CN4+BK4)/2)</f>
        <v>2.15</v>
      </c>
      <c r="QS4" s="23">
        <f t="shared" ref="QS4:QS12" si="150">IF($CU4="P",CO4,(CO4+BL4)/2)</f>
        <v>0</v>
      </c>
      <c r="QT4" s="23">
        <f t="shared" ref="QT4:QT12" si="151">IF($CU4="P",CP4,(CP4+BM4)/2)</f>
        <v>0.15</v>
      </c>
      <c r="QU4" s="23">
        <f t="shared" ref="QU4:QU12" si="152">IF($CU4="P",CQ4,(CQ4+BN4)/2)</f>
        <v>7.45</v>
      </c>
      <c r="QV4" s="23">
        <f t="shared" ref="QV4:QV12" si="153">IF($CU4="P",CR4,(CR4+BO4)/2)</f>
        <v>2.4</v>
      </c>
      <c r="QW4" s="23">
        <f t="shared" ref="QW4:QW12" si="154">IF($CU4="P",CS4,(CS4+BP4)/2)</f>
        <v>0</v>
      </c>
      <c r="QX4" s="23">
        <f t="shared" ref="QX4:QX12" si="155">IF($CU4="P",CT4,(CT4+BQ4)/2)</f>
        <v>0.3</v>
      </c>
      <c r="QY4" s="28" t="s">
        <v>58</v>
      </c>
      <c r="QZ4" s="41">
        <f t="shared" ref="QZ4:QZ12" si="156">IF(SUM(QF4,QJ4)&gt;0,SUM(QF4,QJ4),"")</f>
        <v>7.7</v>
      </c>
      <c r="RA4" s="41">
        <f t="shared" ref="RA4:RA12" si="157">IF(SUM(QE4:QF4,QH4:QJ4,QL4)-QG4-QK4&gt;0,SUM(QE4:QF4,QH4:QJ4,QL4)-QG4-QK4,"")</f>
        <v>39.850000000000009</v>
      </c>
      <c r="RB4" s="41">
        <f t="shared" ref="RB4:RB12" si="158">IF(SUM(QM4:QN4,QP4)-QO4&gt;0,SUM(QM4:QN4,QP4)-QO4,"")</f>
        <v>11.100000000000001</v>
      </c>
      <c r="RC4" s="41">
        <f t="shared" ref="RC4:RC12" si="159">IF(SUM(QF4,QJ4,QN4)&gt;0,SUM(QF4,QJ4,QN4),"")</f>
        <v>10.1</v>
      </c>
      <c r="RD4" s="41">
        <f t="shared" ref="RD4:RD12" si="160">IF(SUM(RA4,RB4)&gt;0,SUM(RA4,RB4),"")</f>
        <v>50.95000000000001</v>
      </c>
      <c r="RE4" s="41">
        <f t="shared" ref="RE4:RE12" si="161">IF(SUM(QR4,QV4)&gt;0,SUM(QR4,QV4),"")</f>
        <v>4.55</v>
      </c>
      <c r="RF4" s="41">
        <f t="shared" ref="RF4:RF12" si="162">IF(SUM(QQ4:QR4,QT4:QV4,QX4)-SUM(QS4,QW4)&gt;0,SUM(QQ4:QR4,QT4:QV4,QX4)-SUM(QS4,QW4),"")</f>
        <v>21</v>
      </c>
      <c r="RG4" s="41">
        <f t="shared" ref="RG4:RG12" si="163">IF(SUM(RA4,RF4)&gt;0,SUM(RA4,RF4),"")</f>
        <v>60.850000000000009</v>
      </c>
    </row>
    <row r="5" spans="1:475" x14ac:dyDescent="0.2">
      <c r="A5" s="4" cm="1">
        <f t="array" ref="A5">IF(AND(F5="P",G5="P"),SUMPRODUCT((F$4:F$13="P")*(G$4:G$13="P")*(E$4:E$13&gt;E5))+1,IF(G5="P",SUMPRODUCT((F$4:F$13="")*(G$4:G$13="P")*(E$4:E$13&gt;E5))+1+SUMPRODUCT((F$4:F$13="P")*(G$4:G$13="P")),""))</f>
        <v>2</v>
      </c>
      <c r="B5" s="5" t="s">
        <v>196</v>
      </c>
      <c r="C5" s="4" t="s">
        <v>5</v>
      </c>
      <c r="D5" s="4">
        <v>2003</v>
      </c>
      <c r="E5" s="9">
        <f t="shared" si="0"/>
        <v>150.80001070000432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43.1</v>
      </c>
      <c r="K5" s="8" t="str">
        <f t="shared" si="5"/>
        <v>2022 Nationals</v>
      </c>
      <c r="L5" s="8">
        <f>IF(COUNT(AQ5,BT5,CW5)&gt;1,LARGE((AQ5,BT5,CW5),2),0)</f>
        <v>42.6</v>
      </c>
      <c r="M5" s="8" t="str">
        <f t="shared" si="6"/>
        <v>2022 3rd Domestic Trial</v>
      </c>
      <c r="N5" s="8">
        <f>IF(COUNT(AR5,BU5,CX5)&gt;0,LARGE((AR5,BU5,CX5),1),0)</f>
        <v>21.3</v>
      </c>
      <c r="O5" s="8" t="str">
        <f t="shared" si="7"/>
        <v>2023 Elite Canada</v>
      </c>
      <c r="P5" s="8">
        <f t="shared" si="8"/>
        <v>42.800000000000011</v>
      </c>
      <c r="Q5" s="8" t="str">
        <f t="shared" si="9"/>
        <v>2023 Elite Canada</v>
      </c>
      <c r="R5" s="8">
        <f t="shared" si="10"/>
        <v>1</v>
      </c>
      <c r="S5" s="11" t="str">
        <f t="shared" si="11"/>
        <v>(Q1)</v>
      </c>
      <c r="T5" s="8" t="str">
        <f t="shared" si="12"/>
        <v>2022 WAGC (Nov 24)</v>
      </c>
      <c r="U5" s="19">
        <v>17.2</v>
      </c>
      <c r="V5" s="19">
        <v>3.9</v>
      </c>
      <c r="W5" s="19">
        <v>0</v>
      </c>
      <c r="X5" s="19">
        <v>0.3</v>
      </c>
      <c r="Y5" s="19">
        <v>17.3</v>
      </c>
      <c r="Z5" s="19">
        <v>4.0999999999999996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3.9</v>
      </c>
      <c r="AI5" s="19">
        <v>0</v>
      </c>
      <c r="AJ5" s="19">
        <v>0.3</v>
      </c>
      <c r="AK5" s="19">
        <v>16.2</v>
      </c>
      <c r="AL5" s="19">
        <v>1.9</v>
      </c>
      <c r="AM5" s="19">
        <v>0</v>
      </c>
      <c r="AN5" s="19">
        <v>0.3</v>
      </c>
      <c r="AO5" s="28"/>
      <c r="AP5" s="41">
        <f t="shared" si="13"/>
        <v>8</v>
      </c>
      <c r="AQ5" s="41">
        <f t="shared" si="14"/>
        <v>43.1</v>
      </c>
      <c r="AR5" s="41" t="str">
        <f t="shared" si="15"/>
        <v/>
      </c>
      <c r="AS5" s="41">
        <f t="shared" si="16"/>
        <v>8</v>
      </c>
      <c r="AT5" s="41">
        <f t="shared" si="17"/>
        <v>43.1</v>
      </c>
      <c r="AU5" s="41">
        <f t="shared" si="18"/>
        <v>5.8</v>
      </c>
      <c r="AV5" s="41">
        <f t="shared" si="19"/>
        <v>39.699999999999996</v>
      </c>
      <c r="AW5" s="41">
        <f t="shared" si="20"/>
        <v>82.8</v>
      </c>
      <c r="AX5" s="18">
        <v>16.600000000000001</v>
      </c>
      <c r="AY5" s="18">
        <v>4.3</v>
      </c>
      <c r="AZ5" s="18">
        <v>0</v>
      </c>
      <c r="BA5" s="18">
        <v>0.3</v>
      </c>
      <c r="BB5" s="18">
        <v>16</v>
      </c>
      <c r="BC5" s="18">
        <v>4.8</v>
      </c>
      <c r="BD5" s="18">
        <v>0</v>
      </c>
      <c r="BE5" s="18">
        <v>0.6</v>
      </c>
      <c r="BF5" s="18"/>
      <c r="BG5" s="18"/>
      <c r="BH5" s="18"/>
      <c r="BI5" s="18"/>
      <c r="BJ5" s="18">
        <v>15.3</v>
      </c>
      <c r="BK5" s="18">
        <v>1.9</v>
      </c>
      <c r="BL5" s="18">
        <v>0</v>
      </c>
      <c r="BM5" s="18">
        <v>0.3</v>
      </c>
      <c r="BN5" s="18">
        <v>15.6</v>
      </c>
      <c r="BO5" s="18">
        <v>1.9</v>
      </c>
      <c r="BP5" s="18">
        <v>0</v>
      </c>
      <c r="BQ5" s="18">
        <v>0.3</v>
      </c>
      <c r="BR5" s="29"/>
      <c r="BS5" s="11">
        <f t="shared" si="21"/>
        <v>9.1</v>
      </c>
      <c r="BT5" s="11">
        <f t="shared" si="22"/>
        <v>42.6</v>
      </c>
      <c r="BU5" s="11" t="str">
        <f t="shared" si="23"/>
        <v/>
      </c>
      <c r="BV5" s="11">
        <f t="shared" si="24"/>
        <v>9.1</v>
      </c>
      <c r="BW5" s="11">
        <f t="shared" si="25"/>
        <v>42.6</v>
      </c>
      <c r="BX5" s="11">
        <f t="shared" si="26"/>
        <v>3.8</v>
      </c>
      <c r="BY5" s="11">
        <f t="shared" si="27"/>
        <v>35.299999999999997</v>
      </c>
      <c r="BZ5" s="11">
        <f t="shared" si="28"/>
        <v>77.900000000000006</v>
      </c>
      <c r="CA5" s="19">
        <v>17.100000000000001</v>
      </c>
      <c r="CB5" s="19">
        <v>3.9</v>
      </c>
      <c r="CC5" s="19">
        <v>0</v>
      </c>
      <c r="CD5" s="19">
        <v>0.3</v>
      </c>
      <c r="CE5" s="19">
        <v>16.399999999999999</v>
      </c>
      <c r="CF5" s="19">
        <v>1.9</v>
      </c>
      <c r="CG5" s="19">
        <v>0</v>
      </c>
      <c r="CH5" s="19">
        <v>0.3</v>
      </c>
      <c r="CI5" s="19">
        <v>16.899999999999999</v>
      </c>
      <c r="CJ5" s="19">
        <v>4.0999999999999996</v>
      </c>
      <c r="CK5" s="19">
        <v>0</v>
      </c>
      <c r="CL5" s="19">
        <v>0.3</v>
      </c>
      <c r="CM5" s="19">
        <v>17.600000000000001</v>
      </c>
      <c r="CN5" s="19">
        <v>4.0999999999999996</v>
      </c>
      <c r="CO5" s="19">
        <v>0</v>
      </c>
      <c r="CP5" s="19">
        <v>0.3</v>
      </c>
      <c r="CQ5" s="19">
        <v>17.399999999999999</v>
      </c>
      <c r="CR5" s="19">
        <v>3.2</v>
      </c>
      <c r="CS5" s="19">
        <v>0.4</v>
      </c>
      <c r="CT5" s="19">
        <v>0.6</v>
      </c>
      <c r="CU5" s="28"/>
      <c r="CV5" s="41">
        <f t="shared" si="29"/>
        <v>5.8</v>
      </c>
      <c r="CW5" s="41">
        <f t="shared" si="30"/>
        <v>39.9</v>
      </c>
      <c r="CX5" s="41">
        <f t="shared" si="31"/>
        <v>21.3</v>
      </c>
      <c r="CY5" s="41">
        <f t="shared" si="32"/>
        <v>9.8999999999999986</v>
      </c>
      <c r="CZ5" s="41">
        <f t="shared" si="33"/>
        <v>61.2</v>
      </c>
      <c r="DA5" s="41">
        <f t="shared" si="34"/>
        <v>7.3</v>
      </c>
      <c r="DB5" s="41">
        <f t="shared" si="35"/>
        <v>42.800000000000011</v>
      </c>
      <c r="DC5" s="41">
        <f t="shared" si="36"/>
        <v>82.700000000000017</v>
      </c>
      <c r="DD5" s="52">
        <f t="shared" si="37"/>
        <v>1</v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>
        <v>17.8</v>
      </c>
      <c r="IR5" s="18">
        <v>4.3</v>
      </c>
      <c r="IS5" s="18">
        <v>0</v>
      </c>
      <c r="IT5" s="18">
        <v>0</v>
      </c>
      <c r="IU5" s="18">
        <v>16.899999999999999</v>
      </c>
      <c r="IV5" s="18">
        <v>4.5999999999999996</v>
      </c>
      <c r="IW5" s="18">
        <v>0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 t="shared" si="80"/>
        <v>8.8999999999999986</v>
      </c>
      <c r="JL5" s="11">
        <f t="shared" si="81"/>
        <v>43.6</v>
      </c>
      <c r="JM5" s="11" t="str">
        <f t="shared" si="82"/>
        <v/>
      </c>
      <c r="JN5" s="11">
        <f t="shared" si="83"/>
        <v>8.8999999999999986</v>
      </c>
      <c r="JO5" s="11">
        <f t="shared" si="84"/>
        <v>43.6</v>
      </c>
      <c r="JP5" s="11" t="str">
        <f t="shared" si="85"/>
        <v/>
      </c>
      <c r="JQ5" s="11" t="str">
        <f t="shared" si="86"/>
        <v/>
      </c>
      <c r="JR5" s="11">
        <f t="shared" si="87"/>
        <v>43.6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16.850000000000001</v>
      </c>
      <c r="QF5" s="23">
        <f t="shared" si="137"/>
        <v>4.0999999999999996</v>
      </c>
      <c r="QG5" s="23">
        <f t="shared" si="138"/>
        <v>0</v>
      </c>
      <c r="QH5" s="23">
        <f t="shared" si="139"/>
        <v>0.3</v>
      </c>
      <c r="QI5" s="23">
        <f t="shared" si="140"/>
        <v>16.2</v>
      </c>
      <c r="QJ5" s="23">
        <f t="shared" si="141"/>
        <v>3.3499999999999996</v>
      </c>
      <c r="QK5" s="23">
        <f t="shared" si="142"/>
        <v>0</v>
      </c>
      <c r="QL5" s="23">
        <f t="shared" si="143"/>
        <v>0.44999999999999996</v>
      </c>
      <c r="QM5" s="23">
        <f t="shared" si="144"/>
        <v>8.4499999999999993</v>
      </c>
      <c r="QN5" s="23">
        <f t="shared" si="145"/>
        <v>2.0499999999999998</v>
      </c>
      <c r="QO5" s="23">
        <f t="shared" si="146"/>
        <v>0</v>
      </c>
      <c r="QP5" s="23">
        <f t="shared" si="147"/>
        <v>0.15</v>
      </c>
      <c r="QQ5" s="23">
        <f t="shared" si="148"/>
        <v>16.450000000000003</v>
      </c>
      <c r="QR5" s="23">
        <f t="shared" si="149"/>
        <v>3</v>
      </c>
      <c r="QS5" s="23">
        <f t="shared" si="150"/>
        <v>0</v>
      </c>
      <c r="QT5" s="23">
        <f t="shared" si="151"/>
        <v>0.3</v>
      </c>
      <c r="QU5" s="23">
        <f t="shared" si="152"/>
        <v>16.5</v>
      </c>
      <c r="QV5" s="23">
        <f t="shared" si="153"/>
        <v>2.5499999999999998</v>
      </c>
      <c r="QW5" s="23">
        <f t="shared" si="154"/>
        <v>0.2</v>
      </c>
      <c r="QX5" s="23">
        <f t="shared" si="155"/>
        <v>0.44999999999999996</v>
      </c>
      <c r="QY5" s="28" t="s">
        <v>58</v>
      </c>
      <c r="QZ5" s="41">
        <f t="shared" si="156"/>
        <v>7.4499999999999993</v>
      </c>
      <c r="RA5" s="41">
        <f t="shared" si="157"/>
        <v>41.250000000000007</v>
      </c>
      <c r="RB5" s="41">
        <f t="shared" si="158"/>
        <v>10.65</v>
      </c>
      <c r="RC5" s="41">
        <f t="shared" si="159"/>
        <v>9.5</v>
      </c>
      <c r="RD5" s="41">
        <f t="shared" si="160"/>
        <v>51.900000000000006</v>
      </c>
      <c r="RE5" s="41">
        <f t="shared" si="161"/>
        <v>5.55</v>
      </c>
      <c r="RF5" s="41">
        <f t="shared" si="162"/>
        <v>39.049999999999997</v>
      </c>
      <c r="RG5" s="41">
        <f t="shared" si="163"/>
        <v>80.300000000000011</v>
      </c>
    </row>
    <row r="6" spans="1:475" x14ac:dyDescent="0.2">
      <c r="A6" s="4">
        <f t="shared" ref="A6:A12" si="164">IF(AND(F6="P",G6="P"),SUMPRODUCT((F$4:F$13="P")*(G$4:G$13="P")*(E$4:E$13&gt;E6))+1,IF(G6="P",SUMPRODUCT((F$4:F$13="")*(G$4:G$13="P")*(E$4:E$13&gt;E6))+1+SUMPRODUCT((F$4:F$13="P")*(G$4:G$13="P")),""))</f>
        <v>3</v>
      </c>
      <c r="B6" s="5" t="s">
        <v>156</v>
      </c>
      <c r="C6" s="4" t="s">
        <v>5</v>
      </c>
      <c r="D6" s="4">
        <v>2003</v>
      </c>
      <c r="E6" s="9">
        <f t="shared" si="0"/>
        <v>146.80001020000432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IF(COUNT(AQ6,BT6,CW6)&gt;0,LARGE((AQ6,BT6,CW6),1),0)</f>
        <v>43.199999999999989</v>
      </c>
      <c r="K6" s="8" t="str">
        <f t="shared" si="5"/>
        <v>2022 Nationals</v>
      </c>
      <c r="L6" s="8">
        <f>IF(COUNT(AQ6,BT6,CW6)&gt;1,LARGE((AQ6,BT6,CW6),2),0)</f>
        <v>40.800000000000004</v>
      </c>
      <c r="M6" s="8" t="str">
        <f t="shared" si="6"/>
        <v>2023 Elite Canada</v>
      </c>
      <c r="N6" s="8">
        <f>IF(COUNT(AR6,BU6,CX6)&gt;0,LARGE((AR6,BU6,CX6),1),0)</f>
        <v>18</v>
      </c>
      <c r="O6" s="8" t="str">
        <f t="shared" si="7"/>
        <v>2023 Elite Canada</v>
      </c>
      <c r="P6" s="8">
        <f t="shared" si="8"/>
        <v>40.400000000000006</v>
      </c>
      <c r="Q6" s="8" t="str">
        <f t="shared" si="9"/>
        <v>2022 Nationals</v>
      </c>
      <c r="R6" s="8">
        <f t="shared" si="10"/>
        <v>4.3999999999999915</v>
      </c>
      <c r="S6" s="11" t="str">
        <f t="shared" si="11"/>
        <v>(Final)</v>
      </c>
      <c r="T6" s="8" t="str">
        <f t="shared" si="12"/>
        <v>2022 Coimbra Gym Fest (June 26)</v>
      </c>
      <c r="U6" s="19">
        <v>17.2</v>
      </c>
      <c r="V6" s="19">
        <v>4.0999999999999996</v>
      </c>
      <c r="W6" s="19">
        <v>0.2</v>
      </c>
      <c r="X6" s="19">
        <v>0.3</v>
      </c>
      <c r="Y6" s="19">
        <v>17.399999999999999</v>
      </c>
      <c r="Z6" s="19">
        <v>4.3</v>
      </c>
      <c r="AA6" s="19">
        <v>0.2</v>
      </c>
      <c r="AB6" s="19">
        <v>0.3</v>
      </c>
      <c r="AC6" s="19"/>
      <c r="AD6" s="19"/>
      <c r="AE6" s="19"/>
      <c r="AF6" s="19"/>
      <c r="AG6" s="19">
        <v>16.5</v>
      </c>
      <c r="AH6" s="19">
        <v>2.8</v>
      </c>
      <c r="AI6" s="19">
        <v>1.2</v>
      </c>
      <c r="AJ6" s="19">
        <v>0.3</v>
      </c>
      <c r="AK6" s="19">
        <v>16.8</v>
      </c>
      <c r="AL6" s="19">
        <v>4.5999999999999996</v>
      </c>
      <c r="AM6" s="19">
        <v>0</v>
      </c>
      <c r="AN6" s="19">
        <v>0.6</v>
      </c>
      <c r="AO6" s="28"/>
      <c r="AP6" s="41">
        <f t="shared" si="13"/>
        <v>8.3999999999999986</v>
      </c>
      <c r="AQ6" s="41">
        <f t="shared" si="14"/>
        <v>43.199999999999989</v>
      </c>
      <c r="AR6" s="41" t="str">
        <f t="shared" si="15"/>
        <v/>
      </c>
      <c r="AS6" s="41">
        <f t="shared" si="16"/>
        <v>8.3999999999999986</v>
      </c>
      <c r="AT6" s="41">
        <f t="shared" si="17"/>
        <v>43.199999999999989</v>
      </c>
      <c r="AU6" s="41">
        <f t="shared" si="18"/>
        <v>7.3999999999999995</v>
      </c>
      <c r="AV6" s="41">
        <f t="shared" si="19"/>
        <v>40.400000000000006</v>
      </c>
      <c r="AW6" s="41">
        <f t="shared" si="20"/>
        <v>83.6</v>
      </c>
      <c r="AX6" s="18">
        <v>14.7</v>
      </c>
      <c r="AY6" s="18">
        <v>3.9</v>
      </c>
      <c r="AZ6" s="18">
        <v>0.4</v>
      </c>
      <c r="BA6" s="18">
        <v>0.3</v>
      </c>
      <c r="BB6" s="18">
        <v>15.9</v>
      </c>
      <c r="BC6" s="18">
        <v>2.4</v>
      </c>
      <c r="BD6" s="18">
        <v>5.4</v>
      </c>
      <c r="BE6" s="18">
        <v>0.3</v>
      </c>
      <c r="BF6" s="18"/>
      <c r="BG6" s="18"/>
      <c r="BH6" s="18"/>
      <c r="BI6" s="18"/>
      <c r="BJ6" s="18">
        <v>0</v>
      </c>
      <c r="BK6" s="18">
        <v>0</v>
      </c>
      <c r="BL6" s="18">
        <v>0</v>
      </c>
      <c r="BM6" s="18">
        <v>0</v>
      </c>
      <c r="BN6" s="18">
        <v>0</v>
      </c>
      <c r="BO6" s="18">
        <v>0</v>
      </c>
      <c r="BP6" s="18">
        <v>0</v>
      </c>
      <c r="BQ6" s="18">
        <v>0</v>
      </c>
      <c r="BR6" s="29"/>
      <c r="BS6" s="11">
        <f t="shared" si="21"/>
        <v>6.3</v>
      </c>
      <c r="BT6" s="11">
        <f t="shared" si="22"/>
        <v>31.699999999999996</v>
      </c>
      <c r="BU6" s="11" t="str">
        <f t="shared" si="23"/>
        <v/>
      </c>
      <c r="BV6" s="11">
        <f t="shared" si="24"/>
        <v>6.3</v>
      </c>
      <c r="BW6" s="11">
        <f t="shared" si="25"/>
        <v>31.699999999999996</v>
      </c>
      <c r="BX6" s="11" t="str">
        <f t="shared" si="26"/>
        <v/>
      </c>
      <c r="BY6" s="11" t="str">
        <f t="shared" si="27"/>
        <v/>
      </c>
      <c r="BZ6" s="11">
        <f t="shared" si="28"/>
        <v>31.699999999999996</v>
      </c>
      <c r="CA6" s="19">
        <v>17.3</v>
      </c>
      <c r="CB6" s="19">
        <v>3.9</v>
      </c>
      <c r="CC6" s="19">
        <v>0</v>
      </c>
      <c r="CD6" s="19">
        <v>0.3</v>
      </c>
      <c r="CE6" s="19">
        <v>16.100000000000001</v>
      </c>
      <c r="CF6" s="19">
        <v>2.6</v>
      </c>
      <c r="CG6" s="19">
        <v>0</v>
      </c>
      <c r="CH6" s="19">
        <v>0.6</v>
      </c>
      <c r="CI6" s="19">
        <v>15.8</v>
      </c>
      <c r="CJ6" s="19">
        <v>1.9</v>
      </c>
      <c r="CK6" s="19">
        <v>0</v>
      </c>
      <c r="CL6" s="19">
        <v>0.3</v>
      </c>
      <c r="CM6" s="19">
        <v>17</v>
      </c>
      <c r="CN6" s="19">
        <v>3.9</v>
      </c>
      <c r="CO6" s="19">
        <v>0.2</v>
      </c>
      <c r="CP6" s="19">
        <v>0.3</v>
      </c>
      <c r="CQ6" s="19">
        <v>16.399999999999999</v>
      </c>
      <c r="CR6" s="19">
        <v>1.9</v>
      </c>
      <c r="CS6" s="19">
        <v>0</v>
      </c>
      <c r="CT6" s="19">
        <v>0.3</v>
      </c>
      <c r="CU6" s="28"/>
      <c r="CV6" s="41">
        <f t="shared" si="29"/>
        <v>6.5</v>
      </c>
      <c r="CW6" s="41">
        <f t="shared" si="30"/>
        <v>40.800000000000004</v>
      </c>
      <c r="CX6" s="41">
        <f t="shared" si="31"/>
        <v>18</v>
      </c>
      <c r="CY6" s="41">
        <f t="shared" si="32"/>
        <v>8.4</v>
      </c>
      <c r="CZ6" s="41">
        <f t="shared" si="33"/>
        <v>58.800000000000004</v>
      </c>
      <c r="DA6" s="41">
        <f t="shared" si="34"/>
        <v>5.8</v>
      </c>
      <c r="DB6" s="41">
        <f t="shared" si="35"/>
        <v>39.599999999999987</v>
      </c>
      <c r="DC6" s="41">
        <f t="shared" si="36"/>
        <v>80.399999999999991</v>
      </c>
      <c r="DD6" s="52">
        <f t="shared" si="37"/>
        <v>2.9999999999999929</v>
      </c>
      <c r="DE6" s="52" t="str">
        <f t="shared" si="38"/>
        <v/>
      </c>
      <c r="DF6" s="52">
        <f t="shared" si="39"/>
        <v>4.3999999999999915</v>
      </c>
      <c r="DG6" s="17">
        <v>16.899999999999999</v>
      </c>
      <c r="DH6" s="17">
        <v>4.3</v>
      </c>
      <c r="DI6" s="17">
        <v>0</v>
      </c>
      <c r="DJ6" s="17">
        <v>0.3</v>
      </c>
      <c r="DK6" s="17">
        <v>16.7</v>
      </c>
      <c r="DL6" s="17">
        <v>4.5999999999999996</v>
      </c>
      <c r="DM6" s="17">
        <v>0</v>
      </c>
      <c r="DN6" s="17">
        <v>0.6</v>
      </c>
      <c r="DO6" s="17"/>
      <c r="DP6" s="17"/>
      <c r="DQ6" s="17"/>
      <c r="DR6" s="17"/>
      <c r="DS6" s="17">
        <v>16.100000000000001</v>
      </c>
      <c r="DT6" s="17">
        <v>4.0999999999999996</v>
      </c>
      <c r="DU6" s="17">
        <v>0</v>
      </c>
      <c r="DV6" s="17">
        <v>0.3</v>
      </c>
      <c r="DW6" s="17">
        <v>15.2</v>
      </c>
      <c r="DX6" s="17">
        <v>1.9</v>
      </c>
      <c r="DY6" s="17">
        <v>0</v>
      </c>
      <c r="DZ6" s="17">
        <v>0.3</v>
      </c>
      <c r="EA6" s="41">
        <f t="shared" si="40"/>
        <v>8.8999999999999986</v>
      </c>
      <c r="EB6" s="41">
        <f t="shared" si="41"/>
        <v>43.400000000000006</v>
      </c>
      <c r="EC6" s="41" t="str">
        <f t="shared" si="42"/>
        <v/>
      </c>
      <c r="ED6" s="41">
        <f t="shared" si="43"/>
        <v>8.8999999999999986</v>
      </c>
      <c r="EE6" s="41">
        <f t="shared" si="44"/>
        <v>43.400000000000006</v>
      </c>
      <c r="EF6" s="41">
        <f t="shared" si="45"/>
        <v>6</v>
      </c>
      <c r="EG6" s="41">
        <f t="shared" si="46"/>
        <v>37.9</v>
      </c>
      <c r="EH6" s="41">
        <f t="shared" si="47"/>
        <v>81.300000000000011</v>
      </c>
      <c r="EI6" s="18">
        <v>17.399999999999999</v>
      </c>
      <c r="EJ6" s="18">
        <v>3.9</v>
      </c>
      <c r="EK6" s="18">
        <v>0</v>
      </c>
      <c r="EL6" s="18">
        <v>0</v>
      </c>
      <c r="EM6" s="18">
        <v>18.2</v>
      </c>
      <c r="EN6" s="18">
        <v>4.3</v>
      </c>
      <c r="EO6" s="18">
        <v>0</v>
      </c>
      <c r="EP6" s="18">
        <v>0</v>
      </c>
      <c r="EQ6" s="18"/>
      <c r="ER6" s="18"/>
      <c r="ES6" s="18"/>
      <c r="ET6" s="18"/>
      <c r="EU6" s="18">
        <v>17.600000000000001</v>
      </c>
      <c r="EV6" s="18">
        <v>4.5999999999999996</v>
      </c>
      <c r="EW6" s="18">
        <v>0</v>
      </c>
      <c r="EX6" s="18">
        <v>0</v>
      </c>
      <c r="EY6" s="18">
        <v>18.3</v>
      </c>
      <c r="EZ6" s="18">
        <v>4.3</v>
      </c>
      <c r="FA6" s="18">
        <v>0</v>
      </c>
      <c r="FB6" s="18">
        <v>0</v>
      </c>
      <c r="FC6" s="11">
        <f t="shared" si="48"/>
        <v>8.1999999999999993</v>
      </c>
      <c r="FD6" s="11">
        <f t="shared" si="49"/>
        <v>43.8</v>
      </c>
      <c r="FE6" s="11" t="str">
        <f t="shared" si="50"/>
        <v/>
      </c>
      <c r="FF6" s="11">
        <f t="shared" si="51"/>
        <v>8.1999999999999993</v>
      </c>
      <c r="FG6" s="11">
        <f t="shared" si="52"/>
        <v>43.8</v>
      </c>
      <c r="FH6" s="11">
        <f t="shared" si="53"/>
        <v>8.8999999999999986</v>
      </c>
      <c r="FI6" s="11">
        <f t="shared" si="54"/>
        <v>44.8</v>
      </c>
      <c r="FJ6" s="11">
        <f t="shared" si="55"/>
        <v>88.6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>
        <v>17.399999999999999</v>
      </c>
      <c r="GN6" s="18">
        <v>4.3</v>
      </c>
      <c r="GO6" s="18">
        <v>0</v>
      </c>
      <c r="GP6" s="18">
        <v>0</v>
      </c>
      <c r="GQ6" s="18">
        <v>17.399999999999999</v>
      </c>
      <c r="GR6" s="18">
        <v>4.5999999999999996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 t="shared" si="64"/>
        <v>8.8999999999999986</v>
      </c>
      <c r="HH6" s="11">
        <f t="shared" si="65"/>
        <v>43.699999999999996</v>
      </c>
      <c r="HI6" s="11" t="str">
        <f t="shared" si="66"/>
        <v/>
      </c>
      <c r="HJ6" s="11">
        <f t="shared" si="67"/>
        <v>8.8999999999999986</v>
      </c>
      <c r="HK6" s="11">
        <f t="shared" si="68"/>
        <v>43.699999999999996</v>
      </c>
      <c r="HL6" s="11" t="str">
        <f t="shared" si="69"/>
        <v/>
      </c>
      <c r="HM6" s="11" t="str">
        <f t="shared" si="70"/>
        <v/>
      </c>
      <c r="HN6" s="11">
        <f t="shared" si="71"/>
        <v>43.699999999999996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>
        <v>17.3</v>
      </c>
      <c r="IF6" s="17">
        <v>4.8</v>
      </c>
      <c r="IG6" s="17">
        <v>0</v>
      </c>
      <c r="IH6" s="17">
        <v>0</v>
      </c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>
        <f t="shared" si="77"/>
        <v>4.8</v>
      </c>
      <c r="IO6" s="41">
        <f t="shared" si="78"/>
        <v>22.1</v>
      </c>
      <c r="IP6" s="41">
        <f t="shared" si="79"/>
        <v>22.1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16</v>
      </c>
      <c r="QF6" s="23">
        <f t="shared" si="137"/>
        <v>3.9</v>
      </c>
      <c r="QG6" s="23">
        <f t="shared" si="138"/>
        <v>0.2</v>
      </c>
      <c r="QH6" s="23">
        <f t="shared" si="139"/>
        <v>0.3</v>
      </c>
      <c r="QI6" s="23">
        <f t="shared" si="140"/>
        <v>16</v>
      </c>
      <c r="QJ6" s="23">
        <f t="shared" si="141"/>
        <v>2.5</v>
      </c>
      <c r="QK6" s="23">
        <f t="shared" si="142"/>
        <v>2.7</v>
      </c>
      <c r="QL6" s="23">
        <f t="shared" si="143"/>
        <v>0.44999999999999996</v>
      </c>
      <c r="QM6" s="23">
        <f t="shared" si="144"/>
        <v>7.9</v>
      </c>
      <c r="QN6" s="23">
        <f t="shared" si="145"/>
        <v>0.95</v>
      </c>
      <c r="QO6" s="23">
        <f t="shared" si="146"/>
        <v>0</v>
      </c>
      <c r="QP6" s="23">
        <f t="shared" si="147"/>
        <v>0.15</v>
      </c>
      <c r="QQ6" s="23">
        <f t="shared" si="148"/>
        <v>8.5</v>
      </c>
      <c r="QR6" s="23">
        <f t="shared" si="149"/>
        <v>1.95</v>
      </c>
      <c r="QS6" s="23">
        <f t="shared" si="150"/>
        <v>0.1</v>
      </c>
      <c r="QT6" s="23">
        <f t="shared" si="151"/>
        <v>0.15</v>
      </c>
      <c r="QU6" s="23">
        <f t="shared" si="152"/>
        <v>8.1999999999999993</v>
      </c>
      <c r="QV6" s="23">
        <f t="shared" si="153"/>
        <v>0.95</v>
      </c>
      <c r="QW6" s="23">
        <f t="shared" si="154"/>
        <v>0</v>
      </c>
      <c r="QX6" s="23">
        <f t="shared" si="155"/>
        <v>0.15</v>
      </c>
      <c r="QY6" s="28" t="s">
        <v>58</v>
      </c>
      <c r="QZ6" s="41">
        <f t="shared" si="156"/>
        <v>6.4</v>
      </c>
      <c r="RA6" s="41">
        <f t="shared" si="157"/>
        <v>36.25</v>
      </c>
      <c r="RB6" s="41">
        <f t="shared" si="158"/>
        <v>9</v>
      </c>
      <c r="RC6" s="41">
        <f t="shared" si="159"/>
        <v>7.3500000000000005</v>
      </c>
      <c r="RD6" s="41">
        <f t="shared" si="160"/>
        <v>45.25</v>
      </c>
      <c r="RE6" s="41">
        <f t="shared" si="161"/>
        <v>2.9</v>
      </c>
      <c r="RF6" s="41">
        <f t="shared" si="162"/>
        <v>19.799999999999994</v>
      </c>
      <c r="RG6" s="41">
        <f t="shared" si="163"/>
        <v>56.05</v>
      </c>
    </row>
    <row r="7" spans="1:475" x14ac:dyDescent="0.2">
      <c r="A7" s="4">
        <f t="shared" si="164"/>
        <v>4</v>
      </c>
      <c r="B7" s="5" t="s">
        <v>134</v>
      </c>
      <c r="C7" s="4" t="s">
        <v>3</v>
      </c>
      <c r="D7" s="4">
        <v>2004</v>
      </c>
      <c r="E7" s="9">
        <f t="shared" si="0"/>
        <v>118.63667046222601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IF(COUNT(AQ7,BT7,CW7)&gt;0,LARGE((AQ7,BT7,CW7),1),0)</f>
        <v>37.955555555555549</v>
      </c>
      <c r="K7" s="8" t="str">
        <f t="shared" si="5"/>
        <v>2022 Nationals</v>
      </c>
      <c r="L7" s="8">
        <f>IF(COUNT(AQ7,BT7,CW7)&gt;1,LARGE((AQ7,BT7,CW7),2),0)</f>
        <v>0</v>
      </c>
      <c r="M7" s="8" t="str">
        <f t="shared" si="6"/>
        <v/>
      </c>
      <c r="N7" s="8">
        <f>IF(COUNT(AR7,BU7,CX7)&gt;0,LARGE((AR7,BU7,CX7),1),0)</f>
        <v>0</v>
      </c>
      <c r="O7" s="8" t="str">
        <f t="shared" si="7"/>
        <v/>
      </c>
      <c r="P7" s="8">
        <f t="shared" si="8"/>
        <v>37.481111111111105</v>
      </c>
      <c r="Q7" s="8" t="str">
        <f t="shared" si="9"/>
        <v>2022 Nationals</v>
      </c>
      <c r="R7" s="8">
        <f t="shared" si="10"/>
        <v>43.199999999999996</v>
      </c>
      <c r="S7" s="11" t="str">
        <f t="shared" si="11"/>
        <v>(Q1)</v>
      </c>
      <c r="T7" s="8" t="str">
        <f t="shared" si="12"/>
        <v>2022 World Games Technical Trial #2 (May 15)</v>
      </c>
      <c r="U7" s="19">
        <v>14.833333333333332</v>
      </c>
      <c r="V7" s="19">
        <v>3.75</v>
      </c>
      <c r="W7" s="19">
        <v>0</v>
      </c>
      <c r="X7" s="19">
        <v>0.15</v>
      </c>
      <c r="Y7" s="19">
        <v>14.622222222222224</v>
      </c>
      <c r="Z7" s="19">
        <v>4.3</v>
      </c>
      <c r="AA7" s="19">
        <v>0</v>
      </c>
      <c r="AB7" s="19">
        <v>0.3</v>
      </c>
      <c r="AC7" s="19"/>
      <c r="AD7" s="19"/>
      <c r="AE7" s="19"/>
      <c r="AF7" s="19"/>
      <c r="AG7" s="19">
        <v>14.636666666666667</v>
      </c>
      <c r="AH7" s="19">
        <v>3.75</v>
      </c>
      <c r="AI7" s="19">
        <v>0.1</v>
      </c>
      <c r="AJ7" s="19">
        <v>0.15</v>
      </c>
      <c r="AK7" s="19">
        <v>14.544444444444444</v>
      </c>
      <c r="AL7" s="19">
        <v>4.3</v>
      </c>
      <c r="AM7" s="19">
        <v>0.1</v>
      </c>
      <c r="AN7" s="19">
        <v>0.3</v>
      </c>
      <c r="AO7" s="28" t="s">
        <v>58</v>
      </c>
      <c r="AP7" s="41">
        <f t="shared" si="13"/>
        <v>8.0500000000000007</v>
      </c>
      <c r="AQ7" s="41">
        <f t="shared" si="14"/>
        <v>37.955555555555549</v>
      </c>
      <c r="AR7" s="41" t="str">
        <f t="shared" si="15"/>
        <v/>
      </c>
      <c r="AS7" s="41">
        <f t="shared" si="16"/>
        <v>8.0500000000000007</v>
      </c>
      <c r="AT7" s="41">
        <f t="shared" si="17"/>
        <v>37.955555555555549</v>
      </c>
      <c r="AU7" s="41">
        <f t="shared" si="18"/>
        <v>8.0500000000000007</v>
      </c>
      <c r="AV7" s="41">
        <f t="shared" si="19"/>
        <v>37.481111111111105</v>
      </c>
      <c r="AW7" s="41">
        <f t="shared" si="20"/>
        <v>75.436666666666653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9"/>
      <c r="BS7" s="11" t="str">
        <f t="shared" si="21"/>
        <v/>
      </c>
      <c r="BT7" s="11" t="str">
        <f t="shared" si="22"/>
        <v/>
      </c>
      <c r="BU7" s="11" t="str">
        <f t="shared" si="23"/>
        <v/>
      </c>
      <c r="BV7" s="11" t="str">
        <f t="shared" si="24"/>
        <v/>
      </c>
      <c r="BW7" s="11" t="str">
        <f t="shared" si="25"/>
        <v/>
      </c>
      <c r="BX7" s="11" t="str">
        <f t="shared" si="26"/>
        <v/>
      </c>
      <c r="BY7" s="11" t="str">
        <f t="shared" si="27"/>
        <v/>
      </c>
      <c r="BZ7" s="11" t="str">
        <f t="shared" si="28"/>
        <v/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8"/>
      <c r="CV7" s="41" t="str">
        <f t="shared" si="29"/>
        <v/>
      </c>
      <c r="CW7" s="41" t="str">
        <f t="shared" si="30"/>
        <v/>
      </c>
      <c r="CX7" s="41" t="str">
        <f t="shared" si="31"/>
        <v/>
      </c>
      <c r="CY7" s="41" t="str">
        <f t="shared" si="32"/>
        <v/>
      </c>
      <c r="CZ7" s="41" t="str">
        <f t="shared" si="33"/>
        <v/>
      </c>
      <c r="DA7" s="41" t="str">
        <f t="shared" si="34"/>
        <v/>
      </c>
      <c r="DB7" s="41" t="str">
        <f t="shared" si="35"/>
        <v/>
      </c>
      <c r="DC7" s="41" t="str">
        <f t="shared" si="36"/>
        <v/>
      </c>
      <c r="DD7" s="52">
        <f t="shared" si="37"/>
        <v>43.199999999999996</v>
      </c>
      <c r="DE7" s="52" t="str">
        <f t="shared" si="38"/>
        <v/>
      </c>
      <c r="DF7" s="52">
        <f t="shared" si="39"/>
        <v>5.6188888888888897</v>
      </c>
      <c r="DG7" s="17">
        <v>16.7</v>
      </c>
      <c r="DH7" s="17">
        <v>4.5</v>
      </c>
      <c r="DI7" s="17">
        <v>0</v>
      </c>
      <c r="DJ7" s="17">
        <v>0.3</v>
      </c>
      <c r="DK7" s="17">
        <v>17.100000000000001</v>
      </c>
      <c r="DL7" s="17">
        <v>4.3</v>
      </c>
      <c r="DM7" s="17">
        <v>0</v>
      </c>
      <c r="DN7" s="17">
        <v>0.3</v>
      </c>
      <c r="DO7" s="17"/>
      <c r="DP7" s="17"/>
      <c r="DQ7" s="17"/>
      <c r="DR7" s="17"/>
      <c r="DS7" s="17">
        <v>16.600000000000001</v>
      </c>
      <c r="DT7" s="17">
        <v>4.5</v>
      </c>
      <c r="DU7" s="17">
        <v>0</v>
      </c>
      <c r="DV7" s="17">
        <v>0.3</v>
      </c>
      <c r="DW7" s="17">
        <v>17.100000000000001</v>
      </c>
      <c r="DX7" s="17">
        <v>4.3</v>
      </c>
      <c r="DY7" s="17">
        <v>0</v>
      </c>
      <c r="DZ7" s="17">
        <v>0.3</v>
      </c>
      <c r="EA7" s="41">
        <f t="shared" si="40"/>
        <v>8.8000000000000007</v>
      </c>
      <c r="EB7" s="41">
        <f t="shared" si="41"/>
        <v>43.199999999999996</v>
      </c>
      <c r="EC7" s="41" t="str">
        <f t="shared" si="42"/>
        <v/>
      </c>
      <c r="ED7" s="41">
        <f t="shared" si="43"/>
        <v>8.8000000000000007</v>
      </c>
      <c r="EE7" s="41">
        <f t="shared" si="44"/>
        <v>43.199999999999996</v>
      </c>
      <c r="EF7" s="41">
        <f t="shared" si="45"/>
        <v>8.8000000000000007</v>
      </c>
      <c r="EG7" s="41">
        <f t="shared" si="46"/>
        <v>43.099999999999994</v>
      </c>
      <c r="EH7" s="41">
        <f t="shared" si="47"/>
        <v>86.299999999999983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0</v>
      </c>
      <c r="QF7" s="23">
        <f t="shared" si="137"/>
        <v>0</v>
      </c>
      <c r="QG7" s="23">
        <f t="shared" si="138"/>
        <v>0</v>
      </c>
      <c r="QH7" s="23">
        <f t="shared" si="139"/>
        <v>0</v>
      </c>
      <c r="QI7" s="23">
        <f t="shared" si="140"/>
        <v>0</v>
      </c>
      <c r="QJ7" s="23">
        <f t="shared" si="141"/>
        <v>0</v>
      </c>
      <c r="QK7" s="23">
        <f t="shared" si="142"/>
        <v>0</v>
      </c>
      <c r="QL7" s="23">
        <f t="shared" si="143"/>
        <v>0</v>
      </c>
      <c r="QM7" s="23">
        <f t="shared" si="144"/>
        <v>0</v>
      </c>
      <c r="QN7" s="23">
        <f t="shared" si="145"/>
        <v>0</v>
      </c>
      <c r="QO7" s="23">
        <f t="shared" si="146"/>
        <v>0</v>
      </c>
      <c r="QP7" s="23">
        <f t="shared" si="147"/>
        <v>0</v>
      </c>
      <c r="QQ7" s="23">
        <f t="shared" si="148"/>
        <v>0</v>
      </c>
      <c r="QR7" s="23">
        <f t="shared" si="149"/>
        <v>0</v>
      </c>
      <c r="QS7" s="23">
        <f t="shared" si="150"/>
        <v>0</v>
      </c>
      <c r="QT7" s="23">
        <f t="shared" si="151"/>
        <v>0</v>
      </c>
      <c r="QU7" s="23">
        <f t="shared" si="152"/>
        <v>0</v>
      </c>
      <c r="QV7" s="23">
        <f t="shared" si="153"/>
        <v>0</v>
      </c>
      <c r="QW7" s="23">
        <f t="shared" si="154"/>
        <v>0</v>
      </c>
      <c r="QX7" s="23">
        <f t="shared" si="155"/>
        <v>0</v>
      </c>
      <c r="QY7" s="28" t="s">
        <v>58</v>
      </c>
      <c r="QZ7" s="41" t="str">
        <f t="shared" si="156"/>
        <v/>
      </c>
      <c r="RA7" s="41" t="str">
        <f t="shared" si="157"/>
        <v/>
      </c>
      <c r="RB7" s="41" t="str">
        <f t="shared" si="158"/>
        <v/>
      </c>
      <c r="RC7" s="41" t="str">
        <f t="shared" si="159"/>
        <v/>
      </c>
      <c r="RD7" s="41" t="str">
        <f t="shared" si="160"/>
        <v/>
      </c>
      <c r="RE7" s="41" t="str">
        <f t="shared" si="161"/>
        <v/>
      </c>
      <c r="RF7" s="41" t="str">
        <f t="shared" si="162"/>
        <v/>
      </c>
      <c r="RG7" s="41" t="str">
        <f t="shared" si="163"/>
        <v/>
      </c>
    </row>
    <row r="8" spans="1:475" x14ac:dyDescent="0.2">
      <c r="A8" s="4">
        <f t="shared" si="164"/>
        <v>5</v>
      </c>
      <c r="B8" s="5" t="s">
        <v>188</v>
      </c>
      <c r="C8" s="4" t="s">
        <v>3</v>
      </c>
      <c r="D8" s="4">
        <v>2004</v>
      </c>
      <c r="E8" s="9">
        <f t="shared" si="0"/>
        <v>141.14000978400412</v>
      </c>
      <c r="F8" s="3" t="str">
        <f t="shared" si="1"/>
        <v/>
      </c>
      <c r="G8" s="3" t="str">
        <f t="shared" si="2"/>
        <v>P</v>
      </c>
      <c r="H8" s="37" t="str">
        <f t="shared" si="3"/>
        <v>No DD</v>
      </c>
      <c r="I8" s="3" t="str">
        <f t="shared" si="4"/>
        <v/>
      </c>
      <c r="J8" s="8">
        <f>IF(COUNT(AQ8,BT8,CW8)&gt;0,LARGE((AQ8,BT8,CW8),1),0)</f>
        <v>41.199999999999996</v>
      </c>
      <c r="K8" s="8" t="str">
        <f t="shared" si="5"/>
        <v>2023 Elite Canada</v>
      </c>
      <c r="L8" s="8">
        <f>IF(COUNT(AQ8,BT8,CW8)&gt;1,LARGE((AQ8,BT8,CW8),2),0)</f>
        <v>35.800000000000004</v>
      </c>
      <c r="M8" s="8" t="str">
        <f t="shared" si="6"/>
        <v>2022 Nationals</v>
      </c>
      <c r="N8" s="8">
        <f>IF(COUNT(AR8,BU8,CX8)&gt;0,LARGE((AR8,BU8,CX8),1),0)</f>
        <v>20.84</v>
      </c>
      <c r="O8" s="8" t="str">
        <f t="shared" si="7"/>
        <v>2023 Elite Canada</v>
      </c>
      <c r="P8" s="8">
        <f t="shared" si="8"/>
        <v>43.3</v>
      </c>
      <c r="Q8" s="8" t="str">
        <f t="shared" si="9"/>
        <v>2023 Elite Canada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15.3</v>
      </c>
      <c r="V8" s="19">
        <v>3.4</v>
      </c>
      <c r="W8" s="19">
        <v>0.4</v>
      </c>
      <c r="X8" s="19">
        <v>0</v>
      </c>
      <c r="Y8" s="19">
        <v>16.3</v>
      </c>
      <c r="Z8" s="19">
        <v>1.2</v>
      </c>
      <c r="AA8" s="19">
        <v>0</v>
      </c>
      <c r="AB8" s="19">
        <v>0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8"/>
      <c r="AP8" s="41">
        <f t="shared" si="13"/>
        <v>4.5999999999999996</v>
      </c>
      <c r="AQ8" s="41">
        <f t="shared" si="14"/>
        <v>35.800000000000004</v>
      </c>
      <c r="AR8" s="41" t="str">
        <f t="shared" si="15"/>
        <v/>
      </c>
      <c r="AS8" s="41">
        <f t="shared" si="16"/>
        <v>4.5999999999999996</v>
      </c>
      <c r="AT8" s="41">
        <f t="shared" si="17"/>
        <v>35.800000000000004</v>
      </c>
      <c r="AU8" s="41" t="str">
        <f t="shared" si="18"/>
        <v/>
      </c>
      <c r="AV8" s="41" t="str">
        <f t="shared" si="19"/>
        <v/>
      </c>
      <c r="AW8" s="41">
        <f t="shared" si="20"/>
        <v>35.800000000000004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9"/>
      <c r="BS8" s="11" t="str">
        <f t="shared" si="21"/>
        <v/>
      </c>
      <c r="BT8" s="11" t="str">
        <f t="shared" si="22"/>
        <v/>
      </c>
      <c r="BU8" s="11" t="str">
        <f t="shared" si="23"/>
        <v/>
      </c>
      <c r="BV8" s="11" t="str">
        <f t="shared" si="24"/>
        <v/>
      </c>
      <c r="BW8" s="11" t="str">
        <f t="shared" si="25"/>
        <v/>
      </c>
      <c r="BX8" s="11" t="str">
        <f t="shared" si="26"/>
        <v/>
      </c>
      <c r="BY8" s="11" t="str">
        <f t="shared" si="27"/>
        <v/>
      </c>
      <c r="BZ8" s="11" t="str">
        <f t="shared" si="28"/>
        <v/>
      </c>
      <c r="CA8" s="19">
        <v>16.600000000000001</v>
      </c>
      <c r="CB8" s="19">
        <v>3.6</v>
      </c>
      <c r="CC8" s="19">
        <v>0.2</v>
      </c>
      <c r="CD8" s="19">
        <v>0</v>
      </c>
      <c r="CE8" s="19">
        <v>17</v>
      </c>
      <c r="CF8" s="19">
        <v>4.0999999999999996</v>
      </c>
      <c r="CG8" s="19">
        <v>0.2</v>
      </c>
      <c r="CH8" s="19">
        <v>0.3</v>
      </c>
      <c r="CI8" s="19">
        <v>16.440000000000001</v>
      </c>
      <c r="CJ8" s="19">
        <v>4.0999999999999996</v>
      </c>
      <c r="CK8" s="19">
        <v>0</v>
      </c>
      <c r="CL8" s="19">
        <v>0.3</v>
      </c>
      <c r="CM8" s="19">
        <v>17.5</v>
      </c>
      <c r="CN8" s="19">
        <v>4.0999999999999996</v>
      </c>
      <c r="CO8" s="19">
        <v>0</v>
      </c>
      <c r="CP8" s="19">
        <v>0.3</v>
      </c>
      <c r="CQ8" s="19">
        <v>17.2</v>
      </c>
      <c r="CR8" s="19">
        <v>3.9</v>
      </c>
      <c r="CS8" s="19">
        <v>0</v>
      </c>
      <c r="CT8" s="19">
        <v>0.3</v>
      </c>
      <c r="CU8" s="28"/>
      <c r="CV8" s="41">
        <f t="shared" si="29"/>
        <v>7.6999999999999993</v>
      </c>
      <c r="CW8" s="41">
        <f t="shared" si="30"/>
        <v>41.199999999999996</v>
      </c>
      <c r="CX8" s="41">
        <f t="shared" si="31"/>
        <v>20.84</v>
      </c>
      <c r="CY8" s="41">
        <f t="shared" si="32"/>
        <v>11.799999999999999</v>
      </c>
      <c r="CZ8" s="41">
        <f t="shared" si="33"/>
        <v>62.039999999999992</v>
      </c>
      <c r="DA8" s="41">
        <f t="shared" si="34"/>
        <v>8</v>
      </c>
      <c r="DB8" s="41">
        <f t="shared" si="35"/>
        <v>43.3</v>
      </c>
      <c r="DC8" s="41">
        <f t="shared" si="36"/>
        <v>84.5</v>
      </c>
      <c r="DD8" s="52" t="str">
        <f t="shared" si="37"/>
        <v/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8.3000000000000007</v>
      </c>
      <c r="QF8" s="23">
        <f t="shared" si="137"/>
        <v>1.8</v>
      </c>
      <c r="QG8" s="23">
        <f t="shared" si="138"/>
        <v>0.1</v>
      </c>
      <c r="QH8" s="23">
        <f t="shared" si="139"/>
        <v>0</v>
      </c>
      <c r="QI8" s="23">
        <f t="shared" si="140"/>
        <v>8.5</v>
      </c>
      <c r="QJ8" s="23">
        <f t="shared" si="141"/>
        <v>2.0499999999999998</v>
      </c>
      <c r="QK8" s="23">
        <f t="shared" si="142"/>
        <v>0.1</v>
      </c>
      <c r="QL8" s="23">
        <f t="shared" si="143"/>
        <v>0.15</v>
      </c>
      <c r="QM8" s="23">
        <f t="shared" si="144"/>
        <v>8.2200000000000006</v>
      </c>
      <c r="QN8" s="23">
        <f t="shared" si="145"/>
        <v>2.0499999999999998</v>
      </c>
      <c r="QO8" s="23">
        <f t="shared" si="146"/>
        <v>0</v>
      </c>
      <c r="QP8" s="23">
        <f t="shared" si="147"/>
        <v>0.15</v>
      </c>
      <c r="QQ8" s="23">
        <f t="shared" si="148"/>
        <v>8.75</v>
      </c>
      <c r="QR8" s="23">
        <f t="shared" si="149"/>
        <v>2.0499999999999998</v>
      </c>
      <c r="QS8" s="23">
        <f t="shared" si="150"/>
        <v>0</v>
      </c>
      <c r="QT8" s="23">
        <f t="shared" si="151"/>
        <v>0.15</v>
      </c>
      <c r="QU8" s="23">
        <f t="shared" si="152"/>
        <v>8.6</v>
      </c>
      <c r="QV8" s="23">
        <f t="shared" si="153"/>
        <v>1.95</v>
      </c>
      <c r="QW8" s="23">
        <f t="shared" si="154"/>
        <v>0</v>
      </c>
      <c r="QX8" s="23">
        <f t="shared" si="155"/>
        <v>0.15</v>
      </c>
      <c r="QY8" s="28" t="s">
        <v>58</v>
      </c>
      <c r="QZ8" s="41">
        <f t="shared" si="156"/>
        <v>3.8499999999999996</v>
      </c>
      <c r="RA8" s="41">
        <f t="shared" si="157"/>
        <v>20.599999999999998</v>
      </c>
      <c r="RB8" s="41">
        <f t="shared" si="158"/>
        <v>10.42</v>
      </c>
      <c r="RC8" s="41">
        <f t="shared" si="159"/>
        <v>5.8999999999999995</v>
      </c>
      <c r="RD8" s="41">
        <f t="shared" si="160"/>
        <v>31.019999999999996</v>
      </c>
      <c r="RE8" s="41">
        <f t="shared" si="161"/>
        <v>4</v>
      </c>
      <c r="RF8" s="41">
        <f t="shared" si="162"/>
        <v>21.65</v>
      </c>
      <c r="RG8" s="41">
        <f t="shared" si="163"/>
        <v>42.25</v>
      </c>
    </row>
    <row r="9" spans="1:475" x14ac:dyDescent="0.2">
      <c r="A9" s="4" t="str">
        <f t="shared" si="164"/>
        <v/>
      </c>
      <c r="B9" s="5" t="s">
        <v>100</v>
      </c>
      <c r="C9" s="4" t="s">
        <v>6</v>
      </c>
      <c r="D9" s="4">
        <v>2004</v>
      </c>
      <c r="E9" s="9">
        <f t="shared" si="0"/>
        <v>138.40000951000394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IF(COUNT(AQ9,BT9,CW9)&gt;0,LARGE((AQ9,BT9,CW9),1),0)</f>
        <v>39.1</v>
      </c>
      <c r="K9" s="8" t="str">
        <f t="shared" si="5"/>
        <v>2022 3rd Domestic Trial</v>
      </c>
      <c r="L9" s="8">
        <f>IF(COUNT(AQ9,BT9,CW9)&gt;1,LARGE((AQ9,BT9,CW9),2),0)</f>
        <v>37.500000000000007</v>
      </c>
      <c r="M9" s="8" t="str">
        <f t="shared" si="6"/>
        <v>2023 Elite Canada</v>
      </c>
      <c r="N9" s="8">
        <f>IF(COUNT(AR9,BU9,CX9)&gt;0,LARGE((AR9,BU9,CX9),1),0)</f>
        <v>18.500000000000004</v>
      </c>
      <c r="O9" s="8" t="str">
        <f t="shared" si="7"/>
        <v>2023 Elite Canada</v>
      </c>
      <c r="P9" s="8">
        <f t="shared" si="8"/>
        <v>42.2</v>
      </c>
      <c r="Q9" s="8" t="str">
        <f t="shared" si="9"/>
        <v>2023 Elite Canada</v>
      </c>
      <c r="R9" s="8">
        <f t="shared" si="10"/>
        <v>1.1000000000000014</v>
      </c>
      <c r="S9" s="11" t="str">
        <f t="shared" si="11"/>
        <v>(Q1)</v>
      </c>
      <c r="T9" s="8" t="str">
        <f t="shared" si="12"/>
        <v>2022 Coimbra Gym Fest (June 26)</v>
      </c>
      <c r="U9" s="19">
        <v>14.9</v>
      </c>
      <c r="V9" s="19">
        <v>3.2</v>
      </c>
      <c r="W9" s="19">
        <v>0.2</v>
      </c>
      <c r="X9" s="19">
        <v>0.3</v>
      </c>
      <c r="Y9" s="19">
        <v>15.6</v>
      </c>
      <c r="Z9" s="19">
        <v>3.5</v>
      </c>
      <c r="AA9" s="19">
        <v>2.4</v>
      </c>
      <c r="AB9" s="19">
        <v>0.6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8"/>
      <c r="AP9" s="41">
        <f t="shared" si="13"/>
        <v>6.7</v>
      </c>
      <c r="AQ9" s="41">
        <f t="shared" si="14"/>
        <v>35.5</v>
      </c>
      <c r="AR9" s="41" t="str">
        <f t="shared" si="15"/>
        <v/>
      </c>
      <c r="AS9" s="41">
        <f t="shared" si="16"/>
        <v>6.7</v>
      </c>
      <c r="AT9" s="41">
        <f t="shared" si="17"/>
        <v>35.5</v>
      </c>
      <c r="AU9" s="41" t="str">
        <f t="shared" si="18"/>
        <v/>
      </c>
      <c r="AV9" s="41" t="str">
        <f t="shared" si="19"/>
        <v/>
      </c>
      <c r="AW9" s="41">
        <f t="shared" si="20"/>
        <v>35.5</v>
      </c>
      <c r="AX9" s="18">
        <v>16.399999999999999</v>
      </c>
      <c r="AY9" s="18">
        <v>3.4</v>
      </c>
      <c r="AZ9" s="18">
        <v>0</v>
      </c>
      <c r="BA9" s="18">
        <v>0</v>
      </c>
      <c r="BB9" s="18">
        <v>15.6</v>
      </c>
      <c r="BC9" s="18">
        <v>3.5</v>
      </c>
      <c r="BD9" s="18">
        <v>0.4</v>
      </c>
      <c r="BE9" s="18">
        <v>0.6</v>
      </c>
      <c r="BF9" s="18"/>
      <c r="BG9" s="18"/>
      <c r="BH9" s="18"/>
      <c r="BI9" s="18"/>
      <c r="BJ9" s="18">
        <v>16.2</v>
      </c>
      <c r="BK9" s="18">
        <v>3.4</v>
      </c>
      <c r="BL9" s="18">
        <v>0</v>
      </c>
      <c r="BM9" s="18">
        <v>0</v>
      </c>
      <c r="BN9" s="18">
        <v>16.100000000000001</v>
      </c>
      <c r="BO9" s="18">
        <v>4.5999999999999996</v>
      </c>
      <c r="BP9" s="18">
        <v>0</v>
      </c>
      <c r="BQ9" s="18">
        <v>0.6</v>
      </c>
      <c r="BR9" s="29"/>
      <c r="BS9" s="11">
        <f t="shared" si="21"/>
        <v>6.9</v>
      </c>
      <c r="BT9" s="11">
        <f t="shared" si="22"/>
        <v>39.1</v>
      </c>
      <c r="BU9" s="11" t="str">
        <f t="shared" si="23"/>
        <v/>
      </c>
      <c r="BV9" s="11">
        <f t="shared" si="24"/>
        <v>6.9</v>
      </c>
      <c r="BW9" s="11">
        <f t="shared" si="25"/>
        <v>39.1</v>
      </c>
      <c r="BX9" s="11">
        <f t="shared" si="26"/>
        <v>8</v>
      </c>
      <c r="BY9" s="11">
        <f t="shared" si="27"/>
        <v>40.900000000000006</v>
      </c>
      <c r="BZ9" s="11">
        <f t="shared" si="28"/>
        <v>80</v>
      </c>
      <c r="CA9" s="19">
        <v>16.8</v>
      </c>
      <c r="CB9" s="19">
        <v>3.4</v>
      </c>
      <c r="CC9" s="19">
        <v>0.4</v>
      </c>
      <c r="CD9" s="19">
        <v>0</v>
      </c>
      <c r="CE9" s="19">
        <v>14.5</v>
      </c>
      <c r="CF9" s="19">
        <v>4.5999999999999996</v>
      </c>
      <c r="CG9" s="19">
        <v>2</v>
      </c>
      <c r="CH9" s="19">
        <v>0.6</v>
      </c>
      <c r="CI9" s="19">
        <v>15.3</v>
      </c>
      <c r="CJ9" s="19">
        <v>2.6</v>
      </c>
      <c r="CK9" s="19">
        <v>0</v>
      </c>
      <c r="CL9" s="19">
        <v>0.6</v>
      </c>
      <c r="CM9" s="19">
        <v>16.600000000000001</v>
      </c>
      <c r="CN9" s="19">
        <v>3.8</v>
      </c>
      <c r="CO9" s="19">
        <v>0</v>
      </c>
      <c r="CP9" s="19">
        <v>0</v>
      </c>
      <c r="CQ9" s="19">
        <v>16.600000000000001</v>
      </c>
      <c r="CR9" s="19">
        <v>4.5999999999999996</v>
      </c>
      <c r="CS9" s="19">
        <v>0</v>
      </c>
      <c r="CT9" s="19">
        <v>0.6</v>
      </c>
      <c r="CU9" s="28"/>
      <c r="CV9" s="41">
        <f t="shared" si="29"/>
        <v>8</v>
      </c>
      <c r="CW9" s="41">
        <f t="shared" si="30"/>
        <v>37.500000000000007</v>
      </c>
      <c r="CX9" s="41">
        <f t="shared" si="31"/>
        <v>18.500000000000004</v>
      </c>
      <c r="CY9" s="41">
        <f t="shared" si="32"/>
        <v>10.6</v>
      </c>
      <c r="CZ9" s="41">
        <f t="shared" si="33"/>
        <v>56.000000000000014</v>
      </c>
      <c r="DA9" s="41">
        <f t="shared" si="34"/>
        <v>8.3999999999999986</v>
      </c>
      <c r="DB9" s="41">
        <f t="shared" si="35"/>
        <v>42.2</v>
      </c>
      <c r="DC9" s="41">
        <f t="shared" si="36"/>
        <v>79.700000000000017</v>
      </c>
      <c r="DD9" s="52">
        <f t="shared" si="37"/>
        <v>1.1000000000000014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>
        <v>16.600000000000001</v>
      </c>
      <c r="EJ9" s="18">
        <v>2.1</v>
      </c>
      <c r="EK9" s="18">
        <v>0</v>
      </c>
      <c r="EL9" s="18">
        <v>0</v>
      </c>
      <c r="EM9" s="18">
        <v>15.7</v>
      </c>
      <c r="EN9" s="18">
        <v>4.5999999999999996</v>
      </c>
      <c r="EO9" s="18">
        <v>0.4</v>
      </c>
      <c r="EP9" s="18">
        <v>0</v>
      </c>
      <c r="EQ9" s="18"/>
      <c r="ER9" s="18"/>
      <c r="ES9" s="18"/>
      <c r="ET9" s="18"/>
      <c r="EU9" s="18">
        <v>17.7</v>
      </c>
      <c r="EV9" s="18">
        <v>4.0999999999999996</v>
      </c>
      <c r="EW9" s="18">
        <v>0</v>
      </c>
      <c r="EX9" s="18">
        <v>0</v>
      </c>
      <c r="EY9" s="18"/>
      <c r="EZ9" s="18"/>
      <c r="FA9" s="18"/>
      <c r="FB9" s="18"/>
      <c r="FC9" s="11">
        <f t="shared" si="48"/>
        <v>6.6999999999999993</v>
      </c>
      <c r="FD9" s="11">
        <f t="shared" si="49"/>
        <v>38.600000000000009</v>
      </c>
      <c r="FE9" s="11" t="str">
        <f t="shared" si="50"/>
        <v/>
      </c>
      <c r="FF9" s="11">
        <f t="shared" si="51"/>
        <v>6.6999999999999993</v>
      </c>
      <c r="FG9" s="11">
        <f t="shared" si="52"/>
        <v>38.600000000000009</v>
      </c>
      <c r="FH9" s="11">
        <f t="shared" si="53"/>
        <v>4.0999999999999996</v>
      </c>
      <c r="FI9" s="11">
        <f t="shared" si="54"/>
        <v>21.799999999999997</v>
      </c>
      <c r="FJ9" s="11">
        <f t="shared" si="55"/>
        <v>60.400000000000006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16.600000000000001</v>
      </c>
      <c r="QF9" s="23">
        <f t="shared" si="137"/>
        <v>3.4</v>
      </c>
      <c r="QG9" s="23">
        <f t="shared" si="138"/>
        <v>0.2</v>
      </c>
      <c r="QH9" s="23">
        <f t="shared" si="139"/>
        <v>0</v>
      </c>
      <c r="QI9" s="23">
        <f t="shared" si="140"/>
        <v>15.05</v>
      </c>
      <c r="QJ9" s="23">
        <f t="shared" si="141"/>
        <v>4.05</v>
      </c>
      <c r="QK9" s="23">
        <f t="shared" si="142"/>
        <v>1.2</v>
      </c>
      <c r="QL9" s="23">
        <f t="shared" si="143"/>
        <v>0.6</v>
      </c>
      <c r="QM9" s="23">
        <f t="shared" si="144"/>
        <v>7.65</v>
      </c>
      <c r="QN9" s="23">
        <f t="shared" si="145"/>
        <v>1.3</v>
      </c>
      <c r="QO9" s="23">
        <f t="shared" si="146"/>
        <v>0</v>
      </c>
      <c r="QP9" s="23">
        <f t="shared" si="147"/>
        <v>0.3</v>
      </c>
      <c r="QQ9" s="23">
        <f t="shared" si="148"/>
        <v>16.399999999999999</v>
      </c>
      <c r="QR9" s="23">
        <f t="shared" si="149"/>
        <v>3.5999999999999996</v>
      </c>
      <c r="QS9" s="23">
        <f t="shared" si="150"/>
        <v>0</v>
      </c>
      <c r="QT9" s="23">
        <f t="shared" si="151"/>
        <v>0</v>
      </c>
      <c r="QU9" s="23">
        <f t="shared" si="152"/>
        <v>16.350000000000001</v>
      </c>
      <c r="QV9" s="23">
        <f t="shared" si="153"/>
        <v>4.5999999999999996</v>
      </c>
      <c r="QW9" s="23">
        <f t="shared" si="154"/>
        <v>0</v>
      </c>
      <c r="QX9" s="23">
        <f t="shared" si="155"/>
        <v>0.6</v>
      </c>
      <c r="QY9" s="28" t="s">
        <v>58</v>
      </c>
      <c r="QZ9" s="41">
        <f t="shared" si="156"/>
        <v>7.4499999999999993</v>
      </c>
      <c r="RA9" s="41">
        <f t="shared" si="157"/>
        <v>38.29999999999999</v>
      </c>
      <c r="RB9" s="41">
        <f t="shared" si="158"/>
        <v>9.2500000000000018</v>
      </c>
      <c r="RC9" s="41">
        <f t="shared" si="159"/>
        <v>8.75</v>
      </c>
      <c r="RD9" s="41">
        <f t="shared" si="160"/>
        <v>47.54999999999999</v>
      </c>
      <c r="RE9" s="41">
        <f t="shared" si="161"/>
        <v>8.1999999999999993</v>
      </c>
      <c r="RF9" s="41">
        <f t="shared" si="162"/>
        <v>41.550000000000004</v>
      </c>
      <c r="RG9" s="41">
        <f t="shared" si="163"/>
        <v>79.849999999999994</v>
      </c>
    </row>
    <row r="10" spans="1:475" x14ac:dyDescent="0.2">
      <c r="A10" s="4">
        <f t="shared" si="164"/>
        <v>6</v>
      </c>
      <c r="B10" s="5" t="s">
        <v>189</v>
      </c>
      <c r="C10" s="4" t="s">
        <v>3</v>
      </c>
      <c r="D10" s="4">
        <v>2004</v>
      </c>
      <c r="E10" s="9">
        <f t="shared" si="0"/>
        <v>129.25000854500431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IF(COUNT(AQ10,BT10,CW10)&gt;0,LARGE((AQ10,BT10,CW10),1),0)</f>
        <v>43.1</v>
      </c>
      <c r="K10" s="8" t="str">
        <f t="shared" si="5"/>
        <v>2022 Nationals</v>
      </c>
      <c r="L10" s="8">
        <f>IF(COUNT(AQ10,BT10,CW10)&gt;1,LARGE((AQ10,BT10,CW10),2),0)</f>
        <v>42.349999999999994</v>
      </c>
      <c r="M10" s="8" t="str">
        <f t="shared" si="6"/>
        <v>2022 3rd Domestic Trial</v>
      </c>
      <c r="N10" s="8">
        <f>IF(COUNT(AR10,BU10,CX10)&gt;0,LARGE((AR10,BU10,CX10),1),0)</f>
        <v>0</v>
      </c>
      <c r="O10" s="8" t="str">
        <f t="shared" si="7"/>
        <v/>
      </c>
      <c r="P10" s="8">
        <f t="shared" si="8"/>
        <v>42.399999999999991</v>
      </c>
      <c r="Q10" s="8" t="str">
        <f t="shared" si="9"/>
        <v>2022 Nationals</v>
      </c>
      <c r="R10" s="8">
        <f t="shared" si="10"/>
        <v>1.4000000000000057</v>
      </c>
      <c r="S10" s="11" t="str">
        <f t="shared" si="11"/>
        <v>(Final)</v>
      </c>
      <c r="T10" s="8" t="str">
        <f t="shared" si="12"/>
        <v>2022 Coimbra Gym Fest (June 26)</v>
      </c>
      <c r="U10" s="19">
        <v>17.2</v>
      </c>
      <c r="V10" s="19">
        <v>4.3</v>
      </c>
      <c r="W10" s="19">
        <v>0</v>
      </c>
      <c r="X10" s="19">
        <v>0.3</v>
      </c>
      <c r="Y10" s="19">
        <v>16.899999999999999</v>
      </c>
      <c r="Z10" s="19">
        <v>4.0999999999999996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16.3</v>
      </c>
      <c r="AH10" s="19">
        <v>4.0999999999999996</v>
      </c>
      <c r="AI10" s="19">
        <v>0</v>
      </c>
      <c r="AJ10" s="19">
        <v>0.3</v>
      </c>
      <c r="AK10" s="19">
        <v>17.100000000000001</v>
      </c>
      <c r="AL10" s="19">
        <v>4.3</v>
      </c>
      <c r="AM10" s="19">
        <v>0</v>
      </c>
      <c r="AN10" s="19">
        <v>0.3</v>
      </c>
      <c r="AO10" s="28"/>
      <c r="AP10" s="41">
        <f t="shared" si="13"/>
        <v>8.3999999999999986</v>
      </c>
      <c r="AQ10" s="41">
        <f t="shared" si="14"/>
        <v>43.1</v>
      </c>
      <c r="AR10" s="41" t="str">
        <f t="shared" si="15"/>
        <v/>
      </c>
      <c r="AS10" s="41">
        <f t="shared" si="16"/>
        <v>8.3999999999999986</v>
      </c>
      <c r="AT10" s="41">
        <f t="shared" si="17"/>
        <v>43.1</v>
      </c>
      <c r="AU10" s="41">
        <f t="shared" si="18"/>
        <v>8.3999999999999986</v>
      </c>
      <c r="AV10" s="41">
        <f t="shared" si="19"/>
        <v>42.399999999999991</v>
      </c>
      <c r="AW10" s="41">
        <f t="shared" si="20"/>
        <v>85.5</v>
      </c>
      <c r="AX10" s="18">
        <v>16.850000000000001</v>
      </c>
      <c r="AY10" s="18">
        <v>4.1999999999999993</v>
      </c>
      <c r="AZ10" s="18">
        <v>0</v>
      </c>
      <c r="BA10" s="18">
        <v>0.3</v>
      </c>
      <c r="BB10" s="18">
        <v>16.7</v>
      </c>
      <c r="BC10" s="18">
        <v>4</v>
      </c>
      <c r="BD10" s="18">
        <v>0</v>
      </c>
      <c r="BE10" s="18">
        <v>0.3</v>
      </c>
      <c r="BF10" s="18">
        <v>0</v>
      </c>
      <c r="BG10" s="18">
        <v>0</v>
      </c>
      <c r="BH10" s="18">
        <v>0</v>
      </c>
      <c r="BI10" s="18">
        <v>0</v>
      </c>
      <c r="BJ10" s="18">
        <v>16.5</v>
      </c>
      <c r="BK10" s="18">
        <v>4.0999999999999996</v>
      </c>
      <c r="BL10" s="18">
        <v>0</v>
      </c>
      <c r="BM10" s="18">
        <v>0.3</v>
      </c>
      <c r="BN10" s="18">
        <v>16.98</v>
      </c>
      <c r="BO10" s="18">
        <v>4.0999999999999996</v>
      </c>
      <c r="BP10" s="18">
        <v>0</v>
      </c>
      <c r="BQ10" s="18">
        <v>0.3</v>
      </c>
      <c r="BR10" s="29" t="s">
        <v>58</v>
      </c>
      <c r="BS10" s="11">
        <f t="shared" si="21"/>
        <v>8.1999999999999993</v>
      </c>
      <c r="BT10" s="11">
        <f t="shared" si="22"/>
        <v>42.349999999999994</v>
      </c>
      <c r="BU10" s="11" t="str">
        <f t="shared" si="23"/>
        <v/>
      </c>
      <c r="BV10" s="11">
        <f t="shared" si="24"/>
        <v>8.1999999999999993</v>
      </c>
      <c r="BW10" s="11">
        <f t="shared" si="25"/>
        <v>42.349999999999994</v>
      </c>
      <c r="BX10" s="11">
        <f t="shared" si="26"/>
        <v>8.1999999999999993</v>
      </c>
      <c r="BY10" s="11">
        <f t="shared" si="27"/>
        <v>42.28</v>
      </c>
      <c r="BZ10" s="11">
        <f t="shared" si="28"/>
        <v>84.63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 t="str">
        <f t="shared" si="37"/>
        <v/>
      </c>
      <c r="DE10" s="52" t="str">
        <f t="shared" si="38"/>
        <v/>
      </c>
      <c r="DF10" s="52">
        <f t="shared" si="39"/>
        <v>1.4000000000000057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16.899999999999999</v>
      </c>
      <c r="EJ10" s="18">
        <v>4.2</v>
      </c>
      <c r="EK10" s="18">
        <v>0.2</v>
      </c>
      <c r="EL10" s="18">
        <v>0</v>
      </c>
      <c r="EM10" s="18">
        <v>16.2</v>
      </c>
      <c r="EN10" s="18">
        <v>3.9</v>
      </c>
      <c r="EO10" s="18">
        <v>0</v>
      </c>
      <c r="EP10" s="18">
        <v>0</v>
      </c>
      <c r="EQ10" s="18"/>
      <c r="ER10" s="18"/>
      <c r="ES10" s="18"/>
      <c r="ET10" s="18"/>
      <c r="EU10" s="18">
        <v>17.8</v>
      </c>
      <c r="EV10" s="18">
        <v>4.0999999999999996</v>
      </c>
      <c r="EW10" s="18">
        <v>0</v>
      </c>
      <c r="EX10" s="18">
        <v>0</v>
      </c>
      <c r="EY10" s="18">
        <v>18</v>
      </c>
      <c r="EZ10" s="18">
        <v>3.9</v>
      </c>
      <c r="FA10" s="18">
        <v>0</v>
      </c>
      <c r="FB10" s="18">
        <v>0</v>
      </c>
      <c r="FC10" s="11">
        <f t="shared" si="48"/>
        <v>8.1</v>
      </c>
      <c r="FD10" s="11">
        <f t="shared" si="49"/>
        <v>40.999999999999993</v>
      </c>
      <c r="FE10" s="11" t="str">
        <f t="shared" si="50"/>
        <v/>
      </c>
      <c r="FF10" s="11">
        <f t="shared" si="51"/>
        <v>8.1</v>
      </c>
      <c r="FG10" s="11">
        <f t="shared" si="52"/>
        <v>40.999999999999993</v>
      </c>
      <c r="FH10" s="11">
        <f t="shared" si="53"/>
        <v>8</v>
      </c>
      <c r="FI10" s="11">
        <f t="shared" si="54"/>
        <v>43.8</v>
      </c>
      <c r="FJ10" s="11">
        <f t="shared" si="55"/>
        <v>84.799999999999983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>
        <v>17</v>
      </c>
      <c r="IR10" s="18">
        <v>4.0999999999999996</v>
      </c>
      <c r="IS10" s="18">
        <v>0</v>
      </c>
      <c r="IT10" s="18">
        <v>0</v>
      </c>
      <c r="IU10" s="18">
        <v>16.3</v>
      </c>
      <c r="IV10" s="18">
        <v>1.9</v>
      </c>
      <c r="IW10" s="18">
        <v>0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 t="shared" si="80"/>
        <v>6</v>
      </c>
      <c r="JL10" s="11">
        <f t="shared" si="81"/>
        <v>39.300000000000004</v>
      </c>
      <c r="JM10" s="11" t="str">
        <f t="shared" si="82"/>
        <v/>
      </c>
      <c r="JN10" s="11">
        <f t="shared" si="83"/>
        <v>6</v>
      </c>
      <c r="JO10" s="11">
        <f t="shared" si="84"/>
        <v>39.300000000000004</v>
      </c>
      <c r="JP10" s="11" t="str">
        <f t="shared" si="85"/>
        <v/>
      </c>
      <c r="JQ10" s="11" t="str">
        <f t="shared" si="86"/>
        <v/>
      </c>
      <c r="JR10" s="11">
        <f t="shared" si="87"/>
        <v>39.300000000000004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8.4250000000000007</v>
      </c>
      <c r="QF10" s="23">
        <f t="shared" si="137"/>
        <v>2.0999999999999996</v>
      </c>
      <c r="QG10" s="23">
        <f t="shared" si="138"/>
        <v>0</v>
      </c>
      <c r="QH10" s="23">
        <f t="shared" si="139"/>
        <v>0.15</v>
      </c>
      <c r="QI10" s="23">
        <f t="shared" si="140"/>
        <v>8.35</v>
      </c>
      <c r="QJ10" s="23">
        <f t="shared" si="141"/>
        <v>2</v>
      </c>
      <c r="QK10" s="23">
        <f t="shared" si="142"/>
        <v>0</v>
      </c>
      <c r="QL10" s="23">
        <f t="shared" si="143"/>
        <v>0.15</v>
      </c>
      <c r="QM10" s="23">
        <f t="shared" si="144"/>
        <v>0</v>
      </c>
      <c r="QN10" s="23">
        <f t="shared" si="145"/>
        <v>0</v>
      </c>
      <c r="QO10" s="23">
        <f t="shared" si="146"/>
        <v>0</v>
      </c>
      <c r="QP10" s="23">
        <f t="shared" si="147"/>
        <v>0</v>
      </c>
      <c r="QQ10" s="23">
        <f t="shared" si="148"/>
        <v>8.25</v>
      </c>
      <c r="QR10" s="23">
        <f t="shared" si="149"/>
        <v>2.0499999999999998</v>
      </c>
      <c r="QS10" s="23">
        <f t="shared" si="150"/>
        <v>0</v>
      </c>
      <c r="QT10" s="23">
        <f t="shared" si="151"/>
        <v>0.15</v>
      </c>
      <c r="QU10" s="23">
        <f t="shared" si="152"/>
        <v>8.49</v>
      </c>
      <c r="QV10" s="23">
        <f t="shared" si="153"/>
        <v>2.0499999999999998</v>
      </c>
      <c r="QW10" s="23">
        <f t="shared" si="154"/>
        <v>0</v>
      </c>
      <c r="QX10" s="23">
        <f t="shared" si="155"/>
        <v>0.15</v>
      </c>
      <c r="QY10" s="28" t="s">
        <v>58</v>
      </c>
      <c r="QZ10" s="41">
        <f t="shared" si="156"/>
        <v>4.0999999999999996</v>
      </c>
      <c r="RA10" s="41">
        <f t="shared" si="157"/>
        <v>21.174999999999997</v>
      </c>
      <c r="RB10" s="41" t="str">
        <f t="shared" si="158"/>
        <v/>
      </c>
      <c r="RC10" s="41">
        <f t="shared" si="159"/>
        <v>4.0999999999999996</v>
      </c>
      <c r="RD10" s="41">
        <f t="shared" si="160"/>
        <v>21.174999999999997</v>
      </c>
      <c r="RE10" s="41">
        <f t="shared" si="161"/>
        <v>4.0999999999999996</v>
      </c>
      <c r="RF10" s="41">
        <f t="shared" si="162"/>
        <v>21.14</v>
      </c>
      <c r="RG10" s="41">
        <f t="shared" si="163"/>
        <v>42.314999999999998</v>
      </c>
    </row>
    <row r="11" spans="1:475" x14ac:dyDescent="0.2">
      <c r="A11" s="4">
        <f t="shared" si="164"/>
        <v>7</v>
      </c>
      <c r="B11" s="5" t="s">
        <v>101</v>
      </c>
      <c r="C11" s="4" t="s">
        <v>3</v>
      </c>
      <c r="D11" s="4">
        <v>2003</v>
      </c>
      <c r="E11" s="9">
        <f t="shared" si="0"/>
        <v>109.60000654000437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IF(COUNT(AQ11,BT11,CW11)&gt;0,LARGE((AQ11,BT11,CW11),1),0)</f>
        <v>43.6</v>
      </c>
      <c r="K11" s="8" t="str">
        <f t="shared" si="5"/>
        <v>2022 Nationals</v>
      </c>
      <c r="L11" s="8">
        <f>IF(COUNT(AQ11,BT11,CW11)&gt;1,LARGE((AQ11,BT11,CW11),2),0)</f>
        <v>21.8</v>
      </c>
      <c r="M11" s="8" t="str">
        <f t="shared" si="6"/>
        <v>2022 3rd Domestic Trial</v>
      </c>
      <c r="N11" s="8">
        <f>IF(COUNT(AR11,BU11,CX11)&gt;0,LARGE((AR11,BU11,CX11),1),0)</f>
        <v>0</v>
      </c>
      <c r="O11" s="8" t="str">
        <f t="shared" si="7"/>
        <v/>
      </c>
      <c r="P11" s="8">
        <f t="shared" si="8"/>
        <v>44.2</v>
      </c>
      <c r="Q11" s="8" t="str">
        <f t="shared" si="9"/>
        <v>2022 Nationals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17.2</v>
      </c>
      <c r="V11" s="19">
        <v>4.3</v>
      </c>
      <c r="W11" s="19">
        <v>0</v>
      </c>
      <c r="X11" s="19">
        <v>0.3</v>
      </c>
      <c r="Y11" s="19">
        <v>17.399999999999999</v>
      </c>
      <c r="Z11" s="19">
        <v>4.0999999999999996</v>
      </c>
      <c r="AA11" s="19">
        <v>0</v>
      </c>
      <c r="AB11" s="19">
        <v>0.3</v>
      </c>
      <c r="AC11" s="19"/>
      <c r="AD11" s="19"/>
      <c r="AE11" s="19"/>
      <c r="AF11" s="19"/>
      <c r="AG11" s="19">
        <v>17.600000000000001</v>
      </c>
      <c r="AH11" s="19">
        <v>4.3</v>
      </c>
      <c r="AI11" s="19">
        <v>0</v>
      </c>
      <c r="AJ11" s="19">
        <v>0.3</v>
      </c>
      <c r="AK11" s="19">
        <v>17.600000000000001</v>
      </c>
      <c r="AL11" s="19">
        <v>4.0999999999999996</v>
      </c>
      <c r="AM11" s="19">
        <v>0</v>
      </c>
      <c r="AN11" s="19">
        <v>0.3</v>
      </c>
      <c r="AO11" s="28"/>
      <c r="AP11" s="41">
        <f t="shared" si="13"/>
        <v>8.3999999999999986</v>
      </c>
      <c r="AQ11" s="41">
        <f t="shared" si="14"/>
        <v>43.6</v>
      </c>
      <c r="AR11" s="41" t="str">
        <f t="shared" si="15"/>
        <v/>
      </c>
      <c r="AS11" s="41">
        <f t="shared" si="16"/>
        <v>8.3999999999999986</v>
      </c>
      <c r="AT11" s="41">
        <f t="shared" si="17"/>
        <v>43.6</v>
      </c>
      <c r="AU11" s="41">
        <f t="shared" si="18"/>
        <v>8.3999999999999986</v>
      </c>
      <c r="AV11" s="41">
        <f t="shared" si="19"/>
        <v>44.2</v>
      </c>
      <c r="AW11" s="41">
        <f t="shared" si="20"/>
        <v>87.800000000000011</v>
      </c>
      <c r="AX11" s="18">
        <v>8.6</v>
      </c>
      <c r="AY11" s="18">
        <v>2.15</v>
      </c>
      <c r="AZ11" s="18">
        <v>0</v>
      </c>
      <c r="BA11" s="18">
        <v>0.15</v>
      </c>
      <c r="BB11" s="18">
        <v>8.6999999999999993</v>
      </c>
      <c r="BC11" s="18">
        <v>2.0499999999999998</v>
      </c>
      <c r="BD11" s="18">
        <v>0</v>
      </c>
      <c r="BE11" s="18">
        <v>0.15</v>
      </c>
      <c r="BF11" s="18">
        <v>0</v>
      </c>
      <c r="BG11" s="18">
        <v>0</v>
      </c>
      <c r="BH11" s="18">
        <v>0</v>
      </c>
      <c r="BI11" s="18">
        <v>0</v>
      </c>
      <c r="BJ11" s="18">
        <v>8.8000000000000007</v>
      </c>
      <c r="BK11" s="18">
        <v>2.15</v>
      </c>
      <c r="BL11" s="18">
        <v>0</v>
      </c>
      <c r="BM11" s="18">
        <v>0.15</v>
      </c>
      <c r="BN11" s="18">
        <v>8.8000000000000007</v>
      </c>
      <c r="BO11" s="18">
        <v>2.0499999999999998</v>
      </c>
      <c r="BP11" s="18">
        <v>0</v>
      </c>
      <c r="BQ11" s="18">
        <v>0.15</v>
      </c>
      <c r="BR11" s="29" t="s">
        <v>58</v>
      </c>
      <c r="BS11" s="11">
        <f t="shared" si="21"/>
        <v>4.1999999999999993</v>
      </c>
      <c r="BT11" s="11">
        <f t="shared" si="22"/>
        <v>21.8</v>
      </c>
      <c r="BU11" s="11" t="str">
        <f t="shared" si="23"/>
        <v/>
      </c>
      <c r="BV11" s="11">
        <f t="shared" si="24"/>
        <v>4.1999999999999993</v>
      </c>
      <c r="BW11" s="11">
        <f t="shared" si="25"/>
        <v>21.8</v>
      </c>
      <c r="BX11" s="11">
        <f t="shared" si="26"/>
        <v>4.1999999999999993</v>
      </c>
      <c r="BY11" s="11">
        <f t="shared" si="27"/>
        <v>22.1</v>
      </c>
      <c r="BZ11" s="11">
        <f t="shared" si="28"/>
        <v>43.900000000000006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 t="shared" si="29"/>
        <v/>
      </c>
      <c r="CW11" s="41" t="str">
        <f t="shared" si="30"/>
        <v/>
      </c>
      <c r="CX11" s="41" t="str">
        <f t="shared" si="31"/>
        <v/>
      </c>
      <c r="CY11" s="41" t="str">
        <f t="shared" si="32"/>
        <v/>
      </c>
      <c r="CZ11" s="41" t="str">
        <f t="shared" si="33"/>
        <v/>
      </c>
      <c r="DA11" s="41" t="str">
        <f t="shared" si="34"/>
        <v/>
      </c>
      <c r="DB11" s="41" t="str">
        <f t="shared" si="35"/>
        <v/>
      </c>
      <c r="DC11" s="41" t="str">
        <f t="shared" si="36"/>
        <v/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4.3</v>
      </c>
      <c r="QF11" s="23">
        <f t="shared" si="137"/>
        <v>1.075</v>
      </c>
      <c r="QG11" s="23">
        <f t="shared" si="138"/>
        <v>0</v>
      </c>
      <c r="QH11" s="23">
        <f t="shared" si="139"/>
        <v>7.4999999999999997E-2</v>
      </c>
      <c r="QI11" s="23">
        <f t="shared" si="140"/>
        <v>4.3499999999999996</v>
      </c>
      <c r="QJ11" s="23">
        <f t="shared" si="141"/>
        <v>1.0249999999999999</v>
      </c>
      <c r="QK11" s="23">
        <f t="shared" si="142"/>
        <v>0</v>
      </c>
      <c r="QL11" s="23">
        <f t="shared" si="143"/>
        <v>7.4999999999999997E-2</v>
      </c>
      <c r="QM11" s="23">
        <f t="shared" si="144"/>
        <v>0</v>
      </c>
      <c r="QN11" s="23">
        <f t="shared" si="145"/>
        <v>0</v>
      </c>
      <c r="QO11" s="23">
        <f t="shared" si="146"/>
        <v>0</v>
      </c>
      <c r="QP11" s="23">
        <f t="shared" si="147"/>
        <v>0</v>
      </c>
      <c r="QQ11" s="23">
        <f t="shared" si="148"/>
        <v>4.4000000000000004</v>
      </c>
      <c r="QR11" s="23">
        <f t="shared" si="149"/>
        <v>1.075</v>
      </c>
      <c r="QS11" s="23">
        <f t="shared" si="150"/>
        <v>0</v>
      </c>
      <c r="QT11" s="23">
        <f t="shared" si="151"/>
        <v>7.4999999999999997E-2</v>
      </c>
      <c r="QU11" s="23">
        <f t="shared" si="152"/>
        <v>4.4000000000000004</v>
      </c>
      <c r="QV11" s="23">
        <f t="shared" si="153"/>
        <v>1.0249999999999999</v>
      </c>
      <c r="QW11" s="23">
        <f t="shared" si="154"/>
        <v>0</v>
      </c>
      <c r="QX11" s="23">
        <f t="shared" si="155"/>
        <v>7.4999999999999997E-2</v>
      </c>
      <c r="QY11" s="28" t="s">
        <v>58</v>
      </c>
      <c r="QZ11" s="41">
        <f t="shared" si="156"/>
        <v>2.0999999999999996</v>
      </c>
      <c r="RA11" s="41">
        <f t="shared" si="157"/>
        <v>10.9</v>
      </c>
      <c r="RB11" s="41" t="str">
        <f t="shared" si="158"/>
        <v/>
      </c>
      <c r="RC11" s="41">
        <f t="shared" si="159"/>
        <v>2.0999999999999996</v>
      </c>
      <c r="RD11" s="41">
        <f t="shared" si="160"/>
        <v>10.9</v>
      </c>
      <c r="RE11" s="41">
        <f t="shared" si="161"/>
        <v>2.0999999999999996</v>
      </c>
      <c r="RF11" s="41">
        <f t="shared" si="162"/>
        <v>11.05</v>
      </c>
      <c r="RG11" s="41">
        <f t="shared" si="163"/>
        <v>21.950000000000003</v>
      </c>
    </row>
    <row r="12" spans="1:475" x14ac:dyDescent="0.2">
      <c r="A12" s="4" t="str">
        <f t="shared" si="164"/>
        <v/>
      </c>
      <c r="B12" s="5" t="s">
        <v>218</v>
      </c>
      <c r="C12" s="4" t="s">
        <v>5</v>
      </c>
      <c r="D12" s="4">
        <v>1999</v>
      </c>
      <c r="E12" s="9">
        <f t="shared" si="0"/>
        <v>83.300005240003514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IF(COUNT(AQ12,BT12,CW12)&gt;0,LARGE((AQ12,BT12,CW12),1),0)</f>
        <v>35.199999999999996</v>
      </c>
      <c r="K12" s="8" t="str">
        <f t="shared" si="5"/>
        <v>2023 Elite Canada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17.200000000000003</v>
      </c>
      <c r="O12" s="8" t="str">
        <f t="shared" si="7"/>
        <v>2023 Elite Canada</v>
      </c>
      <c r="P12" s="8">
        <f t="shared" si="8"/>
        <v>30.9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8"/>
      <c r="AP12" s="41" t="str">
        <f t="shared" si="13"/>
        <v/>
      </c>
      <c r="AQ12" s="41" t="str">
        <f t="shared" si="14"/>
        <v/>
      </c>
      <c r="AR12" s="41" t="str">
        <f t="shared" si="15"/>
        <v/>
      </c>
      <c r="AS12" s="41" t="str">
        <f t="shared" si="16"/>
        <v/>
      </c>
      <c r="AT12" s="41" t="str">
        <f t="shared" si="17"/>
        <v/>
      </c>
      <c r="AU12" s="41" t="str">
        <f t="shared" si="18"/>
        <v/>
      </c>
      <c r="AV12" s="41" t="str">
        <f t="shared" si="19"/>
        <v/>
      </c>
      <c r="AW12" s="41" t="str">
        <f t="shared" si="20"/>
        <v/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>
        <v>16.399999999999999</v>
      </c>
      <c r="CB12" s="19">
        <v>1.2</v>
      </c>
      <c r="CC12" s="19">
        <v>0</v>
      </c>
      <c r="CD12" s="19">
        <v>0</v>
      </c>
      <c r="CE12" s="19">
        <v>15.1</v>
      </c>
      <c r="CF12" s="19">
        <v>3.2</v>
      </c>
      <c r="CG12" s="19">
        <v>1</v>
      </c>
      <c r="CH12" s="19">
        <v>0.3</v>
      </c>
      <c r="CI12" s="19">
        <v>14.3</v>
      </c>
      <c r="CJ12" s="19">
        <v>3.3</v>
      </c>
      <c r="CK12" s="19">
        <v>0.7</v>
      </c>
      <c r="CL12" s="19">
        <v>0.3</v>
      </c>
      <c r="CM12" s="19">
        <v>16.3</v>
      </c>
      <c r="CN12" s="19">
        <v>3.2</v>
      </c>
      <c r="CO12" s="19">
        <v>0.4</v>
      </c>
      <c r="CP12" s="19">
        <v>0</v>
      </c>
      <c r="CQ12" s="19">
        <v>13</v>
      </c>
      <c r="CR12" s="19">
        <v>0.8</v>
      </c>
      <c r="CS12" s="19">
        <v>2</v>
      </c>
      <c r="CT12" s="19">
        <v>0</v>
      </c>
      <c r="CU12" s="28"/>
      <c r="CV12" s="41">
        <f t="shared" si="29"/>
        <v>4.4000000000000004</v>
      </c>
      <c r="CW12" s="41">
        <f t="shared" si="30"/>
        <v>35.199999999999996</v>
      </c>
      <c r="CX12" s="41">
        <f t="shared" si="31"/>
        <v>17.200000000000003</v>
      </c>
      <c r="CY12" s="41">
        <f t="shared" si="32"/>
        <v>7.7</v>
      </c>
      <c r="CZ12" s="41">
        <f t="shared" si="33"/>
        <v>52.4</v>
      </c>
      <c r="DA12" s="41">
        <f t="shared" si="34"/>
        <v>4</v>
      </c>
      <c r="DB12" s="41">
        <f t="shared" si="35"/>
        <v>30.9</v>
      </c>
      <c r="DC12" s="41">
        <f t="shared" si="36"/>
        <v>66.099999999999994</v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8.1999999999999993</v>
      </c>
      <c r="QF12" s="23">
        <f t="shared" si="137"/>
        <v>0.6</v>
      </c>
      <c r="QG12" s="23">
        <f t="shared" si="138"/>
        <v>0</v>
      </c>
      <c r="QH12" s="23">
        <f t="shared" si="139"/>
        <v>0</v>
      </c>
      <c r="QI12" s="23">
        <f t="shared" si="140"/>
        <v>7.55</v>
      </c>
      <c r="QJ12" s="23">
        <f t="shared" si="141"/>
        <v>1.6</v>
      </c>
      <c r="QK12" s="23">
        <f t="shared" si="142"/>
        <v>0.5</v>
      </c>
      <c r="QL12" s="23">
        <f t="shared" si="143"/>
        <v>0.15</v>
      </c>
      <c r="QM12" s="23">
        <f t="shared" si="144"/>
        <v>7.15</v>
      </c>
      <c r="QN12" s="23">
        <f t="shared" si="145"/>
        <v>1.65</v>
      </c>
      <c r="QO12" s="23">
        <f t="shared" si="146"/>
        <v>0.35</v>
      </c>
      <c r="QP12" s="23">
        <f t="shared" si="147"/>
        <v>0.15</v>
      </c>
      <c r="QQ12" s="23">
        <f t="shared" si="148"/>
        <v>8.15</v>
      </c>
      <c r="QR12" s="23">
        <f t="shared" si="149"/>
        <v>1.6</v>
      </c>
      <c r="QS12" s="23">
        <f t="shared" si="150"/>
        <v>0.2</v>
      </c>
      <c r="QT12" s="23">
        <f t="shared" si="151"/>
        <v>0</v>
      </c>
      <c r="QU12" s="23">
        <f t="shared" si="152"/>
        <v>6.5</v>
      </c>
      <c r="QV12" s="23">
        <f t="shared" si="153"/>
        <v>0.4</v>
      </c>
      <c r="QW12" s="23">
        <f t="shared" si="154"/>
        <v>1</v>
      </c>
      <c r="QX12" s="23">
        <f t="shared" si="155"/>
        <v>0</v>
      </c>
      <c r="QY12" s="28" t="s">
        <v>58</v>
      </c>
      <c r="QZ12" s="41">
        <f t="shared" si="156"/>
        <v>2.2000000000000002</v>
      </c>
      <c r="RA12" s="41">
        <f t="shared" si="157"/>
        <v>17.599999999999998</v>
      </c>
      <c r="RB12" s="41">
        <f t="shared" si="158"/>
        <v>8.6000000000000014</v>
      </c>
      <c r="RC12" s="41">
        <f t="shared" si="159"/>
        <v>3.85</v>
      </c>
      <c r="RD12" s="41">
        <f t="shared" si="160"/>
        <v>26.2</v>
      </c>
      <c r="RE12" s="41">
        <f t="shared" si="161"/>
        <v>2</v>
      </c>
      <c r="RF12" s="41">
        <f t="shared" si="162"/>
        <v>15.45</v>
      </c>
      <c r="RG12" s="41">
        <f t="shared" si="163"/>
        <v>33.049999999999997</v>
      </c>
    </row>
    <row r="13" spans="1:475" ht="17" x14ac:dyDescent="0.2">
      <c r="R13" s="10"/>
      <c r="S13" s="10"/>
      <c r="T13" s="10"/>
    </row>
    <row r="14" spans="1:475" ht="17" x14ac:dyDescent="0.2">
      <c r="R14" s="10"/>
      <c r="S14" s="10"/>
      <c r="T14" s="10"/>
    </row>
    <row r="15" spans="1:475" ht="17" x14ac:dyDescent="0.2">
      <c r="B15" s="24" t="s">
        <v>55</v>
      </c>
      <c r="R15" s="10"/>
      <c r="S15" s="10"/>
      <c r="T15" s="10"/>
      <c r="AP15" s="4"/>
      <c r="AW15" s="43">
        <v>8.6</v>
      </c>
      <c r="BS15" s="4"/>
      <c r="BZ15" s="43">
        <v>8.6</v>
      </c>
      <c r="CV15" s="4"/>
      <c r="DC15" s="43">
        <v>8.6</v>
      </c>
      <c r="EA15" s="4"/>
      <c r="EH15" s="43">
        <v>8.6</v>
      </c>
      <c r="FC15" s="4"/>
      <c r="FJ15" s="43">
        <v>8.1999999999999993</v>
      </c>
      <c r="GE15" s="4"/>
      <c r="GL15" s="43">
        <v>6.9</v>
      </c>
      <c r="HG15" s="4"/>
      <c r="HN15" s="43">
        <v>8.6</v>
      </c>
      <c r="II15" s="4"/>
      <c r="IP15" s="43">
        <v>8.6</v>
      </c>
      <c r="JK15" s="4"/>
      <c r="JR15" s="43">
        <v>8.6</v>
      </c>
      <c r="KM15" s="4"/>
      <c r="KT15" s="43">
        <v>8.6</v>
      </c>
      <c r="LO15" s="4"/>
      <c r="LV15" s="43">
        <v>8.6</v>
      </c>
      <c r="MQ15" s="4"/>
      <c r="MX15" s="43">
        <v>8.6</v>
      </c>
      <c r="NS15" s="4"/>
      <c r="NZ15" s="43">
        <v>8.6</v>
      </c>
      <c r="OU15" s="4"/>
      <c r="PB15" s="43">
        <v>8.6</v>
      </c>
      <c r="PW15" s="4"/>
      <c r="QD15" s="43">
        <v>8.6</v>
      </c>
    </row>
    <row r="16" spans="1:475" ht="17" x14ac:dyDescent="0.2">
      <c r="B16" s="31" t="s">
        <v>54</v>
      </c>
      <c r="R16" s="10"/>
      <c r="S16" s="10"/>
      <c r="T16" s="10"/>
      <c r="AP16" s="4"/>
      <c r="AW16" s="53">
        <v>8.6</v>
      </c>
      <c r="BS16" s="4"/>
      <c r="BZ16" s="53">
        <v>8.6</v>
      </c>
      <c r="CV16" s="4"/>
      <c r="DC16" s="53">
        <v>12.9</v>
      </c>
      <c r="EA16" s="4"/>
      <c r="EH16" s="53">
        <v>8.6</v>
      </c>
      <c r="FC16" s="4"/>
      <c r="FJ16" s="53">
        <v>8.1999999999999993</v>
      </c>
      <c r="GE16" s="4"/>
      <c r="GL16" s="53">
        <v>6.9</v>
      </c>
      <c r="HG16" s="4"/>
      <c r="HN16" s="53">
        <v>8.6</v>
      </c>
      <c r="II16" s="4"/>
      <c r="IP16" s="53">
        <v>8.6</v>
      </c>
      <c r="JK16" s="4"/>
      <c r="JR16" s="53">
        <v>8.6</v>
      </c>
      <c r="KM16" s="4"/>
      <c r="KT16" s="53">
        <v>12.9</v>
      </c>
      <c r="LO16" s="4"/>
      <c r="LV16" s="53">
        <v>12.9</v>
      </c>
      <c r="MQ16" s="4"/>
      <c r="MX16" s="53">
        <v>12.9</v>
      </c>
      <c r="NS16" s="4"/>
      <c r="NZ16" s="53">
        <v>12.9</v>
      </c>
      <c r="OU16" s="4"/>
      <c r="PB16" s="53">
        <v>12.9</v>
      </c>
      <c r="PW16" s="4"/>
      <c r="QD16" s="53">
        <v>12.9</v>
      </c>
    </row>
    <row r="17" spans="1:456" ht="17" x14ac:dyDescent="0.2">
      <c r="A17" s="5"/>
      <c r="B17" s="32" t="s">
        <v>68</v>
      </c>
      <c r="C17" s="20"/>
      <c r="R17" s="10"/>
      <c r="S17" s="10"/>
      <c r="T17" s="10"/>
      <c r="AP17" s="4"/>
      <c r="AW17" s="45">
        <v>8.6</v>
      </c>
      <c r="BS17" s="4"/>
      <c r="BZ17" s="45">
        <v>8.6</v>
      </c>
      <c r="CV17" s="4"/>
      <c r="DC17" s="45">
        <v>15.1</v>
      </c>
      <c r="EA17" s="4"/>
      <c r="EH17" s="45">
        <v>8.6</v>
      </c>
      <c r="FC17" s="4"/>
      <c r="FJ17" s="45">
        <v>8.1999999999999993</v>
      </c>
      <c r="GE17" s="4"/>
      <c r="GL17" s="45">
        <v>6.9</v>
      </c>
      <c r="HG17" s="4"/>
      <c r="HN17" s="45">
        <v>8.6</v>
      </c>
      <c r="II17" s="4"/>
      <c r="IP17" s="45">
        <v>8.6</v>
      </c>
      <c r="JK17" s="4"/>
      <c r="JR17" s="45">
        <v>8.6</v>
      </c>
      <c r="KM17" s="4"/>
      <c r="KT17" s="45">
        <v>15.1</v>
      </c>
      <c r="LO17" s="4"/>
      <c r="LV17" s="45">
        <v>15.1</v>
      </c>
      <c r="MQ17" s="4"/>
      <c r="MX17" s="45">
        <v>15.1</v>
      </c>
      <c r="NS17" s="4"/>
      <c r="NZ17" s="45">
        <v>15.1</v>
      </c>
      <c r="OU17" s="4"/>
      <c r="PB17" s="45">
        <v>15.1</v>
      </c>
      <c r="PW17" s="4"/>
      <c r="QD17" s="45">
        <v>15.1</v>
      </c>
    </row>
    <row r="18" spans="1:456" ht="17" x14ac:dyDescent="0.2">
      <c r="A18" s="5"/>
      <c r="B18" s="36" t="s">
        <v>81</v>
      </c>
      <c r="C18" s="20"/>
      <c r="R18" s="10"/>
      <c r="S18" s="10"/>
      <c r="T18" s="10"/>
      <c r="AP18" s="4"/>
      <c r="AW18" s="46">
        <v>10.6</v>
      </c>
      <c r="BS18" s="4"/>
      <c r="BZ18" s="46">
        <v>10.6</v>
      </c>
      <c r="CV18" s="4"/>
      <c r="DC18" s="46">
        <v>15.1</v>
      </c>
      <c r="EA18" s="4"/>
      <c r="EH18" s="46">
        <v>10.6</v>
      </c>
      <c r="FC18" s="4"/>
      <c r="FJ18" s="46">
        <v>10.6</v>
      </c>
      <c r="GE18" s="4"/>
      <c r="GL18" s="46">
        <v>10.6</v>
      </c>
      <c r="HG18" s="4"/>
      <c r="HN18" s="46">
        <v>10.6</v>
      </c>
      <c r="II18" s="4"/>
      <c r="IP18" s="46">
        <v>10.6</v>
      </c>
      <c r="JK18" s="4"/>
      <c r="JR18" s="46">
        <v>10.6</v>
      </c>
      <c r="KM18" s="4"/>
      <c r="KT18" s="46">
        <v>15.1</v>
      </c>
      <c r="LO18" s="4"/>
      <c r="LV18" s="46">
        <v>15.1</v>
      </c>
      <c r="MQ18" s="4"/>
      <c r="MX18" s="46">
        <v>15.1</v>
      </c>
      <c r="NS18" s="4"/>
      <c r="NZ18" s="46">
        <v>15.1</v>
      </c>
      <c r="OU18" s="4"/>
      <c r="PB18" s="46">
        <v>15.1</v>
      </c>
      <c r="PW18" s="4"/>
      <c r="QD18" s="46">
        <v>15.1</v>
      </c>
    </row>
    <row r="19" spans="1:456" ht="17" x14ac:dyDescent="0.2">
      <c r="A19" s="5"/>
      <c r="B19" s="35" t="s">
        <v>52</v>
      </c>
      <c r="C19" s="20"/>
      <c r="R19" s="10"/>
      <c r="S19" s="10"/>
      <c r="T19" s="10"/>
      <c r="AP19" s="4"/>
      <c r="AW19" s="47">
        <v>42.6</v>
      </c>
      <c r="BS19" s="4"/>
      <c r="BZ19" s="47">
        <v>42.6</v>
      </c>
      <c r="CV19" s="4"/>
      <c r="DC19" s="47">
        <v>43</v>
      </c>
      <c r="EA19" s="4"/>
      <c r="EH19" s="47">
        <v>42.6</v>
      </c>
      <c r="FC19" s="4"/>
      <c r="FJ19" s="47">
        <v>42.6</v>
      </c>
      <c r="GE19" s="4"/>
      <c r="GL19" s="47">
        <v>39</v>
      </c>
      <c r="HG19" s="4"/>
      <c r="HN19" s="47">
        <v>42.6</v>
      </c>
      <c r="II19" s="4"/>
      <c r="IP19" s="47">
        <v>42.6</v>
      </c>
      <c r="JK19" s="4"/>
      <c r="JR19" s="47">
        <v>42.6</v>
      </c>
      <c r="KM19" s="4"/>
      <c r="KT19" s="47">
        <v>43</v>
      </c>
      <c r="LO19" s="4"/>
      <c r="LV19" s="47">
        <v>43</v>
      </c>
      <c r="MQ19" s="4"/>
      <c r="MX19" s="47">
        <v>43</v>
      </c>
      <c r="NS19" s="4"/>
      <c r="NZ19" s="47">
        <v>43</v>
      </c>
      <c r="OU19" s="4"/>
      <c r="PB19" s="47">
        <v>43</v>
      </c>
      <c r="PW19" s="4"/>
      <c r="QD19" s="47">
        <v>43</v>
      </c>
    </row>
    <row r="20" spans="1:456" ht="17" x14ac:dyDescent="0.2">
      <c r="A20" s="5"/>
      <c r="B20" s="25" t="s">
        <v>53</v>
      </c>
      <c r="C20" s="20"/>
      <c r="R20" s="10"/>
      <c r="S20" s="10"/>
      <c r="T20" s="10"/>
      <c r="AP20" s="4"/>
      <c r="AW20" s="48">
        <v>43.4</v>
      </c>
      <c r="BS20" s="4"/>
      <c r="BZ20" s="48">
        <v>43.4</v>
      </c>
      <c r="CV20" s="4"/>
      <c r="DC20" s="48">
        <v>65.7</v>
      </c>
      <c r="EA20" s="4"/>
      <c r="EH20" s="48">
        <v>43.4</v>
      </c>
      <c r="FC20" s="4"/>
      <c r="FJ20" s="48">
        <v>43.4</v>
      </c>
      <c r="GE20" s="4"/>
      <c r="GL20" s="48">
        <v>40</v>
      </c>
      <c r="HG20" s="4"/>
      <c r="HN20" s="48">
        <v>43.4</v>
      </c>
      <c r="II20" s="4"/>
      <c r="IP20" s="48">
        <v>43.4</v>
      </c>
      <c r="JK20" s="4"/>
      <c r="JR20" s="48">
        <v>43.4</v>
      </c>
      <c r="KM20" s="4"/>
      <c r="KT20" s="48">
        <v>65.7</v>
      </c>
      <c r="LO20" s="4"/>
      <c r="LV20" s="48">
        <v>65.7</v>
      </c>
      <c r="MQ20" s="4"/>
      <c r="MX20" s="48">
        <v>65.7</v>
      </c>
      <c r="NS20" s="4"/>
      <c r="NZ20" s="48">
        <v>65.7</v>
      </c>
      <c r="OU20" s="4"/>
      <c r="PB20" s="48">
        <v>65.7</v>
      </c>
      <c r="PW20" s="4"/>
      <c r="QD20" s="48">
        <v>65.7</v>
      </c>
    </row>
    <row r="21" spans="1:456" ht="17" x14ac:dyDescent="0.2">
      <c r="A21" s="5"/>
      <c r="B21" s="34" t="s">
        <v>67</v>
      </c>
      <c r="C21" s="20"/>
      <c r="R21" s="10"/>
      <c r="S21" s="10"/>
      <c r="T21" s="10"/>
      <c r="AP21" s="4"/>
      <c r="AW21" s="49">
        <v>44.6</v>
      </c>
      <c r="BS21" s="4"/>
      <c r="BZ21" s="49">
        <v>44.6</v>
      </c>
      <c r="CV21" s="4"/>
      <c r="DC21" s="49">
        <v>68.099999999999994</v>
      </c>
      <c r="EA21" s="4"/>
      <c r="EH21" s="49">
        <v>44.6</v>
      </c>
      <c r="FC21" s="4"/>
      <c r="FJ21" s="49">
        <v>43.5</v>
      </c>
      <c r="GE21" s="4"/>
      <c r="GL21" s="49">
        <v>44.6</v>
      </c>
      <c r="HG21" s="4"/>
      <c r="HN21" s="49">
        <v>44.6</v>
      </c>
      <c r="II21" s="4"/>
      <c r="IP21" s="49">
        <v>44.6</v>
      </c>
      <c r="JK21" s="4"/>
      <c r="JR21" s="49">
        <v>44.6</v>
      </c>
      <c r="KM21" s="4"/>
      <c r="KT21" s="49">
        <v>68.099999999999994</v>
      </c>
      <c r="LO21" s="4"/>
      <c r="LV21" s="49">
        <v>68.099999999999994</v>
      </c>
      <c r="MQ21" s="4"/>
      <c r="MX21" s="49">
        <v>68.099999999999994</v>
      </c>
      <c r="NS21" s="4"/>
      <c r="NZ21" s="49">
        <v>68.099999999999994</v>
      </c>
      <c r="OU21" s="4"/>
      <c r="PB21" s="49">
        <v>68.099999999999994</v>
      </c>
      <c r="PW21" s="4"/>
      <c r="QD21" s="49">
        <v>68.099999999999994</v>
      </c>
    </row>
    <row r="22" spans="1:456" ht="17" x14ac:dyDescent="0.2">
      <c r="A22" s="5"/>
      <c r="B22" s="26" t="s">
        <v>36</v>
      </c>
      <c r="C22" s="20"/>
      <c r="R22" s="10"/>
      <c r="S22" s="10"/>
      <c r="T22" s="10"/>
      <c r="AP22" s="4"/>
      <c r="AW22" s="50">
        <v>46</v>
      </c>
      <c r="BS22" s="4"/>
      <c r="BZ22" s="50">
        <v>46</v>
      </c>
      <c r="CV22" s="4"/>
      <c r="DC22" s="50">
        <v>69.900000000000006</v>
      </c>
      <c r="EA22" s="4"/>
      <c r="EH22" s="50">
        <v>46</v>
      </c>
      <c r="FC22" s="4"/>
      <c r="FH22" s="37" t="s">
        <v>212</v>
      </c>
      <c r="FJ22" s="50">
        <v>46</v>
      </c>
      <c r="GE22" s="4"/>
      <c r="GI22" s="37" t="s">
        <v>213</v>
      </c>
      <c r="GL22" s="50">
        <v>46</v>
      </c>
      <c r="HG22" s="4"/>
      <c r="HN22" s="50">
        <v>46</v>
      </c>
      <c r="II22" s="4"/>
      <c r="IP22" s="50">
        <v>46</v>
      </c>
      <c r="JK22" s="4"/>
      <c r="JR22" s="50">
        <v>46</v>
      </c>
      <c r="KM22" s="4"/>
      <c r="KT22" s="50">
        <v>69.900000000000006</v>
      </c>
      <c r="LO22" s="4"/>
      <c r="LV22" s="50">
        <v>69.900000000000006</v>
      </c>
      <c r="MQ22" s="4"/>
      <c r="MX22" s="50">
        <v>69.900000000000006</v>
      </c>
      <c r="NS22" s="4"/>
      <c r="NZ22" s="50">
        <v>69.900000000000006</v>
      </c>
      <c r="OU22" s="4"/>
      <c r="PB22" s="50">
        <v>69.900000000000006</v>
      </c>
      <c r="PW22" s="4"/>
      <c r="QD22" s="50">
        <v>69.900000000000006</v>
      </c>
    </row>
    <row r="23" spans="1:456" x14ac:dyDescent="0.2">
      <c r="B23" s="30" t="s">
        <v>59</v>
      </c>
      <c r="C23" s="2"/>
    </row>
    <row r="24" spans="1:456" x14ac:dyDescent="0.2">
      <c r="A24" s="5"/>
      <c r="B24" s="5"/>
      <c r="C24" s="20"/>
      <c r="QF24" s="2"/>
      <c r="QG24" s="2"/>
      <c r="QH24" s="2"/>
      <c r="QI24" s="2"/>
      <c r="QJ24" s="2"/>
      <c r="QK24" s="2"/>
      <c r="QL24" s="2"/>
      <c r="QM24" s="2"/>
      <c r="QN24" s="2"/>
    </row>
    <row r="25" spans="1:456" x14ac:dyDescent="0.2">
      <c r="A25" s="5"/>
      <c r="B25" s="5"/>
      <c r="C25" s="20"/>
    </row>
    <row r="26" spans="1:456" x14ac:dyDescent="0.2">
      <c r="A26" s="5"/>
      <c r="B26" s="5"/>
      <c r="C26" s="20"/>
    </row>
    <row r="27" spans="1:456" x14ac:dyDescent="0.2">
      <c r="A27" s="5"/>
      <c r="B27" s="5"/>
      <c r="C27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2">
      <sortCondition descending="1" ref="F1:F13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2">
    <cfRule type="expression" dxfId="83" priority="28" stopIfTrue="1">
      <formula>IF($AO4&lt;&gt;"",1,0)</formula>
    </cfRule>
  </conditionalFormatting>
  <conditionalFormatting sqref="AX4:BZ12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2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3:AT1048576 BW23:BW1048576 EE23:EE1048576 BW1:BW21 CZ1:CZ1048576 EE1:EE21 FG1:FG1048576 GI1:GI1048576 HK1:HK1048576 IM1:IM1048576 JO1:JO1048576 KQ1:KQ1048576 LS1:LS1048576 MU1:MU1048576 NW1:NW1048576 OY1:OY1048576 QA1:QA1048576 AT1:AT21">
    <cfRule type="cellIs" dxfId="71" priority="14" operator="between">
      <formula>AW$22</formula>
      <formula>1000</formula>
    </cfRule>
    <cfRule type="cellIs" dxfId="70" priority="15" operator="between">
      <formula>AW$21</formula>
      <formula>AW$22</formula>
    </cfRule>
    <cfRule type="cellIs" dxfId="69" priority="16" operator="between">
      <formula>AW$20</formula>
      <formula>AW$21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78490" operator="between">
      <formula>AW$15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78535" operator="between">
      <formula>AW$19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78580" operator="between">
      <formula>AW$15</formula>
      <formula>AW$16</formula>
    </cfRule>
    <cfRule type="cellIs" dxfId="65" priority="78581" operator="between">
      <formula>AW$16</formula>
      <formula>AW$17</formula>
    </cfRule>
    <cfRule type="cellIs" dxfId="64" priority="78582" operator="between">
      <formula>AW$17</formula>
      <formula>AW$18</formula>
    </cfRule>
    <cfRule type="cellIs" dxfId="63" priority="78583" operator="between">
      <formula>AW$18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78760" operator="between">
      <formula>AW$19</formula>
      <formula>AW$20</formula>
    </cfRule>
    <cfRule type="cellIs" dxfId="61" priority="78761" operator="between">
      <formula>AW$20</formula>
      <formula>AW$21</formula>
    </cfRule>
    <cfRule type="cellIs" dxfId="60" priority="78762" operator="between">
      <formula>AW$21</formula>
      <formula>AW$22</formula>
    </cfRule>
    <cfRule type="cellIs" dxfId="59" priority="78763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78940" operator="between">
      <formula>AW$18</formula>
      <formula>1000</formula>
    </cfRule>
    <cfRule type="cellIs" dxfId="57" priority="78941" operator="between">
      <formula>AW$17</formula>
      <formula>AW$18</formula>
    </cfRule>
    <cfRule type="cellIs" dxfId="56" priority="78942" operator="between">
      <formula>AW$16</formula>
      <formula>AW$17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159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164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167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199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202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198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204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IF(AND(F4="P",G4="P"),SUMPRODUCT((F$4:F$29="P")*(G$4:G$29="P")*(E$4:E$29&gt;E4))+1,IF(G4="P",SUMPRODUCT((F$4:F$29="")*(G$4:G$29="P")*(E$4:E$29&gt;E4))+1+SUMPRODUCT((F$4:F$29="P")*(G$4:G$29="P")),""))</f>
        <v>1</v>
      </c>
      <c r="B4" s="5" t="s">
        <v>92</v>
      </c>
      <c r="C4" s="4" t="s">
        <v>6</v>
      </c>
      <c r="D4" s="4">
        <v>2003</v>
      </c>
      <c r="E4" s="9">
        <f>SUM(J4:R4)+SUM(J4:N4)*0.0000001+SUM(J4)*0.0000000000001</f>
        <v>202.90001437600591</v>
      </c>
      <c r="F4" s="3" t="str">
        <f t="shared" ref="F4:F28" si="0">IF(OR(AND(AP4&gt;=AW$31,AQ4&gt;=AW$35,AP4&lt;&gt;"",AO4=""),AND(AU4&gt;=AW$31,AV4&gt;=AW$35,AU4&lt;&gt;"",AO4=""),AND(BS4&gt;=BZ$31,BT4&gt;=BZ$35,BS4&lt;&gt;"",BR4=""),AND(BX4&gt;=BZ$31,BY4&gt;=BZ$35,BX4&lt;&gt;"",BR4=""),AND(CV4&gt;=DC$31,CW4&gt;=DC$35,CV4&lt;&gt;"",CU4=""),AND(DA4&gt;=DC$31,DB4&gt;=DC$35,DA4&lt;&gt;""),AND(EA4&gt;=EH$31,EB4&gt;=EH$35,EA4&lt;&gt;""),AND(EF4&gt;=EH$31,EG4&gt;=EH$35,EF4&lt;&gt;""),AND(FC4&gt;=FJ$31,FD4&gt;=FJ$35,FC4&lt;&gt;""),AND(FH4&gt;=FJ$31,FI4&gt;=FJ$35,FH4&lt;&gt;""),AND(GE4&gt;=GL$31,GF4&gt;=GL$35,GE4&lt;&gt;""),AND(GJ4&gt;=GL$31,GK4&gt;=GL$35,GJ4&lt;&gt;""),AND(HG4&gt;=HN$31,HH4&gt;=HN$35,HG4&lt;&gt;""),AND(HL4&gt;=HN$31,HM4&gt;=HN$35,HL4&lt;&gt;""),AND(II4&gt;=IP$31,IJ4&gt;=IP$35,II4&lt;&gt;""),AND(IN4&gt;=IP$31,IO4&gt;=IP$35,IN4&lt;&gt;""),AND(JK4&gt;=JR$31,JL4&gt;=JR$35,JK4&lt;&gt;""),AND(JP4&gt;=JR$31,JQ4&gt;=JR$35,JP4&lt;&gt;""),AND(KM4&gt;=KT$31,KN4&gt;=KT$35,KM4&lt;&gt;""),AND(KR4&gt;=KT$31,KS4&gt;=KT$35,KR4&lt;&gt;""),AND(LO4&gt;=LV$31,LP4&gt;=LV$35,LO4&lt;&gt;""),AND(LT4&gt;=LV$31,LU4&gt;=LV$35,LT4&lt;&gt;""),AND(MQ4&gt;=MX$31,MR4&gt;=MX$35,MQ4&lt;&gt;""),AND(MV4&gt;=MX$31,MW4&gt;=MX$35,MV4&lt;&gt;""),AND(NS4&gt;=NZ$31,NT4&gt;=NZ$35,NS4&lt;&gt;""),AND(NX4&gt;=NZ$31,NY4&gt;=NZ$35,NX4&lt;&gt;""),AND(OU4&gt;=PB$31,OV4&gt;=PB$35,OU4&lt;&gt;""),AND(OZ4&gt;=PB$31,PA4&gt;=PB$35,OZ4&lt;&gt;""),AND(PW4&gt;=QD$31,PX4&gt;=QD$35,PW4&lt;&gt;""),AND(QB4&gt;=QD$31,QC4&gt;=QD$35,QB4&lt;&gt;"")),"P","")</f>
        <v>P</v>
      </c>
      <c r="G4" s="3" t="str">
        <f t="shared" ref="G4:G28" si="1">IF(OR(AND(AQ4&gt;=AW$35,AQ4&lt;&gt;"",AO4=""),AND(AV4&gt;=AW$35,AV4&lt;&gt;"",AO4=""),AND(BT4&gt;=BZ$35,BT4&lt;&gt;"",BR4=""),AND(BY4&gt;=BZ$35,BY4&lt;&gt;"",BR4=""),AND(CW4&gt;=DC$35,CW4&lt;&gt;"",CU4=""),AND(DB4&gt;=DC$35,DB4&lt;&gt;"",CU4=""),AND(EB4&gt;=EH$35,EB4&lt;&gt;""),AND(EG4&gt;=EH$35,EG4&lt;&gt;""),AND(FD4&gt;=FJ$35,FD4&lt;&gt;""),AND(FI4&gt;=FJ$35,FI4&lt;&gt;""),AND(GF4&gt;=GL$35,GF4&lt;&gt;""),AND(GK4&gt;=GL$35,GK4&lt;&gt;""),AND(HH4&gt;=HN$35,HH4&lt;&gt;""),AND(HM4&gt;=HN$35,HM4&lt;&gt;""),AND(IJ4&gt;=IP$35,IJ4&lt;&gt;""),AND(IO4&gt;=IP$35,IO4&lt;&gt;""),AND(JL4&gt;=JR$35,JL4&lt;&gt;""),AND(JQ4&gt;=JR$35,JQ4&lt;&gt;""),AND(KN4&gt;=KT$35,KN4&lt;&gt;""),AND(KS4&gt;=KT$35,KS4&lt;&gt;""),AND(LP4&gt;=LV$35,LP4&lt;&gt;""),AND(LU4&gt;=LV$35,LU4&lt;&gt;""),AND(MR4&gt;=MX$35,MR4&lt;&gt;""),AND(MW4&gt;=MX$35,MW4&lt;&gt;""),AND(NT4&gt;=NZ$35,NT4&lt;&gt;""),AND(NY4&gt;=NZ$35,NY4&lt;&gt;""),AND(OV4&gt;=PB$35,OV4&lt;&gt;""),AND(PA4&gt;=PB$35,PA4&lt;&gt;""),AND(PX4&gt;=QD$35,PX4&lt;&gt;""),AND(QC4&gt;=QD$35,QC4&lt;&gt;"")),"P","")</f>
        <v>P</v>
      </c>
      <c r="H4" s="37" t="str">
        <f t="shared" ref="H4:H28" si="2">IF(AND(G4="P",F4=""),"No DD",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),"Merit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Excellence",IF(I4="P","Worlds Team",IF(F4="P","National Team","")))))</f>
        <v>Merit</v>
      </c>
      <c r="I4" s="3" t="str">
        <f t="shared" ref="I4:I28" si="3">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P","")</f>
        <v>P</v>
      </c>
      <c r="J4" s="8">
        <f>IF(COUNT(AQ4,BT4,CW4)&gt;0,LARGE((AQ4,BT4,CW4),1),0)</f>
        <v>58.699999999999996</v>
      </c>
      <c r="K4" s="8" t="str">
        <f t="shared" ref="K4:K28" si="4">IF(J4=0,"",IF(J4=CW4,$CA$1,IF(J4=BT4,$AX$1,IF(J4=AQ4,$U$1,""))))</f>
        <v>2023 Elite Canada</v>
      </c>
      <c r="L4" s="8">
        <f>IF(COUNT(AQ4,BT4,CW4)&gt;1,LARGE((AQ4,BT4,CW4),2),0)</f>
        <v>56.760000000000005</v>
      </c>
      <c r="M4" s="8" t="str">
        <f t="shared" ref="M4:M28" si="5">IF(L4=0,"",IF(L4=CW4,$CA$1,IF(L4=BT4,$AX$1,IF(L4=AQ4,$U$1,""))))</f>
        <v>2022 3rd Domestic Trial</v>
      </c>
      <c r="N4" s="8">
        <f>IF(COUNT(AR4,BU4,CX4)&gt;0,LARGE((AR4,BU4,CX4),1),0)</f>
        <v>28.3</v>
      </c>
      <c r="O4" s="8" t="str">
        <f t="shared" ref="O4:O28" si="6">IF(N4=0,"",IF(N4=CX4,$CA$1,IF(N4=BU4,$AX$1,IF(N4=AR4,$U$1,""))))</f>
        <v>2022 Nationals</v>
      </c>
      <c r="P4" s="8">
        <f t="shared" ref="P4:P28" si="7">IF(MAX(AV4,BY4,DB4)&gt;0,MAX(AV4,BY4,DB4),0)</f>
        <v>58.800000000000004</v>
      </c>
      <c r="Q4" s="8" t="str">
        <f t="shared" ref="Q4:Q28" si="8">IF(P4=0,"",IF(P4=DB4,$CA$1,IF(P4=BY4,$AX$1,IF(P4=AV4,$U$1,""))))</f>
        <v>2023 Elite Canada</v>
      </c>
      <c r="R4" s="8">
        <f t="shared" ref="R4:R28" si="9">IF(MAX(DD4:DF4)&gt;0,MAX(DD4:DF4),"")</f>
        <v>0.33999999999999631</v>
      </c>
      <c r="S4" s="11" t="str">
        <f t="shared" ref="S4:S28" si="10">IF(R4="","",IF(R4=DD4,"("&amp;DD$2&amp;")",IF(R4=DE4,"("&amp;DE$2&amp;")",IF(R4=DF4,"("&amp;DF$2&amp;")"))))</f>
        <v>(Q1)</v>
      </c>
      <c r="T4" s="8" t="str">
        <f t="shared" ref="T4:T28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#2 (May 15)</v>
      </c>
      <c r="U4" s="19">
        <v>18.7</v>
      </c>
      <c r="V4" s="19">
        <v>9.1999999999999993</v>
      </c>
      <c r="W4" s="19">
        <v>0.8</v>
      </c>
      <c r="X4" s="19">
        <v>0.3</v>
      </c>
      <c r="Y4" s="19">
        <v>18.2</v>
      </c>
      <c r="Z4" s="19">
        <v>9.6</v>
      </c>
      <c r="AA4" s="19">
        <v>0.6</v>
      </c>
      <c r="AB4" s="19">
        <v>0.3</v>
      </c>
      <c r="AC4" s="19">
        <v>19.2</v>
      </c>
      <c r="AD4" s="19">
        <v>8.8000000000000007</v>
      </c>
      <c r="AE4" s="19">
        <v>0</v>
      </c>
      <c r="AF4" s="19">
        <v>0.3</v>
      </c>
      <c r="AG4" s="19">
        <v>17.899999999999999</v>
      </c>
      <c r="AH4" s="19">
        <v>10.8</v>
      </c>
      <c r="AI4" s="19">
        <v>0.2</v>
      </c>
      <c r="AJ4" s="19">
        <v>0.6</v>
      </c>
      <c r="AK4" s="19">
        <v>19</v>
      </c>
      <c r="AL4" s="19">
        <v>10</v>
      </c>
      <c r="AM4" s="19">
        <v>0</v>
      </c>
      <c r="AN4" s="19">
        <v>0.6</v>
      </c>
      <c r="AO4" s="28"/>
      <c r="AP4" s="41">
        <f t="shared" ref="AP4:AP28" si="12">IF(SUM(V4,Z4)&gt;0,SUM(V4,Z4),"")</f>
        <v>18.799999999999997</v>
      </c>
      <c r="AQ4" s="41">
        <f t="shared" ref="AQ4:AQ28" si="13">IF(SUM(U4:V4,X4:Z4,AB4)-W4-AA4&gt;0,SUM(U4:V4,X4:Z4,AB4)-W4-AA4,"")</f>
        <v>54.9</v>
      </c>
      <c r="AR4" s="41">
        <f t="shared" ref="AR4:AR28" si="14">IF(SUM(AC4:AD4,AF4)-AE4&gt;0,SUM(AC4:AD4,AF4)-AE4,"")</f>
        <v>28.3</v>
      </c>
      <c r="AS4" s="41">
        <f t="shared" ref="AS4:AS28" si="15">IF(SUM(V4,Z4,AD4)&gt;0,SUM(V4,Z4,AD4),"")</f>
        <v>27.599999999999998</v>
      </c>
      <c r="AT4" s="41">
        <f t="shared" ref="AT4:AT28" si="16">IF(SUM(AQ4,AR4)&gt;0,SUM(AQ4,AR4),"")</f>
        <v>83.2</v>
      </c>
      <c r="AU4" s="41">
        <f t="shared" ref="AU4:AU28" si="17">IF(SUM(AH4,AL4)&gt;0,SUM(AH4,AL4),"")</f>
        <v>20.8</v>
      </c>
      <c r="AV4" s="41">
        <f t="shared" ref="AV4:AV28" si="18">IF(SUM(AG4:AH4,AJ4:AL4,AN4)-SUM(AI4,AM4)&gt;0,SUM(AG4:AH4,AJ4:AL4,AN4)-SUM(AI4,AM4),"")</f>
        <v>58.699999999999996</v>
      </c>
      <c r="AW4" s="41">
        <f t="shared" ref="AW4:AW28" si="19">IF(SUM(AQ4,AV4)&gt;0,SUM(AQ4,AV4),"")</f>
        <v>113.6</v>
      </c>
      <c r="AX4" s="18">
        <v>18.600000000000001</v>
      </c>
      <c r="AY4" s="18">
        <v>9.3000000000000007</v>
      </c>
      <c r="AZ4" s="18">
        <v>0.6</v>
      </c>
      <c r="BA4" s="18">
        <v>0.3</v>
      </c>
      <c r="BB4" s="18">
        <v>17.96</v>
      </c>
      <c r="BC4" s="18">
        <v>10.8</v>
      </c>
      <c r="BD4" s="18">
        <v>0.2</v>
      </c>
      <c r="BE4" s="18">
        <v>0.6</v>
      </c>
      <c r="BF4" s="18">
        <v>17.600000000000001</v>
      </c>
      <c r="BG4" s="18">
        <v>3.6</v>
      </c>
      <c r="BH4" s="18">
        <v>0</v>
      </c>
      <c r="BI4" s="18">
        <v>0</v>
      </c>
      <c r="BJ4" s="18">
        <v>17.600000000000001</v>
      </c>
      <c r="BK4" s="18">
        <v>4.8</v>
      </c>
      <c r="BL4" s="18">
        <v>0</v>
      </c>
      <c r="BM4" s="18">
        <v>0.3</v>
      </c>
      <c r="BN4" s="18">
        <v>18.2</v>
      </c>
      <c r="BO4" s="18">
        <v>9.6</v>
      </c>
      <c r="BP4" s="18">
        <v>0</v>
      </c>
      <c r="BQ4" s="18">
        <v>0.3</v>
      </c>
      <c r="BR4" s="29"/>
      <c r="BS4" s="11">
        <f t="shared" ref="BS4:BS28" si="20">IF(SUM(AY4,BC4)&gt;0,SUM(AY4,BC4),"")</f>
        <v>20.100000000000001</v>
      </c>
      <c r="BT4" s="11">
        <f t="shared" ref="BT4:BT28" si="21">IF(SUM(AX4:AY4,BA4:BC4,BE4)-AZ4-BD4&gt;0,SUM(AX4:AY4,BA4:BC4,BE4)-AZ4-BD4,"")</f>
        <v>56.760000000000005</v>
      </c>
      <c r="BU4" s="11">
        <f t="shared" ref="BU4:BU28" si="22">IF(SUM(BF4:BG4,BI4)-BH4&gt;0,SUM(BF4:BG4,BI4)-BH4,"")</f>
        <v>21.200000000000003</v>
      </c>
      <c r="BV4" s="11">
        <f t="shared" ref="BV4:BV28" si="23">IF(SUM(AY4,BC4,BG4)&gt;0,SUM(AY4,BC4,BG4),"")</f>
        <v>23.700000000000003</v>
      </c>
      <c r="BW4" s="11">
        <f t="shared" ref="BW4:BW28" si="24">IF(SUM(BT4,BU4)&gt;0,SUM(BT4,BU4),"")</f>
        <v>77.960000000000008</v>
      </c>
      <c r="BX4" s="11">
        <f t="shared" ref="BX4:BX28" si="25">IF(SUM(BK4,BO4)&gt;0,SUM(BK4,BO4),"")</f>
        <v>14.399999999999999</v>
      </c>
      <c r="BY4" s="11">
        <f t="shared" ref="BY4:BY28" si="26">IF(SUM(BJ4:BK4,BM4:BO4,BQ4)-SUM(BL4,BP4)&gt;0,SUM(BJ4:BK4,BM4:BO4,BQ4)-SUM(BL4,BP4),"")</f>
        <v>50.800000000000004</v>
      </c>
      <c r="BZ4" s="11">
        <f t="shared" ref="BZ4:BZ28" si="27">IF(SUM(BT4,BY4)&gt;0,SUM(BT4,BY4),"")</f>
        <v>107.56</v>
      </c>
      <c r="CA4" s="19">
        <v>18.8</v>
      </c>
      <c r="CB4" s="19">
        <v>10</v>
      </c>
      <c r="CC4" s="19">
        <v>0.2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19.2</v>
      </c>
      <c r="CJ4" s="19">
        <v>8.4</v>
      </c>
      <c r="CK4" s="19">
        <v>0</v>
      </c>
      <c r="CL4" s="19">
        <v>0</v>
      </c>
      <c r="CM4" s="19">
        <v>19</v>
      </c>
      <c r="CN4" s="19">
        <v>10</v>
      </c>
      <c r="CO4" s="19">
        <v>0.2</v>
      </c>
      <c r="CP4" s="19">
        <v>0.6</v>
      </c>
      <c r="CQ4" s="19">
        <v>18.600000000000001</v>
      </c>
      <c r="CR4" s="19">
        <v>10.8</v>
      </c>
      <c r="CS4" s="19">
        <v>0.6</v>
      </c>
      <c r="CT4" s="19">
        <v>0.6</v>
      </c>
      <c r="CU4" s="28"/>
      <c r="CV4" s="41">
        <f t="shared" ref="CV4:CV28" si="28">IF(SUM(CB4,CF4)&gt;0,SUM(CB4,CF4),"")</f>
        <v>20.8</v>
      </c>
      <c r="CW4" s="41">
        <f t="shared" ref="CW4:CW28" si="29">IF(SUM(CA4:CB4,CD4:CF4,CH4)-CC4-CG4&gt;0,SUM(CA4:CB4,CD4:CF4,CH4)-CC4-CG4,"")</f>
        <v>58.699999999999996</v>
      </c>
      <c r="CX4" s="41">
        <f t="shared" ref="CX4:CX28" si="30">IF(SUM(CI4:CJ4,CL4)-CK4&gt;0,SUM(CI4:CJ4,CL4)-CK4,"")</f>
        <v>27.6</v>
      </c>
      <c r="CY4" s="41">
        <f t="shared" ref="CY4:CY28" si="31">IF(SUM(CB4,CF4,CJ4)&gt;0,SUM(CB4,CF4,CJ4),"")</f>
        <v>29.200000000000003</v>
      </c>
      <c r="CZ4" s="41">
        <f t="shared" ref="CZ4:CZ28" si="32">IF(SUM(CW4,CX4)&gt;0,SUM(CW4,CX4),"")</f>
        <v>86.3</v>
      </c>
      <c r="DA4" s="41">
        <f t="shared" ref="DA4:DA28" si="33">IF(SUM(CN4,CR4)&gt;0,SUM(CN4,CR4),"")</f>
        <v>20.8</v>
      </c>
      <c r="DB4" s="41">
        <f t="shared" ref="DB4:DB28" si="34">IF(SUM(CM4:CN4,CP4:CR4,CT4)-SUM(CO4,CS4)&gt;0,SUM(CM4:CN4,CP4:CR4,CT4)-SUM(CO4,CS4),"")</f>
        <v>58.800000000000004</v>
      </c>
      <c r="DC4" s="41">
        <f t="shared" ref="DC4:DC28" si="35">IF(SUM(CW4,DB4)&gt;0,SUM(CW4,DB4),"")</f>
        <v>117.5</v>
      </c>
      <c r="DD4" s="52">
        <f t="shared" ref="DD4:DD28" si="36">IF(MAX(EB4,FD4,GF4,HH4,IJ4,JL4,KN4,LP4,MR4,NT4,OV4,PX4)-IF(L4="",0,L4)&gt;0.001,MAX(EB4,FD4,GF4,HH4,IJ4,JL4,KN4,LP4,MR4,NT4,OV4,PX4)-IF(L4="",0,L4),"")</f>
        <v>0.33999999999999631</v>
      </c>
      <c r="DE4" s="52" t="str">
        <f t="shared" ref="DE4:DE28" si="37">IF(MAX(EC4,FE4,GG4,HI4,IK4,JM4,KO4,LQ4,MS4,NU4,OW4,PY4)-IF(N4="",0,N4)&gt;0.001,MAX(EC4,FE4,GG4,HI4,IK4,JM4,KO4,LQ4,MS4,NU4,OW4,PY4)-IF(N4="",0,N4),"")</f>
        <v/>
      </c>
      <c r="DF4" s="52" t="str">
        <f t="shared" ref="DF4:DF28" si="38"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9.3000000000000007</v>
      </c>
      <c r="DI4" s="17">
        <v>0.2</v>
      </c>
      <c r="DJ4" s="17">
        <v>0.3</v>
      </c>
      <c r="DK4" s="17">
        <v>18.7</v>
      </c>
      <c r="DL4" s="17">
        <v>10</v>
      </c>
      <c r="DM4" s="17">
        <v>0.2</v>
      </c>
      <c r="DN4" s="17">
        <v>0.6</v>
      </c>
      <c r="DO4" s="17"/>
      <c r="DP4" s="17"/>
      <c r="DQ4" s="17"/>
      <c r="DR4" s="17"/>
      <c r="DS4" s="17">
        <v>18.8</v>
      </c>
      <c r="DT4" s="17">
        <v>9.3000000000000007</v>
      </c>
      <c r="DU4" s="17">
        <v>0.8</v>
      </c>
      <c r="DV4" s="17">
        <v>0.3</v>
      </c>
      <c r="DW4" s="17">
        <v>17.399999999999999</v>
      </c>
      <c r="DX4" s="17">
        <v>5.0999999999999996</v>
      </c>
      <c r="DY4" s="17">
        <v>0</v>
      </c>
      <c r="DZ4" s="17">
        <v>0.3</v>
      </c>
      <c r="EA4" s="41">
        <f t="shared" ref="EA4:EA28" si="39">IF(SUM(DH4,DL4)&gt;0,SUM(DH4,DL4),"")</f>
        <v>19.3</v>
      </c>
      <c r="EB4" s="41">
        <f t="shared" ref="EB4:EB28" si="40">IF(SUM(DG4:DH4,DJ4:DL4,DN4)-DI4-DM4&gt;0,SUM(DG4:DH4,DJ4:DL4,DN4)-DI4-DM4,"")</f>
        <v>57.1</v>
      </c>
      <c r="EC4" s="41" t="str">
        <f t="shared" ref="EC4:EC28" si="41">IF(SUM(DO4:DP4,DR4)-DQ4&gt;0,SUM(DO4:DP4,DR4)-DQ4,"")</f>
        <v/>
      </c>
      <c r="ED4" s="41">
        <f t="shared" ref="ED4:ED28" si="42">IF(SUM(DH4,DL4,DP4)&gt;0,SUM(DH4,DL4,DP4),"")</f>
        <v>19.3</v>
      </c>
      <c r="EE4" s="41">
        <f t="shared" ref="EE4:EE28" si="43">IF(SUM(EB4,EC4)&gt;0,SUM(EB4,EC4),"")</f>
        <v>57.1</v>
      </c>
      <c r="EF4" s="41">
        <f t="shared" ref="EF4:EF28" si="44">IF(SUM(DT4,DX4)&gt;0,SUM(DT4,DX4),"")</f>
        <v>14.4</v>
      </c>
      <c r="EG4" s="41">
        <f t="shared" ref="EG4:EG28" si="45">IF(SUM(DS4:DT4,DV4:DX4,DZ4)-SUM(DU4,DY4)&gt;0,SUM(DS4:DT4,DV4:DX4,DZ4)-SUM(DU4,DY4),"")</f>
        <v>50.4</v>
      </c>
      <c r="EH4" s="41">
        <f t="shared" ref="EH4:EH28" si="46">IF(SUM(EB4,EG4)&gt;0,SUM(EB4,EG4),"")</f>
        <v>107.5</v>
      </c>
      <c r="EI4" s="18">
        <v>18.600000000000001</v>
      </c>
      <c r="EJ4" s="18">
        <v>8.8000000000000007</v>
      </c>
      <c r="EK4" s="18">
        <v>0.6</v>
      </c>
      <c r="EL4" s="18">
        <v>0</v>
      </c>
      <c r="EM4" s="18">
        <v>18.8</v>
      </c>
      <c r="EN4" s="18">
        <v>8.4</v>
      </c>
      <c r="EO4" s="18">
        <v>0</v>
      </c>
      <c r="EP4" s="18">
        <v>0</v>
      </c>
      <c r="EQ4" s="18"/>
      <c r="ER4" s="18"/>
      <c r="ES4" s="18"/>
      <c r="ET4" s="18"/>
      <c r="EU4" s="18">
        <v>18.2</v>
      </c>
      <c r="EV4" s="18">
        <v>8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28" si="47">IF(SUM(EJ4,EN4)&gt;0,SUM(EJ4,EN4),"")</f>
        <v>17.200000000000003</v>
      </c>
      <c r="FD4" s="11">
        <f t="shared" ref="FD4:FD28" si="48">IF(SUM(EI4:EJ4,EL4:EN4,EP4)-EK4-EO4&gt;0,SUM(EI4:EJ4,EL4:EN4,EP4)-EK4-EO4,"")</f>
        <v>54</v>
      </c>
      <c r="FE4" s="11" t="str">
        <f t="shared" ref="FE4:FE28" si="49">IF(SUM(EQ4:ER4,ET4)-ES4&gt;0,SUM(EQ4:ER4,ET4)-ES4,"")</f>
        <v/>
      </c>
      <c r="FF4" s="11">
        <f t="shared" ref="FF4:FF28" si="50">IF(SUM(EJ4,EN4,ER4)&gt;0,SUM(EJ4,EN4,ER4),"")</f>
        <v>17.200000000000003</v>
      </c>
      <c r="FG4" s="11">
        <f t="shared" ref="FG4:FG28" si="51">IF(SUM(FD4,FE4)&gt;0,SUM(FD4,FE4),"")</f>
        <v>54</v>
      </c>
      <c r="FH4" s="11">
        <f t="shared" ref="FH4:FH28" si="52">IF(SUM(EV4,EZ4)&gt;0,SUM(EV4,EZ4),"")</f>
        <v>8</v>
      </c>
      <c r="FI4" s="11">
        <f t="shared" ref="FI4:FI28" si="53">IF(SUM(EU4:EV4,EX4:EZ4,FB4)-SUM(EW4,FA4)&gt;0,SUM(EU4:EV4,EX4:EZ4,FB4)-SUM(EW4,FA4),"")</f>
        <v>26.2</v>
      </c>
      <c r="FJ4" s="11">
        <f t="shared" ref="FJ4:FJ28" si="54">IF(SUM(FD4,FI4)&gt;0,SUM(FD4,FI4),"")</f>
        <v>80.2</v>
      </c>
      <c r="FK4" s="17">
        <v>19</v>
      </c>
      <c r="FL4" s="17">
        <v>8.8000000000000007</v>
      </c>
      <c r="FM4" s="17">
        <v>0.6</v>
      </c>
      <c r="FN4" s="17">
        <v>0</v>
      </c>
      <c r="FO4" s="17">
        <v>19</v>
      </c>
      <c r="FP4" s="17">
        <v>8.4</v>
      </c>
      <c r="FQ4" s="17">
        <v>0.2</v>
      </c>
      <c r="FR4" s="17">
        <v>0</v>
      </c>
      <c r="FS4" s="17"/>
      <c r="FT4" s="17"/>
      <c r="FU4" s="17"/>
      <c r="FV4" s="17"/>
      <c r="FW4" s="17">
        <v>19</v>
      </c>
      <c r="FX4" s="17">
        <v>8.8000000000000007</v>
      </c>
      <c r="FY4" s="17">
        <v>0</v>
      </c>
      <c r="FZ4" s="17">
        <v>0</v>
      </c>
      <c r="GA4" s="17">
        <v>18.399999999999999</v>
      </c>
      <c r="GB4" s="17">
        <v>8.6999999999999993</v>
      </c>
      <c r="GC4" s="17">
        <v>0.6</v>
      </c>
      <c r="GD4" s="17">
        <v>0</v>
      </c>
      <c r="GE4" s="41">
        <f t="shared" ref="GE4:GE28" si="55">IF(SUM(FL4,FP4)&gt;0,SUM(FL4,FP4),"")</f>
        <v>17.200000000000003</v>
      </c>
      <c r="GF4" s="41">
        <f t="shared" ref="GF4:GF28" si="56">IF(SUM(FK4:FL4,FN4:FP4,FR4)-FM4-FQ4&gt;0,SUM(FK4:FL4,FN4:FP4,FR4)-FM4-FQ4,"")</f>
        <v>54.399999999999991</v>
      </c>
      <c r="GG4" s="41" t="str">
        <f t="shared" ref="GG4:GG28" si="57">IF(SUM(FS4:FT4,FV4)-FU4&gt;0,SUM(FS4:FT4,FV4)-FU4,"")</f>
        <v/>
      </c>
      <c r="GH4" s="41">
        <f t="shared" ref="GH4:GH28" si="58">IF(SUM(FL4,FP4,FT4)&gt;0,SUM(FL4,FP4,FT4),"")</f>
        <v>17.200000000000003</v>
      </c>
      <c r="GI4" s="41">
        <f t="shared" ref="GI4:GI28" si="59">IF(SUM(GF4,GG4)&gt;0,SUM(GF4,GG4),"")</f>
        <v>54.399999999999991</v>
      </c>
      <c r="GJ4" s="41">
        <f t="shared" ref="GJ4:GJ28" si="60">IF(SUM(FX4,GB4)&gt;0,SUM(FX4,GB4),"")</f>
        <v>17.5</v>
      </c>
      <c r="GK4" s="41">
        <f t="shared" ref="GK4:GK28" si="61">IF(SUM(FW4:FX4,FZ4:GB4,GD4)-SUM(FY4,GC4)&gt;0,SUM(FW4:FX4,FZ4:GB4,GD4)-SUM(FY4,GC4),"")</f>
        <v>54.300000000000004</v>
      </c>
      <c r="GL4" s="41">
        <f t="shared" ref="GL4:GL28" si="62">IF(SUM(GF4,GK4)&gt;0,SUM(GF4,GK4),"")</f>
        <v>108.69999999999999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8" si="63">IF(SUM(GN4,GR4)&gt;0,SUM(GN4,GR4),"")</f>
        <v/>
      </c>
      <c r="HH4" s="11" t="str">
        <f t="shared" ref="HH4:HH28" si="64">IF(SUM(GM4:GN4,GP4:GR4,GT4)-GO4-GS4&gt;0,SUM(GM4:GN4,GP4:GR4,GT4)-GO4-GS4,"")</f>
        <v/>
      </c>
      <c r="HI4" s="11" t="str">
        <f t="shared" ref="HI4:HI28" si="65">IF(SUM(GU4:GV4,GX4)-GW4&gt;0,SUM(GU4:GV4,GX4)-GW4,"")</f>
        <v/>
      </c>
      <c r="HJ4" s="11" t="str">
        <f t="shared" ref="HJ4:HJ28" si="66">IF(SUM(GN4,GR4,GV4)&gt;0,SUM(GN4,GR4,GV4),"")</f>
        <v/>
      </c>
      <c r="HK4" s="11" t="str">
        <f t="shared" ref="HK4:HK28" si="67">IF(SUM(HH4,HI4)&gt;0,SUM(HH4,HI4),"")</f>
        <v/>
      </c>
      <c r="HL4" s="11" t="str">
        <f t="shared" ref="HL4:HL28" si="68">IF(SUM(GZ4,HD4)&gt;0,SUM(GZ4,HD4),"")</f>
        <v/>
      </c>
      <c r="HM4" s="11" t="str">
        <f t="shared" ref="HM4:HM28" si="69">IF(SUM(GY4:GZ4,HB4:HD4,HF4)-SUM(HA4,HE4)&gt;0,SUM(GY4:GZ4,HB4:HD4,HF4)-SUM(HA4,HE4),"")</f>
        <v/>
      </c>
      <c r="HN4" s="11" t="str">
        <f t="shared" ref="HN4:HN28" si="70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28" si="71">IF(SUM(HP4,HT4)&gt;0,SUM(HP4,HT4),"")</f>
        <v/>
      </c>
      <c r="IJ4" s="41" t="str">
        <f t="shared" ref="IJ4:IJ28" si="72">IF(SUM(HO4:HP4,HR4:HT4,HV4)-HQ4-HU4&gt;0,SUM(HO4:HP4,HR4:HT4,HV4)-HQ4-HU4,"")</f>
        <v/>
      </c>
      <c r="IK4" s="41" t="str">
        <f t="shared" ref="IK4:IK28" si="73">IF(SUM(HW4:HX4,HZ4)-HY4&gt;0,SUM(HW4:HX4,HZ4)-HY4,"")</f>
        <v/>
      </c>
      <c r="IL4" s="41" t="str">
        <f t="shared" ref="IL4:IL28" si="74">IF(SUM(HP4,HT4,HX4)&gt;0,SUM(HP4,HT4,HX4),"")</f>
        <v/>
      </c>
      <c r="IM4" s="41" t="str">
        <f t="shared" ref="IM4:IM28" si="75">IF(SUM(IJ4,IK4)&gt;0,SUM(IJ4,IK4),"")</f>
        <v/>
      </c>
      <c r="IN4" s="41" t="str">
        <f t="shared" ref="IN4:IN28" si="76">IF(SUM(IB4,IF4)&gt;0,SUM(IB4,IF4),"")</f>
        <v/>
      </c>
      <c r="IO4" s="41" t="str">
        <f t="shared" ref="IO4:IO28" si="77">IF(SUM(IA4:IB4,ID4:IF4,IH4)-SUM(IC4,IG4)&gt;0,SUM(IA4:IB4,ID4:IF4,IH4)-SUM(IC4,IG4),"")</f>
        <v/>
      </c>
      <c r="IP4" s="41" t="str">
        <f t="shared" ref="IP4:IP28" si="78">IF(SUM(IJ4,IO4)&gt;0,SUM(IJ4,IO4),"")</f>
        <v/>
      </c>
      <c r="IQ4" s="18">
        <v>19</v>
      </c>
      <c r="IR4" s="18">
        <v>9.1999999999999993</v>
      </c>
      <c r="IS4" s="18">
        <v>0</v>
      </c>
      <c r="IT4" s="18">
        <v>0</v>
      </c>
      <c r="IU4" s="18">
        <v>18.8</v>
      </c>
      <c r="IV4" s="18">
        <v>8.4</v>
      </c>
      <c r="IW4" s="18">
        <v>0.6</v>
      </c>
      <c r="IX4" s="18">
        <v>0</v>
      </c>
      <c r="IY4" s="18">
        <v>18</v>
      </c>
      <c r="IZ4" s="18">
        <v>10.8</v>
      </c>
      <c r="JA4" s="18">
        <v>0.6</v>
      </c>
      <c r="JB4" s="18">
        <v>0</v>
      </c>
      <c r="JC4" s="18">
        <v>18.8</v>
      </c>
      <c r="JD4" s="18">
        <v>10</v>
      </c>
      <c r="JE4" s="18">
        <v>0.6</v>
      </c>
      <c r="JF4" s="18">
        <v>0</v>
      </c>
      <c r="JG4" s="18">
        <v>18.399999999999999</v>
      </c>
      <c r="JH4" s="18">
        <v>10.8</v>
      </c>
      <c r="JI4" s="18">
        <v>0</v>
      </c>
      <c r="JJ4" s="18">
        <v>0</v>
      </c>
      <c r="JK4" s="11">
        <f t="shared" ref="JK4:JK28" si="79">IF(SUM(IR4,IV4)&gt;0,SUM(IR4,IV4),"")</f>
        <v>17.600000000000001</v>
      </c>
      <c r="JL4" s="11">
        <f t="shared" ref="JL4:JL28" si="80">IF(SUM(IQ4:IR4,IT4:IV4,IX4)-IS4-IW4&gt;0,SUM(IQ4:IR4,IT4:IV4,IX4)-IS4-IW4,"")</f>
        <v>54.8</v>
      </c>
      <c r="JM4" s="11">
        <f t="shared" ref="JM4:JM28" si="81">IF(SUM(IY4:IZ4,JB4)-JA4&gt;0,SUM(IY4:IZ4,JB4)-JA4,"")</f>
        <v>28.2</v>
      </c>
      <c r="JN4" s="11">
        <f t="shared" ref="JN4:JN28" si="82">IF(SUM(IR4,IV4,IZ4)&gt;0,SUM(IR4,IV4,IZ4),"")</f>
        <v>28.400000000000002</v>
      </c>
      <c r="JO4" s="11">
        <f t="shared" ref="JO4:JO28" si="83">IF(SUM(JL4,JM4)&gt;0,SUM(JL4,JM4),"")</f>
        <v>83</v>
      </c>
      <c r="JP4" s="11">
        <f t="shared" ref="JP4:JP28" si="84">IF(SUM(JD4,JH4)&gt;0,SUM(JD4,JH4),"")</f>
        <v>20.8</v>
      </c>
      <c r="JQ4" s="11">
        <f t="shared" ref="JQ4:JQ28" si="85">IF(SUM(JC4:JD4,JF4:JH4,JJ4)-SUM(JE4,JI4)&gt;0,SUM(JC4:JD4,JF4:JH4,JJ4)-SUM(JE4,JI4),"")</f>
        <v>57.4</v>
      </c>
      <c r="JR4" s="11">
        <f t="shared" ref="JR4:JR28" si="86">IF(SUM(JL4,JQ4)&gt;0,SUM(JL4,JQ4),"")</f>
        <v>112.19999999999999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18.5</v>
      </c>
      <c r="KJ4" s="17">
        <v>10</v>
      </c>
      <c r="KK4" s="17">
        <v>0</v>
      </c>
      <c r="KL4" s="17">
        <v>0</v>
      </c>
      <c r="KM4" s="41" t="str">
        <f t="shared" ref="KM4:KM28" si="87">IF(SUM(JT4,JX4)&gt;0,SUM(JT4,JX4),"")</f>
        <v/>
      </c>
      <c r="KN4" s="41" t="str">
        <f t="shared" ref="KN4:KN28" si="88">IF(SUM(JS4:JT4,JV4:JX4,JZ4)-JU4-JY4&gt;0,SUM(JS4:JT4,JV4:JX4,JZ4)-JU4-JY4,"")</f>
        <v/>
      </c>
      <c r="KO4" s="41" t="str">
        <f t="shared" ref="KO4:KO28" si="89">IF(SUM(KA4:KB4,KD4)-KC4&gt;0,SUM(KA4:KB4,KD4)-KC4,"")</f>
        <v/>
      </c>
      <c r="KP4" s="41" t="str">
        <f t="shared" ref="KP4:KP28" si="90">IF(SUM(JT4,JX4,KB4)&gt;0,SUM(JT4,JX4,KB4),"")</f>
        <v/>
      </c>
      <c r="KQ4" s="41" t="str">
        <f t="shared" ref="KQ4:KQ28" si="91">IF(SUM(KN4,KO4)&gt;0,SUM(KN4,KO4),"")</f>
        <v/>
      </c>
      <c r="KR4" s="41">
        <f t="shared" ref="KR4:KR28" si="92">IF(SUM(KF4,KJ4)&gt;0,SUM(KF4,KJ4),"")</f>
        <v>10</v>
      </c>
      <c r="KS4" s="41">
        <f t="shared" ref="KS4:KS28" si="93">IF(SUM(KE4:KF4,KH4:KJ4,KL4)-SUM(KG4,KK4)&gt;0,SUM(KE4:KF4,KH4:KJ4,KL4)-SUM(KG4,KK4),"")</f>
        <v>28.5</v>
      </c>
      <c r="KT4" s="41">
        <f t="shared" ref="KT4:KT28" si="94">IF(SUM(KN4,KS4)&gt;0,SUM(KN4,KS4),"")</f>
        <v>28.5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18</v>
      </c>
      <c r="LL4" s="18">
        <v>10.8</v>
      </c>
      <c r="LM4" s="18">
        <v>0.6</v>
      </c>
      <c r="LN4" s="18">
        <v>0</v>
      </c>
      <c r="LO4" s="11" t="str">
        <f t="shared" ref="LO4:LO28" si="95">IF(SUM(KV4,KZ4)&gt;0,SUM(KV4,KZ4),"")</f>
        <v/>
      </c>
      <c r="LP4" s="11" t="str">
        <f t="shared" ref="LP4:LP28" si="96">IF(SUM(KU4:KV4,KX4:KZ4,LB4)-KW4-LA4&gt;0,SUM(KU4:KV4,KX4:KZ4,LB4)-KW4-LA4,"")</f>
        <v/>
      </c>
      <c r="LQ4" s="11" t="str">
        <f t="shared" ref="LQ4:LQ28" si="97">IF(SUM(LC4:LD4,LF4)-LE4&gt;0,SUM(LC4:LD4,LF4)-LE4,"")</f>
        <v/>
      </c>
      <c r="LR4" s="11" t="str">
        <f t="shared" ref="LR4:LR28" si="98">IF(SUM(KV4,KZ4,LD4)&gt;0,SUM(KV4,KZ4,LD4),"")</f>
        <v/>
      </c>
      <c r="LS4" s="11" t="str">
        <f t="shared" ref="LS4:LS28" si="99">IF(SUM(LP4,LQ4)&gt;0,SUM(LP4,LQ4),"")</f>
        <v/>
      </c>
      <c r="LT4" s="11">
        <f t="shared" ref="LT4:LT28" si="100">IF(SUM(LH4,LL4)&gt;0,SUM(LH4,LL4),"")</f>
        <v>10.8</v>
      </c>
      <c r="LU4" s="11">
        <f t="shared" ref="LU4:LU28" si="101">IF(SUM(LG4:LH4,LJ4:LL4,LN4)-SUM(LI4,LM4)&gt;0,SUM(LG4:LH4,LJ4:LL4,LN4)-SUM(LI4,LM4),"")</f>
        <v>28.2</v>
      </c>
      <c r="LV4" s="11">
        <f t="shared" ref="LV4:LV28" si="102">IF(SUM(LP4,LU4)&gt;0,SUM(LP4,LU4),"")</f>
        <v>28.2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28" si="103">IF(SUM(LX4,MB4)&gt;0,SUM(LX4,MB4),"")</f>
        <v/>
      </c>
      <c r="MR4" s="41" t="str">
        <f t="shared" ref="MR4:MR28" si="104">IF(SUM(LW4:LX4,LZ4:MB4,MD4)-LY4-MC4&gt;0,SUM(LW4:LX4,LZ4:MB4,MD4)-LY4-MC4,"")</f>
        <v/>
      </c>
      <c r="MS4" s="41" t="str">
        <f t="shared" ref="MS4:MS28" si="105">IF(SUM(ME4:MF4,MH4)-MG4&gt;0,SUM(ME4:MF4,MH4)-MG4,"")</f>
        <v/>
      </c>
      <c r="MT4" s="41" t="str">
        <f t="shared" ref="MT4:MT28" si="106">IF(SUM(LX4,MB4,MF4)&gt;0,SUM(LX4,MB4,MF4),"")</f>
        <v/>
      </c>
      <c r="MU4" s="41" t="str">
        <f t="shared" ref="MU4:MU28" si="107">IF(SUM(MR4,MS4)&gt;0,SUM(MR4,MS4),"")</f>
        <v/>
      </c>
      <c r="MV4" s="41" t="str">
        <f t="shared" ref="MV4:MV28" si="108">IF(SUM(MJ4,MN4)&gt;0,SUM(MJ4,MN4),"")</f>
        <v/>
      </c>
      <c r="MW4" s="41" t="str">
        <f t="shared" ref="MW4:MW28" si="109">IF(SUM(MI4:MJ4,ML4:MN4,MP4)-SUM(MK4,MO4)&gt;0,SUM(MI4:MJ4,ML4:MN4,MP4)-SUM(MK4,MO4),"")</f>
        <v/>
      </c>
      <c r="MX4" s="41" t="str">
        <f t="shared" ref="MX4:MX28" si="110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8" si="111">IF(SUM(MZ4,ND4)&gt;0,SUM(MZ4,ND4),"")</f>
        <v/>
      </c>
      <c r="NT4" s="11" t="str">
        <f t="shared" ref="NT4:NT28" si="112">IF(SUM(MY4:MZ4,NB4:ND4,NF4)-NA4-NE4&gt;0,SUM(MY4:MZ4,NB4:ND4,NF4)-NA4-NE4,"")</f>
        <v/>
      </c>
      <c r="NU4" s="11" t="str">
        <f t="shared" ref="NU4:NU28" si="113">IF(SUM(NG4:NH4,NJ4)-NI4&gt;0,SUM(NG4:NH4,NJ4)-NI4,"")</f>
        <v/>
      </c>
      <c r="NV4" s="11" t="str">
        <f t="shared" ref="NV4:NV28" si="114">IF(SUM(MZ4,ND4,NH4)&gt;0,SUM(MZ4,ND4,NH4),"")</f>
        <v/>
      </c>
      <c r="NW4" s="11" t="str">
        <f t="shared" ref="NW4:NW28" si="115">IF(SUM(NT4,NU4)&gt;0,SUM(NT4,NU4),"")</f>
        <v/>
      </c>
      <c r="NX4" s="11" t="str">
        <f t="shared" ref="NX4:NX28" si="116">IF(SUM(NL4,NP4)&gt;0,SUM(NL4,NP4),"")</f>
        <v/>
      </c>
      <c r="NY4" s="11" t="str">
        <f t="shared" ref="NY4:NY28" si="117">IF(SUM(NK4:NL4,NN4:NP4,NR4)-SUM(NM4,NQ4)&gt;0,SUM(NK4:NL4,NN4:NP4,NR4)-SUM(NM4,NQ4),"")</f>
        <v/>
      </c>
      <c r="NZ4" s="11" t="str">
        <f t="shared" ref="NZ4:NZ28" si="118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8" si="119">IF(SUM(OB4,OF4)&gt;0,SUM(OB4,OF4),"")</f>
        <v/>
      </c>
      <c r="OV4" s="41" t="str">
        <f t="shared" ref="OV4:OV28" si="120">IF(SUM(OA4:OB4,OD4:OF4,OH4)-OC4-OG4&gt;0,SUM(OA4:OB4,OD4:OF4,OH4)-OC4-OG4,"")</f>
        <v/>
      </c>
      <c r="OW4" s="41" t="str">
        <f t="shared" ref="OW4:OW28" si="121">IF(SUM(OI4:OJ4,OL4)-OK4&gt;0,SUM(OI4:OJ4,OL4)-OK4,"")</f>
        <v/>
      </c>
      <c r="OX4" s="41" t="str">
        <f t="shared" ref="OX4:OX28" si="122">IF(SUM(OB4,OF4,OJ4)&gt;0,SUM(OB4,OF4,OJ4),"")</f>
        <v/>
      </c>
      <c r="OY4" s="41" t="str">
        <f t="shared" ref="OY4:OY28" si="123">IF(SUM(OV4,OW4)&gt;0,SUM(OV4,OW4),"")</f>
        <v/>
      </c>
      <c r="OZ4" s="41" t="str">
        <f t="shared" ref="OZ4:OZ28" si="124">IF(SUM(ON4,OR4)&gt;0,SUM(ON4,OR4),"")</f>
        <v/>
      </c>
      <c r="PA4" s="41" t="str">
        <f t="shared" ref="PA4:PA28" si="125">IF(SUM(OM4:ON4,OP4:OR4,OT4)-SUM(OO4,OS4)&gt;0,SUM(OM4:ON4,OP4:OR4,OT4)-SUM(OO4,OS4),"")</f>
        <v/>
      </c>
      <c r="PB4" s="41" t="str">
        <f t="shared" ref="PB4:PB28" si="126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8" si="127">IF(SUM(PD4,PH4)&gt;0,SUM(PD4,PH4),"")</f>
        <v/>
      </c>
      <c r="PX4" s="11" t="str">
        <f t="shared" ref="PX4:PX28" si="128">IF(SUM(PC4:PD4,PF4:PH4,PJ4)-PE4-PI4&gt;0,SUM(PC4:PD4,PF4:PH4,PJ4)-PE4-PI4,"")</f>
        <v/>
      </c>
      <c r="PY4" s="11" t="str">
        <f t="shared" ref="PY4:PY28" si="129">IF(SUM(PK4:PL4,PN4)-PM4&gt;0,SUM(PK4:PL4,PN4)-PM4,"")</f>
        <v/>
      </c>
      <c r="PZ4" s="11" t="str">
        <f t="shared" ref="PZ4:PZ28" si="130">IF(SUM(PD4,PH4,PL4)&gt;0,SUM(PD4,PH4,PL4),"")</f>
        <v/>
      </c>
      <c r="QA4" s="11" t="str">
        <f t="shared" ref="QA4:QA28" si="131">IF(SUM(PX4,PY4)&gt;0,SUM(PX4,PY4),"")</f>
        <v/>
      </c>
      <c r="QB4" s="11" t="str">
        <f t="shared" ref="QB4:QB28" si="132">IF(SUM(PP4,PT4)&gt;0,SUM(PP4,PT4),"")</f>
        <v/>
      </c>
      <c r="QC4" s="11" t="str">
        <f t="shared" ref="QC4:QC28" si="133">IF(SUM(PO4:PP4,PR4:PT4,PV4)-SUM(PQ4,PU4)&gt;0,SUM(PO4:PP4,PR4:PT4,PV4)-SUM(PQ4,PU4),"")</f>
        <v/>
      </c>
      <c r="QD4" s="11" t="str">
        <f t="shared" ref="QD4:QD28" si="134">IF(SUM(PX4,QC4)&gt;0,SUM(PX4,QC4),"")</f>
        <v/>
      </c>
      <c r="QE4" s="23">
        <f t="shared" ref="QE4:QE28" si="135">IF($CU4="P",CA4,(CA4+AX4)/2)</f>
        <v>18.700000000000003</v>
      </c>
      <c r="QF4" s="23">
        <f t="shared" ref="QF4:QF28" si="136">IF($CU4="P",CB4,(CB4+AY4)/2)</f>
        <v>9.65</v>
      </c>
      <c r="QG4" s="23">
        <f t="shared" ref="QG4:QG28" si="137">IF($CU4="P",CC4,(CC4+AZ4)/2)</f>
        <v>0.4</v>
      </c>
      <c r="QH4" s="23">
        <f t="shared" ref="QH4:QH28" si="138">IF($CU4="P",CD4,(CD4+BA4)/2)</f>
        <v>0.44999999999999996</v>
      </c>
      <c r="QI4" s="23">
        <f t="shared" ref="QI4:QI28" si="139">IF($CU4="P",CE4,(CE4+BB4)/2)</f>
        <v>18.130000000000003</v>
      </c>
      <c r="QJ4" s="23">
        <f t="shared" ref="QJ4:QJ28" si="140">IF($CU4="P",CF4,(CF4+BC4)/2)</f>
        <v>10.8</v>
      </c>
      <c r="QK4" s="23">
        <f t="shared" ref="QK4:QK28" si="141">IF($CU4="P",CG4,(CG4+BD4)/2)</f>
        <v>0.2</v>
      </c>
      <c r="QL4" s="23">
        <f t="shared" ref="QL4:QL28" si="142">IF($CU4="P",CH4,(CH4+BE4)/2)</f>
        <v>0.6</v>
      </c>
      <c r="QM4" s="23">
        <f t="shared" ref="QM4:QM28" si="143">IF($CU4="P",CI4,(CI4+BF4)/2)</f>
        <v>18.399999999999999</v>
      </c>
      <c r="QN4" s="23">
        <f t="shared" ref="QN4:QN28" si="144">IF($CU4="P",CJ4,(CJ4+BG4)/2)</f>
        <v>6</v>
      </c>
      <c r="QO4" s="23">
        <f t="shared" ref="QO4:QO28" si="145">IF($CU4="P",CK4,(CK4+BH4)/2)</f>
        <v>0</v>
      </c>
      <c r="QP4" s="23">
        <f t="shared" ref="QP4:QP28" si="146">IF($CU4="P",CL4,(CL4+BI4)/2)</f>
        <v>0</v>
      </c>
      <c r="QQ4" s="23">
        <f t="shared" ref="QQ4:QQ28" si="147">IF($CU4="P",CM4,(CM4+BJ4)/2)</f>
        <v>18.3</v>
      </c>
      <c r="QR4" s="23">
        <f t="shared" ref="QR4:QR28" si="148">IF($CU4="P",CN4,(CN4+BK4)/2)</f>
        <v>7.4</v>
      </c>
      <c r="QS4" s="23">
        <f t="shared" ref="QS4:QS28" si="149">IF($CU4="P",CO4,(CO4+BL4)/2)</f>
        <v>0.1</v>
      </c>
      <c r="QT4" s="23">
        <f t="shared" ref="QT4:QT28" si="150">IF($CU4="P",CP4,(CP4+BM4)/2)</f>
        <v>0.44999999999999996</v>
      </c>
      <c r="QU4" s="23">
        <f t="shared" ref="QU4:QU28" si="151">IF($CU4="P",CQ4,(CQ4+BN4)/2)</f>
        <v>18.399999999999999</v>
      </c>
      <c r="QV4" s="23">
        <f t="shared" ref="QV4:QV28" si="152">IF($CU4="P",CR4,(CR4+BO4)/2)</f>
        <v>10.199999999999999</v>
      </c>
      <c r="QW4" s="23">
        <f t="shared" ref="QW4:QW28" si="153">IF($CU4="P",CS4,(CS4+BP4)/2)</f>
        <v>0.3</v>
      </c>
      <c r="QX4" s="23">
        <f t="shared" ref="QX4:QX28" si="154">IF($CU4="P",CT4,(CT4+BQ4)/2)</f>
        <v>0.44999999999999996</v>
      </c>
      <c r="QY4" s="28" t="s">
        <v>58</v>
      </c>
      <c r="QZ4" s="41">
        <f t="shared" ref="QZ4:QZ28" si="155">IF(SUM(QF4,QJ4)&gt;0,SUM(QF4,QJ4),"")</f>
        <v>20.450000000000003</v>
      </c>
      <c r="RA4" s="41">
        <f t="shared" ref="RA4:RA28" si="156">IF(SUM(QE4:QF4,QH4:QJ4,QL4)-QG4-QK4&gt;0,SUM(QE4:QF4,QH4:QJ4,QL4)-QG4-QK4,"")</f>
        <v>57.730000000000004</v>
      </c>
      <c r="RB4" s="41">
        <f t="shared" ref="RB4:RB28" si="157">IF(SUM(QM4:QN4,QP4)-QO4&gt;0,SUM(QM4:QN4,QP4)-QO4,"")</f>
        <v>24.4</v>
      </c>
      <c r="RC4" s="41">
        <f t="shared" ref="RC4:RC28" si="158">IF(SUM(QF4,QJ4,QN4)&gt;0,SUM(QF4,QJ4,QN4),"")</f>
        <v>26.450000000000003</v>
      </c>
      <c r="RD4" s="41">
        <f t="shared" ref="RD4:RD28" si="159">IF(SUM(RA4,RB4)&gt;0,SUM(RA4,RB4),"")</f>
        <v>82.13</v>
      </c>
      <c r="RE4" s="41">
        <f t="shared" ref="RE4:RE28" si="160">IF(SUM(QR4,QV4)&gt;0,SUM(QR4,QV4),"")</f>
        <v>17.600000000000001</v>
      </c>
      <c r="RF4" s="41">
        <f t="shared" ref="RF4:RF28" si="161">IF(SUM(QQ4:QR4,QT4:QV4,QX4)-SUM(QS4,QW4)&gt;0,SUM(QQ4:QR4,QT4:QV4,QX4)-SUM(QS4,QW4),"")</f>
        <v>54.800000000000004</v>
      </c>
      <c r="RG4" s="41">
        <f t="shared" ref="RG4:RG28" si="162">IF(SUM(RA4,RF4)&gt;0,SUM(RA4,RF4),"")</f>
        <v>112.53</v>
      </c>
    </row>
    <row r="5" spans="1:475" x14ac:dyDescent="0.2">
      <c r="A5" s="4" cm="1">
        <f t="array" ref="A5">IF(AND(F5="P",G5="P"),SUMPRODUCT((F$4:F$29="P")*(G$4:G$29="P")*(E$4:E$29&gt;E5))+1,IF(G5="P",SUMPRODUCT((F$4:F$29="")*(G$4:G$29="P")*(E$4:E$29&gt;E5))+1+SUMPRODUCT((F$4:F$29="P")*(G$4:G$29="P")),""))</f>
        <v>2</v>
      </c>
      <c r="B5" s="5" t="s">
        <v>80</v>
      </c>
      <c r="C5" s="4" t="s">
        <v>3</v>
      </c>
      <c r="D5" s="4">
        <v>2003</v>
      </c>
      <c r="E5" s="9">
        <f t="shared" ref="E5:E28" si="163">SUM(J5:R5)+SUM(J5:O5)*0.0000001+SUM(J5)*0.0000000000001</f>
        <v>196.90001387000549</v>
      </c>
      <c r="F5" s="3" t="str">
        <f t="shared" si="0"/>
        <v>P</v>
      </c>
      <c r="G5" s="3" t="str">
        <f t="shared" si="1"/>
        <v>P</v>
      </c>
      <c r="H5" s="37" t="str">
        <f t="shared" si="2"/>
        <v>Merit</v>
      </c>
      <c r="I5" s="3" t="str">
        <f t="shared" si="3"/>
        <v>P</v>
      </c>
      <c r="J5" s="8">
        <f>IF(COUNT(AQ5,BT5,CW5)&gt;0,LARGE((AQ5,BT5,CW5),1),0)</f>
        <v>55.199999999999996</v>
      </c>
      <c r="K5" s="8" t="str">
        <f t="shared" si="4"/>
        <v>2022 3rd Domestic Trial</v>
      </c>
      <c r="L5" s="8">
        <f>IF(COUNT(AQ5,BT5,CW5)&gt;1,LARGE((AQ5,BT5,CW5),2),0)</f>
        <v>54.4</v>
      </c>
      <c r="M5" s="8" t="str">
        <f t="shared" si="5"/>
        <v>2022 Nationals</v>
      </c>
      <c r="N5" s="8">
        <f>IF(COUNT(AR5,BU5,CX5)&gt;0,LARGE((AR5,BU5,CX5),1),0)</f>
        <v>29.1</v>
      </c>
      <c r="O5" s="8" t="str">
        <f t="shared" si="6"/>
        <v>2022 Nationals</v>
      </c>
      <c r="P5" s="8">
        <f t="shared" si="7"/>
        <v>58.2</v>
      </c>
      <c r="Q5" s="8" t="str">
        <f t="shared" si="8"/>
        <v>2022 Nationals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19.2</v>
      </c>
      <c r="V5" s="19">
        <v>9.1999999999999993</v>
      </c>
      <c r="W5" s="19">
        <v>0</v>
      </c>
      <c r="X5" s="19">
        <v>0.3</v>
      </c>
      <c r="Y5" s="19">
        <v>16.600000000000001</v>
      </c>
      <c r="Z5" s="19">
        <v>9.6</v>
      </c>
      <c r="AA5" s="19">
        <v>0.8</v>
      </c>
      <c r="AB5" s="19">
        <v>0.3</v>
      </c>
      <c r="AC5" s="19">
        <v>19.600000000000001</v>
      </c>
      <c r="AD5" s="19">
        <v>9.1999999999999993</v>
      </c>
      <c r="AE5" s="19">
        <v>0</v>
      </c>
      <c r="AF5" s="19">
        <v>0.3</v>
      </c>
      <c r="AG5" s="19">
        <v>19</v>
      </c>
      <c r="AH5" s="19">
        <v>10</v>
      </c>
      <c r="AI5" s="19">
        <v>0</v>
      </c>
      <c r="AJ5" s="19">
        <v>0.6</v>
      </c>
      <c r="AK5" s="19">
        <v>17.8</v>
      </c>
      <c r="AL5" s="19">
        <v>10.4</v>
      </c>
      <c r="AM5" s="19">
        <v>0.2</v>
      </c>
      <c r="AN5" s="19">
        <v>0.6</v>
      </c>
      <c r="AO5" s="28"/>
      <c r="AP5" s="41">
        <f t="shared" si="12"/>
        <v>18.799999999999997</v>
      </c>
      <c r="AQ5" s="41">
        <f t="shared" si="13"/>
        <v>54.4</v>
      </c>
      <c r="AR5" s="41">
        <f t="shared" si="14"/>
        <v>29.1</v>
      </c>
      <c r="AS5" s="41">
        <f t="shared" si="15"/>
        <v>27.999999999999996</v>
      </c>
      <c r="AT5" s="41">
        <f t="shared" si="16"/>
        <v>83.5</v>
      </c>
      <c r="AU5" s="41">
        <f t="shared" si="17"/>
        <v>20.399999999999999</v>
      </c>
      <c r="AV5" s="41">
        <f t="shared" si="18"/>
        <v>58.2</v>
      </c>
      <c r="AW5" s="41">
        <f t="shared" si="19"/>
        <v>112.6</v>
      </c>
      <c r="AX5" s="18">
        <v>19</v>
      </c>
      <c r="AY5" s="18">
        <v>9.1999999999999993</v>
      </c>
      <c r="AZ5" s="18">
        <v>0.3</v>
      </c>
      <c r="BA5" s="18">
        <v>0.3</v>
      </c>
      <c r="BB5" s="18">
        <v>17.8</v>
      </c>
      <c r="BC5" s="18">
        <v>9.3999999999999986</v>
      </c>
      <c r="BD5" s="18">
        <v>0.5</v>
      </c>
      <c r="BE5" s="18">
        <v>0.3</v>
      </c>
      <c r="BF5" s="18">
        <v>18.700000000000003</v>
      </c>
      <c r="BG5" s="18">
        <v>6</v>
      </c>
      <c r="BH5" s="18">
        <v>0</v>
      </c>
      <c r="BI5" s="18">
        <v>0.15</v>
      </c>
      <c r="BJ5" s="18">
        <v>19</v>
      </c>
      <c r="BK5" s="18">
        <v>9.25</v>
      </c>
      <c r="BL5" s="18">
        <v>0</v>
      </c>
      <c r="BM5" s="18">
        <v>0.44999999999999996</v>
      </c>
      <c r="BN5" s="18">
        <v>18.25</v>
      </c>
      <c r="BO5" s="18">
        <v>9.4</v>
      </c>
      <c r="BP5" s="18">
        <v>0.4</v>
      </c>
      <c r="BQ5" s="18">
        <v>0.44999999999999996</v>
      </c>
      <c r="BR5" s="29" t="s">
        <v>58</v>
      </c>
      <c r="BS5" s="11">
        <f t="shared" si="20"/>
        <v>18.599999999999998</v>
      </c>
      <c r="BT5" s="11">
        <f t="shared" si="21"/>
        <v>55.199999999999996</v>
      </c>
      <c r="BU5" s="11">
        <f t="shared" si="22"/>
        <v>24.85</v>
      </c>
      <c r="BV5" s="11">
        <f t="shared" si="23"/>
        <v>24.599999999999998</v>
      </c>
      <c r="BW5" s="11">
        <f t="shared" si="24"/>
        <v>80.05</v>
      </c>
      <c r="BX5" s="11">
        <f t="shared" si="25"/>
        <v>18.649999999999999</v>
      </c>
      <c r="BY5" s="11">
        <f t="shared" si="26"/>
        <v>56.400000000000006</v>
      </c>
      <c r="BZ5" s="11">
        <f t="shared" si="27"/>
        <v>111.6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8"/>
      <c r="CV5" s="41" t="str">
        <f t="shared" si="28"/>
        <v/>
      </c>
      <c r="CW5" s="41" t="str">
        <f t="shared" si="29"/>
        <v/>
      </c>
      <c r="CX5" s="41" t="str">
        <f t="shared" si="30"/>
        <v/>
      </c>
      <c r="CY5" s="41" t="str">
        <f t="shared" si="31"/>
        <v/>
      </c>
      <c r="CZ5" s="41" t="str">
        <f t="shared" si="32"/>
        <v/>
      </c>
      <c r="DA5" s="41" t="str">
        <f t="shared" si="33"/>
        <v/>
      </c>
      <c r="DB5" s="41" t="str">
        <f t="shared" si="34"/>
        <v/>
      </c>
      <c r="DC5" s="41" t="str">
        <f t="shared" si="35"/>
        <v/>
      </c>
      <c r="DD5" s="52" t="str">
        <f t="shared" si="36"/>
        <v/>
      </c>
      <c r="DE5" s="52" t="str">
        <f t="shared" si="37"/>
        <v/>
      </c>
      <c r="DF5" s="52" t="str">
        <f t="shared" si="38"/>
        <v/>
      </c>
      <c r="DG5" s="17">
        <v>18.600000000000001</v>
      </c>
      <c r="DH5" s="17">
        <v>7.2</v>
      </c>
      <c r="DI5" s="17">
        <v>0</v>
      </c>
      <c r="DJ5" s="17">
        <v>0</v>
      </c>
      <c r="DK5" s="17">
        <v>19.100000000000001</v>
      </c>
      <c r="DL5" s="17">
        <v>8.4</v>
      </c>
      <c r="DM5" s="17">
        <v>0.2</v>
      </c>
      <c r="DN5" s="17">
        <v>0</v>
      </c>
      <c r="DO5" s="17"/>
      <c r="DP5" s="17"/>
      <c r="DQ5" s="17"/>
      <c r="DR5" s="17"/>
      <c r="DS5" s="17">
        <v>18.2</v>
      </c>
      <c r="DT5" s="17">
        <v>6.4</v>
      </c>
      <c r="DU5" s="17">
        <v>0.8</v>
      </c>
      <c r="DV5" s="17">
        <v>0</v>
      </c>
      <c r="DW5" s="17">
        <v>17.600000000000001</v>
      </c>
      <c r="DX5" s="17">
        <v>4</v>
      </c>
      <c r="DY5" s="17">
        <v>0</v>
      </c>
      <c r="DZ5" s="17">
        <v>0</v>
      </c>
      <c r="EA5" s="41">
        <f t="shared" si="39"/>
        <v>15.600000000000001</v>
      </c>
      <c r="EB5" s="41">
        <f t="shared" si="40"/>
        <v>53.1</v>
      </c>
      <c r="EC5" s="41" t="str">
        <f t="shared" si="41"/>
        <v/>
      </c>
      <c r="ED5" s="41">
        <f t="shared" si="42"/>
        <v>15.600000000000001</v>
      </c>
      <c r="EE5" s="41">
        <f t="shared" si="43"/>
        <v>53.1</v>
      </c>
      <c r="EF5" s="41">
        <f t="shared" si="44"/>
        <v>10.4</v>
      </c>
      <c r="EG5" s="41">
        <f t="shared" si="45"/>
        <v>45.400000000000006</v>
      </c>
      <c r="EH5" s="41">
        <f t="shared" si="46"/>
        <v>98.5</v>
      </c>
      <c r="EI5" s="18">
        <v>17.399999999999999</v>
      </c>
      <c r="EJ5" s="18">
        <v>3.2</v>
      </c>
      <c r="EK5" s="18">
        <v>0</v>
      </c>
      <c r="EL5" s="18">
        <v>0</v>
      </c>
      <c r="EM5" s="18">
        <v>17.399999999999999</v>
      </c>
      <c r="EN5" s="18">
        <v>4.8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7"/>
        <v>8</v>
      </c>
      <c r="FD5" s="11">
        <f t="shared" si="48"/>
        <v>42.8</v>
      </c>
      <c r="FE5" s="11" t="str">
        <f t="shared" si="49"/>
        <v/>
      </c>
      <c r="FF5" s="11">
        <f t="shared" si="50"/>
        <v>8</v>
      </c>
      <c r="FG5" s="11">
        <f t="shared" si="51"/>
        <v>42.8</v>
      </c>
      <c r="FH5" s="11" t="str">
        <f t="shared" si="52"/>
        <v/>
      </c>
      <c r="FI5" s="11" t="str">
        <f t="shared" si="53"/>
        <v/>
      </c>
      <c r="FJ5" s="11">
        <f t="shared" si="54"/>
        <v>42.8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5"/>
        <v/>
      </c>
      <c r="GF5" s="41" t="str">
        <f t="shared" si="56"/>
        <v/>
      </c>
      <c r="GG5" s="41" t="str">
        <f t="shared" si="57"/>
        <v/>
      </c>
      <c r="GH5" s="41" t="str">
        <f t="shared" si="58"/>
        <v/>
      </c>
      <c r="GI5" s="41" t="str">
        <f t="shared" si="59"/>
        <v/>
      </c>
      <c r="GJ5" s="41" t="str">
        <f t="shared" si="60"/>
        <v/>
      </c>
      <c r="GK5" s="41" t="str">
        <f t="shared" si="61"/>
        <v/>
      </c>
      <c r="GL5" s="41" t="str">
        <f t="shared" si="62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1" t="str">
        <f t="shared" si="70"/>
        <v/>
      </c>
      <c r="HO5" s="17">
        <v>18.600000000000001</v>
      </c>
      <c r="HP5" s="17">
        <v>9.1999999999999993</v>
      </c>
      <c r="HQ5" s="17">
        <v>0</v>
      </c>
      <c r="HR5" s="17">
        <v>0</v>
      </c>
      <c r="HS5" s="17">
        <v>17.5</v>
      </c>
      <c r="HT5" s="17">
        <v>4.8</v>
      </c>
      <c r="HU5" s="17">
        <v>0</v>
      </c>
      <c r="HV5" s="17">
        <v>0</v>
      </c>
      <c r="HW5" s="17"/>
      <c r="HX5" s="17"/>
      <c r="HY5" s="17"/>
      <c r="HZ5" s="17"/>
      <c r="IA5" s="17">
        <v>18.399999999999999</v>
      </c>
      <c r="IB5" s="17">
        <v>7.6</v>
      </c>
      <c r="IC5" s="17">
        <v>0.2</v>
      </c>
      <c r="ID5" s="17">
        <v>0</v>
      </c>
      <c r="IE5" s="17"/>
      <c r="IF5" s="17"/>
      <c r="IG5" s="17"/>
      <c r="IH5" s="17"/>
      <c r="II5" s="41">
        <f t="shared" si="71"/>
        <v>14</v>
      </c>
      <c r="IJ5" s="41">
        <f t="shared" si="72"/>
        <v>50.099999999999994</v>
      </c>
      <c r="IK5" s="41" t="str">
        <f t="shared" si="73"/>
        <v/>
      </c>
      <c r="IL5" s="41">
        <f t="shared" si="74"/>
        <v>14</v>
      </c>
      <c r="IM5" s="41">
        <f t="shared" si="75"/>
        <v>50.099999999999994</v>
      </c>
      <c r="IN5" s="41">
        <f t="shared" si="76"/>
        <v>7.6</v>
      </c>
      <c r="IO5" s="41">
        <f t="shared" si="77"/>
        <v>25.8</v>
      </c>
      <c r="IP5" s="41">
        <f t="shared" si="78"/>
        <v>75.899999999999991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1" t="str">
        <f t="shared" si="86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7"/>
        <v/>
      </c>
      <c r="KN5" s="41" t="str">
        <f t="shared" si="88"/>
        <v/>
      </c>
      <c r="KO5" s="41" t="str">
        <f t="shared" si="89"/>
        <v/>
      </c>
      <c r="KP5" s="41" t="str">
        <f t="shared" si="90"/>
        <v/>
      </c>
      <c r="KQ5" s="41" t="str">
        <f t="shared" si="91"/>
        <v/>
      </c>
      <c r="KR5" s="41" t="str">
        <f t="shared" si="92"/>
        <v/>
      </c>
      <c r="KS5" s="41" t="str">
        <f t="shared" si="93"/>
        <v/>
      </c>
      <c r="KT5" s="41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3"/>
        <v/>
      </c>
      <c r="MR5" s="41" t="str">
        <f t="shared" si="104"/>
        <v/>
      </c>
      <c r="MS5" s="41" t="str">
        <f t="shared" si="105"/>
        <v/>
      </c>
      <c r="MT5" s="41" t="str">
        <f t="shared" si="106"/>
        <v/>
      </c>
      <c r="MU5" s="41" t="str">
        <f t="shared" si="107"/>
        <v/>
      </c>
      <c r="MV5" s="41" t="str">
        <f t="shared" si="108"/>
        <v/>
      </c>
      <c r="MW5" s="41" t="str">
        <f t="shared" si="109"/>
        <v/>
      </c>
      <c r="MX5" s="41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9.5</v>
      </c>
      <c r="QF5" s="23">
        <f t="shared" si="136"/>
        <v>4.5999999999999996</v>
      </c>
      <c r="QG5" s="23">
        <f t="shared" si="137"/>
        <v>0.15</v>
      </c>
      <c r="QH5" s="23">
        <f t="shared" si="138"/>
        <v>0.15</v>
      </c>
      <c r="QI5" s="23">
        <f t="shared" si="139"/>
        <v>8.9</v>
      </c>
      <c r="QJ5" s="23">
        <f t="shared" si="140"/>
        <v>4.6999999999999993</v>
      </c>
      <c r="QK5" s="23">
        <f t="shared" si="141"/>
        <v>0.25</v>
      </c>
      <c r="QL5" s="23">
        <f t="shared" si="142"/>
        <v>0.15</v>
      </c>
      <c r="QM5" s="23">
        <f t="shared" si="143"/>
        <v>9.3500000000000014</v>
      </c>
      <c r="QN5" s="23">
        <f t="shared" si="144"/>
        <v>3</v>
      </c>
      <c r="QO5" s="23">
        <f t="shared" si="145"/>
        <v>0</v>
      </c>
      <c r="QP5" s="23">
        <f t="shared" si="146"/>
        <v>7.4999999999999997E-2</v>
      </c>
      <c r="QQ5" s="23">
        <f t="shared" si="147"/>
        <v>9.5</v>
      </c>
      <c r="QR5" s="23">
        <f t="shared" si="148"/>
        <v>4.625</v>
      </c>
      <c r="QS5" s="23">
        <f t="shared" si="149"/>
        <v>0</v>
      </c>
      <c r="QT5" s="23">
        <f t="shared" si="150"/>
        <v>0.22499999999999998</v>
      </c>
      <c r="QU5" s="23">
        <f t="shared" si="151"/>
        <v>9.125</v>
      </c>
      <c r="QV5" s="23">
        <f t="shared" si="152"/>
        <v>4.7</v>
      </c>
      <c r="QW5" s="23">
        <f t="shared" si="153"/>
        <v>0.2</v>
      </c>
      <c r="QX5" s="23">
        <f t="shared" si="154"/>
        <v>0.22499999999999998</v>
      </c>
      <c r="QY5" s="28" t="s">
        <v>58</v>
      </c>
      <c r="QZ5" s="41">
        <f t="shared" si="155"/>
        <v>9.2999999999999989</v>
      </c>
      <c r="RA5" s="41">
        <f t="shared" si="156"/>
        <v>27.599999999999998</v>
      </c>
      <c r="RB5" s="41">
        <f t="shared" si="157"/>
        <v>12.425000000000001</v>
      </c>
      <c r="RC5" s="41">
        <f t="shared" si="158"/>
        <v>12.299999999999999</v>
      </c>
      <c r="RD5" s="41">
        <f t="shared" si="159"/>
        <v>40.024999999999999</v>
      </c>
      <c r="RE5" s="41">
        <f t="shared" si="160"/>
        <v>9.3249999999999993</v>
      </c>
      <c r="RF5" s="41">
        <f t="shared" si="161"/>
        <v>28.200000000000003</v>
      </c>
      <c r="RG5" s="41">
        <f t="shared" si="162"/>
        <v>55.8</v>
      </c>
    </row>
    <row r="6" spans="1:475" x14ac:dyDescent="0.2">
      <c r="A6" s="4">
        <f t="shared" ref="A6:A28" si="164">IF(AND(F6="P",G6="P"),SUMPRODUCT((F$4:F$29="P")*(G$4:G$29="P")*(E$4:E$29&gt;E6))+1,IF(G6="P",SUMPRODUCT((F$4:F$29="")*(G$4:G$29="P")*(E$4:E$29&gt;E6))+1+SUMPRODUCT((F$4:F$29="P")*(G$4:G$29="P")),""))</f>
        <v>3</v>
      </c>
      <c r="B6" s="5" t="s">
        <v>89</v>
      </c>
      <c r="C6" s="4" t="s">
        <v>5</v>
      </c>
      <c r="D6" s="4">
        <v>2003</v>
      </c>
      <c r="E6" s="9">
        <f t="shared" si="163"/>
        <v>184.68001304800521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52.3</v>
      </c>
      <c r="K6" s="8" t="str">
        <f t="shared" si="4"/>
        <v>2022 3rd Domestic Trial</v>
      </c>
      <c r="L6" s="8">
        <f>IF(COUNT(AQ6,BT6,CW6)&gt;1,LARGE((AQ6,BT6,CW6),2),0)</f>
        <v>50.800000000000004</v>
      </c>
      <c r="M6" s="8" t="str">
        <f t="shared" si="5"/>
        <v>2023 Elite Canada</v>
      </c>
      <c r="N6" s="8">
        <f>IF(COUNT(AR6,BU6,CX6)&gt;0,LARGE((AR6,BU6,CX6),1),0)</f>
        <v>27.380000000000003</v>
      </c>
      <c r="O6" s="8" t="str">
        <f t="shared" si="6"/>
        <v>2022 3rd Domestic Trial</v>
      </c>
      <c r="P6" s="8">
        <f t="shared" si="7"/>
        <v>52.8</v>
      </c>
      <c r="Q6" s="8" t="str">
        <f t="shared" si="8"/>
        <v>2022 Nationals</v>
      </c>
      <c r="R6" s="8">
        <f t="shared" si="9"/>
        <v>1.3999999999999986</v>
      </c>
      <c r="S6" s="11" t="str">
        <f t="shared" si="10"/>
        <v>(Q1)</v>
      </c>
      <c r="T6" s="8" t="str">
        <f t="shared" si="11"/>
        <v>2022 Worlds (Nov 18)</v>
      </c>
      <c r="U6" s="19">
        <v>19</v>
      </c>
      <c r="V6" s="19">
        <v>8</v>
      </c>
      <c r="W6" s="19">
        <v>0.6</v>
      </c>
      <c r="X6" s="19">
        <v>0.3</v>
      </c>
      <c r="Y6" s="19">
        <v>17.399999999999999</v>
      </c>
      <c r="Z6" s="19">
        <v>4</v>
      </c>
      <c r="AA6" s="19">
        <v>0</v>
      </c>
      <c r="AB6" s="19">
        <v>0</v>
      </c>
      <c r="AC6" s="19">
        <v>19.3</v>
      </c>
      <c r="AD6" s="19">
        <v>6.8</v>
      </c>
      <c r="AE6" s="19">
        <v>0</v>
      </c>
      <c r="AF6" s="19">
        <v>0</v>
      </c>
      <c r="AG6" s="19">
        <v>18.7</v>
      </c>
      <c r="AH6" s="19">
        <v>8</v>
      </c>
      <c r="AI6" s="19">
        <v>0.6</v>
      </c>
      <c r="AJ6" s="19">
        <v>0.3</v>
      </c>
      <c r="AK6" s="19">
        <v>18.600000000000001</v>
      </c>
      <c r="AL6" s="19">
        <v>8.4</v>
      </c>
      <c r="AM6" s="19">
        <v>0.6</v>
      </c>
      <c r="AN6" s="19">
        <v>0</v>
      </c>
      <c r="AO6" s="28"/>
      <c r="AP6" s="41">
        <f t="shared" si="12"/>
        <v>12</v>
      </c>
      <c r="AQ6" s="41">
        <f t="shared" si="13"/>
        <v>48.1</v>
      </c>
      <c r="AR6" s="41">
        <f t="shared" si="14"/>
        <v>26.1</v>
      </c>
      <c r="AS6" s="41">
        <f t="shared" si="15"/>
        <v>18.8</v>
      </c>
      <c r="AT6" s="41">
        <f t="shared" si="16"/>
        <v>74.2</v>
      </c>
      <c r="AU6" s="41">
        <f t="shared" si="17"/>
        <v>16.399999999999999</v>
      </c>
      <c r="AV6" s="41">
        <f t="shared" si="18"/>
        <v>52.8</v>
      </c>
      <c r="AW6" s="41">
        <f t="shared" si="19"/>
        <v>100.9</v>
      </c>
      <c r="AX6" s="18">
        <v>19.2</v>
      </c>
      <c r="AY6" s="18">
        <v>7.6</v>
      </c>
      <c r="AZ6" s="18">
        <v>0.6</v>
      </c>
      <c r="BA6" s="18">
        <v>0.3</v>
      </c>
      <c r="BB6" s="18">
        <v>18.8</v>
      </c>
      <c r="BC6" s="18">
        <v>7.2</v>
      </c>
      <c r="BD6" s="18">
        <v>0.2</v>
      </c>
      <c r="BE6" s="18">
        <v>0</v>
      </c>
      <c r="BF6" s="18">
        <v>18.98</v>
      </c>
      <c r="BG6" s="18">
        <v>8.4</v>
      </c>
      <c r="BH6" s="18">
        <v>0</v>
      </c>
      <c r="BI6" s="18">
        <v>0</v>
      </c>
      <c r="BJ6" s="18">
        <v>18.7</v>
      </c>
      <c r="BK6" s="18">
        <v>6.8</v>
      </c>
      <c r="BL6" s="18">
        <v>0</v>
      </c>
      <c r="BM6" s="18">
        <v>0</v>
      </c>
      <c r="BN6" s="18">
        <v>18.899999999999999</v>
      </c>
      <c r="BO6" s="18">
        <v>6.4</v>
      </c>
      <c r="BP6" s="18">
        <v>0.6</v>
      </c>
      <c r="BQ6" s="18">
        <v>0</v>
      </c>
      <c r="BR6" s="29"/>
      <c r="BS6" s="11">
        <f t="shared" si="20"/>
        <v>14.8</v>
      </c>
      <c r="BT6" s="11">
        <f t="shared" si="21"/>
        <v>52.3</v>
      </c>
      <c r="BU6" s="11">
        <f t="shared" si="22"/>
        <v>27.380000000000003</v>
      </c>
      <c r="BV6" s="11">
        <f t="shared" si="23"/>
        <v>23.200000000000003</v>
      </c>
      <c r="BW6" s="11">
        <f t="shared" si="24"/>
        <v>79.680000000000007</v>
      </c>
      <c r="BX6" s="11">
        <f t="shared" si="25"/>
        <v>13.2</v>
      </c>
      <c r="BY6" s="11">
        <f t="shared" si="26"/>
        <v>50.199999999999996</v>
      </c>
      <c r="BZ6" s="11">
        <f t="shared" si="27"/>
        <v>102.5</v>
      </c>
      <c r="CA6" s="19">
        <v>18.2</v>
      </c>
      <c r="CB6" s="19">
        <v>8.4</v>
      </c>
      <c r="CC6" s="19">
        <v>0.6</v>
      </c>
      <c r="CD6" s="19">
        <v>0</v>
      </c>
      <c r="CE6" s="19">
        <v>17.8</v>
      </c>
      <c r="CF6" s="19">
        <v>7.6</v>
      </c>
      <c r="CG6" s="19">
        <v>0.6</v>
      </c>
      <c r="CH6" s="19">
        <v>0</v>
      </c>
      <c r="CI6" s="19">
        <v>18.8</v>
      </c>
      <c r="CJ6" s="19">
        <v>7.6</v>
      </c>
      <c r="CK6" s="19">
        <v>0</v>
      </c>
      <c r="CL6" s="19">
        <v>0.3</v>
      </c>
      <c r="CM6" s="19">
        <v>18.3</v>
      </c>
      <c r="CN6" s="19">
        <v>7.2</v>
      </c>
      <c r="CO6" s="19">
        <v>0</v>
      </c>
      <c r="CP6" s="19">
        <v>0</v>
      </c>
      <c r="CQ6" s="19">
        <v>18.8</v>
      </c>
      <c r="CR6" s="19">
        <v>7.6</v>
      </c>
      <c r="CS6" s="19">
        <v>0.6</v>
      </c>
      <c r="CT6" s="19">
        <v>0</v>
      </c>
      <c r="CU6" s="28"/>
      <c r="CV6" s="41">
        <f t="shared" si="28"/>
        <v>16</v>
      </c>
      <c r="CW6" s="41">
        <f t="shared" si="29"/>
        <v>50.800000000000004</v>
      </c>
      <c r="CX6" s="41">
        <f t="shared" si="30"/>
        <v>26.7</v>
      </c>
      <c r="CY6" s="41">
        <f t="shared" si="31"/>
        <v>23.6</v>
      </c>
      <c r="CZ6" s="41">
        <f t="shared" si="32"/>
        <v>77.5</v>
      </c>
      <c r="DA6" s="41">
        <f t="shared" si="33"/>
        <v>14.8</v>
      </c>
      <c r="DB6" s="41">
        <f t="shared" si="34"/>
        <v>51.3</v>
      </c>
      <c r="DC6" s="41">
        <f t="shared" si="35"/>
        <v>102.1</v>
      </c>
      <c r="DD6" s="52">
        <f t="shared" si="36"/>
        <v>1.3999999999999986</v>
      </c>
      <c r="DE6" s="52" t="str">
        <f t="shared" si="37"/>
        <v/>
      </c>
      <c r="DF6" s="52" t="str">
        <f t="shared" si="38"/>
        <v/>
      </c>
      <c r="DG6" s="17">
        <v>19</v>
      </c>
      <c r="DH6" s="17">
        <v>8</v>
      </c>
      <c r="DI6" s="17">
        <v>0.8</v>
      </c>
      <c r="DJ6" s="17">
        <v>0.3</v>
      </c>
      <c r="DK6" s="17">
        <v>18.399999999999999</v>
      </c>
      <c r="DL6" s="17">
        <v>6.8</v>
      </c>
      <c r="DM6" s="17">
        <v>0.8</v>
      </c>
      <c r="DN6" s="17">
        <v>0</v>
      </c>
      <c r="DO6" s="17"/>
      <c r="DP6" s="17"/>
      <c r="DQ6" s="17"/>
      <c r="DR6" s="17"/>
      <c r="DS6" s="17">
        <v>17.600000000000001</v>
      </c>
      <c r="DT6" s="17">
        <v>2.8</v>
      </c>
      <c r="DU6" s="17">
        <v>0</v>
      </c>
      <c r="DV6" s="17">
        <v>0</v>
      </c>
      <c r="DW6" s="17">
        <v>18.8</v>
      </c>
      <c r="DX6" s="17">
        <v>4.5999999999999996</v>
      </c>
      <c r="DY6" s="17">
        <v>1.4</v>
      </c>
      <c r="DZ6" s="17">
        <v>0</v>
      </c>
      <c r="EA6" s="41">
        <f t="shared" si="39"/>
        <v>14.8</v>
      </c>
      <c r="EB6" s="41">
        <f t="shared" si="40"/>
        <v>50.900000000000006</v>
      </c>
      <c r="EC6" s="41" t="str">
        <f t="shared" si="41"/>
        <v/>
      </c>
      <c r="ED6" s="41">
        <f t="shared" si="42"/>
        <v>14.8</v>
      </c>
      <c r="EE6" s="41">
        <f t="shared" si="43"/>
        <v>50.900000000000006</v>
      </c>
      <c r="EF6" s="41">
        <f t="shared" si="44"/>
        <v>7.3999999999999995</v>
      </c>
      <c r="EG6" s="41">
        <f t="shared" si="45"/>
        <v>42.400000000000006</v>
      </c>
      <c r="EH6" s="41">
        <f t="shared" si="46"/>
        <v>93.300000000000011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1"/>
        <v/>
      </c>
      <c r="IJ6" s="41" t="str">
        <f t="shared" si="72"/>
        <v/>
      </c>
      <c r="IK6" s="41" t="str">
        <f t="shared" si="73"/>
        <v/>
      </c>
      <c r="IL6" s="41" t="str">
        <f t="shared" si="74"/>
        <v/>
      </c>
      <c r="IM6" s="41" t="str">
        <f t="shared" si="75"/>
        <v/>
      </c>
      <c r="IN6" s="41" t="str">
        <f t="shared" si="76"/>
        <v/>
      </c>
      <c r="IO6" s="41" t="str">
        <f t="shared" si="77"/>
        <v/>
      </c>
      <c r="IP6" s="41" t="str">
        <f t="shared" si="78"/>
        <v/>
      </c>
      <c r="IQ6" s="18">
        <v>18.399999999999999</v>
      </c>
      <c r="IR6" s="18">
        <v>7.6</v>
      </c>
      <c r="IS6" s="18">
        <v>0</v>
      </c>
      <c r="IT6" s="18">
        <v>0</v>
      </c>
      <c r="IU6" s="18">
        <v>18.2</v>
      </c>
      <c r="IV6" s="18">
        <v>8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79"/>
        <v>15.6</v>
      </c>
      <c r="JL6" s="11">
        <f t="shared" si="80"/>
        <v>52.2</v>
      </c>
      <c r="JM6" s="11" t="str">
        <f t="shared" si="81"/>
        <v/>
      </c>
      <c r="JN6" s="11">
        <f t="shared" si="82"/>
        <v>15.6</v>
      </c>
      <c r="JO6" s="11">
        <f t="shared" si="83"/>
        <v>52.2</v>
      </c>
      <c r="JP6" s="11" t="str">
        <f t="shared" si="84"/>
        <v/>
      </c>
      <c r="JQ6" s="11" t="str">
        <f t="shared" si="85"/>
        <v/>
      </c>
      <c r="JR6" s="11">
        <f t="shared" si="86"/>
        <v>52.2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>
        <v>18.3</v>
      </c>
      <c r="KJ6" s="17">
        <v>5.6</v>
      </c>
      <c r="KK6" s="17">
        <v>0.6</v>
      </c>
      <c r="KL6" s="17">
        <v>0</v>
      </c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>
        <f t="shared" si="92"/>
        <v>5.6</v>
      </c>
      <c r="KS6" s="41">
        <f t="shared" si="93"/>
        <v>23.299999999999997</v>
      </c>
      <c r="KT6" s="41">
        <f t="shared" si="94"/>
        <v>23.299999999999997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9"/>
        <v/>
      </c>
      <c r="OV6" s="41" t="str">
        <f t="shared" si="120"/>
        <v/>
      </c>
      <c r="OW6" s="41" t="str">
        <f t="shared" si="121"/>
        <v/>
      </c>
      <c r="OX6" s="41" t="str">
        <f t="shared" si="122"/>
        <v/>
      </c>
      <c r="OY6" s="41" t="str">
        <f t="shared" si="123"/>
        <v/>
      </c>
      <c r="OZ6" s="41" t="str">
        <f t="shared" si="124"/>
        <v/>
      </c>
      <c r="PA6" s="41" t="str">
        <f t="shared" si="125"/>
        <v/>
      </c>
      <c r="PB6" s="41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18.7</v>
      </c>
      <c r="QF6" s="23">
        <f t="shared" si="136"/>
        <v>8</v>
      </c>
      <c r="QG6" s="23">
        <f t="shared" si="137"/>
        <v>0.6</v>
      </c>
      <c r="QH6" s="23">
        <f t="shared" si="138"/>
        <v>0.15</v>
      </c>
      <c r="QI6" s="23">
        <f t="shared" si="139"/>
        <v>18.3</v>
      </c>
      <c r="QJ6" s="23">
        <f t="shared" si="140"/>
        <v>7.4</v>
      </c>
      <c r="QK6" s="23">
        <f t="shared" si="141"/>
        <v>0.4</v>
      </c>
      <c r="QL6" s="23">
        <f t="shared" si="142"/>
        <v>0</v>
      </c>
      <c r="QM6" s="23">
        <f t="shared" si="143"/>
        <v>18.89</v>
      </c>
      <c r="QN6" s="23">
        <f t="shared" si="144"/>
        <v>8</v>
      </c>
      <c r="QO6" s="23">
        <f t="shared" si="145"/>
        <v>0</v>
      </c>
      <c r="QP6" s="23">
        <f t="shared" si="146"/>
        <v>0.15</v>
      </c>
      <c r="QQ6" s="23">
        <f t="shared" si="147"/>
        <v>18.5</v>
      </c>
      <c r="QR6" s="23">
        <f t="shared" si="148"/>
        <v>7</v>
      </c>
      <c r="QS6" s="23">
        <f t="shared" si="149"/>
        <v>0</v>
      </c>
      <c r="QT6" s="23">
        <f t="shared" si="150"/>
        <v>0</v>
      </c>
      <c r="QU6" s="23">
        <f t="shared" si="151"/>
        <v>18.850000000000001</v>
      </c>
      <c r="QV6" s="23">
        <f t="shared" si="152"/>
        <v>7</v>
      </c>
      <c r="QW6" s="23">
        <f t="shared" si="153"/>
        <v>0.6</v>
      </c>
      <c r="QX6" s="23">
        <f t="shared" si="154"/>
        <v>0</v>
      </c>
      <c r="QY6" s="28" t="s">
        <v>58</v>
      </c>
      <c r="QZ6" s="41">
        <f t="shared" si="155"/>
        <v>15.4</v>
      </c>
      <c r="RA6" s="41">
        <f t="shared" si="156"/>
        <v>51.55</v>
      </c>
      <c r="RB6" s="41">
        <f t="shared" si="157"/>
        <v>27.04</v>
      </c>
      <c r="RC6" s="41">
        <f t="shared" si="158"/>
        <v>23.4</v>
      </c>
      <c r="RD6" s="41">
        <f t="shared" si="159"/>
        <v>78.59</v>
      </c>
      <c r="RE6" s="41">
        <f t="shared" si="160"/>
        <v>14</v>
      </c>
      <c r="RF6" s="41">
        <f t="shared" si="161"/>
        <v>50.75</v>
      </c>
      <c r="RG6" s="41">
        <f t="shared" si="162"/>
        <v>102.3</v>
      </c>
    </row>
    <row r="7" spans="1:475" x14ac:dyDescent="0.2">
      <c r="A7" s="4">
        <f t="shared" si="164"/>
        <v>4</v>
      </c>
      <c r="B7" s="5" t="s">
        <v>192</v>
      </c>
      <c r="C7" s="4" t="s">
        <v>5</v>
      </c>
      <c r="D7" s="4">
        <v>1999</v>
      </c>
      <c r="E7" s="9">
        <f t="shared" si="163"/>
        <v>184.10001313000529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53.199999999999996</v>
      </c>
      <c r="K7" s="8" t="str">
        <f t="shared" si="4"/>
        <v>2022 Nationals</v>
      </c>
      <c r="L7" s="8">
        <f>IF(COUNT(AQ7,BT7,CW7)&gt;1,LARGE((AQ7,BT7,CW7),2),0)</f>
        <v>52.5</v>
      </c>
      <c r="M7" s="8" t="str">
        <f t="shared" si="5"/>
        <v>2022 3rd Domestic Trial</v>
      </c>
      <c r="N7" s="8">
        <f>IF(COUNT(AR7,BU7,CX7)&gt;0,LARGE((AR7,BU7,CX7),1),0)</f>
        <v>25.6</v>
      </c>
      <c r="O7" s="8" t="str">
        <f t="shared" si="6"/>
        <v>2022 3rd Domestic Trial</v>
      </c>
      <c r="P7" s="8">
        <f t="shared" si="7"/>
        <v>52.8</v>
      </c>
      <c r="Q7" s="8" t="str">
        <f t="shared" si="8"/>
        <v>2022 3rd Domestic Trial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18.8</v>
      </c>
      <c r="V7" s="19">
        <v>7.6</v>
      </c>
      <c r="W7" s="19">
        <v>0</v>
      </c>
      <c r="X7" s="19">
        <v>0</v>
      </c>
      <c r="Y7" s="19">
        <v>19</v>
      </c>
      <c r="Z7" s="19">
        <v>8</v>
      </c>
      <c r="AA7" s="19">
        <v>0.2</v>
      </c>
      <c r="AB7" s="19">
        <v>0</v>
      </c>
      <c r="AC7" s="19">
        <v>19</v>
      </c>
      <c r="AD7" s="19">
        <v>6.4</v>
      </c>
      <c r="AE7" s="19">
        <v>0</v>
      </c>
      <c r="AF7" s="19">
        <v>0</v>
      </c>
      <c r="AG7" s="19">
        <v>18.7</v>
      </c>
      <c r="AH7" s="19">
        <v>7.6</v>
      </c>
      <c r="AI7" s="19">
        <v>1</v>
      </c>
      <c r="AJ7" s="19">
        <v>0</v>
      </c>
      <c r="AK7" s="19">
        <v>18.5</v>
      </c>
      <c r="AL7" s="19">
        <v>8</v>
      </c>
      <c r="AM7" s="19">
        <v>0</v>
      </c>
      <c r="AN7" s="19">
        <v>0</v>
      </c>
      <c r="AO7" s="28"/>
      <c r="AP7" s="41">
        <f t="shared" si="12"/>
        <v>15.6</v>
      </c>
      <c r="AQ7" s="41">
        <f t="shared" si="13"/>
        <v>53.199999999999996</v>
      </c>
      <c r="AR7" s="41">
        <f t="shared" si="14"/>
        <v>25.4</v>
      </c>
      <c r="AS7" s="41">
        <f t="shared" si="15"/>
        <v>22</v>
      </c>
      <c r="AT7" s="41">
        <f t="shared" si="16"/>
        <v>78.599999999999994</v>
      </c>
      <c r="AU7" s="41">
        <f t="shared" si="17"/>
        <v>15.6</v>
      </c>
      <c r="AV7" s="41">
        <f t="shared" si="18"/>
        <v>51.8</v>
      </c>
      <c r="AW7" s="41">
        <f t="shared" si="19"/>
        <v>105</v>
      </c>
      <c r="AX7" s="18">
        <v>18.8</v>
      </c>
      <c r="AY7" s="18">
        <v>7.6</v>
      </c>
      <c r="AZ7" s="18">
        <v>0.8</v>
      </c>
      <c r="BA7" s="18">
        <v>0</v>
      </c>
      <c r="BB7" s="18">
        <v>18.899999999999999</v>
      </c>
      <c r="BC7" s="18">
        <v>8</v>
      </c>
      <c r="BD7" s="18">
        <v>0</v>
      </c>
      <c r="BE7" s="18">
        <v>0</v>
      </c>
      <c r="BF7" s="18">
        <v>18.8</v>
      </c>
      <c r="BG7" s="18">
        <v>6.8</v>
      </c>
      <c r="BH7" s="18">
        <v>0</v>
      </c>
      <c r="BI7" s="18">
        <v>0</v>
      </c>
      <c r="BJ7" s="18">
        <v>18.8</v>
      </c>
      <c r="BK7" s="18">
        <v>7.6</v>
      </c>
      <c r="BL7" s="18">
        <v>0</v>
      </c>
      <c r="BM7" s="18">
        <v>0</v>
      </c>
      <c r="BN7" s="18">
        <v>18.600000000000001</v>
      </c>
      <c r="BO7" s="18">
        <v>8</v>
      </c>
      <c r="BP7" s="18">
        <v>0.2</v>
      </c>
      <c r="BQ7" s="18">
        <v>0</v>
      </c>
      <c r="BR7" s="29"/>
      <c r="BS7" s="11">
        <f t="shared" si="20"/>
        <v>15.6</v>
      </c>
      <c r="BT7" s="11">
        <f t="shared" si="21"/>
        <v>52.5</v>
      </c>
      <c r="BU7" s="11">
        <f t="shared" si="22"/>
        <v>25.6</v>
      </c>
      <c r="BV7" s="11">
        <f t="shared" si="23"/>
        <v>22.4</v>
      </c>
      <c r="BW7" s="11">
        <f t="shared" si="24"/>
        <v>78.099999999999994</v>
      </c>
      <c r="BX7" s="11">
        <f t="shared" si="25"/>
        <v>15.6</v>
      </c>
      <c r="BY7" s="11">
        <f t="shared" si="26"/>
        <v>52.8</v>
      </c>
      <c r="BZ7" s="11">
        <f t="shared" si="27"/>
        <v>105.3</v>
      </c>
      <c r="CA7" s="19">
        <v>18.399999999999999</v>
      </c>
      <c r="CB7" s="19">
        <v>7.6</v>
      </c>
      <c r="CC7" s="19">
        <v>0.6</v>
      </c>
      <c r="CD7" s="19">
        <v>0</v>
      </c>
      <c r="CE7" s="19">
        <v>16.5</v>
      </c>
      <c r="CF7" s="19">
        <v>7.2</v>
      </c>
      <c r="CG7" s="19">
        <v>1</v>
      </c>
      <c r="CH7" s="19">
        <v>0</v>
      </c>
      <c r="CI7" s="19">
        <v>18.3</v>
      </c>
      <c r="CJ7" s="19">
        <v>5.2</v>
      </c>
      <c r="CK7" s="19">
        <v>1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 t="shared" si="28"/>
        <v>14.8</v>
      </c>
      <c r="CW7" s="41">
        <f t="shared" si="29"/>
        <v>48.1</v>
      </c>
      <c r="CX7" s="41">
        <f t="shared" si="30"/>
        <v>22.5</v>
      </c>
      <c r="CY7" s="41">
        <f t="shared" si="31"/>
        <v>20</v>
      </c>
      <c r="CZ7" s="41">
        <f t="shared" si="32"/>
        <v>70.599999999999994</v>
      </c>
      <c r="DA7" s="41" t="str">
        <f t="shared" si="33"/>
        <v/>
      </c>
      <c r="DB7" s="41" t="str">
        <f t="shared" si="34"/>
        <v/>
      </c>
      <c r="DC7" s="41">
        <f t="shared" si="35"/>
        <v>48.1</v>
      </c>
      <c r="DD7" s="52" t="str">
        <f t="shared" si="36"/>
        <v/>
      </c>
      <c r="DE7" s="52" t="str">
        <f t="shared" si="37"/>
        <v/>
      </c>
      <c r="DF7" s="52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39"/>
        <v/>
      </c>
      <c r="EB7" s="41" t="str">
        <f t="shared" si="40"/>
        <v/>
      </c>
      <c r="EC7" s="41" t="str">
        <f t="shared" si="41"/>
        <v/>
      </c>
      <c r="ED7" s="41" t="str">
        <f t="shared" si="42"/>
        <v/>
      </c>
      <c r="EE7" s="41" t="str">
        <f t="shared" si="43"/>
        <v/>
      </c>
      <c r="EF7" s="41" t="str">
        <f t="shared" si="44"/>
        <v/>
      </c>
      <c r="EG7" s="41" t="str">
        <f t="shared" si="45"/>
        <v/>
      </c>
      <c r="EH7" s="41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1"/>
        <v/>
      </c>
      <c r="IJ7" s="41" t="str">
        <f t="shared" si="72"/>
        <v/>
      </c>
      <c r="IK7" s="41" t="str">
        <f t="shared" si="73"/>
        <v/>
      </c>
      <c r="IL7" s="41" t="str">
        <f t="shared" si="74"/>
        <v/>
      </c>
      <c r="IM7" s="41" t="str">
        <f t="shared" si="75"/>
        <v/>
      </c>
      <c r="IN7" s="41" t="str">
        <f t="shared" si="76"/>
        <v/>
      </c>
      <c r="IO7" s="41" t="str">
        <f t="shared" si="77"/>
        <v/>
      </c>
      <c r="IP7" s="41" t="str">
        <f t="shared" si="78"/>
        <v/>
      </c>
      <c r="IQ7" s="18">
        <v>18.2</v>
      </c>
      <c r="IR7" s="18">
        <v>8.4</v>
      </c>
      <c r="IS7" s="18">
        <v>1</v>
      </c>
      <c r="IT7" s="18">
        <v>0</v>
      </c>
      <c r="IU7" s="18">
        <v>18.399999999999999</v>
      </c>
      <c r="IV7" s="18">
        <v>7.6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 t="shared" si="79"/>
        <v>16</v>
      </c>
      <c r="JL7" s="11">
        <f t="shared" si="80"/>
        <v>51.6</v>
      </c>
      <c r="JM7" s="11" t="str">
        <f t="shared" si="81"/>
        <v/>
      </c>
      <c r="JN7" s="11">
        <f t="shared" si="82"/>
        <v>16</v>
      </c>
      <c r="JO7" s="11">
        <f t="shared" si="83"/>
        <v>51.6</v>
      </c>
      <c r="JP7" s="11" t="str">
        <f t="shared" si="84"/>
        <v/>
      </c>
      <c r="JQ7" s="11" t="str">
        <f t="shared" si="85"/>
        <v/>
      </c>
      <c r="JR7" s="11">
        <f t="shared" si="86"/>
        <v>51.6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>
        <v>18</v>
      </c>
      <c r="KJ7" s="17">
        <v>7.6</v>
      </c>
      <c r="KK7" s="17">
        <v>1</v>
      </c>
      <c r="KL7" s="17">
        <v>0</v>
      </c>
      <c r="KM7" s="41" t="str">
        <f t="shared" si="87"/>
        <v/>
      </c>
      <c r="KN7" s="41" t="str">
        <f t="shared" si="88"/>
        <v/>
      </c>
      <c r="KO7" s="41" t="str">
        <f t="shared" si="89"/>
        <v/>
      </c>
      <c r="KP7" s="41" t="str">
        <f t="shared" si="90"/>
        <v/>
      </c>
      <c r="KQ7" s="41" t="str">
        <f t="shared" si="91"/>
        <v/>
      </c>
      <c r="KR7" s="41">
        <f t="shared" si="92"/>
        <v>7.6</v>
      </c>
      <c r="KS7" s="41">
        <f t="shared" si="93"/>
        <v>24.6</v>
      </c>
      <c r="KT7" s="41">
        <f t="shared" si="94"/>
        <v>24.6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9"/>
        <v/>
      </c>
      <c r="OV7" s="41" t="str">
        <f t="shared" si="120"/>
        <v/>
      </c>
      <c r="OW7" s="41" t="str">
        <f t="shared" si="121"/>
        <v/>
      </c>
      <c r="OX7" s="41" t="str">
        <f t="shared" si="122"/>
        <v/>
      </c>
      <c r="OY7" s="41" t="str">
        <f t="shared" si="123"/>
        <v/>
      </c>
      <c r="OZ7" s="41" t="str">
        <f t="shared" si="124"/>
        <v/>
      </c>
      <c r="PA7" s="41" t="str">
        <f t="shared" si="125"/>
        <v/>
      </c>
      <c r="PB7" s="41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18.600000000000001</v>
      </c>
      <c r="QF7" s="23">
        <f t="shared" si="136"/>
        <v>7.6</v>
      </c>
      <c r="QG7" s="23">
        <f t="shared" si="137"/>
        <v>0.7</v>
      </c>
      <c r="QH7" s="23">
        <f t="shared" si="138"/>
        <v>0</v>
      </c>
      <c r="QI7" s="23">
        <f t="shared" si="139"/>
        <v>17.7</v>
      </c>
      <c r="QJ7" s="23">
        <f t="shared" si="140"/>
        <v>7.6</v>
      </c>
      <c r="QK7" s="23">
        <f t="shared" si="141"/>
        <v>0.5</v>
      </c>
      <c r="QL7" s="23">
        <f t="shared" si="142"/>
        <v>0</v>
      </c>
      <c r="QM7" s="23">
        <f t="shared" si="143"/>
        <v>18.55</v>
      </c>
      <c r="QN7" s="23">
        <f t="shared" si="144"/>
        <v>6</v>
      </c>
      <c r="QO7" s="23">
        <f t="shared" si="145"/>
        <v>0.5</v>
      </c>
      <c r="QP7" s="23">
        <f t="shared" si="146"/>
        <v>0</v>
      </c>
      <c r="QQ7" s="23">
        <f t="shared" si="147"/>
        <v>9.4</v>
      </c>
      <c r="QR7" s="23">
        <f t="shared" si="148"/>
        <v>3.8</v>
      </c>
      <c r="QS7" s="23">
        <f t="shared" si="149"/>
        <v>0</v>
      </c>
      <c r="QT7" s="23">
        <f t="shared" si="150"/>
        <v>0</v>
      </c>
      <c r="QU7" s="23">
        <f t="shared" si="151"/>
        <v>9.3000000000000007</v>
      </c>
      <c r="QV7" s="23">
        <f t="shared" si="152"/>
        <v>4</v>
      </c>
      <c r="QW7" s="23">
        <f t="shared" si="153"/>
        <v>0.1</v>
      </c>
      <c r="QX7" s="23">
        <f t="shared" si="154"/>
        <v>0</v>
      </c>
      <c r="QY7" s="28" t="s">
        <v>58</v>
      </c>
      <c r="QZ7" s="41">
        <f t="shared" si="155"/>
        <v>15.2</v>
      </c>
      <c r="RA7" s="41">
        <f t="shared" si="156"/>
        <v>50.300000000000004</v>
      </c>
      <c r="RB7" s="41">
        <f t="shared" si="157"/>
        <v>24.05</v>
      </c>
      <c r="RC7" s="41">
        <f t="shared" si="158"/>
        <v>21.2</v>
      </c>
      <c r="RD7" s="41">
        <f t="shared" si="159"/>
        <v>74.350000000000009</v>
      </c>
      <c r="RE7" s="41">
        <f t="shared" si="160"/>
        <v>7.8</v>
      </c>
      <c r="RF7" s="41">
        <f t="shared" si="161"/>
        <v>26.4</v>
      </c>
      <c r="RG7" s="41">
        <f t="shared" si="162"/>
        <v>76.7</v>
      </c>
    </row>
    <row r="8" spans="1:475" x14ac:dyDescent="0.2">
      <c r="A8" s="4">
        <f t="shared" si="164"/>
        <v>5</v>
      </c>
      <c r="B8" s="5" t="s">
        <v>86</v>
      </c>
      <c r="C8" s="4" t="s">
        <v>5</v>
      </c>
      <c r="D8" s="4">
        <v>2002</v>
      </c>
      <c r="E8" s="9">
        <f t="shared" si="163"/>
        <v>180.80001010000487</v>
      </c>
      <c r="F8" s="3" t="str">
        <f t="shared" si="0"/>
        <v>P</v>
      </c>
      <c r="G8" s="3" t="str">
        <f t="shared" si="1"/>
        <v>P</v>
      </c>
      <c r="H8" s="37" t="str">
        <f t="shared" si="2"/>
        <v>National Team</v>
      </c>
      <c r="I8" s="3" t="str">
        <f t="shared" si="3"/>
        <v/>
      </c>
      <c r="J8" s="8">
        <f>IF(COUNT(AQ8,BT8,CW8)&gt;0,LARGE((AQ8,BT8,CW8),1),0)</f>
        <v>49</v>
      </c>
      <c r="K8" s="8" t="str">
        <f t="shared" si="4"/>
        <v>2022 3rd Domestic Trial</v>
      </c>
      <c r="L8" s="8">
        <f>IF(COUNT(AQ8,BT8,CW8)&gt;1,LARGE((AQ8,BT8,CW8),2),0)</f>
        <v>25.400000000000002</v>
      </c>
      <c r="M8" s="8" t="str">
        <f t="shared" si="5"/>
        <v>2022 Nationals</v>
      </c>
      <c r="N8" s="8">
        <f>IF(COUNT(AR8,BU8,CX8)&gt;0,LARGE((AR8,BU8,CX8),1),0)</f>
        <v>26.6</v>
      </c>
      <c r="O8" s="8" t="str">
        <f t="shared" si="6"/>
        <v>2023 Elite Canada</v>
      </c>
      <c r="P8" s="8">
        <f t="shared" si="7"/>
        <v>52.099999999999994</v>
      </c>
      <c r="Q8" s="8" t="str">
        <f t="shared" si="8"/>
        <v>2022 3rd Domestic Trial</v>
      </c>
      <c r="R8" s="8">
        <f t="shared" si="9"/>
        <v>27.699999999999992</v>
      </c>
      <c r="S8" s="11" t="str">
        <f t="shared" si="10"/>
        <v>(Q1)</v>
      </c>
      <c r="T8" s="8" t="str">
        <f t="shared" si="11"/>
        <v>2022 World Games Technical Trial #2 (May 15)</v>
      </c>
      <c r="U8" s="19">
        <v>0</v>
      </c>
      <c r="V8" s="19">
        <v>0</v>
      </c>
      <c r="W8" s="19">
        <v>0</v>
      </c>
      <c r="X8" s="19">
        <v>0</v>
      </c>
      <c r="Y8" s="19">
        <v>18.600000000000001</v>
      </c>
      <c r="Z8" s="19">
        <v>6.8</v>
      </c>
      <c r="AA8" s="19">
        <v>0</v>
      </c>
      <c r="AB8" s="19">
        <v>0</v>
      </c>
      <c r="AC8" s="19">
        <v>18.399999999999999</v>
      </c>
      <c r="AD8" s="19">
        <v>7.2</v>
      </c>
      <c r="AE8" s="19">
        <v>0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 t="shared" si="12"/>
        <v>6.8</v>
      </c>
      <c r="AQ8" s="41">
        <f t="shared" si="13"/>
        <v>25.400000000000002</v>
      </c>
      <c r="AR8" s="41">
        <f t="shared" si="14"/>
        <v>25.599999999999998</v>
      </c>
      <c r="AS8" s="41">
        <f t="shared" si="15"/>
        <v>14</v>
      </c>
      <c r="AT8" s="41">
        <f t="shared" si="16"/>
        <v>51</v>
      </c>
      <c r="AU8" s="41" t="str">
        <f t="shared" si="17"/>
        <v/>
      </c>
      <c r="AV8" s="41" t="str">
        <f t="shared" si="18"/>
        <v/>
      </c>
      <c r="AW8" s="41">
        <f t="shared" si="19"/>
        <v>25.400000000000002</v>
      </c>
      <c r="AX8" s="18">
        <v>18.600000000000001</v>
      </c>
      <c r="AY8" s="18">
        <v>5.6</v>
      </c>
      <c r="AZ8" s="18">
        <v>1.2</v>
      </c>
      <c r="BA8" s="18">
        <v>0</v>
      </c>
      <c r="BB8" s="18">
        <v>18.5</v>
      </c>
      <c r="BC8" s="18">
        <v>8.5</v>
      </c>
      <c r="BD8" s="18">
        <v>1</v>
      </c>
      <c r="BE8" s="18">
        <v>0</v>
      </c>
      <c r="BF8" s="18">
        <v>18.579999999999998</v>
      </c>
      <c r="BG8" s="18">
        <v>7.2</v>
      </c>
      <c r="BH8" s="18">
        <v>1</v>
      </c>
      <c r="BI8" s="18">
        <v>0</v>
      </c>
      <c r="BJ8" s="18">
        <v>18.899999999999999</v>
      </c>
      <c r="BK8" s="18">
        <v>8.4</v>
      </c>
      <c r="BL8" s="18">
        <v>0.6</v>
      </c>
      <c r="BM8" s="18">
        <v>0</v>
      </c>
      <c r="BN8" s="18">
        <v>18.8</v>
      </c>
      <c r="BO8" s="18">
        <v>7.2</v>
      </c>
      <c r="BP8" s="18">
        <v>0.6</v>
      </c>
      <c r="BQ8" s="18">
        <v>0</v>
      </c>
      <c r="BR8" s="29"/>
      <c r="BS8" s="11">
        <f t="shared" si="20"/>
        <v>14.1</v>
      </c>
      <c r="BT8" s="11">
        <f t="shared" si="21"/>
        <v>49</v>
      </c>
      <c r="BU8" s="11">
        <f t="shared" si="22"/>
        <v>24.779999999999998</v>
      </c>
      <c r="BV8" s="11">
        <f t="shared" si="23"/>
        <v>21.3</v>
      </c>
      <c r="BW8" s="11">
        <f t="shared" si="24"/>
        <v>73.78</v>
      </c>
      <c r="BX8" s="11">
        <f t="shared" si="25"/>
        <v>15.600000000000001</v>
      </c>
      <c r="BY8" s="11">
        <f t="shared" si="26"/>
        <v>52.099999999999994</v>
      </c>
      <c r="BZ8" s="11">
        <f t="shared" si="27"/>
        <v>101.1</v>
      </c>
      <c r="CA8" s="19">
        <v>19</v>
      </c>
      <c r="CB8" s="19">
        <v>6</v>
      </c>
      <c r="CC8" s="19">
        <v>0.6</v>
      </c>
      <c r="CD8" s="19">
        <v>0</v>
      </c>
      <c r="CE8" s="19">
        <v>0</v>
      </c>
      <c r="CF8" s="19">
        <v>0</v>
      </c>
      <c r="CG8" s="19">
        <v>0</v>
      </c>
      <c r="CH8" s="19">
        <v>0</v>
      </c>
      <c r="CI8" s="19">
        <v>18.600000000000001</v>
      </c>
      <c r="CJ8" s="19">
        <v>8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 t="shared" si="28"/>
        <v>6</v>
      </c>
      <c r="CW8" s="41">
        <f t="shared" si="29"/>
        <v>24.4</v>
      </c>
      <c r="CX8" s="41">
        <f t="shared" si="30"/>
        <v>26.6</v>
      </c>
      <c r="CY8" s="41">
        <f t="shared" si="31"/>
        <v>14</v>
      </c>
      <c r="CZ8" s="41">
        <f t="shared" si="32"/>
        <v>51</v>
      </c>
      <c r="DA8" s="41" t="str">
        <f t="shared" si="33"/>
        <v/>
      </c>
      <c r="DB8" s="41" t="str">
        <f t="shared" si="34"/>
        <v/>
      </c>
      <c r="DC8" s="41">
        <f t="shared" si="35"/>
        <v>24.4</v>
      </c>
      <c r="DD8" s="52">
        <f t="shared" si="36"/>
        <v>27.699999999999992</v>
      </c>
      <c r="DE8" s="52" t="str">
        <f t="shared" si="37"/>
        <v/>
      </c>
      <c r="DF8" s="52">
        <f t="shared" si="38"/>
        <v>0.10000000000000853</v>
      </c>
      <c r="DG8" s="17">
        <v>18.899999999999999</v>
      </c>
      <c r="DH8" s="17">
        <v>7.2</v>
      </c>
      <c r="DI8" s="17">
        <v>0</v>
      </c>
      <c r="DJ8" s="17">
        <v>0</v>
      </c>
      <c r="DK8" s="17">
        <v>18.7</v>
      </c>
      <c r="DL8" s="17">
        <v>8.5</v>
      </c>
      <c r="DM8" s="17">
        <v>0.2</v>
      </c>
      <c r="DN8" s="17">
        <v>0</v>
      </c>
      <c r="DO8" s="17"/>
      <c r="DP8" s="17"/>
      <c r="DQ8" s="17"/>
      <c r="DR8" s="17"/>
      <c r="DS8" s="17">
        <v>18.3</v>
      </c>
      <c r="DT8" s="17">
        <v>8.5</v>
      </c>
      <c r="DU8" s="17">
        <v>0.2</v>
      </c>
      <c r="DV8" s="17">
        <v>0</v>
      </c>
      <c r="DW8" s="17">
        <v>19</v>
      </c>
      <c r="DX8" s="17">
        <v>7.2</v>
      </c>
      <c r="DY8" s="17">
        <v>0.6</v>
      </c>
      <c r="DZ8" s="17">
        <v>0</v>
      </c>
      <c r="EA8" s="41">
        <f t="shared" si="39"/>
        <v>15.7</v>
      </c>
      <c r="EB8" s="41">
        <f t="shared" si="40"/>
        <v>53.099999999999994</v>
      </c>
      <c r="EC8" s="41" t="str">
        <f t="shared" si="41"/>
        <v/>
      </c>
      <c r="ED8" s="41">
        <f t="shared" si="42"/>
        <v>15.7</v>
      </c>
      <c r="EE8" s="41">
        <f t="shared" si="43"/>
        <v>53.099999999999994</v>
      </c>
      <c r="EF8" s="41">
        <f t="shared" si="44"/>
        <v>15.7</v>
      </c>
      <c r="EG8" s="41">
        <f t="shared" si="45"/>
        <v>52.2</v>
      </c>
      <c r="EH8" s="41">
        <f t="shared" si="46"/>
        <v>105.3</v>
      </c>
      <c r="EI8" s="18">
        <v>17.399999999999999</v>
      </c>
      <c r="EJ8" s="18">
        <v>4</v>
      </c>
      <c r="EK8" s="18">
        <v>0</v>
      </c>
      <c r="EL8" s="18">
        <v>0</v>
      </c>
      <c r="EM8" s="18">
        <v>18.7</v>
      </c>
      <c r="EN8" s="18">
        <v>7.2</v>
      </c>
      <c r="EO8" s="18">
        <v>0.6</v>
      </c>
      <c r="EP8" s="18">
        <v>0</v>
      </c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>
        <f t="shared" si="47"/>
        <v>11.2</v>
      </c>
      <c r="FD8" s="11">
        <f t="shared" si="48"/>
        <v>46.699999999999996</v>
      </c>
      <c r="FE8" s="11" t="str">
        <f t="shared" si="49"/>
        <v/>
      </c>
      <c r="FF8" s="11">
        <f t="shared" si="50"/>
        <v>11.2</v>
      </c>
      <c r="FG8" s="11">
        <f t="shared" si="51"/>
        <v>46.699999999999996</v>
      </c>
      <c r="FH8" s="11" t="str">
        <f t="shared" si="52"/>
        <v/>
      </c>
      <c r="FI8" s="11" t="str">
        <f t="shared" si="53"/>
        <v/>
      </c>
      <c r="FJ8" s="11">
        <f t="shared" si="54"/>
        <v>46.699999999999996</v>
      </c>
      <c r="FK8" s="17">
        <v>18.5</v>
      </c>
      <c r="FL8" s="17">
        <v>6</v>
      </c>
      <c r="FM8" s="17">
        <v>0.6</v>
      </c>
      <c r="FN8" s="17">
        <v>0</v>
      </c>
      <c r="FO8" s="17">
        <v>17.600000000000001</v>
      </c>
      <c r="FP8" s="17">
        <v>8.1</v>
      </c>
      <c r="FQ8" s="17">
        <v>0.2</v>
      </c>
      <c r="FR8" s="17">
        <v>0</v>
      </c>
      <c r="FS8" s="17"/>
      <c r="FT8" s="17"/>
      <c r="FU8" s="17"/>
      <c r="FV8" s="17"/>
      <c r="FW8" s="17">
        <v>17.399999999999999</v>
      </c>
      <c r="FX8" s="17">
        <v>2.8</v>
      </c>
      <c r="FY8" s="17">
        <v>0</v>
      </c>
      <c r="FZ8" s="17">
        <v>0</v>
      </c>
      <c r="GA8" s="17"/>
      <c r="GB8" s="17"/>
      <c r="GC8" s="17"/>
      <c r="GD8" s="17"/>
      <c r="GE8" s="41">
        <f t="shared" si="55"/>
        <v>14.1</v>
      </c>
      <c r="GF8" s="41">
        <f t="shared" si="56"/>
        <v>49.4</v>
      </c>
      <c r="GG8" s="41" t="str">
        <f t="shared" si="57"/>
        <v/>
      </c>
      <c r="GH8" s="41">
        <f t="shared" si="58"/>
        <v>14.1</v>
      </c>
      <c r="GI8" s="41">
        <f t="shared" si="59"/>
        <v>49.4</v>
      </c>
      <c r="GJ8" s="41">
        <f t="shared" si="60"/>
        <v>2.8</v>
      </c>
      <c r="GK8" s="41">
        <f t="shared" si="61"/>
        <v>20.2</v>
      </c>
      <c r="GL8" s="41">
        <f t="shared" si="62"/>
        <v>69.599999999999994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1"/>
        <v/>
      </c>
      <c r="IJ8" s="41" t="str">
        <f t="shared" si="72"/>
        <v/>
      </c>
      <c r="IK8" s="41" t="str">
        <f t="shared" si="73"/>
        <v/>
      </c>
      <c r="IL8" s="41" t="str">
        <f t="shared" si="74"/>
        <v/>
      </c>
      <c r="IM8" s="41" t="str">
        <f t="shared" si="75"/>
        <v/>
      </c>
      <c r="IN8" s="41" t="str">
        <f t="shared" si="76"/>
        <v/>
      </c>
      <c r="IO8" s="41" t="str">
        <f t="shared" si="77"/>
        <v/>
      </c>
      <c r="IP8" s="41" t="str">
        <f t="shared" si="78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3"/>
        <v/>
      </c>
      <c r="MR8" s="41" t="str">
        <f t="shared" si="104"/>
        <v/>
      </c>
      <c r="MS8" s="41" t="str">
        <f t="shared" si="105"/>
        <v/>
      </c>
      <c r="MT8" s="41" t="str">
        <f t="shared" si="106"/>
        <v/>
      </c>
      <c r="MU8" s="41" t="str">
        <f t="shared" si="107"/>
        <v/>
      </c>
      <c r="MV8" s="41" t="str">
        <f t="shared" si="108"/>
        <v/>
      </c>
      <c r="MW8" s="41" t="str">
        <f t="shared" si="109"/>
        <v/>
      </c>
      <c r="MX8" s="41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18.8</v>
      </c>
      <c r="QF8" s="23">
        <f t="shared" si="136"/>
        <v>5.8</v>
      </c>
      <c r="QG8" s="23">
        <f t="shared" si="137"/>
        <v>0.89999999999999991</v>
      </c>
      <c r="QH8" s="23">
        <f t="shared" si="138"/>
        <v>0</v>
      </c>
      <c r="QI8" s="23">
        <f t="shared" si="139"/>
        <v>9.25</v>
      </c>
      <c r="QJ8" s="23">
        <f t="shared" si="140"/>
        <v>4.25</v>
      </c>
      <c r="QK8" s="23">
        <f t="shared" si="141"/>
        <v>0.5</v>
      </c>
      <c r="QL8" s="23">
        <f t="shared" si="142"/>
        <v>0</v>
      </c>
      <c r="QM8" s="23">
        <f t="shared" si="143"/>
        <v>18.59</v>
      </c>
      <c r="QN8" s="23">
        <f t="shared" si="144"/>
        <v>7.6</v>
      </c>
      <c r="QO8" s="23">
        <f t="shared" si="145"/>
        <v>0.5</v>
      </c>
      <c r="QP8" s="23">
        <f t="shared" si="146"/>
        <v>0</v>
      </c>
      <c r="QQ8" s="23">
        <f t="shared" si="147"/>
        <v>9.4499999999999993</v>
      </c>
      <c r="QR8" s="23">
        <f t="shared" si="148"/>
        <v>4.2</v>
      </c>
      <c r="QS8" s="23">
        <f t="shared" si="149"/>
        <v>0.3</v>
      </c>
      <c r="QT8" s="23">
        <f t="shared" si="150"/>
        <v>0</v>
      </c>
      <c r="QU8" s="23">
        <f t="shared" si="151"/>
        <v>9.4</v>
      </c>
      <c r="QV8" s="23">
        <f t="shared" si="152"/>
        <v>3.6</v>
      </c>
      <c r="QW8" s="23">
        <f t="shared" si="153"/>
        <v>0.3</v>
      </c>
      <c r="QX8" s="23">
        <f t="shared" si="154"/>
        <v>0</v>
      </c>
      <c r="QY8" s="28" t="s">
        <v>58</v>
      </c>
      <c r="QZ8" s="41">
        <f t="shared" si="155"/>
        <v>10.050000000000001</v>
      </c>
      <c r="RA8" s="41">
        <f t="shared" si="156"/>
        <v>36.700000000000003</v>
      </c>
      <c r="RB8" s="41">
        <f t="shared" si="157"/>
        <v>25.689999999999998</v>
      </c>
      <c r="RC8" s="41">
        <f t="shared" si="158"/>
        <v>17.649999999999999</v>
      </c>
      <c r="RD8" s="41">
        <f t="shared" si="159"/>
        <v>62.39</v>
      </c>
      <c r="RE8" s="41">
        <f t="shared" si="160"/>
        <v>7.8000000000000007</v>
      </c>
      <c r="RF8" s="41">
        <f t="shared" si="161"/>
        <v>26.049999999999997</v>
      </c>
      <c r="RG8" s="41">
        <f t="shared" si="162"/>
        <v>62.75</v>
      </c>
    </row>
    <row r="9" spans="1:475" x14ac:dyDescent="0.2">
      <c r="A9" s="4">
        <f t="shared" si="164"/>
        <v>6</v>
      </c>
      <c r="B9" s="5" t="s">
        <v>195</v>
      </c>
      <c r="C9" s="4" t="s">
        <v>3</v>
      </c>
      <c r="D9" s="4">
        <v>2002</v>
      </c>
      <c r="E9" s="9">
        <f t="shared" si="163"/>
        <v>180.10001281000515</v>
      </c>
      <c r="F9" s="3" t="str">
        <f t="shared" si="0"/>
        <v>P</v>
      </c>
      <c r="G9" s="3" t="str">
        <f t="shared" si="1"/>
        <v>P</v>
      </c>
      <c r="H9" s="37" t="str">
        <f t="shared" si="2"/>
        <v>National Team</v>
      </c>
      <c r="I9" s="3" t="str">
        <f t="shared" si="3"/>
        <v/>
      </c>
      <c r="J9" s="8">
        <f>IF(COUNT(AQ9,BT9,CW9)&gt;0,LARGE((AQ9,BT9,CW9),1),0)</f>
        <v>51.8</v>
      </c>
      <c r="K9" s="8" t="str">
        <f t="shared" si="4"/>
        <v>2022 Nationals</v>
      </c>
      <c r="L9" s="8">
        <f>IF(COUNT(AQ9,BT9,CW9)&gt;1,LARGE((AQ9,BT9,CW9),2),0)</f>
        <v>51.2</v>
      </c>
      <c r="M9" s="8" t="str">
        <f t="shared" si="5"/>
        <v>2023 Elite Canada</v>
      </c>
      <c r="N9" s="8">
        <f>IF(COUNT(AR9,BU9,CX9)&gt;0,LARGE((AR9,BU9,CX9),1),0)</f>
        <v>25.099999999999998</v>
      </c>
      <c r="O9" s="8" t="str">
        <f t="shared" si="6"/>
        <v>2022 3rd Domestic Trial</v>
      </c>
      <c r="P9" s="8">
        <f t="shared" si="7"/>
        <v>51.999999999999993</v>
      </c>
      <c r="Q9" s="8" t="str">
        <f t="shared" si="8"/>
        <v>2022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18.3</v>
      </c>
      <c r="V9" s="19">
        <v>8.4</v>
      </c>
      <c r="W9" s="19">
        <v>1</v>
      </c>
      <c r="X9" s="19">
        <v>0</v>
      </c>
      <c r="Y9" s="19">
        <v>19.3</v>
      </c>
      <c r="Z9" s="19">
        <v>6.8</v>
      </c>
      <c r="AA9" s="19">
        <v>0</v>
      </c>
      <c r="AB9" s="19">
        <v>0</v>
      </c>
      <c r="AC9" s="19">
        <v>19</v>
      </c>
      <c r="AD9" s="19">
        <v>6</v>
      </c>
      <c r="AE9" s="19">
        <v>0</v>
      </c>
      <c r="AF9" s="19">
        <v>0</v>
      </c>
      <c r="AG9" s="19">
        <v>18.5</v>
      </c>
      <c r="AH9" s="19">
        <v>8.4</v>
      </c>
      <c r="AI9" s="19">
        <v>0.6</v>
      </c>
      <c r="AJ9" s="19">
        <v>0</v>
      </c>
      <c r="AK9" s="19">
        <v>18.899999999999999</v>
      </c>
      <c r="AL9" s="19">
        <v>6.8</v>
      </c>
      <c r="AM9" s="19">
        <v>0</v>
      </c>
      <c r="AN9" s="19">
        <v>0</v>
      </c>
      <c r="AO9" s="28"/>
      <c r="AP9" s="41">
        <f t="shared" si="12"/>
        <v>15.2</v>
      </c>
      <c r="AQ9" s="41">
        <f t="shared" si="13"/>
        <v>51.8</v>
      </c>
      <c r="AR9" s="41">
        <f t="shared" si="14"/>
        <v>25</v>
      </c>
      <c r="AS9" s="41">
        <f t="shared" si="15"/>
        <v>21.2</v>
      </c>
      <c r="AT9" s="41">
        <f t="shared" si="16"/>
        <v>76.8</v>
      </c>
      <c r="AU9" s="41">
        <f t="shared" si="17"/>
        <v>15.2</v>
      </c>
      <c r="AV9" s="41">
        <f t="shared" si="18"/>
        <v>51.999999999999993</v>
      </c>
      <c r="AW9" s="41">
        <f t="shared" si="19"/>
        <v>103.79999999999998</v>
      </c>
      <c r="AX9" s="18">
        <v>18.399999999999999</v>
      </c>
      <c r="AY9" s="18">
        <v>6.8</v>
      </c>
      <c r="AZ9" s="18">
        <v>0.2</v>
      </c>
      <c r="BA9" s="18">
        <v>0</v>
      </c>
      <c r="BB9" s="18">
        <v>18.7</v>
      </c>
      <c r="BC9" s="18">
        <v>6</v>
      </c>
      <c r="BD9" s="18">
        <v>0</v>
      </c>
      <c r="BE9" s="18">
        <v>0</v>
      </c>
      <c r="BF9" s="18">
        <v>18.899999999999999</v>
      </c>
      <c r="BG9" s="18">
        <v>7.2</v>
      </c>
      <c r="BH9" s="18">
        <v>1</v>
      </c>
      <c r="BI9" s="18">
        <v>0</v>
      </c>
      <c r="BJ9" s="18">
        <v>18.100000000000001</v>
      </c>
      <c r="BK9" s="18">
        <v>6</v>
      </c>
      <c r="BL9" s="18">
        <v>0.8</v>
      </c>
      <c r="BM9" s="18">
        <v>0</v>
      </c>
      <c r="BN9" s="18">
        <v>18.7</v>
      </c>
      <c r="BO9" s="18">
        <v>7.2</v>
      </c>
      <c r="BP9" s="18">
        <v>0.6</v>
      </c>
      <c r="BQ9" s="18">
        <v>0</v>
      </c>
      <c r="BR9" s="29"/>
      <c r="BS9" s="11">
        <f t="shared" si="20"/>
        <v>12.8</v>
      </c>
      <c r="BT9" s="11">
        <f t="shared" si="21"/>
        <v>49.699999999999996</v>
      </c>
      <c r="BU9" s="11">
        <f t="shared" si="22"/>
        <v>25.099999999999998</v>
      </c>
      <c r="BV9" s="11">
        <f t="shared" si="23"/>
        <v>20</v>
      </c>
      <c r="BW9" s="11">
        <f t="shared" si="24"/>
        <v>74.8</v>
      </c>
      <c r="BX9" s="11">
        <f t="shared" si="25"/>
        <v>13.2</v>
      </c>
      <c r="BY9" s="11">
        <f t="shared" si="26"/>
        <v>48.6</v>
      </c>
      <c r="BZ9" s="11">
        <f t="shared" si="27"/>
        <v>98.3</v>
      </c>
      <c r="CA9" s="19">
        <v>19</v>
      </c>
      <c r="CB9" s="19">
        <v>6.8</v>
      </c>
      <c r="CC9" s="19">
        <v>0</v>
      </c>
      <c r="CD9" s="19">
        <v>0</v>
      </c>
      <c r="CE9" s="19">
        <v>18.399999999999999</v>
      </c>
      <c r="CF9" s="19">
        <v>7.2</v>
      </c>
      <c r="CG9" s="19">
        <v>0.2</v>
      </c>
      <c r="CH9" s="19">
        <v>0</v>
      </c>
      <c r="CI9" s="19">
        <v>18.100000000000001</v>
      </c>
      <c r="CJ9" s="19">
        <v>6.8</v>
      </c>
      <c r="CK9" s="19">
        <v>0</v>
      </c>
      <c r="CL9" s="19">
        <v>0</v>
      </c>
      <c r="CM9" s="19">
        <v>18</v>
      </c>
      <c r="CN9" s="19">
        <v>8.4</v>
      </c>
      <c r="CO9" s="19">
        <v>0.6</v>
      </c>
      <c r="CP9" s="19">
        <v>0</v>
      </c>
      <c r="CQ9" s="19">
        <v>18.600000000000001</v>
      </c>
      <c r="CR9" s="19">
        <v>6.8</v>
      </c>
      <c r="CS9" s="19">
        <v>0.2</v>
      </c>
      <c r="CT9" s="19">
        <v>0</v>
      </c>
      <c r="CU9" s="28"/>
      <c r="CV9" s="41">
        <f t="shared" si="28"/>
        <v>14</v>
      </c>
      <c r="CW9" s="41">
        <f t="shared" si="29"/>
        <v>51.2</v>
      </c>
      <c r="CX9" s="41">
        <f t="shared" si="30"/>
        <v>24.900000000000002</v>
      </c>
      <c r="CY9" s="41">
        <f t="shared" si="31"/>
        <v>20.8</v>
      </c>
      <c r="CZ9" s="41">
        <f t="shared" si="32"/>
        <v>76.100000000000009</v>
      </c>
      <c r="DA9" s="41">
        <f t="shared" si="33"/>
        <v>15.2</v>
      </c>
      <c r="DB9" s="41">
        <f t="shared" si="34"/>
        <v>51</v>
      </c>
      <c r="DC9" s="41">
        <f t="shared" si="35"/>
        <v>102.2</v>
      </c>
      <c r="DD9" s="52" t="str">
        <f t="shared" si="36"/>
        <v/>
      </c>
      <c r="DE9" s="52" t="str">
        <f t="shared" si="37"/>
        <v/>
      </c>
      <c r="DF9" s="52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9"/>
        <v/>
      </c>
      <c r="EB9" s="41" t="str">
        <f t="shared" si="40"/>
        <v/>
      </c>
      <c r="EC9" s="41" t="str">
        <f t="shared" si="41"/>
        <v/>
      </c>
      <c r="ED9" s="41" t="str">
        <f t="shared" si="42"/>
        <v/>
      </c>
      <c r="EE9" s="41" t="str">
        <f t="shared" si="43"/>
        <v/>
      </c>
      <c r="EF9" s="41" t="str">
        <f t="shared" si="44"/>
        <v/>
      </c>
      <c r="EG9" s="41" t="str">
        <f t="shared" si="45"/>
        <v/>
      </c>
      <c r="EH9" s="41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5"/>
        <v/>
      </c>
      <c r="GF9" s="41" t="str">
        <f t="shared" si="56"/>
        <v/>
      </c>
      <c r="GG9" s="41" t="str">
        <f t="shared" si="57"/>
        <v/>
      </c>
      <c r="GH9" s="41" t="str">
        <f t="shared" si="58"/>
        <v/>
      </c>
      <c r="GI9" s="41" t="str">
        <f t="shared" si="59"/>
        <v/>
      </c>
      <c r="GJ9" s="41" t="str">
        <f t="shared" si="60"/>
        <v/>
      </c>
      <c r="GK9" s="41" t="str">
        <f t="shared" si="61"/>
        <v/>
      </c>
      <c r="GL9" s="41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18.7</v>
      </c>
      <c r="QF9" s="23">
        <f t="shared" si="136"/>
        <v>6.8</v>
      </c>
      <c r="QG9" s="23">
        <f t="shared" si="137"/>
        <v>0.1</v>
      </c>
      <c r="QH9" s="23">
        <f t="shared" si="138"/>
        <v>0</v>
      </c>
      <c r="QI9" s="23">
        <f t="shared" si="139"/>
        <v>18.549999999999997</v>
      </c>
      <c r="QJ9" s="23">
        <f t="shared" si="140"/>
        <v>6.6</v>
      </c>
      <c r="QK9" s="23">
        <f t="shared" si="141"/>
        <v>0.1</v>
      </c>
      <c r="QL9" s="23">
        <f t="shared" si="142"/>
        <v>0</v>
      </c>
      <c r="QM9" s="23">
        <f t="shared" si="143"/>
        <v>18.5</v>
      </c>
      <c r="QN9" s="23">
        <f t="shared" si="144"/>
        <v>7</v>
      </c>
      <c r="QO9" s="23">
        <f t="shared" si="145"/>
        <v>0.5</v>
      </c>
      <c r="QP9" s="23">
        <f t="shared" si="146"/>
        <v>0</v>
      </c>
      <c r="QQ9" s="23">
        <f t="shared" si="147"/>
        <v>18.05</v>
      </c>
      <c r="QR9" s="23">
        <f t="shared" si="148"/>
        <v>7.2</v>
      </c>
      <c r="QS9" s="23">
        <f t="shared" si="149"/>
        <v>0.7</v>
      </c>
      <c r="QT9" s="23">
        <f t="shared" si="150"/>
        <v>0</v>
      </c>
      <c r="QU9" s="23">
        <f t="shared" si="151"/>
        <v>18.649999999999999</v>
      </c>
      <c r="QV9" s="23">
        <f t="shared" si="152"/>
        <v>7</v>
      </c>
      <c r="QW9" s="23">
        <f t="shared" si="153"/>
        <v>0.4</v>
      </c>
      <c r="QX9" s="23">
        <f t="shared" si="154"/>
        <v>0</v>
      </c>
      <c r="QY9" s="28" t="s">
        <v>58</v>
      </c>
      <c r="QZ9" s="41">
        <f t="shared" si="155"/>
        <v>13.399999999999999</v>
      </c>
      <c r="RA9" s="41">
        <f t="shared" si="156"/>
        <v>50.449999999999996</v>
      </c>
      <c r="RB9" s="41">
        <f t="shared" si="157"/>
        <v>25</v>
      </c>
      <c r="RC9" s="41">
        <f t="shared" si="158"/>
        <v>20.399999999999999</v>
      </c>
      <c r="RD9" s="41">
        <f t="shared" si="159"/>
        <v>75.449999999999989</v>
      </c>
      <c r="RE9" s="41">
        <f t="shared" si="160"/>
        <v>14.2</v>
      </c>
      <c r="RF9" s="41">
        <f t="shared" si="161"/>
        <v>49.8</v>
      </c>
      <c r="RG9" s="41">
        <f t="shared" si="162"/>
        <v>100.25</v>
      </c>
    </row>
    <row r="10" spans="1:475" x14ac:dyDescent="0.2">
      <c r="A10" s="4">
        <f t="shared" si="164"/>
        <v>7</v>
      </c>
      <c r="B10" s="5" t="s">
        <v>157</v>
      </c>
      <c r="C10" s="4" t="s">
        <v>5</v>
      </c>
      <c r="D10" s="4">
        <v>2004</v>
      </c>
      <c r="E10" s="9">
        <f t="shared" si="163"/>
        <v>179.40001281000508</v>
      </c>
      <c r="F10" s="3" t="str">
        <f t="shared" si="0"/>
        <v>P</v>
      </c>
      <c r="G10" s="3" t="str">
        <f t="shared" si="1"/>
        <v>P</v>
      </c>
      <c r="H10" s="37" t="str">
        <f t="shared" si="2"/>
        <v>National Team</v>
      </c>
      <c r="I10" s="3" t="str">
        <f t="shared" si="3"/>
        <v/>
      </c>
      <c r="J10" s="8">
        <f>IF(COUNT(AQ10,BT10,CW10)&gt;0,LARGE((AQ10,BT10,CW10),1),0)</f>
        <v>50.8</v>
      </c>
      <c r="K10" s="8" t="str">
        <f t="shared" si="4"/>
        <v>2022 3rd Domestic Trial</v>
      </c>
      <c r="L10" s="8">
        <f>IF(COUNT(AQ10,BT10,CW10)&gt;1,LARGE((AQ10,BT10,CW10),2),0)</f>
        <v>50.8</v>
      </c>
      <c r="M10" s="8" t="str">
        <f t="shared" si="5"/>
        <v>2022 3rd Domestic Trial</v>
      </c>
      <c r="N10" s="8">
        <f>IF(COUNT(AR10,BU10,CX10)&gt;0,LARGE((AR10,BU10,CX10),1),0)</f>
        <v>26.5</v>
      </c>
      <c r="O10" s="8" t="str">
        <f t="shared" si="6"/>
        <v>2023 Elite Canada</v>
      </c>
      <c r="P10" s="8">
        <f t="shared" si="7"/>
        <v>51.300000000000004</v>
      </c>
      <c r="Q10" s="8" t="str">
        <f t="shared" si="8"/>
        <v>2023 Elite Canada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19</v>
      </c>
      <c r="V10" s="19">
        <v>6.8</v>
      </c>
      <c r="W10" s="19">
        <v>0</v>
      </c>
      <c r="X10" s="19">
        <v>0</v>
      </c>
      <c r="Y10" s="19">
        <v>19</v>
      </c>
      <c r="Z10" s="19">
        <v>6.4</v>
      </c>
      <c r="AA10" s="19">
        <v>0.4</v>
      </c>
      <c r="AB10" s="19">
        <v>0</v>
      </c>
      <c r="AC10" s="19">
        <v>18.600000000000001</v>
      </c>
      <c r="AD10" s="19">
        <v>6.4</v>
      </c>
      <c r="AE10" s="19">
        <v>0.2</v>
      </c>
      <c r="AF10" s="19">
        <v>0</v>
      </c>
      <c r="AG10" s="19">
        <v>18.899999999999999</v>
      </c>
      <c r="AH10" s="19">
        <v>7.2</v>
      </c>
      <c r="AI10" s="19">
        <v>0.6</v>
      </c>
      <c r="AJ10" s="19">
        <v>0</v>
      </c>
      <c r="AK10" s="19">
        <v>18.600000000000001</v>
      </c>
      <c r="AL10" s="19">
        <v>7.2</v>
      </c>
      <c r="AM10" s="19">
        <v>0</v>
      </c>
      <c r="AN10" s="19">
        <v>0</v>
      </c>
      <c r="AO10" s="28"/>
      <c r="AP10" s="41">
        <f t="shared" si="12"/>
        <v>13.2</v>
      </c>
      <c r="AQ10" s="41">
        <f t="shared" si="13"/>
        <v>50.8</v>
      </c>
      <c r="AR10" s="41">
        <f t="shared" si="14"/>
        <v>24.8</v>
      </c>
      <c r="AS10" s="41">
        <f t="shared" si="15"/>
        <v>19.600000000000001</v>
      </c>
      <c r="AT10" s="41">
        <f t="shared" si="16"/>
        <v>75.599999999999994</v>
      </c>
      <c r="AU10" s="41">
        <f t="shared" si="17"/>
        <v>14.4</v>
      </c>
      <c r="AV10" s="41">
        <f t="shared" si="18"/>
        <v>51.300000000000004</v>
      </c>
      <c r="AW10" s="41">
        <f t="shared" si="19"/>
        <v>102.1</v>
      </c>
      <c r="AX10" s="18">
        <v>19</v>
      </c>
      <c r="AY10" s="18">
        <v>7.2</v>
      </c>
      <c r="AZ10" s="18">
        <v>0.6</v>
      </c>
      <c r="BA10" s="18">
        <v>0</v>
      </c>
      <c r="BB10" s="18">
        <v>18.399999999999999</v>
      </c>
      <c r="BC10" s="18">
        <v>7.6</v>
      </c>
      <c r="BD10" s="18">
        <v>0.8</v>
      </c>
      <c r="BE10" s="18">
        <v>0</v>
      </c>
      <c r="BF10" s="18">
        <v>18.600000000000001</v>
      </c>
      <c r="BG10" s="18">
        <v>6.4</v>
      </c>
      <c r="BH10" s="18">
        <v>0.8</v>
      </c>
      <c r="BI10" s="18">
        <v>0</v>
      </c>
      <c r="BJ10" s="18">
        <v>18.899999999999999</v>
      </c>
      <c r="BK10" s="18">
        <v>7.2</v>
      </c>
      <c r="BL10" s="18">
        <v>0.6</v>
      </c>
      <c r="BM10" s="18">
        <v>0</v>
      </c>
      <c r="BN10" s="18">
        <v>18.399999999999999</v>
      </c>
      <c r="BO10" s="18">
        <v>7.6</v>
      </c>
      <c r="BP10" s="18">
        <v>0.6</v>
      </c>
      <c r="BQ10" s="18">
        <v>0</v>
      </c>
      <c r="BR10" s="29"/>
      <c r="BS10" s="11">
        <f t="shared" si="20"/>
        <v>14.8</v>
      </c>
      <c r="BT10" s="11">
        <f t="shared" si="21"/>
        <v>50.8</v>
      </c>
      <c r="BU10" s="11">
        <f t="shared" si="22"/>
        <v>24.2</v>
      </c>
      <c r="BV10" s="11">
        <f t="shared" si="23"/>
        <v>21.200000000000003</v>
      </c>
      <c r="BW10" s="11">
        <f t="shared" si="24"/>
        <v>75</v>
      </c>
      <c r="BX10" s="11">
        <f t="shared" si="25"/>
        <v>14.8</v>
      </c>
      <c r="BY10" s="11">
        <f t="shared" si="26"/>
        <v>50.9</v>
      </c>
      <c r="BZ10" s="11">
        <f t="shared" si="27"/>
        <v>101.69999999999999</v>
      </c>
      <c r="CA10" s="19">
        <v>16.5</v>
      </c>
      <c r="CB10" s="19">
        <v>8.1</v>
      </c>
      <c r="CC10" s="19">
        <v>0.2</v>
      </c>
      <c r="CD10" s="19">
        <v>0.3</v>
      </c>
      <c r="CE10" s="19">
        <v>18.3</v>
      </c>
      <c r="CF10" s="19">
        <v>7.6</v>
      </c>
      <c r="CG10" s="19">
        <v>0.6</v>
      </c>
      <c r="CH10" s="19">
        <v>0</v>
      </c>
      <c r="CI10" s="19">
        <v>18.5</v>
      </c>
      <c r="CJ10" s="19">
        <v>8</v>
      </c>
      <c r="CK10" s="19">
        <v>0</v>
      </c>
      <c r="CL10" s="19">
        <v>0</v>
      </c>
      <c r="CM10" s="19">
        <v>18.3</v>
      </c>
      <c r="CN10" s="19">
        <v>7.3</v>
      </c>
      <c r="CO10" s="19">
        <v>0.2</v>
      </c>
      <c r="CP10" s="19">
        <v>0.3</v>
      </c>
      <c r="CQ10" s="19">
        <v>18.399999999999999</v>
      </c>
      <c r="CR10" s="19">
        <v>8</v>
      </c>
      <c r="CS10" s="19">
        <v>0.8</v>
      </c>
      <c r="CT10" s="19">
        <v>0</v>
      </c>
      <c r="CU10" s="28"/>
      <c r="CV10" s="41">
        <f t="shared" si="28"/>
        <v>15.7</v>
      </c>
      <c r="CW10" s="41">
        <f t="shared" si="29"/>
        <v>50</v>
      </c>
      <c r="CX10" s="41">
        <f t="shared" si="30"/>
        <v>26.5</v>
      </c>
      <c r="CY10" s="41">
        <f t="shared" si="31"/>
        <v>23.7</v>
      </c>
      <c r="CZ10" s="41">
        <f t="shared" si="32"/>
        <v>76.5</v>
      </c>
      <c r="DA10" s="41">
        <f t="shared" si="33"/>
        <v>15.3</v>
      </c>
      <c r="DB10" s="41">
        <f t="shared" si="34"/>
        <v>51.3</v>
      </c>
      <c r="DC10" s="41">
        <f t="shared" si="35"/>
        <v>101.3</v>
      </c>
      <c r="DD10" s="52" t="str">
        <f t="shared" si="36"/>
        <v/>
      </c>
      <c r="DE10" s="52" t="str">
        <f t="shared" si="37"/>
        <v/>
      </c>
      <c r="DF10" s="52" t="str">
        <f t="shared" si="38"/>
        <v/>
      </c>
      <c r="DG10" s="17">
        <v>18.899999999999999</v>
      </c>
      <c r="DH10" s="17">
        <v>7.2</v>
      </c>
      <c r="DI10" s="17">
        <v>0.6</v>
      </c>
      <c r="DJ10" s="17">
        <v>0</v>
      </c>
      <c r="DK10" s="17">
        <v>0</v>
      </c>
      <c r="DL10" s="17">
        <v>0</v>
      </c>
      <c r="DM10" s="17">
        <v>0</v>
      </c>
      <c r="DN10" s="17">
        <v>0</v>
      </c>
      <c r="DO10" s="17"/>
      <c r="DP10" s="17"/>
      <c r="DQ10" s="17"/>
      <c r="DR10" s="17"/>
      <c r="DS10" s="17">
        <v>18.2</v>
      </c>
      <c r="DT10" s="17">
        <v>7.2</v>
      </c>
      <c r="DU10" s="17">
        <v>0.6</v>
      </c>
      <c r="DV10" s="17">
        <v>0</v>
      </c>
      <c r="DW10" s="17">
        <v>18.399999999999999</v>
      </c>
      <c r="DX10" s="17">
        <v>6.8</v>
      </c>
      <c r="DY10" s="17">
        <v>0.8</v>
      </c>
      <c r="DZ10" s="17">
        <v>0</v>
      </c>
      <c r="EA10" s="41">
        <f t="shared" si="39"/>
        <v>7.2</v>
      </c>
      <c r="EB10" s="41">
        <f t="shared" si="40"/>
        <v>25.499999999999996</v>
      </c>
      <c r="EC10" s="41" t="str">
        <f t="shared" si="41"/>
        <v/>
      </c>
      <c r="ED10" s="41">
        <f t="shared" si="42"/>
        <v>7.2</v>
      </c>
      <c r="EE10" s="41">
        <f t="shared" si="43"/>
        <v>25.499999999999996</v>
      </c>
      <c r="EF10" s="41">
        <f t="shared" si="44"/>
        <v>14</v>
      </c>
      <c r="EG10" s="41">
        <f t="shared" si="45"/>
        <v>49.199999999999996</v>
      </c>
      <c r="EH10" s="41">
        <f t="shared" si="46"/>
        <v>74.699999999999989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>
        <v>18.7</v>
      </c>
      <c r="GN10" s="18">
        <v>6.8</v>
      </c>
      <c r="GO10" s="18">
        <v>0.6</v>
      </c>
      <c r="GP10" s="18">
        <v>0</v>
      </c>
      <c r="GQ10" s="18">
        <v>19</v>
      </c>
      <c r="GR10" s="18">
        <v>6.4</v>
      </c>
      <c r="GS10" s="18">
        <v>0</v>
      </c>
      <c r="GT10" s="18">
        <v>0</v>
      </c>
      <c r="GU10" s="18"/>
      <c r="GV10" s="18"/>
      <c r="GW10" s="18"/>
      <c r="GX10" s="18"/>
      <c r="GY10" s="18">
        <v>18.8</v>
      </c>
      <c r="GZ10" s="18">
        <v>7.2</v>
      </c>
      <c r="HA10" s="18">
        <v>0.6</v>
      </c>
      <c r="HB10" s="18">
        <v>0</v>
      </c>
      <c r="HC10" s="18"/>
      <c r="HD10" s="18"/>
      <c r="HE10" s="18"/>
      <c r="HF10" s="18"/>
      <c r="HG10" s="11">
        <f t="shared" si="63"/>
        <v>13.2</v>
      </c>
      <c r="HH10" s="11">
        <f t="shared" si="64"/>
        <v>50.3</v>
      </c>
      <c r="HI10" s="11" t="str">
        <f t="shared" si="65"/>
        <v/>
      </c>
      <c r="HJ10" s="11">
        <f t="shared" si="66"/>
        <v>13.2</v>
      </c>
      <c r="HK10" s="11">
        <f t="shared" si="67"/>
        <v>50.3</v>
      </c>
      <c r="HL10" s="11">
        <f t="shared" si="68"/>
        <v>7.2</v>
      </c>
      <c r="HM10" s="11">
        <f t="shared" si="69"/>
        <v>25.4</v>
      </c>
      <c r="HN10" s="11">
        <f t="shared" si="70"/>
        <v>75.699999999999989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1"/>
        <v/>
      </c>
      <c r="IJ10" s="41" t="str">
        <f t="shared" si="72"/>
        <v/>
      </c>
      <c r="IK10" s="41" t="str">
        <f t="shared" si="73"/>
        <v/>
      </c>
      <c r="IL10" s="41" t="str">
        <f t="shared" si="74"/>
        <v/>
      </c>
      <c r="IM10" s="41" t="str">
        <f t="shared" si="75"/>
        <v/>
      </c>
      <c r="IN10" s="41" t="str">
        <f t="shared" si="76"/>
        <v/>
      </c>
      <c r="IO10" s="41" t="str">
        <f t="shared" si="77"/>
        <v/>
      </c>
      <c r="IP10" s="41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7"/>
        <v/>
      </c>
      <c r="KN10" s="41" t="str">
        <f t="shared" si="88"/>
        <v/>
      </c>
      <c r="KO10" s="41" t="str">
        <f t="shared" si="89"/>
        <v/>
      </c>
      <c r="KP10" s="41" t="str">
        <f t="shared" si="90"/>
        <v/>
      </c>
      <c r="KQ10" s="41" t="str">
        <f t="shared" si="91"/>
        <v/>
      </c>
      <c r="KR10" s="41" t="str">
        <f t="shared" si="92"/>
        <v/>
      </c>
      <c r="KS10" s="41" t="str">
        <f t="shared" si="93"/>
        <v/>
      </c>
      <c r="KT10" s="41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>
        <v>18.600000000000001</v>
      </c>
      <c r="LX10" s="17">
        <v>7.2</v>
      </c>
      <c r="LY10" s="17">
        <v>0.2</v>
      </c>
      <c r="LZ10" s="17">
        <v>0</v>
      </c>
      <c r="MA10" s="17">
        <v>18.8</v>
      </c>
      <c r="MB10" s="17">
        <v>7.6</v>
      </c>
      <c r="MC10" s="17">
        <v>1.2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>
        <f t="shared" si="103"/>
        <v>14.8</v>
      </c>
      <c r="MR10" s="41">
        <f t="shared" si="104"/>
        <v>50.8</v>
      </c>
      <c r="MS10" s="41" t="str">
        <f t="shared" si="105"/>
        <v/>
      </c>
      <c r="MT10" s="41">
        <f t="shared" si="106"/>
        <v>14.8</v>
      </c>
      <c r="MU10" s="41">
        <f t="shared" si="107"/>
        <v>50.8</v>
      </c>
      <c r="MV10" s="41" t="str">
        <f t="shared" si="108"/>
        <v/>
      </c>
      <c r="MW10" s="41" t="str">
        <f t="shared" si="109"/>
        <v/>
      </c>
      <c r="MX10" s="41">
        <f t="shared" si="110"/>
        <v>50.8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9"/>
        <v/>
      </c>
      <c r="OV10" s="41" t="str">
        <f t="shared" si="120"/>
        <v/>
      </c>
      <c r="OW10" s="41" t="str">
        <f t="shared" si="121"/>
        <v/>
      </c>
      <c r="OX10" s="41" t="str">
        <f t="shared" si="122"/>
        <v/>
      </c>
      <c r="OY10" s="41" t="str">
        <f t="shared" si="123"/>
        <v/>
      </c>
      <c r="OZ10" s="41" t="str">
        <f t="shared" si="124"/>
        <v/>
      </c>
      <c r="PA10" s="41" t="str">
        <f t="shared" si="125"/>
        <v/>
      </c>
      <c r="PB10" s="41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17.75</v>
      </c>
      <c r="QF10" s="23">
        <f t="shared" si="136"/>
        <v>7.65</v>
      </c>
      <c r="QG10" s="23">
        <f t="shared" si="137"/>
        <v>0.4</v>
      </c>
      <c r="QH10" s="23">
        <f t="shared" si="138"/>
        <v>0.15</v>
      </c>
      <c r="QI10" s="23">
        <f t="shared" si="139"/>
        <v>18.350000000000001</v>
      </c>
      <c r="QJ10" s="23">
        <f t="shared" si="140"/>
        <v>7.6</v>
      </c>
      <c r="QK10" s="23">
        <f t="shared" si="141"/>
        <v>0.7</v>
      </c>
      <c r="QL10" s="23">
        <f t="shared" si="142"/>
        <v>0</v>
      </c>
      <c r="QM10" s="23">
        <f t="shared" si="143"/>
        <v>18.55</v>
      </c>
      <c r="QN10" s="23">
        <f t="shared" si="144"/>
        <v>7.2</v>
      </c>
      <c r="QO10" s="23">
        <f t="shared" si="145"/>
        <v>0.4</v>
      </c>
      <c r="QP10" s="23">
        <f t="shared" si="146"/>
        <v>0</v>
      </c>
      <c r="QQ10" s="23">
        <f t="shared" si="147"/>
        <v>18.600000000000001</v>
      </c>
      <c r="QR10" s="23">
        <f t="shared" si="148"/>
        <v>7.25</v>
      </c>
      <c r="QS10" s="23">
        <f t="shared" si="149"/>
        <v>0.4</v>
      </c>
      <c r="QT10" s="23">
        <f t="shared" si="150"/>
        <v>0.15</v>
      </c>
      <c r="QU10" s="23">
        <f t="shared" si="151"/>
        <v>18.399999999999999</v>
      </c>
      <c r="QV10" s="23">
        <f t="shared" si="152"/>
        <v>7.8</v>
      </c>
      <c r="QW10" s="23">
        <f t="shared" si="153"/>
        <v>0.7</v>
      </c>
      <c r="QX10" s="23">
        <f t="shared" si="154"/>
        <v>0</v>
      </c>
      <c r="QY10" s="28" t="s">
        <v>58</v>
      </c>
      <c r="QZ10" s="41">
        <f t="shared" si="155"/>
        <v>15.25</v>
      </c>
      <c r="RA10" s="41">
        <f t="shared" si="156"/>
        <v>50.4</v>
      </c>
      <c r="RB10" s="41">
        <f t="shared" si="157"/>
        <v>25.35</v>
      </c>
      <c r="RC10" s="41">
        <f t="shared" si="158"/>
        <v>22.45</v>
      </c>
      <c r="RD10" s="41">
        <f t="shared" si="159"/>
        <v>75.75</v>
      </c>
      <c r="RE10" s="41">
        <f t="shared" si="160"/>
        <v>15.05</v>
      </c>
      <c r="RF10" s="41">
        <f t="shared" si="161"/>
        <v>51.099999999999994</v>
      </c>
      <c r="RG10" s="41">
        <f t="shared" si="162"/>
        <v>101.5</v>
      </c>
    </row>
    <row r="11" spans="1:475" x14ac:dyDescent="0.2">
      <c r="A11" s="4">
        <f t="shared" si="164"/>
        <v>8</v>
      </c>
      <c r="B11" s="5" t="s">
        <v>9</v>
      </c>
      <c r="C11" s="4" t="s">
        <v>5</v>
      </c>
      <c r="D11" s="4">
        <v>1994</v>
      </c>
      <c r="E11" s="9">
        <f t="shared" si="163"/>
        <v>176.82001294200523</v>
      </c>
      <c r="F11" s="3" t="str">
        <f t="shared" si="0"/>
        <v>P</v>
      </c>
      <c r="G11" s="3" t="str">
        <f t="shared" si="1"/>
        <v>P</v>
      </c>
      <c r="H11" s="37" t="str">
        <f t="shared" si="2"/>
        <v>Worlds Team</v>
      </c>
      <c r="I11" s="3" t="str">
        <f t="shared" si="3"/>
        <v>P</v>
      </c>
      <c r="J11" s="8">
        <f>IF(COUNT(AQ11,BT11,CW11)&gt;0,LARGE((AQ11,BT11,CW11),1),0)</f>
        <v>52.120000000000005</v>
      </c>
      <c r="K11" s="8" t="str">
        <f t="shared" si="4"/>
        <v>2022 3rd Domestic Trial</v>
      </c>
      <c r="L11" s="8">
        <f>IF(COUNT(AQ11,BT11,CW11)&gt;1,LARGE((AQ11,BT11,CW11),2),0)</f>
        <v>51.3</v>
      </c>
      <c r="M11" s="8" t="str">
        <f t="shared" si="5"/>
        <v>2023 Elite Canada</v>
      </c>
      <c r="N11" s="8">
        <f>IF(COUNT(AR11,BU11,CX11)&gt;0,LARGE((AR11,BU11,CX11),1),0)</f>
        <v>26</v>
      </c>
      <c r="O11" s="8" t="str">
        <f t="shared" si="6"/>
        <v>2022 3rd Domestic Trial</v>
      </c>
      <c r="P11" s="8">
        <f t="shared" si="7"/>
        <v>47.4</v>
      </c>
      <c r="Q11" s="8" t="str">
        <f t="shared" si="8"/>
        <v>2023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16.600000000000001</v>
      </c>
      <c r="V11" s="19">
        <v>8.5</v>
      </c>
      <c r="W11" s="19">
        <v>0.8</v>
      </c>
      <c r="X11" s="19">
        <v>0</v>
      </c>
      <c r="Y11" s="19">
        <v>18.2</v>
      </c>
      <c r="Z11" s="19">
        <v>8</v>
      </c>
      <c r="AA11" s="19">
        <v>0.8</v>
      </c>
      <c r="AB11" s="19">
        <v>0</v>
      </c>
      <c r="AC11" s="19">
        <v>18.600000000000001</v>
      </c>
      <c r="AD11" s="19">
        <v>6.8</v>
      </c>
      <c r="AE11" s="19">
        <v>0</v>
      </c>
      <c r="AF11" s="19">
        <v>0</v>
      </c>
      <c r="AG11" s="19">
        <v>17.600000000000001</v>
      </c>
      <c r="AH11" s="19">
        <v>4</v>
      </c>
      <c r="AI11" s="19">
        <v>0</v>
      </c>
      <c r="AJ11" s="19">
        <v>0</v>
      </c>
      <c r="AK11" s="19">
        <v>18</v>
      </c>
      <c r="AL11" s="19">
        <v>4.2</v>
      </c>
      <c r="AM11" s="19">
        <v>1.8</v>
      </c>
      <c r="AN11" s="19">
        <v>0</v>
      </c>
      <c r="AO11" s="28"/>
      <c r="AP11" s="41">
        <f t="shared" si="12"/>
        <v>16.5</v>
      </c>
      <c r="AQ11" s="41">
        <f t="shared" si="13"/>
        <v>49.7</v>
      </c>
      <c r="AR11" s="41">
        <f t="shared" si="14"/>
        <v>25.400000000000002</v>
      </c>
      <c r="AS11" s="41">
        <f t="shared" si="15"/>
        <v>23.3</v>
      </c>
      <c r="AT11" s="41">
        <f t="shared" si="16"/>
        <v>75.100000000000009</v>
      </c>
      <c r="AU11" s="41">
        <f t="shared" si="17"/>
        <v>8.1999999999999993</v>
      </c>
      <c r="AV11" s="41">
        <f t="shared" si="18"/>
        <v>42.000000000000007</v>
      </c>
      <c r="AW11" s="41">
        <f t="shared" si="19"/>
        <v>91.700000000000017</v>
      </c>
      <c r="AX11" s="18">
        <v>18.82</v>
      </c>
      <c r="AY11" s="18">
        <v>8.4</v>
      </c>
      <c r="AZ11" s="18">
        <v>0.8</v>
      </c>
      <c r="BA11" s="18">
        <v>0</v>
      </c>
      <c r="BB11" s="18">
        <v>18.7</v>
      </c>
      <c r="BC11" s="18">
        <v>7.2</v>
      </c>
      <c r="BD11" s="18">
        <v>0.2</v>
      </c>
      <c r="BE11" s="18">
        <v>0</v>
      </c>
      <c r="BF11" s="18">
        <v>18.5</v>
      </c>
      <c r="BG11" s="18">
        <v>7.7</v>
      </c>
      <c r="BH11" s="18">
        <v>0.2</v>
      </c>
      <c r="BI11" s="18">
        <v>0</v>
      </c>
      <c r="BJ11" s="18">
        <v>18.399999999999999</v>
      </c>
      <c r="BK11" s="18">
        <v>4.0999999999999996</v>
      </c>
      <c r="BL11" s="18">
        <v>2.5</v>
      </c>
      <c r="BM11" s="18">
        <v>0</v>
      </c>
      <c r="BN11" s="18">
        <v>18.7</v>
      </c>
      <c r="BO11" s="18">
        <v>8.4</v>
      </c>
      <c r="BP11" s="18">
        <v>0.6</v>
      </c>
      <c r="BQ11" s="18">
        <v>0</v>
      </c>
      <c r="BR11" s="29"/>
      <c r="BS11" s="11">
        <f t="shared" si="20"/>
        <v>15.600000000000001</v>
      </c>
      <c r="BT11" s="11">
        <f t="shared" si="21"/>
        <v>52.120000000000005</v>
      </c>
      <c r="BU11" s="11">
        <f t="shared" si="22"/>
        <v>26</v>
      </c>
      <c r="BV11" s="11">
        <f t="shared" si="23"/>
        <v>23.3</v>
      </c>
      <c r="BW11" s="11">
        <f t="shared" si="24"/>
        <v>78.12</v>
      </c>
      <c r="BX11" s="11">
        <f t="shared" si="25"/>
        <v>12.5</v>
      </c>
      <c r="BY11" s="11">
        <f t="shared" si="26"/>
        <v>46.5</v>
      </c>
      <c r="BZ11" s="11">
        <f t="shared" si="27"/>
        <v>98.62</v>
      </c>
      <c r="CA11" s="19">
        <v>18.899999999999999</v>
      </c>
      <c r="CB11" s="19">
        <v>8.4</v>
      </c>
      <c r="CC11" s="19">
        <v>0.6</v>
      </c>
      <c r="CD11" s="19">
        <v>0</v>
      </c>
      <c r="CE11" s="19">
        <v>18.2</v>
      </c>
      <c r="CF11" s="19">
        <v>6.4</v>
      </c>
      <c r="CG11" s="19">
        <v>0</v>
      </c>
      <c r="CH11" s="19">
        <v>0</v>
      </c>
      <c r="CI11" s="19">
        <v>18.600000000000001</v>
      </c>
      <c r="CJ11" s="19">
        <v>7.3</v>
      </c>
      <c r="CK11" s="19">
        <v>0.2</v>
      </c>
      <c r="CL11" s="19">
        <v>0</v>
      </c>
      <c r="CM11" s="19">
        <v>17.600000000000001</v>
      </c>
      <c r="CN11" s="19">
        <v>4</v>
      </c>
      <c r="CO11" s="19">
        <v>0</v>
      </c>
      <c r="CP11" s="19">
        <v>0</v>
      </c>
      <c r="CQ11" s="19">
        <v>18.399999999999999</v>
      </c>
      <c r="CR11" s="19">
        <v>8</v>
      </c>
      <c r="CS11" s="19">
        <v>0.6</v>
      </c>
      <c r="CT11" s="19">
        <v>0</v>
      </c>
      <c r="CU11" s="28"/>
      <c r="CV11" s="41">
        <f t="shared" si="28"/>
        <v>14.8</v>
      </c>
      <c r="CW11" s="41">
        <f t="shared" si="29"/>
        <v>51.3</v>
      </c>
      <c r="CX11" s="41">
        <f t="shared" si="30"/>
        <v>25.700000000000003</v>
      </c>
      <c r="CY11" s="41">
        <f t="shared" si="31"/>
        <v>22.1</v>
      </c>
      <c r="CZ11" s="41">
        <f t="shared" si="32"/>
        <v>77</v>
      </c>
      <c r="DA11" s="41">
        <f t="shared" si="33"/>
        <v>12</v>
      </c>
      <c r="DB11" s="41">
        <f t="shared" si="34"/>
        <v>47.4</v>
      </c>
      <c r="DC11" s="41">
        <f t="shared" si="35"/>
        <v>98.699999999999989</v>
      </c>
      <c r="DD11" s="52" t="str">
        <f t="shared" si="36"/>
        <v/>
      </c>
      <c r="DE11" s="52" t="str">
        <f t="shared" si="37"/>
        <v/>
      </c>
      <c r="DF11" s="52" t="str">
        <f t="shared" si="38"/>
        <v/>
      </c>
      <c r="DG11" s="17">
        <v>18.7</v>
      </c>
      <c r="DH11" s="17">
        <v>8.4</v>
      </c>
      <c r="DI11" s="17">
        <v>0</v>
      </c>
      <c r="DJ11" s="17">
        <v>0</v>
      </c>
      <c r="DK11" s="17">
        <v>17.600000000000001</v>
      </c>
      <c r="DL11" s="17">
        <v>2.8</v>
      </c>
      <c r="DM11" s="17">
        <v>0</v>
      </c>
      <c r="DN11" s="17">
        <v>0</v>
      </c>
      <c r="DO11" s="17"/>
      <c r="DP11" s="17"/>
      <c r="DQ11" s="17"/>
      <c r="DR11" s="17"/>
      <c r="DS11" s="17">
        <v>17.600000000000001</v>
      </c>
      <c r="DT11" s="17">
        <v>4</v>
      </c>
      <c r="DU11" s="17">
        <v>0</v>
      </c>
      <c r="DV11" s="17">
        <v>0</v>
      </c>
      <c r="DW11" s="17">
        <v>18.3</v>
      </c>
      <c r="DX11" s="17">
        <v>7.2</v>
      </c>
      <c r="DY11" s="17">
        <v>0.6</v>
      </c>
      <c r="DZ11" s="17">
        <v>0</v>
      </c>
      <c r="EA11" s="41">
        <f t="shared" si="39"/>
        <v>11.2</v>
      </c>
      <c r="EB11" s="41">
        <f t="shared" si="40"/>
        <v>47.5</v>
      </c>
      <c r="EC11" s="41" t="str">
        <f t="shared" si="41"/>
        <v/>
      </c>
      <c r="ED11" s="41">
        <f t="shared" si="42"/>
        <v>11.2</v>
      </c>
      <c r="EE11" s="41">
        <f t="shared" si="43"/>
        <v>47.5</v>
      </c>
      <c r="EF11" s="41">
        <f t="shared" si="44"/>
        <v>11.2</v>
      </c>
      <c r="EG11" s="41">
        <f t="shared" si="45"/>
        <v>46.500000000000007</v>
      </c>
      <c r="EH11" s="41">
        <f t="shared" si="46"/>
        <v>94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5"/>
        <v/>
      </c>
      <c r="GF11" s="41" t="str">
        <f t="shared" si="56"/>
        <v/>
      </c>
      <c r="GG11" s="41" t="str">
        <f t="shared" si="57"/>
        <v/>
      </c>
      <c r="GH11" s="41" t="str">
        <f t="shared" si="58"/>
        <v/>
      </c>
      <c r="GI11" s="41" t="str">
        <f t="shared" si="59"/>
        <v/>
      </c>
      <c r="GJ11" s="41" t="str">
        <f t="shared" si="60"/>
        <v/>
      </c>
      <c r="GK11" s="41" t="str">
        <f t="shared" si="61"/>
        <v/>
      </c>
      <c r="GL11" s="41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>
        <v>18.5</v>
      </c>
      <c r="IR11" s="18">
        <v>8.4</v>
      </c>
      <c r="IS11" s="18">
        <v>0.6</v>
      </c>
      <c r="IT11" s="18">
        <v>0</v>
      </c>
      <c r="IU11" s="18">
        <v>18.399999999999999</v>
      </c>
      <c r="IV11" s="18">
        <v>6.4</v>
      </c>
      <c r="IW11" s="18">
        <v>0.8</v>
      </c>
      <c r="IX11" s="18">
        <v>0</v>
      </c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>
        <f t="shared" si="79"/>
        <v>14.8</v>
      </c>
      <c r="JL11" s="11">
        <f t="shared" si="80"/>
        <v>50.3</v>
      </c>
      <c r="JM11" s="11" t="str">
        <f t="shared" si="81"/>
        <v/>
      </c>
      <c r="JN11" s="11">
        <f t="shared" si="82"/>
        <v>14.8</v>
      </c>
      <c r="JO11" s="11">
        <f t="shared" si="83"/>
        <v>50.3</v>
      </c>
      <c r="JP11" s="11" t="str">
        <f t="shared" si="84"/>
        <v/>
      </c>
      <c r="JQ11" s="11" t="str">
        <f t="shared" si="85"/>
        <v/>
      </c>
      <c r="JR11" s="11">
        <f t="shared" si="86"/>
        <v>50.3</v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7"/>
        <v/>
      </c>
      <c r="KN11" s="41" t="str">
        <f t="shared" si="88"/>
        <v/>
      </c>
      <c r="KO11" s="41" t="str">
        <f t="shared" si="89"/>
        <v/>
      </c>
      <c r="KP11" s="41" t="str">
        <f t="shared" si="90"/>
        <v/>
      </c>
      <c r="KQ11" s="41" t="str">
        <f t="shared" si="91"/>
        <v/>
      </c>
      <c r="KR11" s="41" t="str">
        <f t="shared" si="92"/>
        <v/>
      </c>
      <c r="KS11" s="41" t="str">
        <f t="shared" si="93"/>
        <v/>
      </c>
      <c r="KT11" s="41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3"/>
        <v/>
      </c>
      <c r="MR11" s="41" t="str">
        <f t="shared" si="104"/>
        <v/>
      </c>
      <c r="MS11" s="41" t="str">
        <f t="shared" si="105"/>
        <v/>
      </c>
      <c r="MT11" s="41" t="str">
        <f t="shared" si="106"/>
        <v/>
      </c>
      <c r="MU11" s="41" t="str">
        <f t="shared" si="107"/>
        <v/>
      </c>
      <c r="MV11" s="41" t="str">
        <f t="shared" si="108"/>
        <v/>
      </c>
      <c r="MW11" s="41" t="str">
        <f t="shared" si="109"/>
        <v/>
      </c>
      <c r="MX11" s="41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9"/>
        <v/>
      </c>
      <c r="OV11" s="41" t="str">
        <f t="shared" si="120"/>
        <v/>
      </c>
      <c r="OW11" s="41" t="str">
        <f t="shared" si="121"/>
        <v/>
      </c>
      <c r="OX11" s="41" t="str">
        <f t="shared" si="122"/>
        <v/>
      </c>
      <c r="OY11" s="41" t="str">
        <f t="shared" si="123"/>
        <v/>
      </c>
      <c r="OZ11" s="41" t="str">
        <f t="shared" si="124"/>
        <v/>
      </c>
      <c r="PA11" s="41" t="str">
        <f t="shared" si="125"/>
        <v/>
      </c>
      <c r="PB11" s="41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18.86</v>
      </c>
      <c r="QF11" s="23">
        <f t="shared" si="136"/>
        <v>8.4</v>
      </c>
      <c r="QG11" s="23">
        <f t="shared" si="137"/>
        <v>0.7</v>
      </c>
      <c r="QH11" s="23">
        <f t="shared" si="138"/>
        <v>0</v>
      </c>
      <c r="QI11" s="23">
        <f t="shared" si="139"/>
        <v>18.45</v>
      </c>
      <c r="QJ11" s="23">
        <f t="shared" si="140"/>
        <v>6.8000000000000007</v>
      </c>
      <c r="QK11" s="23">
        <f t="shared" si="141"/>
        <v>0.1</v>
      </c>
      <c r="QL11" s="23">
        <f t="shared" si="142"/>
        <v>0</v>
      </c>
      <c r="QM11" s="23">
        <f t="shared" si="143"/>
        <v>18.55</v>
      </c>
      <c r="QN11" s="23">
        <f t="shared" si="144"/>
        <v>7.5</v>
      </c>
      <c r="QO11" s="23">
        <f t="shared" si="145"/>
        <v>0.2</v>
      </c>
      <c r="QP11" s="23">
        <f t="shared" si="146"/>
        <v>0</v>
      </c>
      <c r="QQ11" s="23">
        <f t="shared" si="147"/>
        <v>18</v>
      </c>
      <c r="QR11" s="23">
        <f t="shared" si="148"/>
        <v>4.05</v>
      </c>
      <c r="QS11" s="23">
        <f t="shared" si="149"/>
        <v>1.25</v>
      </c>
      <c r="QT11" s="23">
        <f t="shared" si="150"/>
        <v>0</v>
      </c>
      <c r="QU11" s="23">
        <f t="shared" si="151"/>
        <v>18.549999999999997</v>
      </c>
      <c r="QV11" s="23">
        <f t="shared" si="152"/>
        <v>8.1999999999999993</v>
      </c>
      <c r="QW11" s="23">
        <f t="shared" si="153"/>
        <v>0.6</v>
      </c>
      <c r="QX11" s="23">
        <f t="shared" si="154"/>
        <v>0</v>
      </c>
      <c r="QY11" s="28" t="s">
        <v>58</v>
      </c>
      <c r="QZ11" s="41">
        <f t="shared" si="155"/>
        <v>15.200000000000001</v>
      </c>
      <c r="RA11" s="41">
        <f t="shared" si="156"/>
        <v>51.709999999999987</v>
      </c>
      <c r="RB11" s="41">
        <f t="shared" si="157"/>
        <v>25.85</v>
      </c>
      <c r="RC11" s="41">
        <f t="shared" si="158"/>
        <v>22.700000000000003</v>
      </c>
      <c r="RD11" s="41">
        <f t="shared" si="159"/>
        <v>77.559999999999988</v>
      </c>
      <c r="RE11" s="41">
        <f t="shared" si="160"/>
        <v>12.25</v>
      </c>
      <c r="RF11" s="41">
        <f t="shared" si="161"/>
        <v>46.949999999999996</v>
      </c>
      <c r="RG11" s="41">
        <f t="shared" si="162"/>
        <v>98.659999999999982</v>
      </c>
    </row>
    <row r="12" spans="1:475" x14ac:dyDescent="0.2">
      <c r="A12" s="4">
        <f t="shared" si="164"/>
        <v>9</v>
      </c>
      <c r="B12" s="5" t="s">
        <v>138</v>
      </c>
      <c r="C12" s="4" t="s">
        <v>5</v>
      </c>
      <c r="D12" s="4">
        <v>2004</v>
      </c>
      <c r="E12" s="9">
        <f t="shared" si="163"/>
        <v>175.80001289000512</v>
      </c>
      <c r="F12" s="3" t="str">
        <f t="shared" si="0"/>
        <v>P</v>
      </c>
      <c r="G12" s="3" t="str">
        <f t="shared" si="1"/>
        <v>P</v>
      </c>
      <c r="H12" s="37" t="str">
        <f t="shared" si="2"/>
        <v>Worlds Team</v>
      </c>
      <c r="I12" s="3" t="str">
        <f t="shared" si="3"/>
        <v>P</v>
      </c>
      <c r="J12" s="8">
        <f>IF(COUNT(AQ12,BT12,CW12)&gt;0,LARGE((AQ12,BT12,CW12),1),0)</f>
        <v>51.699999999999996</v>
      </c>
      <c r="K12" s="8" t="str">
        <f t="shared" si="4"/>
        <v>2022 3rd Domestic Trial</v>
      </c>
      <c r="L12" s="8">
        <f>IF(COUNT(AQ12,BT12,CW12)&gt;1,LARGE((AQ12,BT12,CW12),2),0)</f>
        <v>50.599999999999994</v>
      </c>
      <c r="M12" s="8" t="str">
        <f t="shared" si="5"/>
        <v>2022 Nationals</v>
      </c>
      <c r="N12" s="8">
        <f>IF(COUNT(AR12,BU12,CX12)&gt;0,LARGE((AR12,BU12,CX12),1),0)</f>
        <v>26.6</v>
      </c>
      <c r="O12" s="8" t="str">
        <f t="shared" si="6"/>
        <v>2022 3rd Domestic Trial</v>
      </c>
      <c r="P12" s="8">
        <f t="shared" si="7"/>
        <v>46.699999999999996</v>
      </c>
      <c r="Q12" s="8" t="str">
        <f t="shared" si="8"/>
        <v>2022 3rd Domestic Trial</v>
      </c>
      <c r="R12" s="8">
        <f t="shared" si="9"/>
        <v>0.20000000000000284</v>
      </c>
      <c r="S12" s="11" t="str">
        <f t="shared" si="10"/>
        <v>(Final)</v>
      </c>
      <c r="T12" s="8" t="str">
        <f t="shared" si="11"/>
        <v>2022 World Games Technical Trial #2 (May 15)</v>
      </c>
      <c r="U12" s="19">
        <v>18.399999999999999</v>
      </c>
      <c r="V12" s="19">
        <v>7.3</v>
      </c>
      <c r="W12" s="19">
        <v>0</v>
      </c>
      <c r="X12" s="19">
        <v>0</v>
      </c>
      <c r="Y12" s="19">
        <v>17.899999999999999</v>
      </c>
      <c r="Z12" s="19">
        <v>7.2</v>
      </c>
      <c r="AA12" s="19">
        <v>0.2</v>
      </c>
      <c r="AB12" s="19">
        <v>0</v>
      </c>
      <c r="AC12" s="19">
        <v>17.2</v>
      </c>
      <c r="AD12" s="19">
        <v>3.2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8"/>
      <c r="AP12" s="41">
        <f t="shared" si="12"/>
        <v>14.5</v>
      </c>
      <c r="AQ12" s="41">
        <f t="shared" si="13"/>
        <v>50.599999999999994</v>
      </c>
      <c r="AR12" s="41">
        <f t="shared" si="14"/>
        <v>20.399999999999999</v>
      </c>
      <c r="AS12" s="41">
        <f t="shared" si="15"/>
        <v>17.7</v>
      </c>
      <c r="AT12" s="41">
        <f t="shared" si="16"/>
        <v>71</v>
      </c>
      <c r="AU12" s="41" t="str">
        <f t="shared" si="17"/>
        <v/>
      </c>
      <c r="AV12" s="41" t="str">
        <f t="shared" si="18"/>
        <v/>
      </c>
      <c r="AW12" s="41">
        <f t="shared" si="19"/>
        <v>50.599999999999994</v>
      </c>
      <c r="AX12" s="18">
        <v>18.399999999999999</v>
      </c>
      <c r="AY12" s="18">
        <v>7.7</v>
      </c>
      <c r="AZ12" s="18">
        <v>0</v>
      </c>
      <c r="BA12" s="18">
        <v>0.3</v>
      </c>
      <c r="BB12" s="18">
        <v>18.600000000000001</v>
      </c>
      <c r="BC12" s="18">
        <v>7.3</v>
      </c>
      <c r="BD12" s="18">
        <v>0.6</v>
      </c>
      <c r="BE12" s="18">
        <v>0</v>
      </c>
      <c r="BF12" s="18">
        <v>18.8</v>
      </c>
      <c r="BG12" s="18">
        <v>8.4</v>
      </c>
      <c r="BH12" s="18">
        <v>0.6</v>
      </c>
      <c r="BI12" s="18">
        <v>0</v>
      </c>
      <c r="BJ12" s="18">
        <v>17.7</v>
      </c>
      <c r="BK12" s="18">
        <v>2.8</v>
      </c>
      <c r="BL12" s="18">
        <v>0</v>
      </c>
      <c r="BM12" s="18">
        <v>0</v>
      </c>
      <c r="BN12" s="18">
        <v>18.8</v>
      </c>
      <c r="BO12" s="18">
        <v>7.6</v>
      </c>
      <c r="BP12" s="18">
        <v>0.2</v>
      </c>
      <c r="BQ12" s="18">
        <v>0</v>
      </c>
      <c r="BR12" s="29"/>
      <c r="BS12" s="11">
        <f t="shared" si="20"/>
        <v>15</v>
      </c>
      <c r="BT12" s="11">
        <f t="shared" si="21"/>
        <v>51.699999999999996</v>
      </c>
      <c r="BU12" s="11">
        <f t="shared" si="22"/>
        <v>26.6</v>
      </c>
      <c r="BV12" s="11">
        <f t="shared" si="23"/>
        <v>23.4</v>
      </c>
      <c r="BW12" s="11">
        <f t="shared" si="24"/>
        <v>78.3</v>
      </c>
      <c r="BX12" s="11">
        <f t="shared" si="25"/>
        <v>10.399999999999999</v>
      </c>
      <c r="BY12" s="11">
        <f t="shared" si="26"/>
        <v>46.699999999999996</v>
      </c>
      <c r="BZ12" s="11">
        <f t="shared" si="27"/>
        <v>98.399999999999991</v>
      </c>
      <c r="CA12" s="19">
        <v>19</v>
      </c>
      <c r="CB12" s="19">
        <v>8</v>
      </c>
      <c r="CC12" s="19">
        <v>0.6</v>
      </c>
      <c r="CD12" s="19">
        <v>0.3</v>
      </c>
      <c r="CE12" s="19">
        <v>17.3</v>
      </c>
      <c r="CF12" s="19">
        <v>2.4</v>
      </c>
      <c r="CG12" s="19">
        <v>0</v>
      </c>
      <c r="CH12" s="19">
        <v>0</v>
      </c>
      <c r="CI12" s="19">
        <v>16.600000000000001</v>
      </c>
      <c r="CJ12" s="19">
        <v>8.9</v>
      </c>
      <c r="CK12" s="19">
        <v>0.2</v>
      </c>
      <c r="CL12" s="19">
        <v>0.3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 t="shared" si="28"/>
        <v>10.4</v>
      </c>
      <c r="CW12" s="41">
        <f t="shared" si="29"/>
        <v>46.4</v>
      </c>
      <c r="CX12" s="41">
        <f t="shared" si="30"/>
        <v>25.6</v>
      </c>
      <c r="CY12" s="41">
        <f t="shared" si="31"/>
        <v>19.3</v>
      </c>
      <c r="CZ12" s="41">
        <f t="shared" si="32"/>
        <v>72</v>
      </c>
      <c r="DA12" s="41" t="str">
        <f t="shared" si="33"/>
        <v/>
      </c>
      <c r="DB12" s="41" t="str">
        <f t="shared" si="34"/>
        <v/>
      </c>
      <c r="DC12" s="41">
        <f t="shared" si="35"/>
        <v>46.4</v>
      </c>
      <c r="DD12" s="52" t="str">
        <f t="shared" si="36"/>
        <v/>
      </c>
      <c r="DE12" s="52" t="str">
        <f t="shared" si="37"/>
        <v/>
      </c>
      <c r="DF12" s="52">
        <f t="shared" si="38"/>
        <v>0.20000000000000284</v>
      </c>
      <c r="DG12" s="17">
        <v>18.3</v>
      </c>
      <c r="DH12" s="17">
        <v>6.4</v>
      </c>
      <c r="DI12" s="17">
        <v>0.8</v>
      </c>
      <c r="DJ12" s="17">
        <v>0</v>
      </c>
      <c r="DK12" s="17">
        <v>18.8</v>
      </c>
      <c r="DL12" s="17">
        <v>8</v>
      </c>
      <c r="DM12" s="17">
        <v>0.6</v>
      </c>
      <c r="DN12" s="17">
        <v>0</v>
      </c>
      <c r="DO12" s="17"/>
      <c r="DP12" s="17"/>
      <c r="DQ12" s="17"/>
      <c r="DR12" s="17"/>
      <c r="DS12" s="17">
        <v>17.399999999999999</v>
      </c>
      <c r="DT12" s="17">
        <v>2.8</v>
      </c>
      <c r="DU12" s="17">
        <v>0</v>
      </c>
      <c r="DV12" s="17">
        <v>0</v>
      </c>
      <c r="DW12" s="17">
        <v>18.7</v>
      </c>
      <c r="DX12" s="17">
        <v>8</v>
      </c>
      <c r="DY12" s="17">
        <v>0</v>
      </c>
      <c r="DZ12" s="17">
        <v>0</v>
      </c>
      <c r="EA12" s="41">
        <f t="shared" si="39"/>
        <v>14.4</v>
      </c>
      <c r="EB12" s="41">
        <f t="shared" si="40"/>
        <v>50.1</v>
      </c>
      <c r="EC12" s="41" t="str">
        <f t="shared" si="41"/>
        <v/>
      </c>
      <c r="ED12" s="41">
        <f t="shared" si="42"/>
        <v>14.4</v>
      </c>
      <c r="EE12" s="41">
        <f t="shared" si="43"/>
        <v>50.1</v>
      </c>
      <c r="EF12" s="41">
        <f t="shared" si="44"/>
        <v>10.8</v>
      </c>
      <c r="EG12" s="41">
        <f t="shared" si="45"/>
        <v>46.9</v>
      </c>
      <c r="EH12" s="41">
        <f t="shared" si="46"/>
        <v>97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5"/>
        <v/>
      </c>
      <c r="GF12" s="41" t="str">
        <f t="shared" si="56"/>
        <v/>
      </c>
      <c r="GG12" s="41" t="str">
        <f t="shared" si="57"/>
        <v/>
      </c>
      <c r="GH12" s="41" t="str">
        <f t="shared" si="58"/>
        <v/>
      </c>
      <c r="GI12" s="41" t="str">
        <f t="shared" si="59"/>
        <v/>
      </c>
      <c r="GJ12" s="41" t="str">
        <f t="shared" si="60"/>
        <v/>
      </c>
      <c r="GK12" s="41" t="str">
        <f t="shared" si="61"/>
        <v/>
      </c>
      <c r="GL12" s="41" t="str">
        <f t="shared" si="62"/>
        <v/>
      </c>
      <c r="GM12" s="18">
        <v>18.399999999999999</v>
      </c>
      <c r="GN12" s="18">
        <v>7.7</v>
      </c>
      <c r="GO12" s="18">
        <v>0.2</v>
      </c>
      <c r="GP12" s="18">
        <v>0</v>
      </c>
      <c r="GQ12" s="18">
        <v>0</v>
      </c>
      <c r="GR12" s="18">
        <v>0</v>
      </c>
      <c r="GS12" s="18">
        <v>0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 t="shared" si="63"/>
        <v>7.7</v>
      </c>
      <c r="HH12" s="11">
        <f t="shared" si="64"/>
        <v>25.9</v>
      </c>
      <c r="HI12" s="11" t="str">
        <f t="shared" si="65"/>
        <v/>
      </c>
      <c r="HJ12" s="11">
        <f t="shared" si="66"/>
        <v>7.7</v>
      </c>
      <c r="HK12" s="11">
        <f t="shared" si="67"/>
        <v>25.9</v>
      </c>
      <c r="HL12" s="11" t="str">
        <f t="shared" si="68"/>
        <v/>
      </c>
      <c r="HM12" s="11" t="str">
        <f t="shared" si="69"/>
        <v/>
      </c>
      <c r="HN12" s="11">
        <f t="shared" si="70"/>
        <v>25.9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1"/>
        <v/>
      </c>
      <c r="IJ12" s="41" t="str">
        <f t="shared" si="72"/>
        <v/>
      </c>
      <c r="IK12" s="41" t="str">
        <f t="shared" si="73"/>
        <v/>
      </c>
      <c r="IL12" s="41" t="str">
        <f t="shared" si="74"/>
        <v/>
      </c>
      <c r="IM12" s="41" t="str">
        <f t="shared" si="75"/>
        <v/>
      </c>
      <c r="IN12" s="41" t="str">
        <f t="shared" si="76"/>
        <v/>
      </c>
      <c r="IO12" s="41" t="str">
        <f t="shared" si="77"/>
        <v/>
      </c>
      <c r="IP12" s="41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7"/>
        <v/>
      </c>
      <c r="KN12" s="41" t="str">
        <f t="shared" si="88"/>
        <v/>
      </c>
      <c r="KO12" s="41" t="str">
        <f t="shared" si="89"/>
        <v/>
      </c>
      <c r="KP12" s="41" t="str">
        <f t="shared" si="90"/>
        <v/>
      </c>
      <c r="KQ12" s="41" t="str">
        <f t="shared" si="91"/>
        <v/>
      </c>
      <c r="KR12" s="41" t="str">
        <f t="shared" si="92"/>
        <v/>
      </c>
      <c r="KS12" s="41" t="str">
        <f t="shared" si="93"/>
        <v/>
      </c>
      <c r="KT12" s="41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>
        <v>18.7</v>
      </c>
      <c r="LX12" s="17">
        <v>8.4</v>
      </c>
      <c r="LY12" s="17">
        <v>0.8</v>
      </c>
      <c r="LZ12" s="17">
        <v>0</v>
      </c>
      <c r="MA12" s="17">
        <v>16.899999999999999</v>
      </c>
      <c r="MB12" s="17">
        <v>8</v>
      </c>
      <c r="MC12" s="17">
        <v>1</v>
      </c>
      <c r="MD12" s="17">
        <v>0</v>
      </c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>
        <f t="shared" si="103"/>
        <v>16.399999999999999</v>
      </c>
      <c r="MR12" s="41">
        <f t="shared" si="104"/>
        <v>50.2</v>
      </c>
      <c r="MS12" s="41" t="str">
        <f t="shared" si="105"/>
        <v/>
      </c>
      <c r="MT12" s="41">
        <f t="shared" si="106"/>
        <v>16.399999999999999</v>
      </c>
      <c r="MU12" s="41">
        <f t="shared" si="107"/>
        <v>50.2</v>
      </c>
      <c r="MV12" s="41" t="str">
        <f t="shared" si="108"/>
        <v/>
      </c>
      <c r="MW12" s="41" t="str">
        <f t="shared" si="109"/>
        <v/>
      </c>
      <c r="MX12" s="41">
        <f t="shared" si="110"/>
        <v>50.2</v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18.7</v>
      </c>
      <c r="QF12" s="23">
        <f t="shared" si="136"/>
        <v>7.85</v>
      </c>
      <c r="QG12" s="23">
        <f t="shared" si="137"/>
        <v>0.3</v>
      </c>
      <c r="QH12" s="23">
        <f t="shared" si="138"/>
        <v>0.3</v>
      </c>
      <c r="QI12" s="23">
        <f t="shared" si="139"/>
        <v>17.950000000000003</v>
      </c>
      <c r="QJ12" s="23">
        <f t="shared" si="140"/>
        <v>4.8499999999999996</v>
      </c>
      <c r="QK12" s="23">
        <f t="shared" si="141"/>
        <v>0.3</v>
      </c>
      <c r="QL12" s="23">
        <f t="shared" si="142"/>
        <v>0</v>
      </c>
      <c r="QM12" s="23">
        <f t="shared" si="143"/>
        <v>17.700000000000003</v>
      </c>
      <c r="QN12" s="23">
        <f t="shared" si="144"/>
        <v>8.65</v>
      </c>
      <c r="QO12" s="23">
        <f t="shared" si="145"/>
        <v>0.4</v>
      </c>
      <c r="QP12" s="23">
        <f t="shared" si="146"/>
        <v>0.15</v>
      </c>
      <c r="QQ12" s="23">
        <f t="shared" si="147"/>
        <v>8.85</v>
      </c>
      <c r="QR12" s="23">
        <f t="shared" si="148"/>
        <v>1.4</v>
      </c>
      <c r="QS12" s="23">
        <f t="shared" si="149"/>
        <v>0</v>
      </c>
      <c r="QT12" s="23">
        <f t="shared" si="150"/>
        <v>0</v>
      </c>
      <c r="QU12" s="23">
        <f t="shared" si="151"/>
        <v>9.4</v>
      </c>
      <c r="QV12" s="23">
        <f t="shared" si="152"/>
        <v>3.8</v>
      </c>
      <c r="QW12" s="23">
        <f t="shared" si="153"/>
        <v>0.1</v>
      </c>
      <c r="QX12" s="23">
        <f t="shared" si="154"/>
        <v>0</v>
      </c>
      <c r="QY12" s="28" t="s">
        <v>58</v>
      </c>
      <c r="QZ12" s="41">
        <f t="shared" si="155"/>
        <v>12.7</v>
      </c>
      <c r="RA12" s="41">
        <f t="shared" si="156"/>
        <v>49.050000000000004</v>
      </c>
      <c r="RB12" s="41">
        <f t="shared" si="157"/>
        <v>26.1</v>
      </c>
      <c r="RC12" s="41">
        <f t="shared" si="158"/>
        <v>21.35</v>
      </c>
      <c r="RD12" s="41">
        <f t="shared" si="159"/>
        <v>75.150000000000006</v>
      </c>
      <c r="RE12" s="41">
        <f t="shared" si="160"/>
        <v>5.1999999999999993</v>
      </c>
      <c r="RF12" s="41">
        <f t="shared" si="161"/>
        <v>23.349999999999998</v>
      </c>
      <c r="RG12" s="41">
        <f t="shared" si="162"/>
        <v>72.400000000000006</v>
      </c>
    </row>
    <row r="13" spans="1:475" x14ac:dyDescent="0.2">
      <c r="A13" s="4">
        <f t="shared" si="164"/>
        <v>10</v>
      </c>
      <c r="B13" s="5" t="s">
        <v>136</v>
      </c>
      <c r="C13" s="4" t="s">
        <v>5</v>
      </c>
      <c r="D13" s="4">
        <v>1999</v>
      </c>
      <c r="E13" s="9">
        <f t="shared" si="163"/>
        <v>168.80001226000519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52</v>
      </c>
      <c r="K13" s="8" t="str">
        <f t="shared" si="4"/>
        <v>2023 Elite Canada</v>
      </c>
      <c r="L13" s="8">
        <f>IF(COUNT(AQ13,BT13,CW13)&gt;1,LARGE((AQ13,BT13,CW13),2),0)</f>
        <v>45.599999999999994</v>
      </c>
      <c r="M13" s="8" t="str">
        <f t="shared" si="5"/>
        <v>2022 Nationals</v>
      </c>
      <c r="N13" s="8">
        <f>IF(COUNT(AR13,BU13,CX13)&gt;0,LARGE((AR13,BU13,CX13),1),0)</f>
        <v>25</v>
      </c>
      <c r="O13" s="8" t="str">
        <f t="shared" si="6"/>
        <v>2023 Elite Canada</v>
      </c>
      <c r="P13" s="8">
        <f t="shared" si="7"/>
        <v>46.199999999999996</v>
      </c>
      <c r="Q13" s="8" t="str">
        <f t="shared" si="8"/>
        <v>2023 Elite Canada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16.5</v>
      </c>
      <c r="V13" s="19">
        <v>6.4</v>
      </c>
      <c r="W13" s="19">
        <v>1</v>
      </c>
      <c r="X13" s="19">
        <v>0</v>
      </c>
      <c r="Y13" s="19">
        <v>17.899999999999999</v>
      </c>
      <c r="Z13" s="19">
        <v>6</v>
      </c>
      <c r="AA13" s="19">
        <v>0.2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 t="shared" si="12"/>
        <v>12.4</v>
      </c>
      <c r="AQ13" s="41">
        <f t="shared" si="13"/>
        <v>45.599999999999994</v>
      </c>
      <c r="AR13" s="41" t="str">
        <f t="shared" si="14"/>
        <v/>
      </c>
      <c r="AS13" s="41">
        <f t="shared" si="15"/>
        <v>12.4</v>
      </c>
      <c r="AT13" s="41">
        <f t="shared" si="16"/>
        <v>45.599999999999994</v>
      </c>
      <c r="AU13" s="41" t="str">
        <f t="shared" si="17"/>
        <v/>
      </c>
      <c r="AV13" s="41" t="str">
        <f t="shared" si="18"/>
        <v/>
      </c>
      <c r="AW13" s="41">
        <f t="shared" si="19"/>
        <v>45.599999999999994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0"/>
        <v/>
      </c>
      <c r="BT13" s="11" t="str">
        <f t="shared" si="21"/>
        <v/>
      </c>
      <c r="BU13" s="11" t="str">
        <f t="shared" si="22"/>
        <v/>
      </c>
      <c r="BV13" s="11" t="str">
        <f t="shared" si="23"/>
        <v/>
      </c>
      <c r="BW13" s="11" t="str">
        <f t="shared" si="24"/>
        <v/>
      </c>
      <c r="BX13" s="11" t="str">
        <f t="shared" si="25"/>
        <v/>
      </c>
      <c r="BY13" s="11" t="str">
        <f t="shared" si="26"/>
        <v/>
      </c>
      <c r="BZ13" s="11" t="str">
        <f t="shared" si="27"/>
        <v/>
      </c>
      <c r="CA13" s="19">
        <v>18.8</v>
      </c>
      <c r="CB13" s="19">
        <v>7.2</v>
      </c>
      <c r="CC13" s="19">
        <v>0</v>
      </c>
      <c r="CD13" s="19">
        <v>0</v>
      </c>
      <c r="CE13" s="19">
        <v>19</v>
      </c>
      <c r="CF13" s="19">
        <v>7.2</v>
      </c>
      <c r="CG13" s="19">
        <v>0.2</v>
      </c>
      <c r="CH13" s="19">
        <v>0</v>
      </c>
      <c r="CI13" s="19">
        <v>18.8</v>
      </c>
      <c r="CJ13" s="19">
        <v>6.8</v>
      </c>
      <c r="CK13" s="19">
        <v>0.6</v>
      </c>
      <c r="CL13" s="19">
        <v>0</v>
      </c>
      <c r="CM13" s="19">
        <v>17.3</v>
      </c>
      <c r="CN13" s="19">
        <v>3.6</v>
      </c>
      <c r="CO13" s="19">
        <v>0</v>
      </c>
      <c r="CP13" s="19">
        <v>0</v>
      </c>
      <c r="CQ13" s="19">
        <v>18.899999999999999</v>
      </c>
      <c r="CR13" s="19">
        <v>6.4</v>
      </c>
      <c r="CS13" s="19">
        <v>0</v>
      </c>
      <c r="CT13" s="19">
        <v>0</v>
      </c>
      <c r="CU13" s="28"/>
      <c r="CV13" s="41">
        <f t="shared" si="28"/>
        <v>14.4</v>
      </c>
      <c r="CW13" s="41">
        <f t="shared" si="29"/>
        <v>52</v>
      </c>
      <c r="CX13" s="41">
        <f t="shared" si="30"/>
        <v>25</v>
      </c>
      <c r="CY13" s="41">
        <f t="shared" si="31"/>
        <v>21.2</v>
      </c>
      <c r="CZ13" s="41">
        <f t="shared" si="32"/>
        <v>77</v>
      </c>
      <c r="DA13" s="41">
        <f t="shared" si="33"/>
        <v>10</v>
      </c>
      <c r="DB13" s="41">
        <f t="shared" si="34"/>
        <v>46.199999999999996</v>
      </c>
      <c r="DC13" s="41">
        <f t="shared" si="35"/>
        <v>98.199999999999989</v>
      </c>
      <c r="DD13" s="52" t="str">
        <f t="shared" si="36"/>
        <v/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7"/>
        <v/>
      </c>
      <c r="KN13" s="41" t="str">
        <f t="shared" si="88"/>
        <v/>
      </c>
      <c r="KO13" s="41" t="str">
        <f t="shared" si="89"/>
        <v/>
      </c>
      <c r="KP13" s="41" t="str">
        <f t="shared" si="90"/>
        <v/>
      </c>
      <c r="KQ13" s="41" t="str">
        <f t="shared" si="91"/>
        <v/>
      </c>
      <c r="KR13" s="41" t="str">
        <f t="shared" si="92"/>
        <v/>
      </c>
      <c r="KS13" s="41" t="str">
        <f t="shared" si="93"/>
        <v/>
      </c>
      <c r="KT13" s="41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9.4</v>
      </c>
      <c r="QF13" s="23">
        <f t="shared" si="136"/>
        <v>3.6</v>
      </c>
      <c r="QG13" s="23">
        <f t="shared" si="137"/>
        <v>0</v>
      </c>
      <c r="QH13" s="23">
        <f t="shared" si="138"/>
        <v>0</v>
      </c>
      <c r="QI13" s="23">
        <f t="shared" si="139"/>
        <v>9.5</v>
      </c>
      <c r="QJ13" s="23">
        <f t="shared" si="140"/>
        <v>3.6</v>
      </c>
      <c r="QK13" s="23">
        <f t="shared" si="141"/>
        <v>0.1</v>
      </c>
      <c r="QL13" s="23">
        <f t="shared" si="142"/>
        <v>0</v>
      </c>
      <c r="QM13" s="23">
        <f t="shared" si="143"/>
        <v>9.4</v>
      </c>
      <c r="QN13" s="23">
        <f t="shared" si="144"/>
        <v>3.4</v>
      </c>
      <c r="QO13" s="23">
        <f t="shared" si="145"/>
        <v>0.3</v>
      </c>
      <c r="QP13" s="23">
        <f t="shared" si="146"/>
        <v>0</v>
      </c>
      <c r="QQ13" s="23">
        <f t="shared" si="147"/>
        <v>8.65</v>
      </c>
      <c r="QR13" s="23">
        <f t="shared" si="148"/>
        <v>1.8</v>
      </c>
      <c r="QS13" s="23">
        <f t="shared" si="149"/>
        <v>0</v>
      </c>
      <c r="QT13" s="23">
        <f t="shared" si="150"/>
        <v>0</v>
      </c>
      <c r="QU13" s="23">
        <f t="shared" si="151"/>
        <v>9.4499999999999993</v>
      </c>
      <c r="QV13" s="23">
        <f t="shared" si="152"/>
        <v>3.2</v>
      </c>
      <c r="QW13" s="23">
        <f t="shared" si="153"/>
        <v>0</v>
      </c>
      <c r="QX13" s="23">
        <f t="shared" si="154"/>
        <v>0</v>
      </c>
      <c r="QY13" s="28" t="s">
        <v>58</v>
      </c>
      <c r="QZ13" s="41">
        <f t="shared" si="155"/>
        <v>7.2</v>
      </c>
      <c r="RA13" s="41">
        <f t="shared" si="156"/>
        <v>26</v>
      </c>
      <c r="RB13" s="41">
        <f t="shared" si="157"/>
        <v>12.5</v>
      </c>
      <c r="RC13" s="41">
        <f t="shared" si="158"/>
        <v>10.6</v>
      </c>
      <c r="RD13" s="41">
        <f t="shared" si="159"/>
        <v>38.5</v>
      </c>
      <c r="RE13" s="41">
        <f t="shared" si="160"/>
        <v>5</v>
      </c>
      <c r="RF13" s="41">
        <f t="shared" si="161"/>
        <v>23.099999999999998</v>
      </c>
      <c r="RG13" s="41">
        <f t="shared" si="162"/>
        <v>49.099999999999994</v>
      </c>
    </row>
    <row r="14" spans="1:475" x14ac:dyDescent="0.2">
      <c r="A14" s="4">
        <f t="shared" si="164"/>
        <v>11</v>
      </c>
      <c r="B14" s="5" t="s">
        <v>141</v>
      </c>
      <c r="C14" s="4" t="s">
        <v>6</v>
      </c>
      <c r="D14" s="4">
        <v>2001</v>
      </c>
      <c r="E14" s="9">
        <f t="shared" si="163"/>
        <v>168.10001212000492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49.2</v>
      </c>
      <c r="K14" s="8" t="str">
        <f t="shared" si="4"/>
        <v>2023 Elite Canada</v>
      </c>
      <c r="L14" s="8">
        <f>IF(COUNT(AQ14,BT14,CW14)&gt;1,LARGE((AQ14,BT14,CW14),2),0)</f>
        <v>47.499999999999993</v>
      </c>
      <c r="M14" s="8" t="str">
        <f t="shared" si="5"/>
        <v>2022 Nationals</v>
      </c>
      <c r="N14" s="8">
        <f>IF(COUNT(AR14,BU14,CX14)&gt;0,LARGE((AR14,BU14,CX14),1),0)</f>
        <v>24.5</v>
      </c>
      <c r="O14" s="8" t="str">
        <f t="shared" si="6"/>
        <v>2022 Nationals</v>
      </c>
      <c r="P14" s="8">
        <f t="shared" si="7"/>
        <v>39.500000000000007</v>
      </c>
      <c r="Q14" s="8" t="str">
        <f t="shared" si="8"/>
        <v>2022 Nationals</v>
      </c>
      <c r="R14" s="8">
        <f t="shared" si="9"/>
        <v>7.3999999999999986</v>
      </c>
      <c r="S14" s="11" t="str">
        <f t="shared" si="10"/>
        <v>(Final)</v>
      </c>
      <c r="T14" s="8" t="str">
        <f t="shared" si="11"/>
        <v>2022 World Games Technical Trial #2 (May 15)</v>
      </c>
      <c r="U14" s="19">
        <v>18.399999999999999</v>
      </c>
      <c r="V14" s="19">
        <v>5.2</v>
      </c>
      <c r="W14" s="19">
        <v>1</v>
      </c>
      <c r="X14" s="19">
        <v>0</v>
      </c>
      <c r="Y14" s="19">
        <v>18.2</v>
      </c>
      <c r="Z14" s="19">
        <v>6.9</v>
      </c>
      <c r="AA14" s="19">
        <v>0.2</v>
      </c>
      <c r="AB14" s="19">
        <v>0</v>
      </c>
      <c r="AC14" s="19">
        <v>18.7</v>
      </c>
      <c r="AD14" s="19">
        <v>6.4</v>
      </c>
      <c r="AE14" s="19">
        <v>0.6</v>
      </c>
      <c r="AF14" s="19">
        <v>0</v>
      </c>
      <c r="AG14" s="19">
        <v>16.600000000000001</v>
      </c>
      <c r="AH14" s="19">
        <v>4.8</v>
      </c>
      <c r="AI14" s="19">
        <v>1.7999999999999998</v>
      </c>
      <c r="AJ14" s="19">
        <v>0</v>
      </c>
      <c r="AK14" s="19">
        <v>17.5</v>
      </c>
      <c r="AL14" s="19">
        <v>2.4</v>
      </c>
      <c r="AM14" s="19">
        <v>0</v>
      </c>
      <c r="AN14" s="19">
        <v>0</v>
      </c>
      <c r="AO14" s="28"/>
      <c r="AP14" s="41">
        <f t="shared" si="12"/>
        <v>12.100000000000001</v>
      </c>
      <c r="AQ14" s="41">
        <f t="shared" si="13"/>
        <v>47.499999999999993</v>
      </c>
      <c r="AR14" s="41">
        <f t="shared" si="14"/>
        <v>24.5</v>
      </c>
      <c r="AS14" s="41">
        <f t="shared" si="15"/>
        <v>18.5</v>
      </c>
      <c r="AT14" s="41">
        <f t="shared" si="16"/>
        <v>72</v>
      </c>
      <c r="AU14" s="41">
        <f t="shared" si="17"/>
        <v>7.1999999999999993</v>
      </c>
      <c r="AV14" s="41">
        <f t="shared" si="18"/>
        <v>39.500000000000007</v>
      </c>
      <c r="AW14" s="41">
        <f t="shared" si="19"/>
        <v>87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 t="str">
        <f t="shared" si="20"/>
        <v/>
      </c>
      <c r="BT14" s="11" t="str">
        <f t="shared" si="21"/>
        <v/>
      </c>
      <c r="BU14" s="11" t="str">
        <f t="shared" si="22"/>
        <v/>
      </c>
      <c r="BV14" s="11" t="str">
        <f t="shared" si="23"/>
        <v/>
      </c>
      <c r="BW14" s="11" t="str">
        <f t="shared" si="24"/>
        <v/>
      </c>
      <c r="BX14" s="11" t="str">
        <f t="shared" si="25"/>
        <v/>
      </c>
      <c r="BY14" s="11" t="str">
        <f t="shared" si="26"/>
        <v/>
      </c>
      <c r="BZ14" s="11" t="str">
        <f t="shared" si="27"/>
        <v/>
      </c>
      <c r="CA14" s="19">
        <v>18.8</v>
      </c>
      <c r="CB14" s="19">
        <v>7.2</v>
      </c>
      <c r="CC14" s="19">
        <v>0.6</v>
      </c>
      <c r="CD14" s="19">
        <v>0</v>
      </c>
      <c r="CE14" s="19">
        <v>18.600000000000001</v>
      </c>
      <c r="CF14" s="19">
        <v>6</v>
      </c>
      <c r="CG14" s="19">
        <v>0.8</v>
      </c>
      <c r="CH14" s="19">
        <v>0</v>
      </c>
      <c r="CI14" s="19">
        <v>16.5</v>
      </c>
      <c r="CJ14" s="19">
        <v>5.0999999999999996</v>
      </c>
      <c r="CK14" s="19">
        <v>1</v>
      </c>
      <c r="CL14" s="19">
        <v>0.3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 t="shared" si="28"/>
        <v>13.2</v>
      </c>
      <c r="CW14" s="41">
        <f t="shared" si="29"/>
        <v>49.2</v>
      </c>
      <c r="CX14" s="41">
        <f t="shared" si="30"/>
        <v>20.900000000000002</v>
      </c>
      <c r="CY14" s="41">
        <f t="shared" si="31"/>
        <v>18.299999999999997</v>
      </c>
      <c r="CZ14" s="41">
        <f t="shared" si="32"/>
        <v>70.100000000000009</v>
      </c>
      <c r="DA14" s="41" t="str">
        <f t="shared" si="33"/>
        <v/>
      </c>
      <c r="DB14" s="41" t="str">
        <f t="shared" si="34"/>
        <v/>
      </c>
      <c r="DC14" s="41">
        <f t="shared" si="35"/>
        <v>49.2</v>
      </c>
      <c r="DD14" s="52">
        <f t="shared" si="36"/>
        <v>3.8000000000000114</v>
      </c>
      <c r="DE14" s="52" t="str">
        <f t="shared" si="37"/>
        <v/>
      </c>
      <c r="DF14" s="52">
        <f t="shared" si="38"/>
        <v>7.3999999999999986</v>
      </c>
      <c r="DG14" s="17">
        <v>18.399999999999999</v>
      </c>
      <c r="DH14" s="17">
        <v>6</v>
      </c>
      <c r="DI14" s="17">
        <v>0.8</v>
      </c>
      <c r="DJ14" s="17">
        <v>0</v>
      </c>
      <c r="DK14" s="17">
        <v>18.600000000000001</v>
      </c>
      <c r="DL14" s="17">
        <v>6</v>
      </c>
      <c r="DM14" s="17">
        <v>0</v>
      </c>
      <c r="DN14" s="17">
        <v>0</v>
      </c>
      <c r="DO14" s="17"/>
      <c r="DP14" s="17"/>
      <c r="DQ14" s="17"/>
      <c r="DR14" s="17"/>
      <c r="DS14" s="17">
        <v>19.3</v>
      </c>
      <c r="DT14" s="17">
        <v>7.6</v>
      </c>
      <c r="DU14" s="17">
        <v>0</v>
      </c>
      <c r="DV14" s="17">
        <v>0.3</v>
      </c>
      <c r="DW14" s="17">
        <v>18.3</v>
      </c>
      <c r="DX14" s="17">
        <v>3.7</v>
      </c>
      <c r="DY14" s="17">
        <v>2.2999999999999998</v>
      </c>
      <c r="DZ14" s="17">
        <v>0</v>
      </c>
      <c r="EA14" s="41">
        <f t="shared" si="39"/>
        <v>12</v>
      </c>
      <c r="EB14" s="41">
        <f t="shared" si="40"/>
        <v>48.2</v>
      </c>
      <c r="EC14" s="41" t="str">
        <f t="shared" si="41"/>
        <v/>
      </c>
      <c r="ED14" s="41">
        <f t="shared" si="42"/>
        <v>12</v>
      </c>
      <c r="EE14" s="41">
        <f t="shared" si="43"/>
        <v>48.2</v>
      </c>
      <c r="EF14" s="41">
        <f t="shared" si="44"/>
        <v>11.3</v>
      </c>
      <c r="EG14" s="41">
        <f t="shared" si="45"/>
        <v>46.900000000000006</v>
      </c>
      <c r="EH14" s="41">
        <f t="shared" si="46"/>
        <v>95.100000000000009</v>
      </c>
      <c r="EI14" s="18">
        <v>18.8</v>
      </c>
      <c r="EJ14" s="18">
        <v>8</v>
      </c>
      <c r="EK14" s="18">
        <v>0.6</v>
      </c>
      <c r="EL14" s="18">
        <v>0</v>
      </c>
      <c r="EM14" s="18">
        <v>18.100000000000001</v>
      </c>
      <c r="EN14" s="18">
        <v>7.6</v>
      </c>
      <c r="EO14" s="18">
        <v>0.6</v>
      </c>
      <c r="EP14" s="18">
        <v>0</v>
      </c>
      <c r="EQ14" s="18"/>
      <c r="ER14" s="18"/>
      <c r="ES14" s="18"/>
      <c r="ET14" s="18"/>
      <c r="EU14" s="18">
        <v>18.100000000000001</v>
      </c>
      <c r="EV14" s="18">
        <v>8.9</v>
      </c>
      <c r="EW14" s="18">
        <v>1</v>
      </c>
      <c r="EX14" s="18">
        <v>0</v>
      </c>
      <c r="EY14" s="18"/>
      <c r="EZ14" s="18"/>
      <c r="FA14" s="18"/>
      <c r="FB14" s="18"/>
      <c r="FC14" s="11">
        <f t="shared" si="47"/>
        <v>15.6</v>
      </c>
      <c r="FD14" s="11">
        <f t="shared" si="48"/>
        <v>51.300000000000004</v>
      </c>
      <c r="FE14" s="11" t="str">
        <f t="shared" si="49"/>
        <v/>
      </c>
      <c r="FF14" s="11">
        <f t="shared" si="50"/>
        <v>15.6</v>
      </c>
      <c r="FG14" s="11">
        <f t="shared" si="51"/>
        <v>51.300000000000004</v>
      </c>
      <c r="FH14" s="11">
        <f t="shared" si="52"/>
        <v>8.9</v>
      </c>
      <c r="FI14" s="11">
        <f t="shared" si="53"/>
        <v>26</v>
      </c>
      <c r="FJ14" s="11">
        <f t="shared" si="54"/>
        <v>77.300000000000011</v>
      </c>
      <c r="FK14" s="17">
        <v>18.8</v>
      </c>
      <c r="FL14" s="17">
        <v>8</v>
      </c>
      <c r="FM14" s="17">
        <v>0.2</v>
      </c>
      <c r="FN14" s="17">
        <v>0</v>
      </c>
      <c r="FO14" s="17">
        <v>17.399999999999999</v>
      </c>
      <c r="FP14" s="17">
        <v>4</v>
      </c>
      <c r="FQ14" s="17">
        <v>0</v>
      </c>
      <c r="FR14" s="17">
        <v>0</v>
      </c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>
        <f t="shared" si="55"/>
        <v>12</v>
      </c>
      <c r="GF14" s="41">
        <f t="shared" si="56"/>
        <v>48</v>
      </c>
      <c r="GG14" s="41" t="str">
        <f t="shared" si="57"/>
        <v/>
      </c>
      <c r="GH14" s="41">
        <f t="shared" si="58"/>
        <v>12</v>
      </c>
      <c r="GI14" s="41">
        <f t="shared" si="59"/>
        <v>48</v>
      </c>
      <c r="GJ14" s="41" t="str">
        <f t="shared" si="60"/>
        <v/>
      </c>
      <c r="GK14" s="41" t="str">
        <f t="shared" si="61"/>
        <v/>
      </c>
      <c r="GL14" s="41">
        <f t="shared" si="62"/>
        <v>48</v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7"/>
        <v/>
      </c>
      <c r="KN14" s="41" t="str">
        <f t="shared" si="88"/>
        <v/>
      </c>
      <c r="KO14" s="41" t="str">
        <f t="shared" si="89"/>
        <v/>
      </c>
      <c r="KP14" s="41" t="str">
        <f t="shared" si="90"/>
        <v/>
      </c>
      <c r="KQ14" s="41" t="str">
        <f t="shared" si="91"/>
        <v/>
      </c>
      <c r="KR14" s="41" t="str">
        <f t="shared" si="92"/>
        <v/>
      </c>
      <c r="KS14" s="41" t="str">
        <f t="shared" si="93"/>
        <v/>
      </c>
      <c r="KT14" s="41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9.4</v>
      </c>
      <c r="QF14" s="23">
        <f t="shared" si="136"/>
        <v>3.6</v>
      </c>
      <c r="QG14" s="23">
        <f t="shared" si="137"/>
        <v>0.3</v>
      </c>
      <c r="QH14" s="23">
        <f t="shared" si="138"/>
        <v>0</v>
      </c>
      <c r="QI14" s="23">
        <f t="shared" si="139"/>
        <v>9.3000000000000007</v>
      </c>
      <c r="QJ14" s="23">
        <f t="shared" si="140"/>
        <v>3</v>
      </c>
      <c r="QK14" s="23">
        <f t="shared" si="141"/>
        <v>0.4</v>
      </c>
      <c r="QL14" s="23">
        <f t="shared" si="142"/>
        <v>0</v>
      </c>
      <c r="QM14" s="23">
        <f t="shared" si="143"/>
        <v>8.25</v>
      </c>
      <c r="QN14" s="23">
        <f t="shared" si="144"/>
        <v>2.5499999999999998</v>
      </c>
      <c r="QO14" s="23">
        <f t="shared" si="145"/>
        <v>0.5</v>
      </c>
      <c r="QP14" s="23">
        <f t="shared" si="146"/>
        <v>0.15</v>
      </c>
      <c r="QQ14" s="23">
        <f t="shared" si="147"/>
        <v>0</v>
      </c>
      <c r="QR14" s="23">
        <f t="shared" si="148"/>
        <v>0</v>
      </c>
      <c r="QS14" s="23">
        <f t="shared" si="149"/>
        <v>0</v>
      </c>
      <c r="QT14" s="23">
        <f t="shared" si="150"/>
        <v>0</v>
      </c>
      <c r="QU14" s="23">
        <f t="shared" si="151"/>
        <v>0</v>
      </c>
      <c r="QV14" s="23">
        <f t="shared" si="152"/>
        <v>0</v>
      </c>
      <c r="QW14" s="23">
        <f t="shared" si="153"/>
        <v>0</v>
      </c>
      <c r="QX14" s="23">
        <f t="shared" si="154"/>
        <v>0</v>
      </c>
      <c r="QY14" s="28" t="s">
        <v>58</v>
      </c>
      <c r="QZ14" s="41">
        <f t="shared" si="155"/>
        <v>6.6</v>
      </c>
      <c r="RA14" s="41">
        <f t="shared" si="156"/>
        <v>24.6</v>
      </c>
      <c r="RB14" s="41">
        <f t="shared" si="157"/>
        <v>10.450000000000001</v>
      </c>
      <c r="RC14" s="41">
        <f t="shared" si="158"/>
        <v>9.1499999999999986</v>
      </c>
      <c r="RD14" s="41">
        <f t="shared" si="159"/>
        <v>35.050000000000004</v>
      </c>
      <c r="RE14" s="41" t="str">
        <f t="shared" si="160"/>
        <v/>
      </c>
      <c r="RF14" s="41" t="str">
        <f t="shared" si="161"/>
        <v/>
      </c>
      <c r="RG14" s="41">
        <f t="shared" si="162"/>
        <v>24.6</v>
      </c>
    </row>
    <row r="15" spans="1:475" x14ac:dyDescent="0.2">
      <c r="A15" s="4">
        <f t="shared" si="164"/>
        <v>12</v>
      </c>
      <c r="B15" s="5" t="s">
        <v>135</v>
      </c>
      <c r="C15" s="4" t="s">
        <v>6</v>
      </c>
      <c r="D15" s="4">
        <v>2003</v>
      </c>
      <c r="E15" s="9">
        <f t="shared" si="163"/>
        <v>167.2000122700052</v>
      </c>
      <c r="F15" s="3" t="str">
        <f t="shared" si="0"/>
        <v>P</v>
      </c>
      <c r="G15" s="3" t="str">
        <f t="shared" si="1"/>
        <v>P</v>
      </c>
      <c r="H15" s="37" t="str">
        <f t="shared" si="2"/>
        <v>National Team</v>
      </c>
      <c r="I15" s="3" t="str">
        <f t="shared" si="3"/>
        <v/>
      </c>
      <c r="J15" s="8">
        <f>IF(COUNT(AQ15,BT15,CW15)&gt;0,LARGE((AQ15,BT15,CW15),1),0)</f>
        <v>52.100000000000009</v>
      </c>
      <c r="K15" s="8" t="str">
        <f t="shared" si="4"/>
        <v>2022 3rd Domestic Trial</v>
      </c>
      <c r="L15" s="8">
        <f>IF(COUNT(AQ15,BT15,CW15)&gt;1,LARGE((AQ15,BT15,CW15),2),0)</f>
        <v>45.499999999999993</v>
      </c>
      <c r="M15" s="8" t="str">
        <f t="shared" si="5"/>
        <v>2023 Elite Canada</v>
      </c>
      <c r="N15" s="8">
        <f>IF(COUNT(AR15,BU15,CX15)&gt;0,LARGE((AR15,BU15,CX15),1),0)</f>
        <v>25.099999999999998</v>
      </c>
      <c r="O15" s="8" t="str">
        <f t="shared" si="6"/>
        <v>2022 Nationals</v>
      </c>
      <c r="P15" s="8">
        <f t="shared" si="7"/>
        <v>43.2</v>
      </c>
      <c r="Q15" s="8" t="str">
        <f t="shared" si="8"/>
        <v>2022 3rd Domestic Trial</v>
      </c>
      <c r="R15" s="8">
        <f t="shared" si="9"/>
        <v>1.3000000000000043</v>
      </c>
      <c r="S15" s="11" t="str">
        <f t="shared" si="10"/>
        <v>(Q1)</v>
      </c>
      <c r="T15" s="8" t="str">
        <f t="shared" si="11"/>
        <v>2022 World Games Technical Trial #2 (May 15)</v>
      </c>
      <c r="U15" s="19">
        <v>17.8</v>
      </c>
      <c r="V15" s="19">
        <v>4.8</v>
      </c>
      <c r="W15" s="19">
        <v>1.7999999999999998</v>
      </c>
      <c r="X15" s="19">
        <v>0</v>
      </c>
      <c r="Y15" s="19">
        <v>16.600000000000001</v>
      </c>
      <c r="Z15" s="19">
        <v>7.7</v>
      </c>
      <c r="AA15" s="19">
        <v>0.8</v>
      </c>
      <c r="AB15" s="19">
        <v>0</v>
      </c>
      <c r="AC15" s="19">
        <v>18.2</v>
      </c>
      <c r="AD15" s="19">
        <v>7.7</v>
      </c>
      <c r="AE15" s="19">
        <v>0.8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 t="shared" si="12"/>
        <v>12.5</v>
      </c>
      <c r="AQ15" s="41">
        <f t="shared" si="13"/>
        <v>44.300000000000011</v>
      </c>
      <c r="AR15" s="41">
        <f t="shared" si="14"/>
        <v>25.099999999999998</v>
      </c>
      <c r="AS15" s="41">
        <f t="shared" si="15"/>
        <v>20.2</v>
      </c>
      <c r="AT15" s="41">
        <f t="shared" si="16"/>
        <v>69.400000000000006</v>
      </c>
      <c r="AU15" s="41" t="str">
        <f t="shared" si="17"/>
        <v/>
      </c>
      <c r="AV15" s="41" t="str">
        <f t="shared" si="18"/>
        <v/>
      </c>
      <c r="AW15" s="41">
        <f t="shared" si="19"/>
        <v>44.300000000000011</v>
      </c>
      <c r="AX15" s="18">
        <v>18.600000000000001</v>
      </c>
      <c r="AY15" s="18">
        <v>8.1</v>
      </c>
      <c r="AZ15" s="18">
        <v>0.6</v>
      </c>
      <c r="BA15" s="18">
        <v>0.3</v>
      </c>
      <c r="BB15" s="18">
        <v>18.600000000000001</v>
      </c>
      <c r="BC15" s="18">
        <v>7.7</v>
      </c>
      <c r="BD15" s="18">
        <v>0.6</v>
      </c>
      <c r="BE15" s="18">
        <v>0</v>
      </c>
      <c r="BF15" s="18">
        <v>17.399999999999999</v>
      </c>
      <c r="BG15" s="18">
        <v>2.4</v>
      </c>
      <c r="BH15" s="18">
        <v>0</v>
      </c>
      <c r="BI15" s="18">
        <v>0</v>
      </c>
      <c r="BJ15" s="18">
        <v>18.399999999999999</v>
      </c>
      <c r="BK15" s="18">
        <v>5.2</v>
      </c>
      <c r="BL15" s="18">
        <v>1</v>
      </c>
      <c r="BM15" s="18">
        <v>0</v>
      </c>
      <c r="BN15" s="18">
        <v>17.399999999999999</v>
      </c>
      <c r="BO15" s="18">
        <v>3.2</v>
      </c>
      <c r="BP15" s="18">
        <v>0</v>
      </c>
      <c r="BQ15" s="18">
        <v>0</v>
      </c>
      <c r="BR15" s="29"/>
      <c r="BS15" s="11">
        <f t="shared" si="20"/>
        <v>15.8</v>
      </c>
      <c r="BT15" s="11">
        <f t="shared" si="21"/>
        <v>52.100000000000009</v>
      </c>
      <c r="BU15" s="11">
        <f t="shared" si="22"/>
        <v>19.799999999999997</v>
      </c>
      <c r="BV15" s="11">
        <f t="shared" si="23"/>
        <v>18.2</v>
      </c>
      <c r="BW15" s="11">
        <f t="shared" si="24"/>
        <v>71.900000000000006</v>
      </c>
      <c r="BX15" s="11">
        <f t="shared" si="25"/>
        <v>8.4</v>
      </c>
      <c r="BY15" s="11">
        <f t="shared" si="26"/>
        <v>43.2</v>
      </c>
      <c r="BZ15" s="11">
        <f t="shared" si="27"/>
        <v>95.300000000000011</v>
      </c>
      <c r="CA15" s="19">
        <v>17.399999999999999</v>
      </c>
      <c r="CB15" s="19">
        <v>2.4</v>
      </c>
      <c r="CC15" s="19">
        <v>0</v>
      </c>
      <c r="CD15" s="19">
        <v>0</v>
      </c>
      <c r="CE15" s="19">
        <v>18.399999999999999</v>
      </c>
      <c r="CF15" s="19">
        <v>7.3</v>
      </c>
      <c r="CG15" s="19">
        <v>0</v>
      </c>
      <c r="CH15" s="19">
        <v>0</v>
      </c>
      <c r="CI15" s="19">
        <v>17.399999999999999</v>
      </c>
      <c r="CJ15" s="19">
        <v>4.4000000000000004</v>
      </c>
      <c r="CK15" s="19">
        <v>2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8"/>
        <v>9.6999999999999993</v>
      </c>
      <c r="CW15" s="41">
        <f t="shared" si="29"/>
        <v>45.499999999999993</v>
      </c>
      <c r="CX15" s="41">
        <f t="shared" si="30"/>
        <v>19.799999999999997</v>
      </c>
      <c r="CY15" s="41">
        <f t="shared" si="31"/>
        <v>14.1</v>
      </c>
      <c r="CZ15" s="41">
        <f t="shared" si="32"/>
        <v>65.299999999999983</v>
      </c>
      <c r="DA15" s="41" t="str">
        <f t="shared" si="33"/>
        <v/>
      </c>
      <c r="DB15" s="41" t="str">
        <f t="shared" si="34"/>
        <v/>
      </c>
      <c r="DC15" s="41">
        <f t="shared" si="35"/>
        <v>45.499999999999993</v>
      </c>
      <c r="DD15" s="52">
        <f t="shared" si="36"/>
        <v>1.3000000000000043</v>
      </c>
      <c r="DE15" s="52" t="str">
        <f t="shared" si="37"/>
        <v/>
      </c>
      <c r="DF15" s="52">
        <f t="shared" si="38"/>
        <v>0.59999999999999432</v>
      </c>
      <c r="DG15" s="17">
        <v>18.7</v>
      </c>
      <c r="DH15" s="17">
        <v>7.7</v>
      </c>
      <c r="DI15" s="17">
        <v>0</v>
      </c>
      <c r="DJ15" s="17">
        <v>0</v>
      </c>
      <c r="DK15" s="17">
        <v>17.600000000000001</v>
      </c>
      <c r="DL15" s="17">
        <v>2.8</v>
      </c>
      <c r="DM15" s="17">
        <v>0</v>
      </c>
      <c r="DN15" s="17">
        <v>0</v>
      </c>
      <c r="DO15" s="17"/>
      <c r="DP15" s="17"/>
      <c r="DQ15" s="17"/>
      <c r="DR15" s="17"/>
      <c r="DS15" s="17">
        <v>16.600000000000001</v>
      </c>
      <c r="DT15" s="17">
        <v>7.7</v>
      </c>
      <c r="DU15" s="17">
        <v>0.8</v>
      </c>
      <c r="DV15" s="17">
        <v>0</v>
      </c>
      <c r="DW15" s="17">
        <v>17.5</v>
      </c>
      <c r="DX15" s="17">
        <v>2.8</v>
      </c>
      <c r="DY15" s="17">
        <v>0</v>
      </c>
      <c r="DZ15" s="17">
        <v>0</v>
      </c>
      <c r="EA15" s="41">
        <f t="shared" si="39"/>
        <v>10.5</v>
      </c>
      <c r="EB15" s="41">
        <f t="shared" si="40"/>
        <v>46.8</v>
      </c>
      <c r="EC15" s="41" t="str">
        <f t="shared" si="41"/>
        <v/>
      </c>
      <c r="ED15" s="41">
        <f t="shared" si="42"/>
        <v>10.5</v>
      </c>
      <c r="EE15" s="41">
        <f t="shared" si="43"/>
        <v>46.8</v>
      </c>
      <c r="EF15" s="41">
        <f t="shared" si="44"/>
        <v>10.5</v>
      </c>
      <c r="EG15" s="41">
        <f t="shared" si="45"/>
        <v>43.8</v>
      </c>
      <c r="EH15" s="41">
        <f t="shared" si="46"/>
        <v>90.6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5"/>
        <v/>
      </c>
      <c r="GF15" s="41" t="str">
        <f t="shared" si="56"/>
        <v/>
      </c>
      <c r="GG15" s="41" t="str">
        <f t="shared" si="57"/>
        <v/>
      </c>
      <c r="GH15" s="41" t="str">
        <f t="shared" si="58"/>
        <v/>
      </c>
      <c r="GI15" s="41" t="str">
        <f t="shared" si="59"/>
        <v/>
      </c>
      <c r="GJ15" s="41" t="str">
        <f t="shared" si="60"/>
        <v/>
      </c>
      <c r="GK15" s="41" t="str">
        <f t="shared" si="61"/>
        <v/>
      </c>
      <c r="GL15" s="41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7"/>
        <v/>
      </c>
      <c r="KN15" s="41" t="str">
        <f t="shared" si="88"/>
        <v/>
      </c>
      <c r="KO15" s="41" t="str">
        <f t="shared" si="89"/>
        <v/>
      </c>
      <c r="KP15" s="41" t="str">
        <f t="shared" si="90"/>
        <v/>
      </c>
      <c r="KQ15" s="41" t="str">
        <f t="shared" si="91"/>
        <v/>
      </c>
      <c r="KR15" s="41" t="str">
        <f t="shared" si="92"/>
        <v/>
      </c>
      <c r="KS15" s="41" t="str">
        <f t="shared" si="93"/>
        <v/>
      </c>
      <c r="KT15" s="41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18</v>
      </c>
      <c r="QF15" s="23">
        <f t="shared" si="136"/>
        <v>5.25</v>
      </c>
      <c r="QG15" s="23">
        <f t="shared" si="137"/>
        <v>0.3</v>
      </c>
      <c r="QH15" s="23">
        <f t="shared" si="138"/>
        <v>0.15</v>
      </c>
      <c r="QI15" s="23">
        <f t="shared" si="139"/>
        <v>18.5</v>
      </c>
      <c r="QJ15" s="23">
        <f t="shared" si="140"/>
        <v>7.5</v>
      </c>
      <c r="QK15" s="23">
        <f t="shared" si="141"/>
        <v>0.3</v>
      </c>
      <c r="QL15" s="23">
        <f t="shared" si="142"/>
        <v>0</v>
      </c>
      <c r="QM15" s="23">
        <f t="shared" si="143"/>
        <v>17.399999999999999</v>
      </c>
      <c r="QN15" s="23">
        <f t="shared" si="144"/>
        <v>3.4000000000000004</v>
      </c>
      <c r="QO15" s="23">
        <f t="shared" si="145"/>
        <v>1</v>
      </c>
      <c r="QP15" s="23">
        <f t="shared" si="146"/>
        <v>0</v>
      </c>
      <c r="QQ15" s="23">
        <f t="shared" si="147"/>
        <v>9.1999999999999993</v>
      </c>
      <c r="QR15" s="23">
        <f t="shared" si="148"/>
        <v>2.6</v>
      </c>
      <c r="QS15" s="23">
        <f t="shared" si="149"/>
        <v>0.5</v>
      </c>
      <c r="QT15" s="23">
        <f t="shared" si="150"/>
        <v>0</v>
      </c>
      <c r="QU15" s="23">
        <f t="shared" si="151"/>
        <v>8.6999999999999993</v>
      </c>
      <c r="QV15" s="23">
        <f t="shared" si="152"/>
        <v>1.6</v>
      </c>
      <c r="QW15" s="23">
        <f t="shared" si="153"/>
        <v>0</v>
      </c>
      <c r="QX15" s="23">
        <f t="shared" si="154"/>
        <v>0</v>
      </c>
      <c r="QY15" s="28" t="s">
        <v>58</v>
      </c>
      <c r="QZ15" s="41">
        <f t="shared" si="155"/>
        <v>12.75</v>
      </c>
      <c r="RA15" s="41">
        <f t="shared" si="156"/>
        <v>48.800000000000004</v>
      </c>
      <c r="RB15" s="41">
        <f t="shared" si="157"/>
        <v>19.799999999999997</v>
      </c>
      <c r="RC15" s="41">
        <f t="shared" si="158"/>
        <v>16.149999999999999</v>
      </c>
      <c r="RD15" s="41">
        <f t="shared" si="159"/>
        <v>68.599999999999994</v>
      </c>
      <c r="RE15" s="41">
        <f t="shared" si="160"/>
        <v>4.2</v>
      </c>
      <c r="RF15" s="41">
        <f t="shared" si="161"/>
        <v>21.6</v>
      </c>
      <c r="RG15" s="41">
        <f t="shared" si="162"/>
        <v>70.400000000000006</v>
      </c>
    </row>
    <row r="16" spans="1:475" x14ac:dyDescent="0.2">
      <c r="A16" s="4" t="str">
        <f t="shared" si="164"/>
        <v/>
      </c>
      <c r="B16" s="5" t="s">
        <v>193</v>
      </c>
      <c r="C16" s="4" t="s">
        <v>3</v>
      </c>
      <c r="D16" s="4">
        <v>2000</v>
      </c>
      <c r="E16" s="9">
        <f t="shared" si="163"/>
        <v>171.80001231000489</v>
      </c>
      <c r="F16" s="3" t="str">
        <f t="shared" si="0"/>
        <v/>
      </c>
      <c r="G16" s="3" t="str">
        <f t="shared" si="1"/>
        <v/>
      </c>
      <c r="H16" s="37" t="str">
        <f t="shared" si="2"/>
        <v/>
      </c>
      <c r="I16" s="3" t="str">
        <f t="shared" si="3"/>
        <v/>
      </c>
      <c r="J16" s="8">
        <f>IF(COUNT(AQ16,BT16,CW16)&gt;0,LARGE((AQ16,BT16,CW16),1),0)</f>
        <v>49</v>
      </c>
      <c r="K16" s="8" t="str">
        <f t="shared" si="4"/>
        <v>2022 3rd Domestic Trial</v>
      </c>
      <c r="L16" s="8">
        <f>IF(COUNT(AQ16,BT16,CW16)&gt;1,LARGE((AQ16,BT16,CW16),2),0)</f>
        <v>48.9</v>
      </c>
      <c r="M16" s="8" t="str">
        <f t="shared" si="5"/>
        <v>2023 Elite Canada</v>
      </c>
      <c r="N16" s="8">
        <f>IF(COUNT(AR16,BU16,CX16)&gt;0,LARGE((AR16,BU16,CX16),1),0)</f>
        <v>25.2</v>
      </c>
      <c r="O16" s="8" t="str">
        <f t="shared" si="6"/>
        <v>2023 Elite Canada</v>
      </c>
      <c r="P16" s="8">
        <f t="shared" si="7"/>
        <v>48.699999999999996</v>
      </c>
      <c r="Q16" s="8" t="str">
        <f t="shared" si="8"/>
        <v>2022 Nationals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18.100000000000001</v>
      </c>
      <c r="V16" s="19">
        <v>6.8</v>
      </c>
      <c r="W16" s="19">
        <v>0.8</v>
      </c>
      <c r="X16" s="19">
        <v>0</v>
      </c>
      <c r="Y16" s="19">
        <v>18.399999999999999</v>
      </c>
      <c r="Z16" s="19">
        <v>6.8</v>
      </c>
      <c r="AA16" s="19">
        <v>0.8</v>
      </c>
      <c r="AB16" s="19">
        <v>0</v>
      </c>
      <c r="AC16" s="19">
        <v>18.399999999999999</v>
      </c>
      <c r="AD16" s="19">
        <v>6.4</v>
      </c>
      <c r="AE16" s="19">
        <v>0.6</v>
      </c>
      <c r="AF16" s="19">
        <v>0</v>
      </c>
      <c r="AG16" s="19">
        <v>18.3</v>
      </c>
      <c r="AH16" s="19">
        <v>6.8</v>
      </c>
      <c r="AI16" s="19">
        <v>0.6</v>
      </c>
      <c r="AJ16" s="19">
        <v>0</v>
      </c>
      <c r="AK16" s="19">
        <v>18.399999999999999</v>
      </c>
      <c r="AL16" s="19">
        <v>6.4</v>
      </c>
      <c r="AM16" s="19">
        <v>0.6</v>
      </c>
      <c r="AN16" s="19">
        <v>0</v>
      </c>
      <c r="AO16" s="28"/>
      <c r="AP16" s="41">
        <f t="shared" si="12"/>
        <v>13.6</v>
      </c>
      <c r="AQ16" s="41">
        <f t="shared" si="13"/>
        <v>48.5</v>
      </c>
      <c r="AR16" s="41">
        <f t="shared" si="14"/>
        <v>24.199999999999996</v>
      </c>
      <c r="AS16" s="41">
        <f t="shared" si="15"/>
        <v>20</v>
      </c>
      <c r="AT16" s="41">
        <f t="shared" si="16"/>
        <v>72.699999999999989</v>
      </c>
      <c r="AU16" s="41">
        <f t="shared" si="17"/>
        <v>13.2</v>
      </c>
      <c r="AV16" s="41">
        <f t="shared" si="18"/>
        <v>48.699999999999996</v>
      </c>
      <c r="AW16" s="41">
        <f t="shared" si="19"/>
        <v>97.199999999999989</v>
      </c>
      <c r="AX16" s="18">
        <v>18.2</v>
      </c>
      <c r="AY16" s="18">
        <v>6</v>
      </c>
      <c r="AZ16" s="18">
        <v>0.6</v>
      </c>
      <c r="BA16" s="18">
        <v>0</v>
      </c>
      <c r="BB16" s="18">
        <v>18.8</v>
      </c>
      <c r="BC16" s="18">
        <v>7.2</v>
      </c>
      <c r="BD16" s="18">
        <v>0.6</v>
      </c>
      <c r="BE16" s="18">
        <v>0</v>
      </c>
      <c r="BF16" s="18">
        <v>18.399999999999999</v>
      </c>
      <c r="BG16" s="18">
        <v>6.8</v>
      </c>
      <c r="BH16" s="18">
        <v>0</v>
      </c>
      <c r="BI16" s="18">
        <v>0</v>
      </c>
      <c r="BJ16" s="18">
        <v>17.2</v>
      </c>
      <c r="BK16" s="18">
        <v>3.2</v>
      </c>
      <c r="BL16" s="18">
        <v>0</v>
      </c>
      <c r="BM16" s="18">
        <v>0</v>
      </c>
      <c r="BN16" s="18">
        <v>18.7</v>
      </c>
      <c r="BO16" s="18">
        <v>6</v>
      </c>
      <c r="BP16" s="18">
        <v>0.6</v>
      </c>
      <c r="BQ16" s="18">
        <v>0</v>
      </c>
      <c r="BR16" s="29"/>
      <c r="BS16" s="11">
        <f t="shared" si="20"/>
        <v>13.2</v>
      </c>
      <c r="BT16" s="11">
        <f t="shared" si="21"/>
        <v>49</v>
      </c>
      <c r="BU16" s="11">
        <f t="shared" si="22"/>
        <v>25.2</v>
      </c>
      <c r="BV16" s="11">
        <f t="shared" si="23"/>
        <v>20</v>
      </c>
      <c r="BW16" s="11">
        <f t="shared" si="24"/>
        <v>74.2</v>
      </c>
      <c r="BX16" s="11">
        <f t="shared" si="25"/>
        <v>9.1999999999999993</v>
      </c>
      <c r="BY16" s="11">
        <f t="shared" si="26"/>
        <v>44.499999999999993</v>
      </c>
      <c r="BZ16" s="11">
        <f t="shared" si="27"/>
        <v>93.5</v>
      </c>
      <c r="CA16" s="19">
        <v>18.2</v>
      </c>
      <c r="CB16" s="19">
        <v>7.2</v>
      </c>
      <c r="CC16" s="19">
        <v>0</v>
      </c>
      <c r="CD16" s="19">
        <v>0</v>
      </c>
      <c r="CE16" s="19">
        <v>16.8</v>
      </c>
      <c r="CF16" s="19">
        <v>6.9</v>
      </c>
      <c r="CG16" s="19">
        <v>0.2</v>
      </c>
      <c r="CH16" s="19">
        <v>0</v>
      </c>
      <c r="CI16" s="19">
        <v>18.399999999999999</v>
      </c>
      <c r="CJ16" s="19">
        <v>6.8</v>
      </c>
      <c r="CK16" s="19">
        <v>0</v>
      </c>
      <c r="CL16" s="19">
        <v>0</v>
      </c>
      <c r="CM16" s="19">
        <v>17.399999999999999</v>
      </c>
      <c r="CN16" s="19">
        <v>2.4</v>
      </c>
      <c r="CO16" s="19">
        <v>0</v>
      </c>
      <c r="CP16" s="19">
        <v>0</v>
      </c>
      <c r="CQ16" s="19">
        <v>18.399999999999999</v>
      </c>
      <c r="CR16" s="19">
        <v>6.4</v>
      </c>
      <c r="CS16" s="19">
        <v>1</v>
      </c>
      <c r="CT16" s="19">
        <v>0</v>
      </c>
      <c r="CU16" s="28"/>
      <c r="CV16" s="41">
        <f t="shared" si="28"/>
        <v>14.100000000000001</v>
      </c>
      <c r="CW16" s="41">
        <f t="shared" si="29"/>
        <v>48.9</v>
      </c>
      <c r="CX16" s="41">
        <f t="shared" si="30"/>
        <v>25.2</v>
      </c>
      <c r="CY16" s="41">
        <f t="shared" si="31"/>
        <v>20.900000000000002</v>
      </c>
      <c r="CZ16" s="41">
        <f t="shared" si="32"/>
        <v>74.099999999999994</v>
      </c>
      <c r="DA16" s="41">
        <f t="shared" si="33"/>
        <v>8.8000000000000007</v>
      </c>
      <c r="DB16" s="41">
        <f t="shared" si="34"/>
        <v>43.599999999999994</v>
      </c>
      <c r="DC16" s="41">
        <f t="shared" si="35"/>
        <v>92.5</v>
      </c>
      <c r="DD16" s="52" t="str">
        <f t="shared" si="36"/>
        <v/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7"/>
        <v/>
      </c>
      <c r="KN16" s="41" t="str">
        <f t="shared" si="88"/>
        <v/>
      </c>
      <c r="KO16" s="41" t="str">
        <f t="shared" si="89"/>
        <v/>
      </c>
      <c r="KP16" s="41" t="str">
        <f t="shared" si="90"/>
        <v/>
      </c>
      <c r="KQ16" s="41" t="str">
        <f t="shared" si="91"/>
        <v/>
      </c>
      <c r="KR16" s="41" t="str">
        <f t="shared" si="92"/>
        <v/>
      </c>
      <c r="KS16" s="41" t="str">
        <f t="shared" si="93"/>
        <v/>
      </c>
      <c r="KT16" s="41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18.2</v>
      </c>
      <c r="QF16" s="23">
        <f t="shared" si="136"/>
        <v>6.6</v>
      </c>
      <c r="QG16" s="23">
        <f t="shared" si="137"/>
        <v>0.3</v>
      </c>
      <c r="QH16" s="23">
        <f t="shared" si="138"/>
        <v>0</v>
      </c>
      <c r="QI16" s="23">
        <f t="shared" si="139"/>
        <v>17.8</v>
      </c>
      <c r="QJ16" s="23">
        <f t="shared" si="140"/>
        <v>7.0500000000000007</v>
      </c>
      <c r="QK16" s="23">
        <f t="shared" si="141"/>
        <v>0.4</v>
      </c>
      <c r="QL16" s="23">
        <f t="shared" si="142"/>
        <v>0</v>
      </c>
      <c r="QM16" s="23">
        <f t="shared" si="143"/>
        <v>18.399999999999999</v>
      </c>
      <c r="QN16" s="23">
        <f t="shared" si="144"/>
        <v>6.8</v>
      </c>
      <c r="QO16" s="23">
        <f t="shared" si="145"/>
        <v>0</v>
      </c>
      <c r="QP16" s="23">
        <f t="shared" si="146"/>
        <v>0</v>
      </c>
      <c r="QQ16" s="23">
        <f t="shared" si="147"/>
        <v>17.299999999999997</v>
      </c>
      <c r="QR16" s="23">
        <f t="shared" si="148"/>
        <v>2.8</v>
      </c>
      <c r="QS16" s="23">
        <f t="shared" si="149"/>
        <v>0</v>
      </c>
      <c r="QT16" s="23">
        <f t="shared" si="150"/>
        <v>0</v>
      </c>
      <c r="QU16" s="23">
        <f t="shared" si="151"/>
        <v>18.549999999999997</v>
      </c>
      <c r="QV16" s="23">
        <f t="shared" si="152"/>
        <v>6.2</v>
      </c>
      <c r="QW16" s="23">
        <f t="shared" si="153"/>
        <v>0.8</v>
      </c>
      <c r="QX16" s="23">
        <f t="shared" si="154"/>
        <v>0</v>
      </c>
      <c r="QY16" s="28" t="s">
        <v>58</v>
      </c>
      <c r="QZ16" s="41">
        <f t="shared" si="155"/>
        <v>13.65</v>
      </c>
      <c r="RA16" s="41">
        <f t="shared" si="156"/>
        <v>48.949999999999996</v>
      </c>
      <c r="RB16" s="41">
        <f t="shared" si="157"/>
        <v>25.2</v>
      </c>
      <c r="RC16" s="41">
        <f t="shared" si="158"/>
        <v>20.45</v>
      </c>
      <c r="RD16" s="41">
        <f t="shared" si="159"/>
        <v>74.149999999999991</v>
      </c>
      <c r="RE16" s="41">
        <f t="shared" si="160"/>
        <v>9</v>
      </c>
      <c r="RF16" s="41">
        <f t="shared" si="161"/>
        <v>44.05</v>
      </c>
      <c r="RG16" s="41">
        <f t="shared" si="162"/>
        <v>93</v>
      </c>
    </row>
    <row r="17" spans="1:475" x14ac:dyDescent="0.2">
      <c r="A17" s="4" t="str">
        <f t="shared" si="164"/>
        <v/>
      </c>
      <c r="B17" s="5" t="s">
        <v>220</v>
      </c>
      <c r="C17" s="4" t="s">
        <v>3</v>
      </c>
      <c r="D17" s="4">
        <v>2005</v>
      </c>
      <c r="E17" s="9">
        <f t="shared" si="163"/>
        <v>167.50001202000476</v>
      </c>
      <c r="F17" s="3" t="str">
        <f t="shared" si="0"/>
        <v/>
      </c>
      <c r="G17" s="3" t="str">
        <f t="shared" si="1"/>
        <v/>
      </c>
      <c r="H17" s="37" t="str">
        <f t="shared" si="2"/>
        <v/>
      </c>
      <c r="I17" s="3" t="str">
        <f t="shared" si="3"/>
        <v/>
      </c>
      <c r="J17" s="8">
        <f>IF(COUNT(AQ17,BT17,CW17)&gt;0,LARGE((AQ17,BT17,CW17),1),0)</f>
        <v>47.4</v>
      </c>
      <c r="K17" s="8" t="str">
        <f t="shared" si="4"/>
        <v>2022 Nationals</v>
      </c>
      <c r="L17" s="8">
        <f>IF(COUNT(AQ17,BT17,CW17)&gt;1,LARGE((AQ17,BT17,CW17),2),0)</f>
        <v>47.099999999999994</v>
      </c>
      <c r="M17" s="8" t="str">
        <f t="shared" si="5"/>
        <v>2022 3rd Domestic Trial</v>
      </c>
      <c r="N17" s="8">
        <f>IF(COUNT(AR17,BU17,CX17)&gt;0,LARGE((AR17,BU17,CX17),1),0)</f>
        <v>25.7</v>
      </c>
      <c r="O17" s="8" t="str">
        <f t="shared" si="6"/>
        <v>2023 Elite Canada</v>
      </c>
      <c r="P17" s="8">
        <f t="shared" si="7"/>
        <v>47.29999999999999</v>
      </c>
      <c r="Q17" s="8" t="str">
        <f t="shared" si="8"/>
        <v>2022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19.2</v>
      </c>
      <c r="V17" s="19">
        <v>4.8</v>
      </c>
      <c r="W17" s="19">
        <v>0</v>
      </c>
      <c r="X17" s="19">
        <v>0</v>
      </c>
      <c r="Y17" s="19">
        <v>19.100000000000001</v>
      </c>
      <c r="Z17" s="19">
        <v>4.3</v>
      </c>
      <c r="AA17" s="19">
        <v>0</v>
      </c>
      <c r="AB17" s="19">
        <v>0</v>
      </c>
      <c r="AC17" s="19">
        <v>19.100000000000001</v>
      </c>
      <c r="AD17" s="19">
        <v>4</v>
      </c>
      <c r="AE17" s="19">
        <v>0</v>
      </c>
      <c r="AF17" s="19">
        <v>0</v>
      </c>
      <c r="AG17" s="19">
        <v>18.5</v>
      </c>
      <c r="AH17" s="19">
        <v>5.2</v>
      </c>
      <c r="AI17" s="19">
        <v>0.6</v>
      </c>
      <c r="AJ17" s="19">
        <v>0</v>
      </c>
      <c r="AK17" s="19">
        <v>18.899999999999999</v>
      </c>
      <c r="AL17" s="19">
        <v>5.3</v>
      </c>
      <c r="AM17" s="19">
        <v>0</v>
      </c>
      <c r="AN17" s="19">
        <v>0</v>
      </c>
      <c r="AO17" s="28"/>
      <c r="AP17" s="41">
        <f t="shared" si="12"/>
        <v>9.1</v>
      </c>
      <c r="AQ17" s="41">
        <f t="shared" si="13"/>
        <v>47.4</v>
      </c>
      <c r="AR17" s="41">
        <f t="shared" si="14"/>
        <v>23.1</v>
      </c>
      <c r="AS17" s="41">
        <f t="shared" si="15"/>
        <v>13.1</v>
      </c>
      <c r="AT17" s="41">
        <f t="shared" si="16"/>
        <v>70.5</v>
      </c>
      <c r="AU17" s="41">
        <f t="shared" si="17"/>
        <v>10.5</v>
      </c>
      <c r="AV17" s="41">
        <f t="shared" si="18"/>
        <v>47.29999999999999</v>
      </c>
      <c r="AW17" s="41">
        <f t="shared" si="19"/>
        <v>94.699999999999989</v>
      </c>
      <c r="AX17" s="18">
        <v>18.600000000000001</v>
      </c>
      <c r="AY17" s="18">
        <v>4.8</v>
      </c>
      <c r="AZ17" s="18">
        <v>0</v>
      </c>
      <c r="BA17" s="18">
        <v>0</v>
      </c>
      <c r="BB17" s="18">
        <v>18.899999999999999</v>
      </c>
      <c r="BC17" s="18">
        <v>4.8</v>
      </c>
      <c r="BD17" s="18">
        <v>0</v>
      </c>
      <c r="BE17" s="18">
        <v>0</v>
      </c>
      <c r="BF17" s="18">
        <v>19.04</v>
      </c>
      <c r="BG17" s="18">
        <v>4.3</v>
      </c>
      <c r="BH17" s="18">
        <v>0</v>
      </c>
      <c r="BI17" s="18">
        <v>0</v>
      </c>
      <c r="BJ17" s="18">
        <v>18.600000000000001</v>
      </c>
      <c r="BK17" s="18">
        <v>4.8</v>
      </c>
      <c r="BL17" s="18">
        <v>0.2</v>
      </c>
      <c r="BM17" s="18">
        <v>0</v>
      </c>
      <c r="BN17" s="18">
        <v>17.2</v>
      </c>
      <c r="BO17" s="18">
        <v>2</v>
      </c>
      <c r="BP17" s="18">
        <v>0</v>
      </c>
      <c r="BQ17" s="18">
        <v>0</v>
      </c>
      <c r="BR17" s="29"/>
      <c r="BS17" s="11">
        <f t="shared" si="20"/>
        <v>9.6</v>
      </c>
      <c r="BT17" s="11">
        <f t="shared" si="21"/>
        <v>47.099999999999994</v>
      </c>
      <c r="BU17" s="11">
        <f t="shared" si="22"/>
        <v>23.34</v>
      </c>
      <c r="BV17" s="11">
        <f t="shared" si="23"/>
        <v>13.899999999999999</v>
      </c>
      <c r="BW17" s="11">
        <f t="shared" si="24"/>
        <v>70.44</v>
      </c>
      <c r="BX17" s="11">
        <f t="shared" si="25"/>
        <v>6.8</v>
      </c>
      <c r="BY17" s="11">
        <f t="shared" si="26"/>
        <v>42.4</v>
      </c>
      <c r="BZ17" s="11">
        <f t="shared" si="27"/>
        <v>89.5</v>
      </c>
      <c r="CA17" s="19">
        <v>18.8</v>
      </c>
      <c r="CB17" s="19">
        <v>6</v>
      </c>
      <c r="CC17" s="19">
        <v>0.6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18.5</v>
      </c>
      <c r="CJ17" s="19">
        <v>7.2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 t="shared" si="28"/>
        <v>6</v>
      </c>
      <c r="CW17" s="41">
        <f t="shared" si="29"/>
        <v>24.2</v>
      </c>
      <c r="CX17" s="41">
        <f t="shared" si="30"/>
        <v>25.7</v>
      </c>
      <c r="CY17" s="41">
        <f t="shared" si="31"/>
        <v>13.2</v>
      </c>
      <c r="CZ17" s="41">
        <f t="shared" si="32"/>
        <v>49.9</v>
      </c>
      <c r="DA17" s="41" t="str">
        <f t="shared" si="33"/>
        <v/>
      </c>
      <c r="DB17" s="41" t="str">
        <f t="shared" si="34"/>
        <v/>
      </c>
      <c r="DC17" s="41">
        <f t="shared" si="35"/>
        <v>24.2</v>
      </c>
      <c r="DD17" s="52" t="str">
        <f t="shared" si="36"/>
        <v/>
      </c>
      <c r="DE17" s="52" t="str">
        <f t="shared" si="37"/>
        <v/>
      </c>
      <c r="DF17" s="52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39"/>
        <v/>
      </c>
      <c r="EB17" s="41" t="str">
        <f t="shared" si="40"/>
        <v/>
      </c>
      <c r="EC17" s="41" t="str">
        <f t="shared" si="41"/>
        <v/>
      </c>
      <c r="ED17" s="41" t="str">
        <f t="shared" si="42"/>
        <v/>
      </c>
      <c r="EE17" s="41" t="str">
        <f t="shared" si="43"/>
        <v/>
      </c>
      <c r="EF17" s="41" t="str">
        <f t="shared" si="44"/>
        <v/>
      </c>
      <c r="EG17" s="41" t="str">
        <f t="shared" si="45"/>
        <v/>
      </c>
      <c r="EH17" s="41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5"/>
        <v/>
      </c>
      <c r="GF17" s="41" t="str">
        <f t="shared" si="56"/>
        <v/>
      </c>
      <c r="GG17" s="41" t="str">
        <f t="shared" si="57"/>
        <v/>
      </c>
      <c r="GH17" s="41" t="str">
        <f t="shared" si="58"/>
        <v/>
      </c>
      <c r="GI17" s="41" t="str">
        <f t="shared" si="59"/>
        <v/>
      </c>
      <c r="GJ17" s="41" t="str">
        <f t="shared" si="60"/>
        <v/>
      </c>
      <c r="GK17" s="41" t="str">
        <f t="shared" si="61"/>
        <v/>
      </c>
      <c r="GL17" s="41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1"/>
        <v/>
      </c>
      <c r="IJ17" s="41" t="str">
        <f t="shared" si="72"/>
        <v/>
      </c>
      <c r="IK17" s="41" t="str">
        <f t="shared" si="73"/>
        <v/>
      </c>
      <c r="IL17" s="41" t="str">
        <f t="shared" si="74"/>
        <v/>
      </c>
      <c r="IM17" s="41" t="str">
        <f t="shared" si="75"/>
        <v/>
      </c>
      <c r="IN17" s="41" t="str">
        <f t="shared" si="76"/>
        <v/>
      </c>
      <c r="IO17" s="41" t="str">
        <f t="shared" si="77"/>
        <v/>
      </c>
      <c r="IP17" s="41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7"/>
        <v/>
      </c>
      <c r="KN17" s="41" t="str">
        <f t="shared" si="88"/>
        <v/>
      </c>
      <c r="KO17" s="41" t="str">
        <f t="shared" si="89"/>
        <v/>
      </c>
      <c r="KP17" s="41" t="str">
        <f t="shared" si="90"/>
        <v/>
      </c>
      <c r="KQ17" s="41" t="str">
        <f t="shared" si="91"/>
        <v/>
      </c>
      <c r="KR17" s="41" t="str">
        <f t="shared" si="92"/>
        <v/>
      </c>
      <c r="KS17" s="41" t="str">
        <f t="shared" si="93"/>
        <v/>
      </c>
      <c r="KT17" s="41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18.700000000000003</v>
      </c>
      <c r="QF17" s="23">
        <f t="shared" si="136"/>
        <v>5.4</v>
      </c>
      <c r="QG17" s="23">
        <f t="shared" si="137"/>
        <v>0.3</v>
      </c>
      <c r="QH17" s="23">
        <f t="shared" si="138"/>
        <v>0</v>
      </c>
      <c r="QI17" s="23">
        <f t="shared" si="139"/>
        <v>9.4499999999999993</v>
      </c>
      <c r="QJ17" s="23">
        <f t="shared" si="140"/>
        <v>2.4</v>
      </c>
      <c r="QK17" s="23">
        <f t="shared" si="141"/>
        <v>0</v>
      </c>
      <c r="QL17" s="23">
        <f t="shared" si="142"/>
        <v>0</v>
      </c>
      <c r="QM17" s="23">
        <f t="shared" si="143"/>
        <v>18.77</v>
      </c>
      <c r="QN17" s="23">
        <f t="shared" si="144"/>
        <v>5.75</v>
      </c>
      <c r="QO17" s="23">
        <f t="shared" si="145"/>
        <v>0</v>
      </c>
      <c r="QP17" s="23">
        <f t="shared" si="146"/>
        <v>0</v>
      </c>
      <c r="QQ17" s="23">
        <f t="shared" si="147"/>
        <v>9.3000000000000007</v>
      </c>
      <c r="QR17" s="23">
        <f t="shared" si="148"/>
        <v>2.4</v>
      </c>
      <c r="QS17" s="23">
        <f t="shared" si="149"/>
        <v>0.1</v>
      </c>
      <c r="QT17" s="23">
        <f t="shared" si="150"/>
        <v>0</v>
      </c>
      <c r="QU17" s="23">
        <f t="shared" si="151"/>
        <v>8.6</v>
      </c>
      <c r="QV17" s="23">
        <f t="shared" si="152"/>
        <v>1</v>
      </c>
      <c r="QW17" s="23">
        <f t="shared" si="153"/>
        <v>0</v>
      </c>
      <c r="QX17" s="23">
        <f t="shared" si="154"/>
        <v>0</v>
      </c>
      <c r="QY17" s="28" t="s">
        <v>58</v>
      </c>
      <c r="QZ17" s="41">
        <f t="shared" si="155"/>
        <v>7.8000000000000007</v>
      </c>
      <c r="RA17" s="41">
        <f t="shared" si="156"/>
        <v>35.65</v>
      </c>
      <c r="RB17" s="41">
        <f t="shared" si="157"/>
        <v>24.52</v>
      </c>
      <c r="RC17" s="41">
        <f t="shared" si="158"/>
        <v>13.55</v>
      </c>
      <c r="RD17" s="41">
        <f t="shared" si="159"/>
        <v>60.17</v>
      </c>
      <c r="RE17" s="41">
        <f t="shared" si="160"/>
        <v>3.4</v>
      </c>
      <c r="RF17" s="41">
        <f t="shared" si="161"/>
        <v>21.2</v>
      </c>
      <c r="RG17" s="41">
        <f t="shared" si="162"/>
        <v>56.849999999999994</v>
      </c>
    </row>
    <row r="18" spans="1:475" x14ac:dyDescent="0.2">
      <c r="A18" s="4" t="str">
        <f t="shared" si="164"/>
        <v/>
      </c>
      <c r="B18" s="5" t="s">
        <v>139</v>
      </c>
      <c r="C18" s="4" t="s">
        <v>8</v>
      </c>
      <c r="D18" s="4">
        <v>2005</v>
      </c>
      <c r="E18" s="9">
        <f t="shared" si="163"/>
        <v>163.50001176000495</v>
      </c>
      <c r="F18" s="3" t="str">
        <f t="shared" si="0"/>
        <v/>
      </c>
      <c r="G18" s="3" t="str">
        <f t="shared" si="1"/>
        <v/>
      </c>
      <c r="H18" s="37" t="str">
        <f t="shared" si="2"/>
        <v/>
      </c>
      <c r="I18" s="3" t="str">
        <f t="shared" si="3"/>
        <v/>
      </c>
      <c r="J18" s="8">
        <f>IF(COUNT(AQ18,BT18,CW18)&gt;0,LARGE((AQ18,BT18,CW18),1),0)</f>
        <v>49.500000000000007</v>
      </c>
      <c r="K18" s="8" t="str">
        <f t="shared" si="4"/>
        <v>2023 Elite Canada</v>
      </c>
      <c r="L18" s="8">
        <f>IF(COUNT(AQ18,BT18,CW18)&gt;1,LARGE((AQ18,BT18,CW18),2),0)</f>
        <v>43.099999999999994</v>
      </c>
      <c r="M18" s="8" t="str">
        <f t="shared" si="5"/>
        <v>2022 Nationals</v>
      </c>
      <c r="N18" s="8">
        <f>IF(COUNT(AR18,BU18,CX18)&gt;0,LARGE((AR18,BU18,CX18),1),0)</f>
        <v>25</v>
      </c>
      <c r="O18" s="8" t="str">
        <f t="shared" si="6"/>
        <v>2023 Elite Canada</v>
      </c>
      <c r="P18" s="8">
        <f t="shared" si="7"/>
        <v>45.9</v>
      </c>
      <c r="Q18" s="8" t="str">
        <f t="shared" si="8"/>
        <v>2023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18.899999999999999</v>
      </c>
      <c r="V18" s="19">
        <v>6.8</v>
      </c>
      <c r="W18" s="19">
        <v>0.2</v>
      </c>
      <c r="X18" s="19">
        <v>0</v>
      </c>
      <c r="Y18" s="19">
        <v>17.600000000000001</v>
      </c>
      <c r="Z18" s="19">
        <v>0</v>
      </c>
      <c r="AA18" s="19">
        <v>0</v>
      </c>
      <c r="AB18" s="19">
        <v>0</v>
      </c>
      <c r="AC18" s="19">
        <v>17.2</v>
      </c>
      <c r="AD18" s="19">
        <v>3.2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 t="shared" si="12"/>
        <v>6.8</v>
      </c>
      <c r="AQ18" s="41">
        <f t="shared" si="13"/>
        <v>43.099999999999994</v>
      </c>
      <c r="AR18" s="41">
        <f t="shared" si="14"/>
        <v>20.399999999999999</v>
      </c>
      <c r="AS18" s="41">
        <f t="shared" si="15"/>
        <v>10</v>
      </c>
      <c r="AT18" s="41">
        <f t="shared" si="16"/>
        <v>63.499999999999993</v>
      </c>
      <c r="AU18" s="41" t="str">
        <f t="shared" si="17"/>
        <v/>
      </c>
      <c r="AV18" s="41" t="str">
        <f t="shared" si="18"/>
        <v/>
      </c>
      <c r="AW18" s="41">
        <f t="shared" si="19"/>
        <v>43.099999999999994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 t="shared" si="20"/>
        <v/>
      </c>
      <c r="BT18" s="11" t="str">
        <f t="shared" si="21"/>
        <v/>
      </c>
      <c r="BU18" s="11" t="str">
        <f t="shared" si="22"/>
        <v/>
      </c>
      <c r="BV18" s="11" t="str">
        <f t="shared" si="23"/>
        <v/>
      </c>
      <c r="BW18" s="11" t="str">
        <f t="shared" si="24"/>
        <v/>
      </c>
      <c r="BX18" s="11" t="str">
        <f t="shared" si="25"/>
        <v/>
      </c>
      <c r="BY18" s="11" t="str">
        <f t="shared" si="26"/>
        <v/>
      </c>
      <c r="BZ18" s="11" t="str">
        <f t="shared" si="27"/>
        <v/>
      </c>
      <c r="CA18" s="19">
        <v>19.3</v>
      </c>
      <c r="CB18" s="19">
        <v>6.8</v>
      </c>
      <c r="CC18" s="19">
        <v>0.6</v>
      </c>
      <c r="CD18" s="19">
        <v>0</v>
      </c>
      <c r="CE18" s="19">
        <v>18.8</v>
      </c>
      <c r="CF18" s="19">
        <v>5.6</v>
      </c>
      <c r="CG18" s="19">
        <v>0.4</v>
      </c>
      <c r="CH18" s="19">
        <v>0</v>
      </c>
      <c r="CI18" s="19">
        <v>18.8</v>
      </c>
      <c r="CJ18" s="19">
        <v>6.8</v>
      </c>
      <c r="CK18" s="19">
        <v>0.6</v>
      </c>
      <c r="CL18" s="19">
        <v>0</v>
      </c>
      <c r="CM18" s="19">
        <v>19</v>
      </c>
      <c r="CN18" s="19">
        <v>5.2</v>
      </c>
      <c r="CO18" s="19">
        <v>1.6</v>
      </c>
      <c r="CP18" s="19">
        <v>0</v>
      </c>
      <c r="CQ18" s="19">
        <v>18.7</v>
      </c>
      <c r="CR18" s="19">
        <v>5.6</v>
      </c>
      <c r="CS18" s="19">
        <v>1</v>
      </c>
      <c r="CT18" s="19">
        <v>0</v>
      </c>
      <c r="CU18" s="28"/>
      <c r="CV18" s="41">
        <f t="shared" si="28"/>
        <v>12.399999999999999</v>
      </c>
      <c r="CW18" s="41">
        <f t="shared" si="29"/>
        <v>49.500000000000007</v>
      </c>
      <c r="CX18" s="41">
        <f t="shared" si="30"/>
        <v>25</v>
      </c>
      <c r="CY18" s="41">
        <f t="shared" si="31"/>
        <v>19.2</v>
      </c>
      <c r="CZ18" s="41">
        <f t="shared" si="32"/>
        <v>74.5</v>
      </c>
      <c r="DA18" s="41">
        <f t="shared" si="33"/>
        <v>10.8</v>
      </c>
      <c r="DB18" s="41">
        <f t="shared" si="34"/>
        <v>45.9</v>
      </c>
      <c r="DC18" s="41">
        <f t="shared" si="35"/>
        <v>95.4</v>
      </c>
      <c r="DD18" s="52" t="str">
        <f t="shared" si="36"/>
        <v/>
      </c>
      <c r="DE18" s="52" t="str">
        <f t="shared" si="37"/>
        <v/>
      </c>
      <c r="DF18" s="52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39"/>
        <v/>
      </c>
      <c r="EB18" s="41" t="str">
        <f t="shared" si="40"/>
        <v/>
      </c>
      <c r="EC18" s="41" t="str">
        <f t="shared" si="41"/>
        <v/>
      </c>
      <c r="ED18" s="41" t="str">
        <f t="shared" si="42"/>
        <v/>
      </c>
      <c r="EE18" s="41" t="str">
        <f t="shared" si="43"/>
        <v/>
      </c>
      <c r="EF18" s="41" t="str">
        <f t="shared" si="44"/>
        <v/>
      </c>
      <c r="EG18" s="41" t="str">
        <f t="shared" si="45"/>
        <v/>
      </c>
      <c r="EH18" s="41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5"/>
        <v/>
      </c>
      <c r="GF18" s="41" t="str">
        <f t="shared" si="56"/>
        <v/>
      </c>
      <c r="GG18" s="41" t="str">
        <f t="shared" si="57"/>
        <v/>
      </c>
      <c r="GH18" s="41" t="str">
        <f t="shared" si="58"/>
        <v/>
      </c>
      <c r="GI18" s="41" t="str">
        <f t="shared" si="59"/>
        <v/>
      </c>
      <c r="GJ18" s="41" t="str">
        <f t="shared" si="60"/>
        <v/>
      </c>
      <c r="GK18" s="41" t="str">
        <f t="shared" si="61"/>
        <v/>
      </c>
      <c r="GL18" s="41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9.65</v>
      </c>
      <c r="QF18" s="23">
        <f t="shared" si="136"/>
        <v>3.4</v>
      </c>
      <c r="QG18" s="23">
        <f t="shared" si="137"/>
        <v>0.3</v>
      </c>
      <c r="QH18" s="23">
        <f t="shared" si="138"/>
        <v>0</v>
      </c>
      <c r="QI18" s="23">
        <f t="shared" si="139"/>
        <v>9.4</v>
      </c>
      <c r="QJ18" s="23">
        <f t="shared" si="140"/>
        <v>2.8</v>
      </c>
      <c r="QK18" s="23">
        <f t="shared" si="141"/>
        <v>0.2</v>
      </c>
      <c r="QL18" s="23">
        <f t="shared" si="142"/>
        <v>0</v>
      </c>
      <c r="QM18" s="23">
        <f t="shared" si="143"/>
        <v>9.4</v>
      </c>
      <c r="QN18" s="23">
        <f t="shared" si="144"/>
        <v>3.4</v>
      </c>
      <c r="QO18" s="23">
        <f t="shared" si="145"/>
        <v>0.3</v>
      </c>
      <c r="QP18" s="23">
        <f t="shared" si="146"/>
        <v>0</v>
      </c>
      <c r="QQ18" s="23">
        <f t="shared" si="147"/>
        <v>9.5</v>
      </c>
      <c r="QR18" s="23">
        <f t="shared" si="148"/>
        <v>2.6</v>
      </c>
      <c r="QS18" s="23">
        <f t="shared" si="149"/>
        <v>0.8</v>
      </c>
      <c r="QT18" s="23">
        <f t="shared" si="150"/>
        <v>0</v>
      </c>
      <c r="QU18" s="23">
        <f t="shared" si="151"/>
        <v>9.35</v>
      </c>
      <c r="QV18" s="23">
        <f t="shared" si="152"/>
        <v>2.8</v>
      </c>
      <c r="QW18" s="23">
        <f t="shared" si="153"/>
        <v>0.5</v>
      </c>
      <c r="QX18" s="23">
        <f t="shared" si="154"/>
        <v>0</v>
      </c>
      <c r="QY18" s="28" t="s">
        <v>58</v>
      </c>
      <c r="QZ18" s="41">
        <f t="shared" si="155"/>
        <v>6.1999999999999993</v>
      </c>
      <c r="RA18" s="41">
        <f t="shared" si="156"/>
        <v>24.750000000000004</v>
      </c>
      <c r="RB18" s="41">
        <f t="shared" si="157"/>
        <v>12.5</v>
      </c>
      <c r="RC18" s="41">
        <f t="shared" si="158"/>
        <v>9.6</v>
      </c>
      <c r="RD18" s="41">
        <f t="shared" si="159"/>
        <v>37.25</v>
      </c>
      <c r="RE18" s="41">
        <f t="shared" si="160"/>
        <v>5.4</v>
      </c>
      <c r="RF18" s="41">
        <f t="shared" si="161"/>
        <v>22.95</v>
      </c>
      <c r="RG18" s="41">
        <f t="shared" si="162"/>
        <v>47.7</v>
      </c>
    </row>
    <row r="19" spans="1:475" x14ac:dyDescent="0.2">
      <c r="A19" s="4" t="str">
        <f t="shared" si="164"/>
        <v/>
      </c>
      <c r="B19" s="5" t="s">
        <v>219</v>
      </c>
      <c r="C19" s="4" t="s">
        <v>5</v>
      </c>
      <c r="D19" s="4">
        <v>1993</v>
      </c>
      <c r="E19" s="9">
        <f t="shared" si="163"/>
        <v>160.50001111000466</v>
      </c>
      <c r="F19" s="3" t="str">
        <f t="shared" si="0"/>
        <v/>
      </c>
      <c r="G19" s="3" t="str">
        <f t="shared" si="1"/>
        <v/>
      </c>
      <c r="H19" s="37" t="str">
        <f t="shared" si="2"/>
        <v/>
      </c>
      <c r="I19" s="3" t="str">
        <f t="shared" si="3"/>
        <v/>
      </c>
      <c r="J19" s="8">
        <f>IF(COUNT(AQ19,BT19,CW19)&gt;0,LARGE((AQ19,BT19,CW19),1),0)</f>
        <v>46.5</v>
      </c>
      <c r="K19" s="8" t="str">
        <f t="shared" si="4"/>
        <v>2022 Nationals</v>
      </c>
      <c r="L19" s="8">
        <f>IF(COUNT(AQ19,BT19,CW19)&gt;1,LARGE((AQ19,BT19,CW19),2),0)</f>
        <v>41.399999999999991</v>
      </c>
      <c r="M19" s="8" t="str">
        <f t="shared" si="5"/>
        <v>2023 Elite Canada</v>
      </c>
      <c r="N19" s="8">
        <f>IF(COUNT(AR19,BU19,CX19)&gt;0,LARGE((AR19,BU19,CX19),1),0)</f>
        <v>23.2</v>
      </c>
      <c r="O19" s="8" t="str">
        <f t="shared" si="6"/>
        <v>2022 Nationals</v>
      </c>
      <c r="P19" s="8">
        <f t="shared" si="7"/>
        <v>49.4</v>
      </c>
      <c r="Q19" s="8" t="str">
        <f t="shared" si="8"/>
        <v>2022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16.600000000000001</v>
      </c>
      <c r="V19" s="19">
        <v>6</v>
      </c>
      <c r="W19" s="19">
        <v>0.8</v>
      </c>
      <c r="X19" s="19">
        <v>0</v>
      </c>
      <c r="Y19" s="19">
        <v>18.899999999999999</v>
      </c>
      <c r="Z19" s="19">
        <v>6.4</v>
      </c>
      <c r="AA19" s="19">
        <v>0.6</v>
      </c>
      <c r="AB19" s="19">
        <v>0</v>
      </c>
      <c r="AC19" s="19">
        <v>18.399999999999999</v>
      </c>
      <c r="AD19" s="19">
        <v>5.6</v>
      </c>
      <c r="AE19" s="19">
        <v>0.8</v>
      </c>
      <c r="AF19" s="19">
        <v>0</v>
      </c>
      <c r="AG19" s="19">
        <v>17.8</v>
      </c>
      <c r="AH19" s="19">
        <v>6.4</v>
      </c>
      <c r="AI19" s="19">
        <v>0.4</v>
      </c>
      <c r="AJ19" s="19">
        <v>0</v>
      </c>
      <c r="AK19" s="19">
        <v>18.8</v>
      </c>
      <c r="AL19" s="19">
        <v>6.8</v>
      </c>
      <c r="AM19" s="19">
        <v>0</v>
      </c>
      <c r="AN19" s="19">
        <v>0</v>
      </c>
      <c r="AO19" s="28"/>
      <c r="AP19" s="41">
        <f t="shared" si="12"/>
        <v>12.4</v>
      </c>
      <c r="AQ19" s="41">
        <f t="shared" si="13"/>
        <v>46.5</v>
      </c>
      <c r="AR19" s="41">
        <f t="shared" si="14"/>
        <v>23.2</v>
      </c>
      <c r="AS19" s="41">
        <f t="shared" si="15"/>
        <v>18</v>
      </c>
      <c r="AT19" s="41">
        <f t="shared" si="16"/>
        <v>69.7</v>
      </c>
      <c r="AU19" s="41">
        <f t="shared" si="17"/>
        <v>13.2</v>
      </c>
      <c r="AV19" s="41">
        <f t="shared" si="18"/>
        <v>49.4</v>
      </c>
      <c r="AW19" s="41">
        <f t="shared" si="19"/>
        <v>95.9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>
        <v>17.8</v>
      </c>
      <c r="CB19" s="19">
        <v>3</v>
      </c>
      <c r="CC19" s="19">
        <v>1.2</v>
      </c>
      <c r="CD19" s="19">
        <v>0</v>
      </c>
      <c r="CE19" s="19">
        <v>18.2</v>
      </c>
      <c r="CF19" s="19">
        <v>4.8</v>
      </c>
      <c r="CG19" s="19">
        <v>1.2</v>
      </c>
      <c r="CH19" s="19">
        <v>0</v>
      </c>
      <c r="CI19" s="19">
        <v>18.3</v>
      </c>
      <c r="CJ19" s="19">
        <v>3.2</v>
      </c>
      <c r="CK19" s="19">
        <v>2</v>
      </c>
      <c r="CL19" s="19">
        <v>0</v>
      </c>
      <c r="CM19" s="19"/>
      <c r="CN19" s="19"/>
      <c r="CO19" s="19"/>
      <c r="CP19" s="19"/>
      <c r="CQ19" s="19"/>
      <c r="CR19" s="19"/>
      <c r="CS19" s="19"/>
      <c r="CT19" s="19"/>
      <c r="CU19" s="28"/>
      <c r="CV19" s="41">
        <f t="shared" si="28"/>
        <v>7.8</v>
      </c>
      <c r="CW19" s="41">
        <f t="shared" si="29"/>
        <v>41.399999999999991</v>
      </c>
      <c r="CX19" s="41">
        <f t="shared" si="30"/>
        <v>19.5</v>
      </c>
      <c r="CY19" s="41">
        <f t="shared" si="31"/>
        <v>11</v>
      </c>
      <c r="CZ19" s="41">
        <f t="shared" si="32"/>
        <v>60.899999999999991</v>
      </c>
      <c r="DA19" s="41" t="str">
        <f t="shared" si="33"/>
        <v/>
      </c>
      <c r="DB19" s="41" t="str">
        <f t="shared" si="34"/>
        <v/>
      </c>
      <c r="DC19" s="41">
        <f t="shared" si="35"/>
        <v>41.399999999999991</v>
      </c>
      <c r="DD19" s="52" t="str">
        <f t="shared" si="36"/>
        <v/>
      </c>
      <c r="DE19" s="52" t="str">
        <f t="shared" si="37"/>
        <v/>
      </c>
      <c r="DF19" s="52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5"/>
        <v/>
      </c>
      <c r="GF19" s="41" t="str">
        <f t="shared" si="56"/>
        <v/>
      </c>
      <c r="GG19" s="41" t="str">
        <f t="shared" si="57"/>
        <v/>
      </c>
      <c r="GH19" s="41" t="str">
        <f t="shared" si="58"/>
        <v/>
      </c>
      <c r="GI19" s="41" t="str">
        <f t="shared" si="59"/>
        <v/>
      </c>
      <c r="GJ19" s="41" t="str">
        <f t="shared" si="60"/>
        <v/>
      </c>
      <c r="GK19" s="41" t="str">
        <f t="shared" si="61"/>
        <v/>
      </c>
      <c r="GL19" s="41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8.9</v>
      </c>
      <c r="QF19" s="23">
        <f t="shared" si="136"/>
        <v>1.5</v>
      </c>
      <c r="QG19" s="23">
        <f t="shared" si="137"/>
        <v>0.6</v>
      </c>
      <c r="QH19" s="23">
        <f t="shared" si="138"/>
        <v>0</v>
      </c>
      <c r="QI19" s="23">
        <f t="shared" si="139"/>
        <v>9.1</v>
      </c>
      <c r="QJ19" s="23">
        <f t="shared" si="140"/>
        <v>2.4</v>
      </c>
      <c r="QK19" s="23">
        <f t="shared" si="141"/>
        <v>0.6</v>
      </c>
      <c r="QL19" s="23">
        <f t="shared" si="142"/>
        <v>0</v>
      </c>
      <c r="QM19" s="23">
        <f t="shared" si="143"/>
        <v>9.15</v>
      </c>
      <c r="QN19" s="23">
        <f t="shared" si="144"/>
        <v>1.6</v>
      </c>
      <c r="QO19" s="23">
        <f t="shared" si="145"/>
        <v>1</v>
      </c>
      <c r="QP19" s="23">
        <f t="shared" si="146"/>
        <v>0</v>
      </c>
      <c r="QQ19" s="23">
        <f t="shared" si="147"/>
        <v>0</v>
      </c>
      <c r="QR19" s="23">
        <f t="shared" si="148"/>
        <v>0</v>
      </c>
      <c r="QS19" s="23">
        <f t="shared" si="149"/>
        <v>0</v>
      </c>
      <c r="QT19" s="23">
        <f t="shared" si="150"/>
        <v>0</v>
      </c>
      <c r="QU19" s="23">
        <f t="shared" si="151"/>
        <v>0</v>
      </c>
      <c r="QV19" s="23">
        <f t="shared" si="152"/>
        <v>0</v>
      </c>
      <c r="QW19" s="23">
        <f t="shared" si="153"/>
        <v>0</v>
      </c>
      <c r="QX19" s="23">
        <f t="shared" si="154"/>
        <v>0</v>
      </c>
      <c r="QY19" s="28" t="s">
        <v>58</v>
      </c>
      <c r="QZ19" s="41">
        <f t="shared" si="155"/>
        <v>3.9</v>
      </c>
      <c r="RA19" s="41">
        <f t="shared" si="156"/>
        <v>20.699999999999996</v>
      </c>
      <c r="RB19" s="41">
        <f t="shared" si="157"/>
        <v>9.75</v>
      </c>
      <c r="RC19" s="41">
        <f t="shared" si="158"/>
        <v>5.5</v>
      </c>
      <c r="RD19" s="41">
        <f t="shared" si="159"/>
        <v>30.449999999999996</v>
      </c>
      <c r="RE19" s="41" t="str">
        <f t="shared" si="160"/>
        <v/>
      </c>
      <c r="RF19" s="41" t="str">
        <f t="shared" si="161"/>
        <v/>
      </c>
      <c r="RG19" s="41">
        <f t="shared" si="162"/>
        <v>20.699999999999996</v>
      </c>
    </row>
    <row r="20" spans="1:475" x14ac:dyDescent="0.2">
      <c r="A20" s="4" t="str">
        <f t="shared" si="164"/>
        <v/>
      </c>
      <c r="B20" s="5" t="s">
        <v>78</v>
      </c>
      <c r="C20" s="4" t="s">
        <v>77</v>
      </c>
      <c r="D20" s="4">
        <v>2001</v>
      </c>
      <c r="E20" s="9">
        <f t="shared" si="163"/>
        <v>144.30001228000506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50.7</v>
      </c>
      <c r="K20" s="8" t="str">
        <f t="shared" si="4"/>
        <v>2023 Elite Canada</v>
      </c>
      <c r="L20" s="8">
        <f>IF(COUNT(AQ20,BT20,CW20)&gt;1,LARGE((AQ20,BT20,CW20),2),0)</f>
        <v>50.699999999999996</v>
      </c>
      <c r="M20" s="8" t="str">
        <f t="shared" si="5"/>
        <v>2023 Elite Canada</v>
      </c>
      <c r="N20" s="8">
        <f>IF(COUNT(AR20,BU20,CX20)&gt;0,LARGE((AR20,BU20,CX20),1),0)</f>
        <v>21.400000000000002</v>
      </c>
      <c r="O20" s="8" t="str">
        <f t="shared" si="6"/>
        <v>2022 Nationals</v>
      </c>
      <c r="P20" s="8">
        <f t="shared" si="7"/>
        <v>21.5</v>
      </c>
      <c r="Q20" s="8" t="str">
        <f t="shared" si="8"/>
        <v>2022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19.100000000000001</v>
      </c>
      <c r="V20" s="19">
        <v>6.8</v>
      </c>
      <c r="W20" s="19">
        <v>0.6</v>
      </c>
      <c r="X20" s="19">
        <v>0</v>
      </c>
      <c r="Y20" s="19">
        <v>19</v>
      </c>
      <c r="Z20" s="19">
        <v>6.4</v>
      </c>
      <c r="AA20" s="19">
        <v>0</v>
      </c>
      <c r="AB20" s="19">
        <v>0</v>
      </c>
      <c r="AC20" s="19">
        <v>17.100000000000001</v>
      </c>
      <c r="AD20" s="19">
        <v>5.2</v>
      </c>
      <c r="AE20" s="19">
        <v>0.9</v>
      </c>
      <c r="AF20" s="19">
        <v>0</v>
      </c>
      <c r="AG20" s="19">
        <v>0</v>
      </c>
      <c r="AH20" s="19">
        <v>0</v>
      </c>
      <c r="AI20" s="19">
        <v>0</v>
      </c>
      <c r="AJ20" s="19">
        <v>0</v>
      </c>
      <c r="AK20" s="19">
        <v>16.5</v>
      </c>
      <c r="AL20" s="19">
        <v>6</v>
      </c>
      <c r="AM20" s="19">
        <v>1</v>
      </c>
      <c r="AN20" s="19">
        <v>0</v>
      </c>
      <c r="AO20" s="28"/>
      <c r="AP20" s="41">
        <f t="shared" si="12"/>
        <v>13.2</v>
      </c>
      <c r="AQ20" s="41">
        <f t="shared" si="13"/>
        <v>50.7</v>
      </c>
      <c r="AR20" s="41">
        <f t="shared" si="14"/>
        <v>21.400000000000002</v>
      </c>
      <c r="AS20" s="41">
        <f t="shared" si="15"/>
        <v>18.399999999999999</v>
      </c>
      <c r="AT20" s="41">
        <f t="shared" si="16"/>
        <v>72.100000000000009</v>
      </c>
      <c r="AU20" s="41">
        <f t="shared" si="17"/>
        <v>6</v>
      </c>
      <c r="AV20" s="41">
        <f t="shared" si="18"/>
        <v>21.5</v>
      </c>
      <c r="AW20" s="41">
        <f t="shared" si="19"/>
        <v>72.2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 t="shared" si="20"/>
        <v/>
      </c>
      <c r="BT20" s="11" t="str">
        <f t="shared" si="21"/>
        <v/>
      </c>
      <c r="BU20" s="11" t="str">
        <f t="shared" si="22"/>
        <v/>
      </c>
      <c r="BV20" s="11" t="str">
        <f t="shared" si="23"/>
        <v/>
      </c>
      <c r="BW20" s="11" t="str">
        <f t="shared" si="24"/>
        <v/>
      </c>
      <c r="BX20" s="11" t="str">
        <f t="shared" si="25"/>
        <v/>
      </c>
      <c r="BY20" s="11" t="str">
        <f t="shared" si="26"/>
        <v/>
      </c>
      <c r="BZ20" s="11" t="str">
        <f t="shared" si="27"/>
        <v/>
      </c>
      <c r="CA20" s="19">
        <v>16.8</v>
      </c>
      <c r="CB20" s="19">
        <v>7.2</v>
      </c>
      <c r="CC20" s="19">
        <v>0.2</v>
      </c>
      <c r="CD20" s="19">
        <v>0</v>
      </c>
      <c r="CE20" s="19">
        <v>19</v>
      </c>
      <c r="CF20" s="19">
        <v>7.6</v>
      </c>
      <c r="CG20" s="19">
        <v>0</v>
      </c>
      <c r="CH20" s="19">
        <v>0.3</v>
      </c>
      <c r="CI20" s="19">
        <v>17.399999999999999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 t="shared" si="28"/>
        <v>14.8</v>
      </c>
      <c r="CW20" s="41">
        <f t="shared" si="29"/>
        <v>50.699999999999996</v>
      </c>
      <c r="CX20" s="41">
        <f t="shared" si="30"/>
        <v>20.2</v>
      </c>
      <c r="CY20" s="41">
        <f t="shared" si="31"/>
        <v>17.600000000000001</v>
      </c>
      <c r="CZ20" s="41">
        <f t="shared" si="32"/>
        <v>70.899999999999991</v>
      </c>
      <c r="DA20" s="41" t="str">
        <f t="shared" si="33"/>
        <v/>
      </c>
      <c r="DB20" s="41" t="str">
        <f t="shared" si="34"/>
        <v/>
      </c>
      <c r="DC20" s="41">
        <f t="shared" si="35"/>
        <v>50.699999999999996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7"/>
        <v/>
      </c>
      <c r="KN20" s="41" t="str">
        <f t="shared" si="88"/>
        <v/>
      </c>
      <c r="KO20" s="41" t="str">
        <f t="shared" si="89"/>
        <v/>
      </c>
      <c r="KP20" s="41" t="str">
        <f t="shared" si="90"/>
        <v/>
      </c>
      <c r="KQ20" s="41" t="str">
        <f t="shared" si="91"/>
        <v/>
      </c>
      <c r="KR20" s="41" t="str">
        <f t="shared" si="92"/>
        <v/>
      </c>
      <c r="KS20" s="41" t="str">
        <f t="shared" si="93"/>
        <v/>
      </c>
      <c r="KT20" s="41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>
        <v>18.600000000000001</v>
      </c>
      <c r="LX20" s="17">
        <v>8.4</v>
      </c>
      <c r="LY20" s="17">
        <v>0.8</v>
      </c>
      <c r="LZ20" s="17">
        <v>0</v>
      </c>
      <c r="MA20" s="17">
        <v>0</v>
      </c>
      <c r="MB20" s="17">
        <v>0</v>
      </c>
      <c r="MC20" s="17">
        <v>0</v>
      </c>
      <c r="MD20" s="17">
        <v>0</v>
      </c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>
        <f t="shared" si="103"/>
        <v>8.4</v>
      </c>
      <c r="MR20" s="41">
        <f t="shared" si="104"/>
        <v>26.2</v>
      </c>
      <c r="MS20" s="41" t="str">
        <f t="shared" si="105"/>
        <v/>
      </c>
      <c r="MT20" s="41">
        <f t="shared" si="106"/>
        <v>8.4</v>
      </c>
      <c r="MU20" s="41">
        <f t="shared" si="107"/>
        <v>26.2</v>
      </c>
      <c r="MV20" s="41" t="str">
        <f t="shared" si="108"/>
        <v/>
      </c>
      <c r="MW20" s="41" t="str">
        <f t="shared" si="109"/>
        <v/>
      </c>
      <c r="MX20" s="41">
        <f t="shared" si="110"/>
        <v>26.2</v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8.4</v>
      </c>
      <c r="QF20" s="23">
        <f t="shared" si="136"/>
        <v>3.6</v>
      </c>
      <c r="QG20" s="23">
        <f t="shared" si="137"/>
        <v>0.1</v>
      </c>
      <c r="QH20" s="23">
        <f t="shared" si="138"/>
        <v>0</v>
      </c>
      <c r="QI20" s="23">
        <f t="shared" si="139"/>
        <v>9.5</v>
      </c>
      <c r="QJ20" s="23">
        <f t="shared" si="140"/>
        <v>3.8</v>
      </c>
      <c r="QK20" s="23">
        <f t="shared" si="141"/>
        <v>0</v>
      </c>
      <c r="QL20" s="23">
        <f t="shared" si="142"/>
        <v>0.15</v>
      </c>
      <c r="QM20" s="23">
        <f t="shared" si="143"/>
        <v>8.6999999999999993</v>
      </c>
      <c r="QN20" s="23">
        <f t="shared" si="144"/>
        <v>1.4</v>
      </c>
      <c r="QO20" s="23">
        <f t="shared" si="145"/>
        <v>0</v>
      </c>
      <c r="QP20" s="23">
        <f t="shared" si="146"/>
        <v>0</v>
      </c>
      <c r="QQ20" s="23">
        <f t="shared" si="147"/>
        <v>0</v>
      </c>
      <c r="QR20" s="23">
        <f t="shared" si="148"/>
        <v>0</v>
      </c>
      <c r="QS20" s="23">
        <f t="shared" si="149"/>
        <v>0</v>
      </c>
      <c r="QT20" s="23">
        <f t="shared" si="150"/>
        <v>0</v>
      </c>
      <c r="QU20" s="23">
        <f t="shared" si="151"/>
        <v>0</v>
      </c>
      <c r="QV20" s="23">
        <f t="shared" si="152"/>
        <v>0</v>
      </c>
      <c r="QW20" s="23">
        <f t="shared" si="153"/>
        <v>0</v>
      </c>
      <c r="QX20" s="23">
        <f t="shared" si="154"/>
        <v>0</v>
      </c>
      <c r="QY20" s="28" t="s">
        <v>58</v>
      </c>
      <c r="QZ20" s="41">
        <f t="shared" si="155"/>
        <v>7.4</v>
      </c>
      <c r="RA20" s="41">
        <f t="shared" si="156"/>
        <v>25.349999999999998</v>
      </c>
      <c r="RB20" s="41">
        <f t="shared" si="157"/>
        <v>10.1</v>
      </c>
      <c r="RC20" s="41">
        <f t="shared" si="158"/>
        <v>8.8000000000000007</v>
      </c>
      <c r="RD20" s="41">
        <f t="shared" si="159"/>
        <v>35.449999999999996</v>
      </c>
      <c r="RE20" s="41" t="str">
        <f t="shared" si="160"/>
        <v/>
      </c>
      <c r="RF20" s="41" t="str">
        <f t="shared" si="161"/>
        <v/>
      </c>
      <c r="RG20" s="41">
        <f t="shared" si="162"/>
        <v>25.349999999999998</v>
      </c>
    </row>
    <row r="21" spans="1:475" x14ac:dyDescent="0.2">
      <c r="A21" s="4" t="str">
        <f t="shared" si="164"/>
        <v/>
      </c>
      <c r="B21" s="5" t="s">
        <v>222</v>
      </c>
      <c r="C21" s="4" t="s">
        <v>8</v>
      </c>
      <c r="D21" s="4">
        <v>2006</v>
      </c>
      <c r="E21" s="9">
        <f t="shared" si="163"/>
        <v>125.40000744000511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51</v>
      </c>
      <c r="K21" s="8" t="str">
        <f t="shared" si="4"/>
        <v>2023 Elite Canada</v>
      </c>
      <c r="L21" s="8">
        <f>IF(COUNT(AQ21,BT21,CW21)&gt;1,LARGE((AQ21,BT21,CW21),2),0)</f>
        <v>0</v>
      </c>
      <c r="M21" s="8" t="str">
        <f t="shared" si="5"/>
        <v/>
      </c>
      <c r="N21" s="8">
        <f>IF(COUNT(AR21,BU21,CX21)&gt;0,LARGE((AR21,BU21,CX21),1),0)</f>
        <v>23.4</v>
      </c>
      <c r="O21" s="8" t="str">
        <f t="shared" si="6"/>
        <v>2023 Elite Canada</v>
      </c>
      <c r="P21" s="8">
        <f t="shared" si="7"/>
        <v>50.999999999999993</v>
      </c>
      <c r="Q21" s="8" t="str">
        <f t="shared" si="8"/>
        <v>2023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 t="shared" si="12"/>
        <v/>
      </c>
      <c r="AQ21" s="41" t="str">
        <f t="shared" si="13"/>
        <v/>
      </c>
      <c r="AR21" s="41" t="str">
        <f t="shared" si="14"/>
        <v/>
      </c>
      <c r="AS21" s="41" t="str">
        <f t="shared" si="15"/>
        <v/>
      </c>
      <c r="AT21" s="41" t="str">
        <f t="shared" si="16"/>
        <v/>
      </c>
      <c r="AU21" s="41" t="str">
        <f t="shared" si="17"/>
        <v/>
      </c>
      <c r="AV21" s="41" t="str">
        <f t="shared" si="18"/>
        <v/>
      </c>
      <c r="AW21" s="41" t="str">
        <f t="shared" si="19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 t="shared" si="20"/>
        <v/>
      </c>
      <c r="BT21" s="11" t="str">
        <f t="shared" si="21"/>
        <v/>
      </c>
      <c r="BU21" s="11" t="str">
        <f t="shared" si="22"/>
        <v/>
      </c>
      <c r="BV21" s="11" t="str">
        <f t="shared" si="23"/>
        <v/>
      </c>
      <c r="BW21" s="11" t="str">
        <f t="shared" si="24"/>
        <v/>
      </c>
      <c r="BX21" s="11" t="str">
        <f t="shared" si="25"/>
        <v/>
      </c>
      <c r="BY21" s="11" t="str">
        <f t="shared" si="26"/>
        <v/>
      </c>
      <c r="BZ21" s="11" t="str">
        <f t="shared" si="27"/>
        <v/>
      </c>
      <c r="CA21" s="19">
        <v>18.399999999999999</v>
      </c>
      <c r="CB21" s="19">
        <v>7.6</v>
      </c>
      <c r="CC21" s="19">
        <v>0.2</v>
      </c>
      <c r="CD21" s="19">
        <v>0</v>
      </c>
      <c r="CE21" s="19">
        <v>18.2</v>
      </c>
      <c r="CF21" s="19">
        <v>7.6</v>
      </c>
      <c r="CG21" s="19">
        <v>0.6</v>
      </c>
      <c r="CH21" s="19">
        <v>0</v>
      </c>
      <c r="CI21" s="19">
        <v>18.8</v>
      </c>
      <c r="CJ21" s="19">
        <v>5.6</v>
      </c>
      <c r="CK21" s="19">
        <v>1</v>
      </c>
      <c r="CL21" s="19">
        <v>0</v>
      </c>
      <c r="CM21" s="19">
        <v>17.8</v>
      </c>
      <c r="CN21" s="19">
        <v>7.6</v>
      </c>
      <c r="CO21" s="19">
        <v>0.2</v>
      </c>
      <c r="CP21" s="19">
        <v>0</v>
      </c>
      <c r="CQ21" s="19">
        <v>18.2</v>
      </c>
      <c r="CR21" s="19">
        <v>7.6</v>
      </c>
      <c r="CS21" s="19">
        <v>0</v>
      </c>
      <c r="CT21" s="19">
        <v>0</v>
      </c>
      <c r="CU21" s="28"/>
      <c r="CV21" s="41">
        <f t="shared" si="28"/>
        <v>15.2</v>
      </c>
      <c r="CW21" s="41">
        <f t="shared" si="29"/>
        <v>51</v>
      </c>
      <c r="CX21" s="41">
        <f t="shared" si="30"/>
        <v>23.4</v>
      </c>
      <c r="CY21" s="41">
        <f t="shared" si="31"/>
        <v>20.799999999999997</v>
      </c>
      <c r="CZ21" s="41">
        <f t="shared" si="32"/>
        <v>74.400000000000006</v>
      </c>
      <c r="DA21" s="41">
        <f t="shared" si="33"/>
        <v>15.2</v>
      </c>
      <c r="DB21" s="41">
        <f t="shared" si="34"/>
        <v>50.999999999999993</v>
      </c>
      <c r="DC21" s="41">
        <f t="shared" si="35"/>
        <v>102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9.1999999999999993</v>
      </c>
      <c r="QF21" s="23">
        <f t="shared" si="136"/>
        <v>3.8</v>
      </c>
      <c r="QG21" s="23">
        <f t="shared" si="137"/>
        <v>0.1</v>
      </c>
      <c r="QH21" s="23">
        <f t="shared" si="138"/>
        <v>0</v>
      </c>
      <c r="QI21" s="23">
        <f t="shared" si="139"/>
        <v>9.1</v>
      </c>
      <c r="QJ21" s="23">
        <f t="shared" si="140"/>
        <v>3.8</v>
      </c>
      <c r="QK21" s="23">
        <f t="shared" si="141"/>
        <v>0.3</v>
      </c>
      <c r="QL21" s="23">
        <f t="shared" si="142"/>
        <v>0</v>
      </c>
      <c r="QM21" s="23">
        <f t="shared" si="143"/>
        <v>9.4</v>
      </c>
      <c r="QN21" s="23">
        <f t="shared" si="144"/>
        <v>2.8</v>
      </c>
      <c r="QO21" s="23">
        <f t="shared" si="145"/>
        <v>0.5</v>
      </c>
      <c r="QP21" s="23">
        <f t="shared" si="146"/>
        <v>0</v>
      </c>
      <c r="QQ21" s="23">
        <f t="shared" si="147"/>
        <v>8.9</v>
      </c>
      <c r="QR21" s="23">
        <f t="shared" si="148"/>
        <v>3.8</v>
      </c>
      <c r="QS21" s="23">
        <f t="shared" si="149"/>
        <v>0.1</v>
      </c>
      <c r="QT21" s="23">
        <f t="shared" si="150"/>
        <v>0</v>
      </c>
      <c r="QU21" s="23">
        <f t="shared" si="151"/>
        <v>9.1</v>
      </c>
      <c r="QV21" s="23">
        <f t="shared" si="152"/>
        <v>3.8</v>
      </c>
      <c r="QW21" s="23">
        <f t="shared" si="153"/>
        <v>0</v>
      </c>
      <c r="QX21" s="23">
        <f t="shared" si="154"/>
        <v>0</v>
      </c>
      <c r="QY21" s="28" t="s">
        <v>58</v>
      </c>
      <c r="QZ21" s="41">
        <f t="shared" si="155"/>
        <v>7.6</v>
      </c>
      <c r="RA21" s="41">
        <f t="shared" si="156"/>
        <v>25.5</v>
      </c>
      <c r="RB21" s="41">
        <f t="shared" si="157"/>
        <v>11.7</v>
      </c>
      <c r="RC21" s="41">
        <f t="shared" si="158"/>
        <v>10.399999999999999</v>
      </c>
      <c r="RD21" s="41">
        <f t="shared" si="159"/>
        <v>37.200000000000003</v>
      </c>
      <c r="RE21" s="41">
        <f t="shared" si="160"/>
        <v>7.6</v>
      </c>
      <c r="RF21" s="41">
        <f t="shared" si="161"/>
        <v>25.499999999999996</v>
      </c>
      <c r="RG21" s="41">
        <f t="shared" si="162"/>
        <v>51</v>
      </c>
    </row>
    <row r="22" spans="1:475" x14ac:dyDescent="0.2">
      <c r="A22" s="4" t="str">
        <f t="shared" si="164"/>
        <v/>
      </c>
      <c r="B22" s="5" t="s">
        <v>93</v>
      </c>
      <c r="C22" s="4" t="s">
        <v>8</v>
      </c>
      <c r="D22" s="4">
        <v>2000</v>
      </c>
      <c r="E22" s="9">
        <f t="shared" si="163"/>
        <v>121.70000727000478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47.899999999999991</v>
      </c>
      <c r="K22" s="8" t="str">
        <f t="shared" si="4"/>
        <v>2022 Nationals</v>
      </c>
      <c r="L22" s="8">
        <f>IF(COUNT(AQ22,BT22,CW22)&gt;1,LARGE((AQ22,BT22,CW22),2),0)</f>
        <v>0</v>
      </c>
      <c r="M22" s="8" t="str">
        <f t="shared" si="5"/>
        <v/>
      </c>
      <c r="N22" s="8">
        <f>IF(COUNT(AR22,BU22,CX22)&gt;0,LARGE((AR22,BU22,CX22),1),0)</f>
        <v>24.799999999999997</v>
      </c>
      <c r="O22" s="8" t="str">
        <f t="shared" si="6"/>
        <v>2022 Nationals</v>
      </c>
      <c r="P22" s="8">
        <f t="shared" si="7"/>
        <v>49.000000000000007</v>
      </c>
      <c r="Q22" s="8" t="str">
        <f t="shared" si="8"/>
        <v>2022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16.5</v>
      </c>
      <c r="V22" s="19">
        <v>7.2</v>
      </c>
      <c r="W22" s="19">
        <v>0.2</v>
      </c>
      <c r="X22" s="19">
        <v>0</v>
      </c>
      <c r="Y22" s="19">
        <v>18.399999999999999</v>
      </c>
      <c r="Z22" s="19">
        <v>6.8</v>
      </c>
      <c r="AA22" s="19">
        <v>0.8</v>
      </c>
      <c r="AB22" s="19">
        <v>0</v>
      </c>
      <c r="AC22" s="19">
        <v>18.399999999999999</v>
      </c>
      <c r="AD22" s="19">
        <v>7.2</v>
      </c>
      <c r="AE22" s="19">
        <v>0.8</v>
      </c>
      <c r="AF22" s="19">
        <v>0</v>
      </c>
      <c r="AG22" s="19">
        <v>18.399999999999999</v>
      </c>
      <c r="AH22" s="19">
        <v>7.2</v>
      </c>
      <c r="AI22" s="19">
        <v>0</v>
      </c>
      <c r="AJ22" s="19">
        <v>0</v>
      </c>
      <c r="AK22" s="19">
        <v>16.600000000000001</v>
      </c>
      <c r="AL22" s="19">
        <v>7.6</v>
      </c>
      <c r="AM22" s="19">
        <v>0.8</v>
      </c>
      <c r="AN22" s="19">
        <v>0</v>
      </c>
      <c r="AO22" s="28"/>
      <c r="AP22" s="41">
        <f t="shared" si="12"/>
        <v>14</v>
      </c>
      <c r="AQ22" s="41">
        <f t="shared" si="13"/>
        <v>47.899999999999991</v>
      </c>
      <c r="AR22" s="41">
        <f t="shared" si="14"/>
        <v>24.799999999999997</v>
      </c>
      <c r="AS22" s="41">
        <f t="shared" si="15"/>
        <v>21.2</v>
      </c>
      <c r="AT22" s="41">
        <f t="shared" si="16"/>
        <v>72.699999999999989</v>
      </c>
      <c r="AU22" s="41">
        <f t="shared" si="17"/>
        <v>14.8</v>
      </c>
      <c r="AV22" s="41">
        <f t="shared" si="18"/>
        <v>49.000000000000007</v>
      </c>
      <c r="AW22" s="41">
        <f t="shared" si="19"/>
        <v>96.9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9"/>
      <c r="BS22" s="11" t="str">
        <f t="shared" si="20"/>
        <v/>
      </c>
      <c r="BT22" s="11" t="str">
        <f t="shared" si="21"/>
        <v/>
      </c>
      <c r="BU22" s="11" t="str">
        <f t="shared" si="22"/>
        <v/>
      </c>
      <c r="BV22" s="11" t="str">
        <f t="shared" si="23"/>
        <v/>
      </c>
      <c r="BW22" s="11" t="str">
        <f t="shared" si="24"/>
        <v/>
      </c>
      <c r="BX22" s="11" t="str">
        <f t="shared" si="25"/>
        <v/>
      </c>
      <c r="BY22" s="11" t="str">
        <f t="shared" si="26"/>
        <v/>
      </c>
      <c r="BZ22" s="11" t="str">
        <f t="shared" si="27"/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 t="shared" si="28"/>
        <v/>
      </c>
      <c r="CW22" s="41" t="str">
        <f t="shared" si="29"/>
        <v/>
      </c>
      <c r="CX22" s="41" t="str">
        <f t="shared" si="30"/>
        <v/>
      </c>
      <c r="CY22" s="41" t="str">
        <f t="shared" si="31"/>
        <v/>
      </c>
      <c r="CZ22" s="41" t="str">
        <f t="shared" si="32"/>
        <v/>
      </c>
      <c r="DA22" s="41" t="str">
        <f t="shared" si="33"/>
        <v/>
      </c>
      <c r="DB22" s="41" t="str">
        <f t="shared" si="34"/>
        <v/>
      </c>
      <c r="DC22" s="41" t="str">
        <f t="shared" si="35"/>
        <v/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0</v>
      </c>
      <c r="QF22" s="23">
        <f t="shared" si="136"/>
        <v>0</v>
      </c>
      <c r="QG22" s="23">
        <f t="shared" si="137"/>
        <v>0</v>
      </c>
      <c r="QH22" s="23">
        <f t="shared" si="138"/>
        <v>0</v>
      </c>
      <c r="QI22" s="23">
        <f t="shared" si="139"/>
        <v>0</v>
      </c>
      <c r="QJ22" s="23">
        <f t="shared" si="140"/>
        <v>0</v>
      </c>
      <c r="QK22" s="23">
        <f t="shared" si="141"/>
        <v>0</v>
      </c>
      <c r="QL22" s="23">
        <f t="shared" si="142"/>
        <v>0</v>
      </c>
      <c r="QM22" s="23">
        <f t="shared" si="143"/>
        <v>0</v>
      </c>
      <c r="QN22" s="23">
        <f t="shared" si="144"/>
        <v>0</v>
      </c>
      <c r="QO22" s="23">
        <f t="shared" si="145"/>
        <v>0</v>
      </c>
      <c r="QP22" s="23">
        <f t="shared" si="146"/>
        <v>0</v>
      </c>
      <c r="QQ22" s="23">
        <f t="shared" si="147"/>
        <v>0</v>
      </c>
      <c r="QR22" s="23">
        <f t="shared" si="148"/>
        <v>0</v>
      </c>
      <c r="QS22" s="23">
        <f t="shared" si="149"/>
        <v>0</v>
      </c>
      <c r="QT22" s="23">
        <f t="shared" si="150"/>
        <v>0</v>
      </c>
      <c r="QU22" s="23">
        <f t="shared" si="151"/>
        <v>0</v>
      </c>
      <c r="QV22" s="23">
        <f t="shared" si="152"/>
        <v>0</v>
      </c>
      <c r="QW22" s="23">
        <f t="shared" si="153"/>
        <v>0</v>
      </c>
      <c r="QX22" s="23">
        <f t="shared" si="154"/>
        <v>0</v>
      </c>
      <c r="QY22" s="28" t="s">
        <v>58</v>
      </c>
      <c r="QZ22" s="41" t="str">
        <f t="shared" si="155"/>
        <v/>
      </c>
      <c r="RA22" s="41" t="str">
        <f t="shared" si="156"/>
        <v/>
      </c>
      <c r="RB22" s="41" t="str">
        <f t="shared" si="157"/>
        <v/>
      </c>
      <c r="RC22" s="41" t="str">
        <f t="shared" si="158"/>
        <v/>
      </c>
      <c r="RD22" s="41" t="str">
        <f t="shared" si="159"/>
        <v/>
      </c>
      <c r="RE22" s="41" t="str">
        <f t="shared" si="160"/>
        <v/>
      </c>
      <c r="RF22" s="41" t="str">
        <f t="shared" si="161"/>
        <v/>
      </c>
      <c r="RG22" s="41" t="str">
        <f t="shared" si="162"/>
        <v/>
      </c>
    </row>
    <row r="23" spans="1:475" x14ac:dyDescent="0.2">
      <c r="A23" s="4" t="str">
        <f t="shared" si="164"/>
        <v/>
      </c>
      <c r="B23" s="5" t="s">
        <v>191</v>
      </c>
      <c r="C23" s="4" t="s">
        <v>190</v>
      </c>
      <c r="D23" s="4">
        <v>2002</v>
      </c>
      <c r="E23" s="9">
        <f t="shared" si="163"/>
        <v>119.80000706000502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50.2</v>
      </c>
      <c r="K23" s="8" t="str">
        <f t="shared" si="4"/>
        <v>2022 Nationals</v>
      </c>
      <c r="L23" s="8">
        <f>IF(COUNT(AQ23,BT23,CW23)&gt;1,LARGE((AQ23,BT23,CW23),2),0)</f>
        <v>0</v>
      </c>
      <c r="M23" s="8" t="str">
        <f t="shared" si="5"/>
        <v/>
      </c>
      <c r="N23" s="8">
        <f>IF(COUNT(AR23,BU23,CX23)&gt;0,LARGE((AR23,BU23,CX23),1),0)</f>
        <v>20.399999999999999</v>
      </c>
      <c r="O23" s="8" t="str">
        <f t="shared" si="6"/>
        <v>2022 Nationals</v>
      </c>
      <c r="P23" s="8">
        <f t="shared" si="7"/>
        <v>0</v>
      </c>
      <c r="Q23" s="8" t="str">
        <f t="shared" si="8"/>
        <v/>
      </c>
      <c r="R23" s="8">
        <f t="shared" si="9"/>
        <v>49.2</v>
      </c>
      <c r="S23" s="11" t="str">
        <f t="shared" si="10"/>
        <v>(Q1)</v>
      </c>
      <c r="T23" s="8" t="str">
        <f t="shared" si="11"/>
        <v>2022 Coimbra Gym Fest (June 26)</v>
      </c>
      <c r="U23" s="19">
        <v>18.5</v>
      </c>
      <c r="V23" s="19">
        <v>7.2</v>
      </c>
      <c r="W23" s="19">
        <v>0</v>
      </c>
      <c r="X23" s="19">
        <v>0</v>
      </c>
      <c r="Y23" s="19">
        <v>18.5</v>
      </c>
      <c r="Z23" s="19">
        <v>6.8</v>
      </c>
      <c r="AA23" s="19">
        <v>0.8</v>
      </c>
      <c r="AB23" s="19">
        <v>0</v>
      </c>
      <c r="AC23" s="19">
        <v>17.2</v>
      </c>
      <c r="AD23" s="19">
        <v>3.2</v>
      </c>
      <c r="AE23" s="19">
        <v>0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8"/>
      <c r="AP23" s="41">
        <f t="shared" si="12"/>
        <v>14</v>
      </c>
      <c r="AQ23" s="41">
        <f t="shared" si="13"/>
        <v>50.2</v>
      </c>
      <c r="AR23" s="41">
        <f t="shared" si="14"/>
        <v>20.399999999999999</v>
      </c>
      <c r="AS23" s="41">
        <f t="shared" si="15"/>
        <v>17.2</v>
      </c>
      <c r="AT23" s="41">
        <f t="shared" si="16"/>
        <v>70.599999999999994</v>
      </c>
      <c r="AU23" s="41" t="str">
        <f t="shared" si="17"/>
        <v/>
      </c>
      <c r="AV23" s="41" t="str">
        <f t="shared" si="18"/>
        <v/>
      </c>
      <c r="AW23" s="41">
        <f t="shared" si="19"/>
        <v>50.2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1" t="str">
        <f t="shared" si="26"/>
        <v/>
      </c>
      <c r="BZ23" s="11" t="str">
        <f t="shared" si="27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 t="shared" si="28"/>
        <v/>
      </c>
      <c r="CW23" s="41" t="str">
        <f t="shared" si="29"/>
        <v/>
      </c>
      <c r="CX23" s="41" t="str">
        <f t="shared" si="30"/>
        <v/>
      </c>
      <c r="CY23" s="41" t="str">
        <f t="shared" si="31"/>
        <v/>
      </c>
      <c r="CZ23" s="41" t="str">
        <f t="shared" si="32"/>
        <v/>
      </c>
      <c r="DA23" s="41" t="str">
        <f t="shared" si="33"/>
        <v/>
      </c>
      <c r="DB23" s="41" t="str">
        <f t="shared" si="34"/>
        <v/>
      </c>
      <c r="DC23" s="41" t="str">
        <f t="shared" si="35"/>
        <v/>
      </c>
      <c r="DD23" s="52">
        <f t="shared" si="36"/>
        <v>49.2</v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>
        <v>18.600000000000001</v>
      </c>
      <c r="GN23" s="18">
        <v>6</v>
      </c>
      <c r="GO23" s="18">
        <v>0.6</v>
      </c>
      <c r="GP23" s="18">
        <v>0</v>
      </c>
      <c r="GQ23" s="18">
        <v>18.600000000000001</v>
      </c>
      <c r="GR23" s="18">
        <v>7.2</v>
      </c>
      <c r="GS23" s="18">
        <v>0.6</v>
      </c>
      <c r="GT23" s="18">
        <v>0</v>
      </c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>
        <f t="shared" si="63"/>
        <v>13.2</v>
      </c>
      <c r="HH23" s="11">
        <f t="shared" si="64"/>
        <v>49.2</v>
      </c>
      <c r="HI23" s="11" t="str">
        <f t="shared" si="65"/>
        <v/>
      </c>
      <c r="HJ23" s="11">
        <f t="shared" si="66"/>
        <v>13.2</v>
      </c>
      <c r="HK23" s="11">
        <f t="shared" si="67"/>
        <v>49.2</v>
      </c>
      <c r="HL23" s="11" t="str">
        <f t="shared" si="68"/>
        <v/>
      </c>
      <c r="HM23" s="11" t="str">
        <f t="shared" si="69"/>
        <v/>
      </c>
      <c r="HN23" s="11">
        <f t="shared" si="70"/>
        <v>49.2</v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0</v>
      </c>
      <c r="QF23" s="23">
        <f t="shared" si="136"/>
        <v>0</v>
      </c>
      <c r="QG23" s="23">
        <f t="shared" si="137"/>
        <v>0</v>
      </c>
      <c r="QH23" s="23">
        <f t="shared" si="138"/>
        <v>0</v>
      </c>
      <c r="QI23" s="23">
        <f t="shared" si="139"/>
        <v>0</v>
      </c>
      <c r="QJ23" s="23">
        <f t="shared" si="140"/>
        <v>0</v>
      </c>
      <c r="QK23" s="23">
        <f t="shared" si="141"/>
        <v>0</v>
      </c>
      <c r="QL23" s="23">
        <f t="shared" si="142"/>
        <v>0</v>
      </c>
      <c r="QM23" s="23">
        <f t="shared" si="143"/>
        <v>0</v>
      </c>
      <c r="QN23" s="23">
        <f t="shared" si="144"/>
        <v>0</v>
      </c>
      <c r="QO23" s="23">
        <f t="shared" si="145"/>
        <v>0</v>
      </c>
      <c r="QP23" s="23">
        <f t="shared" si="146"/>
        <v>0</v>
      </c>
      <c r="QQ23" s="23">
        <f t="shared" si="147"/>
        <v>0</v>
      </c>
      <c r="QR23" s="23">
        <f t="shared" si="148"/>
        <v>0</v>
      </c>
      <c r="QS23" s="23">
        <f t="shared" si="149"/>
        <v>0</v>
      </c>
      <c r="QT23" s="23">
        <f t="shared" si="150"/>
        <v>0</v>
      </c>
      <c r="QU23" s="23">
        <f t="shared" si="151"/>
        <v>0</v>
      </c>
      <c r="QV23" s="23">
        <f t="shared" si="152"/>
        <v>0</v>
      </c>
      <c r="QW23" s="23">
        <f t="shared" si="153"/>
        <v>0</v>
      </c>
      <c r="QX23" s="23">
        <f t="shared" si="154"/>
        <v>0</v>
      </c>
      <c r="QY23" s="28" t="s">
        <v>58</v>
      </c>
      <c r="QZ23" s="41" t="str">
        <f t="shared" si="155"/>
        <v/>
      </c>
      <c r="RA23" s="41" t="str">
        <f t="shared" si="156"/>
        <v/>
      </c>
      <c r="RB23" s="41" t="str">
        <f t="shared" si="157"/>
        <v/>
      </c>
      <c r="RC23" s="41" t="str">
        <f t="shared" si="158"/>
        <v/>
      </c>
      <c r="RD23" s="41" t="str">
        <f t="shared" si="159"/>
        <v/>
      </c>
      <c r="RE23" s="41" t="str">
        <f t="shared" si="160"/>
        <v/>
      </c>
      <c r="RF23" s="41" t="str">
        <f t="shared" si="161"/>
        <v/>
      </c>
      <c r="RG23" s="41" t="str">
        <f t="shared" si="162"/>
        <v/>
      </c>
    </row>
    <row r="24" spans="1:475" x14ac:dyDescent="0.2">
      <c r="A24" s="4" t="str">
        <f t="shared" si="164"/>
        <v/>
      </c>
      <c r="B24" s="5" t="s">
        <v>221</v>
      </c>
      <c r="C24" s="4" t="s">
        <v>6</v>
      </c>
      <c r="D24" s="4">
        <v>1998</v>
      </c>
      <c r="E24" s="9">
        <f t="shared" si="163"/>
        <v>99.500007280004894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48.899999999999991</v>
      </c>
      <c r="K24" s="8" t="str">
        <f t="shared" si="4"/>
        <v>2023 Elite Canada</v>
      </c>
      <c r="L24" s="8">
        <f>IF(COUNT(AQ24,BT24,CW24)&gt;1,LARGE((AQ24,BT24,CW24),2),0)</f>
        <v>0</v>
      </c>
      <c r="M24" s="8" t="str">
        <f t="shared" si="5"/>
        <v/>
      </c>
      <c r="N24" s="8">
        <f>IF(COUNT(AR24,BU24,CX24)&gt;0,LARGE((AR24,BU24,CX24),1),0)</f>
        <v>23.900000000000002</v>
      </c>
      <c r="O24" s="8" t="str">
        <f t="shared" si="6"/>
        <v>2023 Elite Canada</v>
      </c>
      <c r="P24" s="8">
        <f t="shared" si="7"/>
        <v>26.7</v>
      </c>
      <c r="Q24" s="8" t="str">
        <f t="shared" si="8"/>
        <v>2023 Elite Canada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8"/>
      <c r="AP24" s="41" t="str">
        <f t="shared" si="12"/>
        <v/>
      </c>
      <c r="AQ24" s="41" t="str">
        <f t="shared" si="13"/>
        <v/>
      </c>
      <c r="AR24" s="41" t="str">
        <f t="shared" si="14"/>
        <v/>
      </c>
      <c r="AS24" s="41" t="str">
        <f t="shared" si="15"/>
        <v/>
      </c>
      <c r="AT24" s="41" t="str">
        <f t="shared" si="16"/>
        <v/>
      </c>
      <c r="AU24" s="41" t="str">
        <f t="shared" si="17"/>
        <v/>
      </c>
      <c r="AV24" s="41" t="str">
        <f t="shared" si="18"/>
        <v/>
      </c>
      <c r="AW24" s="41" t="str">
        <f t="shared" si="19"/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9"/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1" t="str">
        <f t="shared" si="26"/>
        <v/>
      </c>
      <c r="BZ24" s="11" t="str">
        <f t="shared" si="27"/>
        <v/>
      </c>
      <c r="CA24" s="19">
        <v>18.8</v>
      </c>
      <c r="CB24" s="19">
        <v>7.6</v>
      </c>
      <c r="CC24" s="19">
        <v>0.2</v>
      </c>
      <c r="CD24" s="19">
        <v>0</v>
      </c>
      <c r="CE24" s="19">
        <v>16.7</v>
      </c>
      <c r="CF24" s="19">
        <v>6.8</v>
      </c>
      <c r="CG24" s="19">
        <v>0.8</v>
      </c>
      <c r="CH24" s="19">
        <v>0</v>
      </c>
      <c r="CI24" s="19">
        <v>16.8</v>
      </c>
      <c r="CJ24" s="19">
        <v>7.3</v>
      </c>
      <c r="CK24" s="19">
        <v>0.2</v>
      </c>
      <c r="CL24" s="19">
        <v>0</v>
      </c>
      <c r="CM24" s="19">
        <v>0</v>
      </c>
      <c r="CN24" s="19">
        <v>0</v>
      </c>
      <c r="CO24" s="19">
        <v>0</v>
      </c>
      <c r="CP24" s="19">
        <v>0</v>
      </c>
      <c r="CQ24" s="19">
        <v>18.5</v>
      </c>
      <c r="CR24" s="19">
        <v>8.4</v>
      </c>
      <c r="CS24" s="19">
        <v>0.2</v>
      </c>
      <c r="CT24" s="19">
        <v>0</v>
      </c>
      <c r="CU24" s="28"/>
      <c r="CV24" s="41">
        <f t="shared" si="28"/>
        <v>14.399999999999999</v>
      </c>
      <c r="CW24" s="41">
        <f t="shared" si="29"/>
        <v>48.899999999999991</v>
      </c>
      <c r="CX24" s="41">
        <f t="shared" si="30"/>
        <v>23.900000000000002</v>
      </c>
      <c r="CY24" s="41">
        <f t="shared" si="31"/>
        <v>21.7</v>
      </c>
      <c r="CZ24" s="41">
        <f t="shared" si="32"/>
        <v>72.8</v>
      </c>
      <c r="DA24" s="41">
        <f t="shared" si="33"/>
        <v>8.4</v>
      </c>
      <c r="DB24" s="41">
        <f t="shared" si="34"/>
        <v>26.7</v>
      </c>
      <c r="DC24" s="41">
        <f t="shared" si="35"/>
        <v>75.599999999999994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9.4</v>
      </c>
      <c r="QF24" s="23">
        <f t="shared" si="136"/>
        <v>3.8</v>
      </c>
      <c r="QG24" s="23">
        <f t="shared" si="137"/>
        <v>0.1</v>
      </c>
      <c r="QH24" s="23">
        <f t="shared" si="138"/>
        <v>0</v>
      </c>
      <c r="QI24" s="23">
        <f t="shared" si="139"/>
        <v>8.35</v>
      </c>
      <c r="QJ24" s="23">
        <f t="shared" si="140"/>
        <v>3.4</v>
      </c>
      <c r="QK24" s="23">
        <f t="shared" si="141"/>
        <v>0.4</v>
      </c>
      <c r="QL24" s="23">
        <f t="shared" si="142"/>
        <v>0</v>
      </c>
      <c r="QM24" s="23">
        <f t="shared" si="143"/>
        <v>8.4</v>
      </c>
      <c r="QN24" s="23">
        <f t="shared" si="144"/>
        <v>3.65</v>
      </c>
      <c r="QO24" s="23">
        <f t="shared" si="145"/>
        <v>0.1</v>
      </c>
      <c r="QP24" s="23">
        <f t="shared" si="146"/>
        <v>0</v>
      </c>
      <c r="QQ24" s="23">
        <f t="shared" si="147"/>
        <v>0</v>
      </c>
      <c r="QR24" s="23">
        <f t="shared" si="148"/>
        <v>0</v>
      </c>
      <c r="QS24" s="23">
        <f t="shared" si="149"/>
        <v>0</v>
      </c>
      <c r="QT24" s="23">
        <f t="shared" si="150"/>
        <v>0</v>
      </c>
      <c r="QU24" s="23">
        <f t="shared" si="151"/>
        <v>9.25</v>
      </c>
      <c r="QV24" s="23">
        <f t="shared" si="152"/>
        <v>4.2</v>
      </c>
      <c r="QW24" s="23">
        <f t="shared" si="153"/>
        <v>0.1</v>
      </c>
      <c r="QX24" s="23">
        <f t="shared" si="154"/>
        <v>0</v>
      </c>
      <c r="QY24" s="28" t="s">
        <v>58</v>
      </c>
      <c r="QZ24" s="41">
        <f t="shared" si="155"/>
        <v>7.1999999999999993</v>
      </c>
      <c r="RA24" s="41">
        <f t="shared" si="156"/>
        <v>24.449999999999996</v>
      </c>
      <c r="RB24" s="41">
        <f t="shared" si="157"/>
        <v>11.950000000000001</v>
      </c>
      <c r="RC24" s="41">
        <f t="shared" si="158"/>
        <v>10.85</v>
      </c>
      <c r="RD24" s="41">
        <f t="shared" si="159"/>
        <v>36.4</v>
      </c>
      <c r="RE24" s="41">
        <f t="shared" si="160"/>
        <v>4.2</v>
      </c>
      <c r="RF24" s="41">
        <f t="shared" si="161"/>
        <v>13.35</v>
      </c>
      <c r="RG24" s="41">
        <f t="shared" si="162"/>
        <v>37.799999999999997</v>
      </c>
    </row>
    <row r="25" spans="1:475" x14ac:dyDescent="0.2">
      <c r="A25" s="4" t="str">
        <f t="shared" si="164"/>
        <v/>
      </c>
      <c r="B25" s="5" t="s">
        <v>137</v>
      </c>
      <c r="C25" s="4" t="s">
        <v>6</v>
      </c>
      <c r="D25" s="4">
        <v>2005</v>
      </c>
      <c r="E25" s="9">
        <f t="shared" si="163"/>
        <v>73.000007300002594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26</v>
      </c>
      <c r="K25" s="8" t="str">
        <f t="shared" si="4"/>
        <v>2022 3rd Domestic Trial</v>
      </c>
      <c r="L25" s="8">
        <f>IF(COUNT(AQ25,BT25,CW25)&gt;1,LARGE((AQ25,BT25,CW25),2),0)</f>
        <v>24.6</v>
      </c>
      <c r="M25" s="8" t="str">
        <f t="shared" si="5"/>
        <v>2022 Nationals</v>
      </c>
      <c r="N25" s="8">
        <f>IF(COUNT(AR25,BU25,CX25)&gt;0,LARGE((AR25,BU25,CX25),1),0)</f>
        <v>22.400000000000002</v>
      </c>
      <c r="O25" s="8" t="str">
        <f t="shared" si="6"/>
        <v>2022 3rd Domestic Trial</v>
      </c>
      <c r="P25" s="8">
        <f t="shared" si="7"/>
        <v>0</v>
      </c>
      <c r="Q25" s="8" t="str">
        <f t="shared" si="8"/>
        <v/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18.8</v>
      </c>
      <c r="V25" s="19">
        <v>6</v>
      </c>
      <c r="W25" s="19">
        <v>0.2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 t="shared" si="12"/>
        <v>6</v>
      </c>
      <c r="AQ25" s="41">
        <f t="shared" si="13"/>
        <v>24.6</v>
      </c>
      <c r="AR25" s="41" t="str">
        <f t="shared" si="14"/>
        <v/>
      </c>
      <c r="AS25" s="41">
        <f t="shared" si="15"/>
        <v>6</v>
      </c>
      <c r="AT25" s="41">
        <f t="shared" si="16"/>
        <v>24.6</v>
      </c>
      <c r="AU25" s="41" t="str">
        <f t="shared" si="17"/>
        <v/>
      </c>
      <c r="AV25" s="41" t="str">
        <f t="shared" si="18"/>
        <v/>
      </c>
      <c r="AW25" s="41">
        <f t="shared" si="19"/>
        <v>24.6</v>
      </c>
      <c r="AX25" s="18">
        <v>19</v>
      </c>
      <c r="AY25" s="18">
        <v>7.2</v>
      </c>
      <c r="AZ25" s="18">
        <v>0.2</v>
      </c>
      <c r="BA25" s="18">
        <v>0</v>
      </c>
      <c r="BB25" s="18">
        <v>0</v>
      </c>
      <c r="BC25" s="18">
        <v>0</v>
      </c>
      <c r="BD25" s="18">
        <v>0</v>
      </c>
      <c r="BE25" s="18">
        <v>0</v>
      </c>
      <c r="BF25" s="18">
        <v>16.600000000000001</v>
      </c>
      <c r="BG25" s="18">
        <v>6.8</v>
      </c>
      <c r="BH25" s="18">
        <v>1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 t="shared" si="20"/>
        <v>7.2</v>
      </c>
      <c r="BT25" s="11">
        <f t="shared" si="21"/>
        <v>26</v>
      </c>
      <c r="BU25" s="11">
        <f t="shared" si="22"/>
        <v>22.400000000000002</v>
      </c>
      <c r="BV25" s="11">
        <f t="shared" si="23"/>
        <v>14</v>
      </c>
      <c r="BW25" s="11">
        <f t="shared" si="24"/>
        <v>48.400000000000006</v>
      </c>
      <c r="BX25" s="11" t="str">
        <f t="shared" si="25"/>
        <v/>
      </c>
      <c r="BY25" s="11" t="str">
        <f t="shared" si="26"/>
        <v/>
      </c>
      <c r="BZ25" s="11">
        <f t="shared" si="27"/>
        <v>26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 t="shared" si="28"/>
        <v/>
      </c>
      <c r="CW25" s="41" t="str">
        <f t="shared" si="29"/>
        <v/>
      </c>
      <c r="CX25" s="41" t="str">
        <f t="shared" si="30"/>
        <v/>
      </c>
      <c r="CY25" s="41" t="str">
        <f t="shared" si="31"/>
        <v/>
      </c>
      <c r="CZ25" s="41" t="str">
        <f t="shared" si="32"/>
        <v/>
      </c>
      <c r="DA25" s="41" t="str">
        <f t="shared" si="33"/>
        <v/>
      </c>
      <c r="DB25" s="41" t="str">
        <f t="shared" si="34"/>
        <v/>
      </c>
      <c r="DC25" s="41" t="str">
        <f t="shared" si="35"/>
        <v/>
      </c>
      <c r="DD25" s="52" t="str">
        <f t="shared" si="36"/>
        <v/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 t="shared" si="87"/>
        <v/>
      </c>
      <c r="KN25" s="41" t="str">
        <f t="shared" si="88"/>
        <v/>
      </c>
      <c r="KO25" s="41" t="str">
        <f t="shared" si="89"/>
        <v/>
      </c>
      <c r="KP25" s="41" t="str">
        <f t="shared" si="90"/>
        <v/>
      </c>
      <c r="KQ25" s="41" t="str">
        <f t="shared" si="91"/>
        <v/>
      </c>
      <c r="KR25" s="41" t="str">
        <f t="shared" si="92"/>
        <v/>
      </c>
      <c r="KS25" s="41" t="str">
        <f t="shared" si="93"/>
        <v/>
      </c>
      <c r="KT25" s="41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9.5</v>
      </c>
      <c r="QF25" s="23">
        <f t="shared" si="136"/>
        <v>3.6</v>
      </c>
      <c r="QG25" s="23">
        <f t="shared" si="137"/>
        <v>0.1</v>
      </c>
      <c r="QH25" s="23">
        <f t="shared" si="138"/>
        <v>0</v>
      </c>
      <c r="QI25" s="23">
        <f t="shared" si="139"/>
        <v>0</v>
      </c>
      <c r="QJ25" s="23">
        <f t="shared" si="140"/>
        <v>0</v>
      </c>
      <c r="QK25" s="23">
        <f t="shared" si="141"/>
        <v>0</v>
      </c>
      <c r="QL25" s="23">
        <f t="shared" si="142"/>
        <v>0</v>
      </c>
      <c r="QM25" s="23">
        <f t="shared" si="143"/>
        <v>8.3000000000000007</v>
      </c>
      <c r="QN25" s="23">
        <f t="shared" si="144"/>
        <v>3.4</v>
      </c>
      <c r="QO25" s="23">
        <f t="shared" si="145"/>
        <v>0.5</v>
      </c>
      <c r="QP25" s="23">
        <f t="shared" si="146"/>
        <v>0</v>
      </c>
      <c r="QQ25" s="23">
        <f t="shared" si="147"/>
        <v>0</v>
      </c>
      <c r="QR25" s="23">
        <f t="shared" si="148"/>
        <v>0</v>
      </c>
      <c r="QS25" s="23">
        <f t="shared" si="149"/>
        <v>0</v>
      </c>
      <c r="QT25" s="23">
        <f t="shared" si="150"/>
        <v>0</v>
      </c>
      <c r="QU25" s="23">
        <f t="shared" si="151"/>
        <v>0</v>
      </c>
      <c r="QV25" s="23">
        <f t="shared" si="152"/>
        <v>0</v>
      </c>
      <c r="QW25" s="23">
        <f t="shared" si="153"/>
        <v>0</v>
      </c>
      <c r="QX25" s="23">
        <f t="shared" si="154"/>
        <v>0</v>
      </c>
      <c r="QY25" s="28" t="s">
        <v>58</v>
      </c>
      <c r="QZ25" s="41">
        <f t="shared" si="155"/>
        <v>3.6</v>
      </c>
      <c r="RA25" s="41">
        <f t="shared" si="156"/>
        <v>13</v>
      </c>
      <c r="RB25" s="41">
        <f t="shared" si="157"/>
        <v>11.200000000000001</v>
      </c>
      <c r="RC25" s="41">
        <f t="shared" si="158"/>
        <v>7</v>
      </c>
      <c r="RD25" s="41">
        <f t="shared" si="159"/>
        <v>24.200000000000003</v>
      </c>
      <c r="RE25" s="41" t="str">
        <f t="shared" si="160"/>
        <v/>
      </c>
      <c r="RF25" s="41" t="str">
        <f t="shared" si="161"/>
        <v/>
      </c>
      <c r="RG25" s="41">
        <f t="shared" si="162"/>
        <v>13</v>
      </c>
    </row>
    <row r="26" spans="1:475" x14ac:dyDescent="0.2">
      <c r="A26" s="4" t="str">
        <f t="shared" si="164"/>
        <v/>
      </c>
      <c r="B26" s="5" t="s">
        <v>223</v>
      </c>
      <c r="C26" s="4" t="s">
        <v>6</v>
      </c>
      <c r="D26" s="4">
        <v>2005</v>
      </c>
      <c r="E26" s="9">
        <f t="shared" si="163"/>
        <v>70.500007050004967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49.7</v>
      </c>
      <c r="K26" s="8" t="str">
        <f t="shared" si="4"/>
        <v>2023 Elite Canada</v>
      </c>
      <c r="L26" s="8">
        <f>IF(COUNT(AQ26,BT26,CW26)&gt;1,LARGE((AQ26,BT26,CW26),2),0)</f>
        <v>0</v>
      </c>
      <c r="M26" s="8" t="str">
        <f t="shared" si="5"/>
        <v/>
      </c>
      <c r="N26" s="8">
        <f>IF(COUNT(AR26,BU26,CX26)&gt;0,LARGE((AR26,BU26,CX26),1),0)</f>
        <v>20.8</v>
      </c>
      <c r="O26" s="8" t="str">
        <f t="shared" si="6"/>
        <v>2023 Elite Canada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8"/>
      <c r="AP26" s="41" t="str">
        <f t="shared" si="12"/>
        <v/>
      </c>
      <c r="AQ26" s="41" t="str">
        <f t="shared" si="13"/>
        <v/>
      </c>
      <c r="AR26" s="41" t="str">
        <f t="shared" si="14"/>
        <v/>
      </c>
      <c r="AS26" s="41" t="str">
        <f t="shared" si="15"/>
        <v/>
      </c>
      <c r="AT26" s="41" t="str">
        <f t="shared" si="16"/>
        <v/>
      </c>
      <c r="AU26" s="41" t="str">
        <f t="shared" si="17"/>
        <v/>
      </c>
      <c r="AV26" s="41" t="str">
        <f t="shared" si="18"/>
        <v/>
      </c>
      <c r="AW26" s="41" t="str">
        <f t="shared" si="19"/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>
        <v>18.5</v>
      </c>
      <c r="CB26" s="19">
        <v>7.2</v>
      </c>
      <c r="CC26" s="19">
        <v>0</v>
      </c>
      <c r="CD26" s="19">
        <v>0</v>
      </c>
      <c r="CE26" s="19">
        <v>18</v>
      </c>
      <c r="CF26" s="19">
        <v>6.8</v>
      </c>
      <c r="CG26" s="19">
        <v>0.8</v>
      </c>
      <c r="CH26" s="19">
        <v>0</v>
      </c>
      <c r="CI26" s="19">
        <v>17.600000000000001</v>
      </c>
      <c r="CJ26" s="19">
        <v>4.4000000000000004</v>
      </c>
      <c r="CK26" s="19">
        <v>1.2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 t="shared" si="28"/>
        <v>14</v>
      </c>
      <c r="CW26" s="41">
        <f t="shared" si="29"/>
        <v>49.7</v>
      </c>
      <c r="CX26" s="41">
        <f t="shared" si="30"/>
        <v>20.8</v>
      </c>
      <c r="CY26" s="41">
        <f t="shared" si="31"/>
        <v>18.399999999999999</v>
      </c>
      <c r="CZ26" s="41">
        <f t="shared" si="32"/>
        <v>70.5</v>
      </c>
      <c r="DA26" s="41" t="str">
        <f t="shared" si="33"/>
        <v/>
      </c>
      <c r="DB26" s="41" t="str">
        <f t="shared" si="34"/>
        <v/>
      </c>
      <c r="DC26" s="41">
        <f t="shared" si="35"/>
        <v>49.7</v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9.25</v>
      </c>
      <c r="QF26" s="23">
        <f t="shared" si="136"/>
        <v>3.6</v>
      </c>
      <c r="QG26" s="23">
        <f t="shared" si="137"/>
        <v>0</v>
      </c>
      <c r="QH26" s="23">
        <f t="shared" si="138"/>
        <v>0</v>
      </c>
      <c r="QI26" s="23">
        <f t="shared" si="139"/>
        <v>9</v>
      </c>
      <c r="QJ26" s="23">
        <f t="shared" si="140"/>
        <v>3.4</v>
      </c>
      <c r="QK26" s="23">
        <f t="shared" si="141"/>
        <v>0.4</v>
      </c>
      <c r="QL26" s="23">
        <f t="shared" si="142"/>
        <v>0</v>
      </c>
      <c r="QM26" s="23">
        <f t="shared" si="143"/>
        <v>8.8000000000000007</v>
      </c>
      <c r="QN26" s="23">
        <f t="shared" si="144"/>
        <v>2.2000000000000002</v>
      </c>
      <c r="QO26" s="23">
        <f t="shared" si="145"/>
        <v>0.6</v>
      </c>
      <c r="QP26" s="23">
        <f t="shared" si="146"/>
        <v>0</v>
      </c>
      <c r="QQ26" s="23">
        <f t="shared" si="147"/>
        <v>0</v>
      </c>
      <c r="QR26" s="23">
        <f t="shared" si="148"/>
        <v>0</v>
      </c>
      <c r="QS26" s="23">
        <f t="shared" si="149"/>
        <v>0</v>
      </c>
      <c r="QT26" s="23">
        <f t="shared" si="150"/>
        <v>0</v>
      </c>
      <c r="QU26" s="23">
        <f t="shared" si="151"/>
        <v>0</v>
      </c>
      <c r="QV26" s="23">
        <f t="shared" si="152"/>
        <v>0</v>
      </c>
      <c r="QW26" s="23">
        <f t="shared" si="153"/>
        <v>0</v>
      </c>
      <c r="QX26" s="23">
        <f t="shared" si="154"/>
        <v>0</v>
      </c>
      <c r="QY26" s="28" t="s">
        <v>58</v>
      </c>
      <c r="QZ26" s="41">
        <f t="shared" si="155"/>
        <v>7</v>
      </c>
      <c r="RA26" s="41">
        <f t="shared" si="156"/>
        <v>24.85</v>
      </c>
      <c r="RB26" s="41">
        <f t="shared" si="157"/>
        <v>10.4</v>
      </c>
      <c r="RC26" s="41">
        <f t="shared" si="158"/>
        <v>9.1999999999999993</v>
      </c>
      <c r="RD26" s="41">
        <f t="shared" si="159"/>
        <v>35.25</v>
      </c>
      <c r="RE26" s="41" t="str">
        <f t="shared" si="160"/>
        <v/>
      </c>
      <c r="RF26" s="41" t="str">
        <f t="shared" si="161"/>
        <v/>
      </c>
      <c r="RG26" s="41">
        <f t="shared" si="162"/>
        <v>24.85</v>
      </c>
    </row>
    <row r="27" spans="1:475" x14ac:dyDescent="0.2">
      <c r="A27" s="4" t="str">
        <f t="shared" si="164"/>
        <v/>
      </c>
      <c r="B27" s="5" t="s">
        <v>90</v>
      </c>
      <c r="C27" s="4" t="s">
        <v>6</v>
      </c>
      <c r="D27" s="4">
        <v>2002</v>
      </c>
      <c r="E27" s="9">
        <f t="shared" si="163"/>
        <v>58.400005840004219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42.1</v>
      </c>
      <c r="K27" s="8" t="str">
        <f t="shared" si="4"/>
        <v>2022 Nationals</v>
      </c>
      <c r="L27" s="8">
        <f>IF(COUNT(AQ27,BT27,CW27)&gt;1,LARGE((AQ27,BT27,CW27),2),0)</f>
        <v>0</v>
      </c>
      <c r="M27" s="8" t="str">
        <f t="shared" si="5"/>
        <v/>
      </c>
      <c r="N27" s="8">
        <f>IF(COUNT(AR27,BU27,CX27)&gt;0,LARGE((AR27,BU27,CX27),1),0)</f>
        <v>16.3</v>
      </c>
      <c r="O27" s="8" t="str">
        <f t="shared" si="6"/>
        <v>2022 Nationals</v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18</v>
      </c>
      <c r="V27" s="19">
        <v>5.6</v>
      </c>
      <c r="W27" s="19">
        <v>1</v>
      </c>
      <c r="X27" s="19">
        <v>0</v>
      </c>
      <c r="Y27" s="19">
        <v>18.5</v>
      </c>
      <c r="Z27" s="19">
        <v>3.8</v>
      </c>
      <c r="AA27" s="19">
        <v>2.8000000000000003</v>
      </c>
      <c r="AB27" s="19">
        <v>0</v>
      </c>
      <c r="AC27" s="19">
        <v>16.3</v>
      </c>
      <c r="AD27" s="19">
        <v>3.3</v>
      </c>
      <c r="AE27" s="19">
        <v>3.3000000000000003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8"/>
      <c r="AP27" s="41">
        <f t="shared" si="12"/>
        <v>9.3999999999999986</v>
      </c>
      <c r="AQ27" s="41">
        <f t="shared" si="13"/>
        <v>42.1</v>
      </c>
      <c r="AR27" s="41">
        <f t="shared" si="14"/>
        <v>16.3</v>
      </c>
      <c r="AS27" s="41">
        <f t="shared" si="15"/>
        <v>12.7</v>
      </c>
      <c r="AT27" s="41">
        <f t="shared" si="16"/>
        <v>58.400000000000006</v>
      </c>
      <c r="AU27" s="41" t="str">
        <f t="shared" si="17"/>
        <v/>
      </c>
      <c r="AV27" s="41" t="str">
        <f t="shared" si="18"/>
        <v/>
      </c>
      <c r="AW27" s="41">
        <f t="shared" si="19"/>
        <v>42.1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9"/>
      <c r="BS27" s="11" t="str">
        <f t="shared" si="20"/>
        <v/>
      </c>
      <c r="BT27" s="11" t="str">
        <f t="shared" si="21"/>
        <v/>
      </c>
      <c r="BU27" s="11" t="str">
        <f t="shared" si="22"/>
        <v/>
      </c>
      <c r="BV27" s="11" t="str">
        <f t="shared" si="23"/>
        <v/>
      </c>
      <c r="BW27" s="11" t="str">
        <f t="shared" si="24"/>
        <v/>
      </c>
      <c r="BX27" s="11" t="str">
        <f t="shared" si="25"/>
        <v/>
      </c>
      <c r="BY27" s="11" t="str">
        <f t="shared" si="26"/>
        <v/>
      </c>
      <c r="BZ27" s="11" t="str">
        <f t="shared" si="27"/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 t="shared" si="28"/>
        <v/>
      </c>
      <c r="CW27" s="41" t="str">
        <f t="shared" si="29"/>
        <v/>
      </c>
      <c r="CX27" s="41" t="str">
        <f t="shared" si="30"/>
        <v/>
      </c>
      <c r="CY27" s="41" t="str">
        <f t="shared" si="31"/>
        <v/>
      </c>
      <c r="CZ27" s="41" t="str">
        <f t="shared" si="32"/>
        <v/>
      </c>
      <c r="DA27" s="41" t="str">
        <f t="shared" si="33"/>
        <v/>
      </c>
      <c r="DB27" s="41" t="str">
        <f t="shared" si="34"/>
        <v/>
      </c>
      <c r="DC27" s="41" t="str">
        <f t="shared" si="35"/>
        <v/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0</v>
      </c>
      <c r="QF27" s="23">
        <f t="shared" si="136"/>
        <v>0</v>
      </c>
      <c r="QG27" s="23">
        <f t="shared" si="137"/>
        <v>0</v>
      </c>
      <c r="QH27" s="23">
        <f t="shared" si="138"/>
        <v>0</v>
      </c>
      <c r="QI27" s="23">
        <f t="shared" si="139"/>
        <v>0</v>
      </c>
      <c r="QJ27" s="23">
        <f t="shared" si="140"/>
        <v>0</v>
      </c>
      <c r="QK27" s="23">
        <f t="shared" si="141"/>
        <v>0</v>
      </c>
      <c r="QL27" s="23">
        <f t="shared" si="142"/>
        <v>0</v>
      </c>
      <c r="QM27" s="23">
        <f t="shared" si="143"/>
        <v>0</v>
      </c>
      <c r="QN27" s="23">
        <f t="shared" si="144"/>
        <v>0</v>
      </c>
      <c r="QO27" s="23">
        <f t="shared" si="145"/>
        <v>0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58</v>
      </c>
      <c r="QZ27" s="41" t="str">
        <f t="shared" si="155"/>
        <v/>
      </c>
      <c r="RA27" s="41" t="str">
        <f t="shared" si="156"/>
        <v/>
      </c>
      <c r="RB27" s="41" t="str">
        <f t="shared" si="157"/>
        <v/>
      </c>
      <c r="RC27" s="41" t="str">
        <f t="shared" si="158"/>
        <v/>
      </c>
      <c r="RD27" s="41" t="str">
        <f t="shared" si="159"/>
        <v/>
      </c>
      <c r="RE27" s="41" t="str">
        <f t="shared" si="160"/>
        <v/>
      </c>
      <c r="RF27" s="41" t="str">
        <f t="shared" si="161"/>
        <v/>
      </c>
      <c r="RG27" s="41" t="str">
        <f t="shared" si="162"/>
        <v/>
      </c>
    </row>
    <row r="28" spans="1:475" x14ac:dyDescent="0.2">
      <c r="A28" s="4" t="str">
        <f t="shared" si="164"/>
        <v/>
      </c>
      <c r="B28" s="5" t="s">
        <v>33</v>
      </c>
      <c r="C28" s="4" t="s">
        <v>8</v>
      </c>
      <c r="D28" s="4">
        <v>1998</v>
      </c>
      <c r="E28" s="9">
        <f t="shared" si="163"/>
        <v>44.8</v>
      </c>
      <c r="F28" s="3" t="str">
        <f t="shared" si="0"/>
        <v/>
      </c>
      <c r="G28" s="3" t="str">
        <f t="shared" si="1"/>
        <v/>
      </c>
      <c r="H28" s="37" t="str">
        <f t="shared" si="2"/>
        <v/>
      </c>
      <c r="I28" s="3" t="str">
        <f t="shared" si="3"/>
        <v/>
      </c>
      <c r="J28" s="8">
        <f>IF(COUNT(AQ28,BT28,CW28)&gt;0,LARGE((AQ28,BT28,CW28),1),0)</f>
        <v>0</v>
      </c>
      <c r="K28" s="8" t="str">
        <f t="shared" si="4"/>
        <v/>
      </c>
      <c r="L28" s="8">
        <f>IF(COUNT(AQ28,BT28,CW28)&gt;1,LARGE((AQ28,BT28,CW28),2),0)</f>
        <v>0</v>
      </c>
      <c r="M28" s="8" t="str">
        <f t="shared" si="5"/>
        <v/>
      </c>
      <c r="N28" s="8">
        <f>IF(COUNT(AR28,BU28,CX28)&gt;0,LARGE((AR28,BU28,CX28),1),0)</f>
        <v>0</v>
      </c>
      <c r="O28" s="8" t="str">
        <f t="shared" si="6"/>
        <v/>
      </c>
      <c r="P28" s="8">
        <f t="shared" si="7"/>
        <v>0</v>
      </c>
      <c r="Q28" s="8" t="str">
        <f t="shared" si="8"/>
        <v/>
      </c>
      <c r="R28" s="8">
        <f t="shared" si="9"/>
        <v>44.8</v>
      </c>
      <c r="S28" s="11" t="str">
        <f t="shared" si="10"/>
        <v>(Final)</v>
      </c>
      <c r="T28" s="8" t="str">
        <f t="shared" si="11"/>
        <v>2022 World Games Technical Trial #2 (May 15)</v>
      </c>
      <c r="U28" s="19">
        <v>0</v>
      </c>
      <c r="V28" s="19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 t="str">
        <f t="shared" si="12"/>
        <v/>
      </c>
      <c r="AQ28" s="41" t="str">
        <f t="shared" si="13"/>
        <v/>
      </c>
      <c r="AR28" s="41" t="str">
        <f t="shared" si="14"/>
        <v/>
      </c>
      <c r="AS28" s="41" t="str">
        <f t="shared" si="15"/>
        <v/>
      </c>
      <c r="AT28" s="41" t="str">
        <f t="shared" si="16"/>
        <v/>
      </c>
      <c r="AU28" s="41" t="str">
        <f t="shared" si="17"/>
        <v/>
      </c>
      <c r="AV28" s="41" t="str">
        <f t="shared" si="18"/>
        <v/>
      </c>
      <c r="AW28" s="41" t="str">
        <f t="shared" si="19"/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9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 t="shared" si="28"/>
        <v/>
      </c>
      <c r="CW28" s="41" t="str">
        <f t="shared" si="29"/>
        <v/>
      </c>
      <c r="CX28" s="41" t="str">
        <f t="shared" si="30"/>
        <v/>
      </c>
      <c r="CY28" s="41" t="str">
        <f t="shared" si="31"/>
        <v/>
      </c>
      <c r="CZ28" s="41" t="str">
        <f t="shared" si="32"/>
        <v/>
      </c>
      <c r="DA28" s="41" t="str">
        <f t="shared" si="33"/>
        <v/>
      </c>
      <c r="DB28" s="41" t="str">
        <f t="shared" si="34"/>
        <v/>
      </c>
      <c r="DC28" s="41" t="str">
        <f t="shared" si="35"/>
        <v/>
      </c>
      <c r="DD28" s="52">
        <f t="shared" si="36"/>
        <v>43.900000000000006</v>
      </c>
      <c r="DE28" s="52" t="str">
        <f t="shared" si="37"/>
        <v/>
      </c>
      <c r="DF28" s="52">
        <f t="shared" si="38"/>
        <v>44.8</v>
      </c>
      <c r="DG28" s="17">
        <v>17.5</v>
      </c>
      <c r="DH28" s="17">
        <v>2.8</v>
      </c>
      <c r="DI28" s="17">
        <v>0</v>
      </c>
      <c r="DJ28" s="17">
        <v>0</v>
      </c>
      <c r="DK28" s="17">
        <v>18.399999999999999</v>
      </c>
      <c r="DL28" s="17">
        <v>6</v>
      </c>
      <c r="DM28" s="17">
        <v>0.8</v>
      </c>
      <c r="DN28" s="17">
        <v>0</v>
      </c>
      <c r="DO28" s="17"/>
      <c r="DP28" s="17"/>
      <c r="DQ28" s="17"/>
      <c r="DR28" s="17"/>
      <c r="DS28" s="17">
        <v>17.600000000000001</v>
      </c>
      <c r="DT28" s="17">
        <v>2.8</v>
      </c>
      <c r="DU28" s="17">
        <v>0</v>
      </c>
      <c r="DV28" s="17">
        <v>0</v>
      </c>
      <c r="DW28" s="17">
        <v>18.2</v>
      </c>
      <c r="DX28" s="17">
        <v>6.8</v>
      </c>
      <c r="DY28" s="17">
        <v>0.6</v>
      </c>
      <c r="DZ28" s="17">
        <v>0</v>
      </c>
      <c r="EA28" s="41">
        <f t="shared" si="39"/>
        <v>8.8000000000000007</v>
      </c>
      <c r="EB28" s="41">
        <f t="shared" si="40"/>
        <v>43.900000000000006</v>
      </c>
      <c r="EC28" s="41" t="str">
        <f t="shared" si="41"/>
        <v/>
      </c>
      <c r="ED28" s="41">
        <f t="shared" si="42"/>
        <v>8.8000000000000007</v>
      </c>
      <c r="EE28" s="41">
        <f t="shared" si="43"/>
        <v>43.900000000000006</v>
      </c>
      <c r="EF28" s="41">
        <f t="shared" si="44"/>
        <v>9.6</v>
      </c>
      <c r="EG28" s="41">
        <f t="shared" si="45"/>
        <v>44.8</v>
      </c>
      <c r="EH28" s="41">
        <f t="shared" si="46"/>
        <v>88.7</v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 t="shared" si="55"/>
        <v/>
      </c>
      <c r="GF28" s="41" t="str">
        <f t="shared" si="56"/>
        <v/>
      </c>
      <c r="GG28" s="41" t="str">
        <f t="shared" si="57"/>
        <v/>
      </c>
      <c r="GH28" s="41" t="str">
        <f t="shared" si="58"/>
        <v/>
      </c>
      <c r="GI28" s="41" t="str">
        <f t="shared" si="59"/>
        <v/>
      </c>
      <c r="GJ28" s="41" t="str">
        <f t="shared" si="60"/>
        <v/>
      </c>
      <c r="GK28" s="41" t="str">
        <f t="shared" si="61"/>
        <v/>
      </c>
      <c r="GL28" s="41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 t="shared" si="71"/>
        <v/>
      </c>
      <c r="IJ28" s="41" t="str">
        <f t="shared" si="72"/>
        <v/>
      </c>
      <c r="IK28" s="41" t="str">
        <f t="shared" si="73"/>
        <v/>
      </c>
      <c r="IL28" s="41" t="str">
        <f t="shared" si="74"/>
        <v/>
      </c>
      <c r="IM28" s="41" t="str">
        <f t="shared" si="75"/>
        <v/>
      </c>
      <c r="IN28" s="41" t="str">
        <f t="shared" si="76"/>
        <v/>
      </c>
      <c r="IO28" s="41" t="str">
        <f t="shared" si="77"/>
        <v/>
      </c>
      <c r="IP28" s="41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 t="shared" si="87"/>
        <v/>
      </c>
      <c r="KN28" s="41" t="str">
        <f t="shared" si="88"/>
        <v/>
      </c>
      <c r="KO28" s="41" t="str">
        <f t="shared" si="89"/>
        <v/>
      </c>
      <c r="KP28" s="41" t="str">
        <f t="shared" si="90"/>
        <v/>
      </c>
      <c r="KQ28" s="41" t="str">
        <f t="shared" si="91"/>
        <v/>
      </c>
      <c r="KR28" s="41" t="str">
        <f t="shared" si="92"/>
        <v/>
      </c>
      <c r="KS28" s="41" t="str">
        <f t="shared" si="93"/>
        <v/>
      </c>
      <c r="KT28" s="41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 t="shared" si="103"/>
        <v/>
      </c>
      <c r="MR28" s="41" t="str">
        <f t="shared" si="104"/>
        <v/>
      </c>
      <c r="MS28" s="41" t="str">
        <f t="shared" si="105"/>
        <v/>
      </c>
      <c r="MT28" s="41" t="str">
        <f t="shared" si="106"/>
        <v/>
      </c>
      <c r="MU28" s="41" t="str">
        <f t="shared" si="107"/>
        <v/>
      </c>
      <c r="MV28" s="41" t="str">
        <f t="shared" si="108"/>
        <v/>
      </c>
      <c r="MW28" s="41" t="str">
        <f t="shared" si="109"/>
        <v/>
      </c>
      <c r="MX28" s="41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 t="shared" si="119"/>
        <v/>
      </c>
      <c r="OV28" s="41" t="str">
        <f t="shared" si="120"/>
        <v/>
      </c>
      <c r="OW28" s="41" t="str">
        <f t="shared" si="121"/>
        <v/>
      </c>
      <c r="OX28" s="41" t="str">
        <f t="shared" si="122"/>
        <v/>
      </c>
      <c r="OY28" s="41" t="str">
        <f t="shared" si="123"/>
        <v/>
      </c>
      <c r="OZ28" s="41" t="str">
        <f t="shared" si="124"/>
        <v/>
      </c>
      <c r="PA28" s="41" t="str">
        <f t="shared" si="125"/>
        <v/>
      </c>
      <c r="PB28" s="41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3">
        <f t="shared" si="135"/>
        <v>0</v>
      </c>
      <c r="QF28" s="23">
        <f t="shared" si="136"/>
        <v>0</v>
      </c>
      <c r="QG28" s="23">
        <f t="shared" si="137"/>
        <v>0</v>
      </c>
      <c r="QH28" s="23">
        <f t="shared" si="138"/>
        <v>0</v>
      </c>
      <c r="QI28" s="23">
        <f t="shared" si="139"/>
        <v>0</v>
      </c>
      <c r="QJ28" s="23">
        <f t="shared" si="140"/>
        <v>0</v>
      </c>
      <c r="QK28" s="23">
        <f t="shared" si="141"/>
        <v>0</v>
      </c>
      <c r="QL28" s="23">
        <f t="shared" si="142"/>
        <v>0</v>
      </c>
      <c r="QM28" s="23">
        <f t="shared" si="143"/>
        <v>0</v>
      </c>
      <c r="QN28" s="23">
        <f t="shared" si="144"/>
        <v>0</v>
      </c>
      <c r="QO28" s="23">
        <f t="shared" si="145"/>
        <v>0</v>
      </c>
      <c r="QP28" s="23">
        <f t="shared" si="146"/>
        <v>0</v>
      </c>
      <c r="QQ28" s="23">
        <f t="shared" si="147"/>
        <v>0</v>
      </c>
      <c r="QR28" s="23">
        <f t="shared" si="148"/>
        <v>0</v>
      </c>
      <c r="QS28" s="23">
        <f t="shared" si="149"/>
        <v>0</v>
      </c>
      <c r="QT28" s="23">
        <f t="shared" si="150"/>
        <v>0</v>
      </c>
      <c r="QU28" s="23">
        <f t="shared" si="151"/>
        <v>0</v>
      </c>
      <c r="QV28" s="23">
        <f t="shared" si="152"/>
        <v>0</v>
      </c>
      <c r="QW28" s="23">
        <f t="shared" si="153"/>
        <v>0</v>
      </c>
      <c r="QX28" s="23">
        <f t="shared" si="154"/>
        <v>0</v>
      </c>
      <c r="QY28" s="28" t="s">
        <v>58</v>
      </c>
      <c r="QZ28" s="41" t="str">
        <f t="shared" si="155"/>
        <v/>
      </c>
      <c r="RA28" s="41" t="str">
        <f t="shared" si="156"/>
        <v/>
      </c>
      <c r="RB28" s="41" t="str">
        <f t="shared" si="157"/>
        <v/>
      </c>
      <c r="RC28" s="41" t="str">
        <f t="shared" si="158"/>
        <v/>
      </c>
      <c r="RD28" s="41" t="str">
        <f t="shared" si="159"/>
        <v/>
      </c>
      <c r="RE28" s="41" t="str">
        <f t="shared" si="160"/>
        <v/>
      </c>
      <c r="RF28" s="41" t="str">
        <f t="shared" si="161"/>
        <v/>
      </c>
      <c r="RG28" s="41" t="str">
        <f t="shared" si="162"/>
        <v/>
      </c>
    </row>
    <row r="29" spans="1:475" ht="17" x14ac:dyDescent="0.2">
      <c r="R29" s="10"/>
      <c r="S29" s="10"/>
      <c r="T29" s="10"/>
    </row>
    <row r="30" spans="1:475" ht="17" x14ac:dyDescent="0.2">
      <c r="R30" s="10"/>
      <c r="S30" s="10"/>
      <c r="T30" s="10"/>
    </row>
    <row r="31" spans="1:475" ht="17" x14ac:dyDescent="0.2">
      <c r="B31" s="24" t="s">
        <v>55</v>
      </c>
      <c r="R31" s="10"/>
      <c r="S31" s="10"/>
      <c r="T31" s="10"/>
      <c r="AP31" s="4"/>
      <c r="AW31" s="43">
        <v>14.4</v>
      </c>
      <c r="BS31" s="4"/>
      <c r="BZ31" s="43">
        <v>14.4</v>
      </c>
      <c r="CV31" s="4"/>
      <c r="DC31" s="43">
        <v>14.4</v>
      </c>
      <c r="EA31" s="4"/>
      <c r="EH31" s="43">
        <v>14.4</v>
      </c>
      <c r="FC31" s="4"/>
      <c r="FJ31" s="43">
        <v>14.4</v>
      </c>
      <c r="GE31" s="4"/>
      <c r="GL31" s="43">
        <v>14.4</v>
      </c>
      <c r="HG31" s="4"/>
      <c r="HN31" s="43">
        <v>14.4</v>
      </c>
      <c r="II31" s="4"/>
      <c r="IP31" s="43">
        <v>14.4</v>
      </c>
      <c r="JK31" s="4"/>
      <c r="JR31" s="43">
        <v>14.4</v>
      </c>
      <c r="KM31" s="4"/>
      <c r="KT31" s="43">
        <v>14.4</v>
      </c>
      <c r="LO31" s="4"/>
      <c r="LV31" s="43">
        <v>14.4</v>
      </c>
      <c r="MQ31" s="4"/>
      <c r="MX31" s="43">
        <v>14.4</v>
      </c>
      <c r="NS31" s="4"/>
      <c r="NZ31" s="43">
        <v>14.4</v>
      </c>
      <c r="OU31" s="4"/>
      <c r="PB31" s="43">
        <v>14.4</v>
      </c>
      <c r="PW31" s="4"/>
      <c r="QD31" s="43">
        <v>14.4</v>
      </c>
    </row>
    <row r="32" spans="1:475" ht="17" x14ac:dyDescent="0.2">
      <c r="B32" s="31" t="s">
        <v>54</v>
      </c>
      <c r="R32" s="10"/>
      <c r="S32" s="10"/>
      <c r="T32" s="10"/>
      <c r="AP32" s="4"/>
      <c r="AW32" s="53">
        <v>21.6</v>
      </c>
      <c r="BS32" s="4"/>
      <c r="BZ32" s="53">
        <v>21.6</v>
      </c>
      <c r="CV32" s="4"/>
      <c r="DC32" s="53">
        <v>21.6</v>
      </c>
      <c r="EA32" s="4"/>
      <c r="EH32" s="53">
        <v>21.6</v>
      </c>
      <c r="FC32" s="4"/>
      <c r="FJ32" s="53">
        <v>21.6</v>
      </c>
      <c r="GE32" s="4"/>
      <c r="GL32" s="53">
        <v>21.6</v>
      </c>
      <c r="HG32" s="4"/>
      <c r="HN32" s="53">
        <v>21.6</v>
      </c>
      <c r="II32" s="4"/>
      <c r="IP32" s="53">
        <v>21.6</v>
      </c>
      <c r="JK32" s="4"/>
      <c r="JR32" s="53">
        <v>21.6</v>
      </c>
      <c r="KM32" s="4"/>
      <c r="KT32" s="53">
        <v>21.6</v>
      </c>
      <c r="LO32" s="4"/>
      <c r="LV32" s="53">
        <v>21.6</v>
      </c>
      <c r="MQ32" s="4"/>
      <c r="MX32" s="53">
        <v>21.6</v>
      </c>
      <c r="NS32" s="4"/>
      <c r="NZ32" s="53">
        <v>21.6</v>
      </c>
      <c r="OU32" s="4"/>
      <c r="PB32" s="53">
        <v>21.6</v>
      </c>
      <c r="PW32" s="4"/>
      <c r="QD32" s="53">
        <v>21.6</v>
      </c>
    </row>
    <row r="33" spans="1:456" ht="17" x14ac:dyDescent="0.2">
      <c r="A33" s="5"/>
      <c r="B33" s="32" t="s">
        <v>68</v>
      </c>
      <c r="C33" s="20"/>
      <c r="R33" s="10"/>
      <c r="S33" s="10"/>
      <c r="T33" s="10"/>
      <c r="AP33" s="4"/>
      <c r="AW33" s="45">
        <v>23.2</v>
      </c>
      <c r="BS33" s="4"/>
      <c r="BZ33" s="45">
        <v>23.2</v>
      </c>
      <c r="CV33" s="4"/>
      <c r="DC33" s="45">
        <v>23.2</v>
      </c>
      <c r="EA33" s="4"/>
      <c r="EH33" s="45">
        <v>23.2</v>
      </c>
      <c r="FC33" s="4"/>
      <c r="FJ33" s="45">
        <v>23.2</v>
      </c>
      <c r="GE33" s="4"/>
      <c r="GL33" s="45">
        <v>23.2</v>
      </c>
      <c r="HG33" s="4"/>
      <c r="HN33" s="45">
        <v>23.2</v>
      </c>
      <c r="II33" s="4"/>
      <c r="IP33" s="45">
        <v>23.2</v>
      </c>
      <c r="JK33" s="4"/>
      <c r="JR33" s="45">
        <v>23.2</v>
      </c>
      <c r="KM33" s="4"/>
      <c r="KT33" s="45">
        <v>23.2</v>
      </c>
      <c r="LO33" s="4"/>
      <c r="LV33" s="45">
        <v>23.2</v>
      </c>
      <c r="MQ33" s="4"/>
      <c r="MX33" s="45">
        <v>23.2</v>
      </c>
      <c r="NS33" s="4"/>
      <c r="NZ33" s="45">
        <v>23.2</v>
      </c>
      <c r="OU33" s="4"/>
      <c r="PB33" s="45">
        <v>23.2</v>
      </c>
      <c r="PW33" s="4"/>
      <c r="QD33" s="45">
        <v>23.2</v>
      </c>
    </row>
    <row r="34" spans="1:456" ht="17" x14ac:dyDescent="0.2">
      <c r="A34" s="5"/>
      <c r="B34" s="36" t="s">
        <v>81</v>
      </c>
      <c r="C34" s="20"/>
      <c r="R34" s="10"/>
      <c r="S34" s="10"/>
      <c r="T34" s="10"/>
      <c r="AP34" s="4"/>
      <c r="AW34" s="46">
        <v>25.6</v>
      </c>
      <c r="BS34" s="4"/>
      <c r="BZ34" s="46">
        <v>25.6</v>
      </c>
      <c r="CV34" s="4"/>
      <c r="DC34" s="46">
        <v>25.6</v>
      </c>
      <c r="EA34" s="4"/>
      <c r="EH34" s="46">
        <v>25.6</v>
      </c>
      <c r="FC34" s="4"/>
      <c r="FJ34" s="46">
        <v>25.6</v>
      </c>
      <c r="GE34" s="4"/>
      <c r="GL34" s="46">
        <v>25.6</v>
      </c>
      <c r="HG34" s="4"/>
      <c r="HN34" s="46">
        <v>25.6</v>
      </c>
      <c r="II34" s="4"/>
      <c r="IP34" s="46">
        <v>25.6</v>
      </c>
      <c r="JK34" s="4"/>
      <c r="JR34" s="46">
        <v>25.6</v>
      </c>
      <c r="KM34" s="4"/>
      <c r="KT34" s="46">
        <v>25.6</v>
      </c>
      <c r="LO34" s="4"/>
      <c r="LV34" s="46">
        <v>25.6</v>
      </c>
      <c r="MQ34" s="4"/>
      <c r="MX34" s="46">
        <v>25.6</v>
      </c>
      <c r="NS34" s="4"/>
      <c r="NZ34" s="46">
        <v>25.6</v>
      </c>
      <c r="OU34" s="4"/>
      <c r="PB34" s="46">
        <v>25.6</v>
      </c>
      <c r="PW34" s="4"/>
      <c r="QD34" s="46">
        <v>25.6</v>
      </c>
    </row>
    <row r="35" spans="1:456" ht="17" x14ac:dyDescent="0.2">
      <c r="A35" s="5"/>
      <c r="B35" s="35" t="s">
        <v>52</v>
      </c>
      <c r="C35" s="20"/>
      <c r="R35" s="10"/>
      <c r="S35" s="10"/>
      <c r="T35" s="10"/>
      <c r="AP35" s="4"/>
      <c r="AW35" s="47">
        <v>51.2</v>
      </c>
      <c r="BS35" s="4"/>
      <c r="BZ35" s="47">
        <v>51.2</v>
      </c>
      <c r="CV35" s="4"/>
      <c r="DC35" s="47">
        <v>51.2</v>
      </c>
      <c r="EA35" s="4"/>
      <c r="EH35" s="47">
        <v>51.2</v>
      </c>
      <c r="FC35" s="4"/>
      <c r="FJ35" s="47">
        <v>51.2</v>
      </c>
      <c r="GE35" s="4"/>
      <c r="GL35" s="47">
        <v>51.2</v>
      </c>
      <c r="HG35" s="4"/>
      <c r="HN35" s="47">
        <v>51.2</v>
      </c>
      <c r="II35" s="4"/>
      <c r="IP35" s="47">
        <v>51.2</v>
      </c>
      <c r="JK35" s="4"/>
      <c r="JR35" s="47">
        <v>51.2</v>
      </c>
      <c r="KM35" s="4"/>
      <c r="KT35" s="47">
        <v>51.2</v>
      </c>
      <c r="LO35" s="4"/>
      <c r="LV35" s="47">
        <v>51.2</v>
      </c>
      <c r="MQ35" s="4"/>
      <c r="MX35" s="47">
        <v>51.2</v>
      </c>
      <c r="NS35" s="4"/>
      <c r="NZ35" s="47">
        <v>51.2</v>
      </c>
      <c r="OU35" s="4"/>
      <c r="PB35" s="47">
        <v>51.2</v>
      </c>
      <c r="PW35" s="4"/>
      <c r="QD35" s="47">
        <v>51.2</v>
      </c>
    </row>
    <row r="36" spans="1:456" ht="17" x14ac:dyDescent="0.2">
      <c r="A36" s="5"/>
      <c r="B36" s="25" t="s">
        <v>53</v>
      </c>
      <c r="C36" s="20"/>
      <c r="R36" s="10"/>
      <c r="S36" s="10"/>
      <c r="T36" s="10"/>
      <c r="AP36" s="4"/>
      <c r="AW36" s="48">
        <v>77.2</v>
      </c>
      <c r="BS36" s="4"/>
      <c r="BZ36" s="48">
        <v>77.2</v>
      </c>
      <c r="CV36" s="4"/>
      <c r="DC36" s="48">
        <v>77.2</v>
      </c>
      <c r="EA36" s="4"/>
      <c r="EH36" s="48">
        <v>77.2</v>
      </c>
      <c r="FC36" s="4"/>
      <c r="FJ36" s="48">
        <v>77.2</v>
      </c>
      <c r="GE36" s="4"/>
      <c r="GL36" s="48">
        <v>77.2</v>
      </c>
      <c r="HG36" s="4"/>
      <c r="HN36" s="48">
        <v>77.2</v>
      </c>
      <c r="II36" s="4"/>
      <c r="IP36" s="48">
        <v>77.2</v>
      </c>
      <c r="JK36" s="4"/>
      <c r="JR36" s="48">
        <v>77.2</v>
      </c>
      <c r="KM36" s="4"/>
      <c r="KT36" s="48">
        <v>77.2</v>
      </c>
      <c r="LO36" s="4"/>
      <c r="LV36" s="48">
        <v>77.2</v>
      </c>
      <c r="MQ36" s="4"/>
      <c r="MX36" s="48">
        <v>77.2</v>
      </c>
      <c r="NS36" s="4"/>
      <c r="NZ36" s="48">
        <v>77.2</v>
      </c>
      <c r="OU36" s="4"/>
      <c r="PB36" s="48">
        <v>77.2</v>
      </c>
      <c r="PW36" s="4"/>
      <c r="QD36" s="48">
        <v>77.2</v>
      </c>
    </row>
    <row r="37" spans="1:456" ht="17" x14ac:dyDescent="0.2">
      <c r="A37" s="5"/>
      <c r="B37" s="34" t="s">
        <v>67</v>
      </c>
      <c r="C37" s="20"/>
      <c r="R37" s="10"/>
      <c r="S37" s="10"/>
      <c r="T37" s="10"/>
      <c r="AP37" s="4"/>
      <c r="AW37" s="49">
        <v>79.8</v>
      </c>
      <c r="BS37" s="4"/>
      <c r="BZ37" s="49">
        <v>79.8</v>
      </c>
      <c r="CV37" s="4"/>
      <c r="DC37" s="49">
        <v>79.8</v>
      </c>
      <c r="EA37" s="4"/>
      <c r="EH37" s="49">
        <v>79.8</v>
      </c>
      <c r="FC37" s="4"/>
      <c r="FJ37" s="49">
        <v>79.8</v>
      </c>
      <c r="GE37" s="4"/>
      <c r="GL37" s="49">
        <v>79.8</v>
      </c>
      <c r="HG37" s="4"/>
      <c r="HN37" s="49">
        <v>79.8</v>
      </c>
      <c r="II37" s="4"/>
      <c r="IP37" s="49">
        <v>79.8</v>
      </c>
      <c r="JK37" s="4"/>
      <c r="JR37" s="49">
        <v>79.8</v>
      </c>
      <c r="KM37" s="4"/>
      <c r="KT37" s="49">
        <v>79.8</v>
      </c>
      <c r="LO37" s="4"/>
      <c r="LV37" s="49">
        <v>79.8</v>
      </c>
      <c r="MQ37" s="4"/>
      <c r="MX37" s="49">
        <v>79.8</v>
      </c>
      <c r="NS37" s="4"/>
      <c r="NZ37" s="49">
        <v>79.8</v>
      </c>
      <c r="OU37" s="4"/>
      <c r="PB37" s="49">
        <v>79.8</v>
      </c>
      <c r="PW37" s="4"/>
      <c r="QD37" s="49">
        <v>79.8</v>
      </c>
    </row>
    <row r="38" spans="1:456" ht="17" x14ac:dyDescent="0.2">
      <c r="A38" s="5"/>
      <c r="B38" s="26" t="s">
        <v>36</v>
      </c>
      <c r="C38" s="20"/>
      <c r="R38" s="10"/>
      <c r="S38" s="10"/>
      <c r="T38" s="10"/>
      <c r="AP38" s="4"/>
      <c r="AW38" s="50">
        <v>82.2</v>
      </c>
      <c r="BS38" s="4"/>
      <c r="BZ38" s="50">
        <v>82.2</v>
      </c>
      <c r="CV38" s="4"/>
      <c r="DC38" s="50">
        <v>82.2</v>
      </c>
      <c r="EA38" s="4"/>
      <c r="EH38" s="50">
        <v>82.2</v>
      </c>
      <c r="FC38" s="4"/>
      <c r="FJ38" s="50">
        <v>82.2</v>
      </c>
      <c r="GE38" s="4"/>
      <c r="GL38" s="50">
        <v>82.2</v>
      </c>
      <c r="HG38" s="4"/>
      <c r="HN38" s="50">
        <v>82.2</v>
      </c>
      <c r="II38" s="4"/>
      <c r="IP38" s="50">
        <v>82.2</v>
      </c>
      <c r="JK38" s="4"/>
      <c r="JR38" s="50">
        <v>82.2</v>
      </c>
      <c r="KM38" s="4"/>
      <c r="KT38" s="50">
        <v>82.2</v>
      </c>
      <c r="LO38" s="4"/>
      <c r="LV38" s="50">
        <v>82.2</v>
      </c>
      <c r="MQ38" s="4"/>
      <c r="MX38" s="50">
        <v>82.2</v>
      </c>
      <c r="NS38" s="4"/>
      <c r="NZ38" s="50">
        <v>82.2</v>
      </c>
      <c r="OU38" s="4"/>
      <c r="PB38" s="50">
        <v>82.2</v>
      </c>
      <c r="PW38" s="4"/>
      <c r="QD38" s="50">
        <v>82.2</v>
      </c>
    </row>
    <row r="39" spans="1:456" x14ac:dyDescent="0.2">
      <c r="B39" s="30" t="s">
        <v>59</v>
      </c>
      <c r="C39" s="2"/>
    </row>
    <row r="40" spans="1:456" x14ac:dyDescent="0.2">
      <c r="A40" s="5"/>
      <c r="B40" s="5"/>
      <c r="C40" s="20"/>
      <c r="QF40" s="2"/>
      <c r="QG40" s="2"/>
      <c r="QH40" s="2"/>
      <c r="QI40" s="2"/>
      <c r="QJ40" s="2"/>
      <c r="QK40" s="2"/>
      <c r="QL40" s="2"/>
      <c r="QM40" s="2"/>
      <c r="QN40" s="2"/>
    </row>
    <row r="41" spans="1:456" x14ac:dyDescent="0.2">
      <c r="A41" s="5"/>
      <c r="B41" s="5"/>
      <c r="C41" s="20"/>
    </row>
    <row r="42" spans="1:456" x14ac:dyDescent="0.2">
      <c r="A42" s="5"/>
      <c r="B42" s="5"/>
      <c r="C42" s="20"/>
    </row>
    <row r="43" spans="1:456" x14ac:dyDescent="0.2">
      <c r="A43" s="5"/>
      <c r="B43" s="5"/>
      <c r="C4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8">
      <sortCondition descending="1" ref="F1:F29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8">
    <cfRule type="expression" dxfId="55" priority="5" stopIfTrue="1">
      <formula>IF($AO4&lt;&gt;"",1,0)</formula>
    </cfRule>
  </conditionalFormatting>
  <conditionalFormatting sqref="AX4:BZ28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8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9:AT1048576 BW39:BW1048576 EE39:EE1048576 FG39:FG1048576 BW1:BW37 CZ1:CZ1048576 EE1:EE37 FG1:FG37 GI1:GI1048576 HK1:HK1048576 IM1:IM1048576 JO1:JO1048576 KQ1:KQ1048576 LS1:LS1048576 MU1:MU1048576 NW1:NW1048576 OY1:OY1048576 QA1:QA1048576 AT1:AT37">
    <cfRule type="cellIs" dxfId="43" priority="59086" operator="between">
      <formula>AW$38</formula>
      <formula>1000</formula>
    </cfRule>
    <cfRule type="cellIs" dxfId="42" priority="59087" operator="between">
      <formula>AW$37</formula>
      <formula>AW$38</formula>
    </cfRule>
    <cfRule type="cellIs" dxfId="41" priority="59088" operator="between">
      <formula>AW$36</formula>
      <formula>AW$37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74420" operator="between">
      <formula>AW$31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74465" operator="between">
      <formula>AW$35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74510" operator="between">
      <formula>AW$31</formula>
      <formula>AW$32</formula>
    </cfRule>
    <cfRule type="cellIs" dxfId="37" priority="74511" operator="between">
      <formula>AW$32</formula>
      <formula>AW$33</formula>
    </cfRule>
    <cfRule type="cellIs" dxfId="36" priority="74512" operator="between">
      <formula>AW$33</formula>
      <formula>AW$34</formula>
    </cfRule>
    <cfRule type="cellIs" dxfId="35" priority="74513" operator="between">
      <formula>AW$34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74690" operator="between">
      <formula>AW$35</formula>
      <formula>AW$36</formula>
    </cfRule>
    <cfRule type="cellIs" dxfId="33" priority="74691" operator="between">
      <formula>AW$36</formula>
      <formula>AW$37</formula>
    </cfRule>
    <cfRule type="cellIs" dxfId="32" priority="74692" operator="between">
      <formula>AW$37</formula>
      <formula>AW$38</formula>
    </cfRule>
    <cfRule type="cellIs" dxfId="31" priority="74693" operator="between">
      <formula>AW$38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75002" operator="between">
      <formula>AW$34</formula>
      <formula>1000</formula>
    </cfRule>
    <cfRule type="cellIs" dxfId="29" priority="75003" operator="between">
      <formula>AW$33</formula>
      <formula>AW$34</formula>
    </cfRule>
    <cfRule type="cellIs" dxfId="28" priority="75004" operator="between">
      <formula>AW$32</formula>
      <formula>AW$33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60</v>
      </c>
      <c r="E1" s="69" t="s">
        <v>2</v>
      </c>
      <c r="F1" s="71" t="s">
        <v>66</v>
      </c>
      <c r="G1" s="71" t="s">
        <v>11</v>
      </c>
      <c r="H1" s="69" t="s">
        <v>12</v>
      </c>
      <c r="I1" s="71" t="s">
        <v>91</v>
      </c>
      <c r="J1" s="70" t="s">
        <v>126</v>
      </c>
      <c r="K1" s="68" t="s">
        <v>34</v>
      </c>
      <c r="L1" s="70" t="s">
        <v>127</v>
      </c>
      <c r="M1" s="68" t="s">
        <v>34</v>
      </c>
      <c r="N1" s="70" t="s">
        <v>128</v>
      </c>
      <c r="O1" s="68" t="s">
        <v>34</v>
      </c>
      <c r="P1" s="68" t="s">
        <v>13</v>
      </c>
      <c r="Q1" s="68" t="s">
        <v>34</v>
      </c>
      <c r="R1" s="72" t="s">
        <v>14</v>
      </c>
      <c r="S1" s="68" t="s">
        <v>35</v>
      </c>
      <c r="T1" s="68" t="s">
        <v>34</v>
      </c>
      <c r="U1" s="65" t="s">
        <v>168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194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214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65</v>
      </c>
      <c r="DE1" s="67"/>
      <c r="DF1" s="67"/>
      <c r="DG1" s="65" t="s">
        <v>142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143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159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164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165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203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202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201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204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69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118</v>
      </c>
      <c r="V2" s="63"/>
      <c r="W2" s="63"/>
      <c r="X2" s="63"/>
      <c r="Y2" s="63" t="s">
        <v>119</v>
      </c>
      <c r="Z2" s="63"/>
      <c r="AA2" s="63"/>
      <c r="AB2" s="63"/>
      <c r="AC2" s="63" t="s">
        <v>120</v>
      </c>
      <c r="AD2" s="63"/>
      <c r="AE2" s="63"/>
      <c r="AF2" s="63"/>
      <c r="AG2" s="63" t="s">
        <v>121</v>
      </c>
      <c r="AH2" s="63"/>
      <c r="AI2" s="63"/>
      <c r="AJ2" s="63"/>
      <c r="AK2" s="73" t="s">
        <v>122</v>
      </c>
      <c r="AL2" s="73"/>
      <c r="AM2" s="73"/>
      <c r="AN2" s="73"/>
      <c r="AO2" s="14"/>
      <c r="AP2" s="14" t="s">
        <v>123</v>
      </c>
      <c r="AQ2" s="14" t="s">
        <v>124</v>
      </c>
      <c r="AR2" s="14" t="s">
        <v>120</v>
      </c>
      <c r="AS2" s="14" t="s">
        <v>129</v>
      </c>
      <c r="AT2" s="14" t="s">
        <v>24</v>
      </c>
      <c r="AU2" s="14" t="s">
        <v>71</v>
      </c>
      <c r="AV2" s="14" t="s">
        <v>125</v>
      </c>
      <c r="AW2" s="14" t="s">
        <v>18</v>
      </c>
      <c r="AX2" s="64" t="s">
        <v>118</v>
      </c>
      <c r="AY2" s="64"/>
      <c r="AZ2" s="64"/>
      <c r="BA2" s="64"/>
      <c r="BB2" s="64" t="s">
        <v>119</v>
      </c>
      <c r="BC2" s="64"/>
      <c r="BD2" s="64"/>
      <c r="BE2" s="64"/>
      <c r="BF2" s="64" t="s">
        <v>120</v>
      </c>
      <c r="BG2" s="64"/>
      <c r="BH2" s="64"/>
      <c r="BI2" s="64"/>
      <c r="BJ2" s="64" t="s">
        <v>121</v>
      </c>
      <c r="BK2" s="64"/>
      <c r="BL2" s="64"/>
      <c r="BM2" s="64"/>
      <c r="BN2" s="74" t="s">
        <v>122</v>
      </c>
      <c r="BO2" s="74"/>
      <c r="BP2" s="74"/>
      <c r="BQ2" s="74"/>
      <c r="BR2" s="13"/>
      <c r="BS2" s="13" t="s">
        <v>123</v>
      </c>
      <c r="BT2" s="13" t="s">
        <v>124</v>
      </c>
      <c r="BU2" s="13" t="s">
        <v>120</v>
      </c>
      <c r="BV2" s="13" t="s">
        <v>129</v>
      </c>
      <c r="BW2" s="13" t="s">
        <v>24</v>
      </c>
      <c r="BX2" s="13" t="s">
        <v>71</v>
      </c>
      <c r="BY2" s="13" t="s">
        <v>125</v>
      </c>
      <c r="BZ2" s="13" t="s">
        <v>18</v>
      </c>
      <c r="CA2" s="63" t="s">
        <v>118</v>
      </c>
      <c r="CB2" s="63"/>
      <c r="CC2" s="63"/>
      <c r="CD2" s="63"/>
      <c r="CE2" s="63" t="s">
        <v>119</v>
      </c>
      <c r="CF2" s="63"/>
      <c r="CG2" s="63"/>
      <c r="CH2" s="63"/>
      <c r="CI2" s="63" t="s">
        <v>120</v>
      </c>
      <c r="CJ2" s="63"/>
      <c r="CK2" s="63"/>
      <c r="CL2" s="63"/>
      <c r="CM2" s="63" t="s">
        <v>121</v>
      </c>
      <c r="CN2" s="63"/>
      <c r="CO2" s="63"/>
      <c r="CP2" s="63"/>
      <c r="CQ2" s="73" t="s">
        <v>122</v>
      </c>
      <c r="CR2" s="73"/>
      <c r="CS2" s="73"/>
      <c r="CT2" s="73"/>
      <c r="CU2" s="14"/>
      <c r="CV2" s="14" t="s">
        <v>123</v>
      </c>
      <c r="CW2" s="14" t="s">
        <v>124</v>
      </c>
      <c r="CX2" s="14" t="s">
        <v>120</v>
      </c>
      <c r="CY2" s="14" t="s">
        <v>129</v>
      </c>
      <c r="CZ2" s="14" t="s">
        <v>24</v>
      </c>
      <c r="DA2" s="14" t="s">
        <v>71</v>
      </c>
      <c r="DB2" s="14" t="s">
        <v>125</v>
      </c>
      <c r="DC2" s="14" t="s">
        <v>18</v>
      </c>
      <c r="DD2" s="51" t="s">
        <v>124</v>
      </c>
      <c r="DE2" s="51" t="s">
        <v>120</v>
      </c>
      <c r="DF2" s="51" t="s">
        <v>23</v>
      </c>
      <c r="DG2" s="63" t="s">
        <v>118</v>
      </c>
      <c r="DH2" s="63"/>
      <c r="DI2" s="63"/>
      <c r="DJ2" s="63"/>
      <c r="DK2" s="63" t="s">
        <v>119</v>
      </c>
      <c r="DL2" s="63"/>
      <c r="DM2" s="63"/>
      <c r="DN2" s="63"/>
      <c r="DO2" s="63" t="s">
        <v>120</v>
      </c>
      <c r="DP2" s="63"/>
      <c r="DQ2" s="63"/>
      <c r="DR2" s="63"/>
      <c r="DS2" s="63" t="s">
        <v>121</v>
      </c>
      <c r="DT2" s="63"/>
      <c r="DU2" s="63"/>
      <c r="DV2" s="63"/>
      <c r="DW2" s="75" t="s">
        <v>122</v>
      </c>
      <c r="DX2" s="75"/>
      <c r="DY2" s="75"/>
      <c r="DZ2" s="75"/>
      <c r="EA2" s="14" t="s">
        <v>123</v>
      </c>
      <c r="EB2" s="14" t="s">
        <v>124</v>
      </c>
      <c r="EC2" s="14" t="s">
        <v>120</v>
      </c>
      <c r="ED2" s="14" t="s">
        <v>129</v>
      </c>
      <c r="EE2" s="14" t="s">
        <v>24</v>
      </c>
      <c r="EF2" s="14" t="s">
        <v>71</v>
      </c>
      <c r="EG2" s="14" t="s">
        <v>125</v>
      </c>
      <c r="EH2" s="14" t="s">
        <v>18</v>
      </c>
      <c r="EI2" s="64" t="s">
        <v>118</v>
      </c>
      <c r="EJ2" s="64"/>
      <c r="EK2" s="64"/>
      <c r="EL2" s="64"/>
      <c r="EM2" s="64" t="s">
        <v>119</v>
      </c>
      <c r="EN2" s="64"/>
      <c r="EO2" s="64"/>
      <c r="EP2" s="64"/>
      <c r="EQ2" s="64" t="s">
        <v>120</v>
      </c>
      <c r="ER2" s="64"/>
      <c r="ES2" s="64"/>
      <c r="ET2" s="64"/>
      <c r="EU2" s="64" t="s">
        <v>121</v>
      </c>
      <c r="EV2" s="64"/>
      <c r="EW2" s="64"/>
      <c r="EX2" s="64"/>
      <c r="EY2" s="74" t="s">
        <v>122</v>
      </c>
      <c r="EZ2" s="74"/>
      <c r="FA2" s="74"/>
      <c r="FB2" s="74"/>
      <c r="FC2" s="13" t="s">
        <v>123</v>
      </c>
      <c r="FD2" s="13" t="s">
        <v>124</v>
      </c>
      <c r="FE2" s="13" t="s">
        <v>120</v>
      </c>
      <c r="FF2" s="13" t="s">
        <v>129</v>
      </c>
      <c r="FG2" s="13" t="s">
        <v>24</v>
      </c>
      <c r="FH2" s="13" t="s">
        <v>71</v>
      </c>
      <c r="FI2" s="13" t="s">
        <v>125</v>
      </c>
      <c r="FJ2" s="13" t="s">
        <v>18</v>
      </c>
      <c r="FK2" s="63" t="s">
        <v>118</v>
      </c>
      <c r="FL2" s="63"/>
      <c r="FM2" s="63"/>
      <c r="FN2" s="63"/>
      <c r="FO2" s="63" t="s">
        <v>119</v>
      </c>
      <c r="FP2" s="63"/>
      <c r="FQ2" s="63"/>
      <c r="FR2" s="63"/>
      <c r="FS2" s="63" t="s">
        <v>120</v>
      </c>
      <c r="FT2" s="63"/>
      <c r="FU2" s="63"/>
      <c r="FV2" s="63"/>
      <c r="FW2" s="63" t="s">
        <v>121</v>
      </c>
      <c r="FX2" s="63"/>
      <c r="FY2" s="63"/>
      <c r="FZ2" s="63"/>
      <c r="GA2" s="75" t="s">
        <v>122</v>
      </c>
      <c r="GB2" s="75"/>
      <c r="GC2" s="75"/>
      <c r="GD2" s="75"/>
      <c r="GE2" s="14" t="s">
        <v>123</v>
      </c>
      <c r="GF2" s="14" t="s">
        <v>124</v>
      </c>
      <c r="GG2" s="14" t="s">
        <v>120</v>
      </c>
      <c r="GH2" s="14" t="s">
        <v>129</v>
      </c>
      <c r="GI2" s="14" t="s">
        <v>24</v>
      </c>
      <c r="GJ2" s="14" t="s">
        <v>71</v>
      </c>
      <c r="GK2" s="14" t="s">
        <v>125</v>
      </c>
      <c r="GL2" s="14" t="s">
        <v>18</v>
      </c>
      <c r="GM2" s="64" t="s">
        <v>118</v>
      </c>
      <c r="GN2" s="64"/>
      <c r="GO2" s="64"/>
      <c r="GP2" s="64"/>
      <c r="GQ2" s="64" t="s">
        <v>119</v>
      </c>
      <c r="GR2" s="64"/>
      <c r="GS2" s="64"/>
      <c r="GT2" s="64"/>
      <c r="GU2" s="64" t="s">
        <v>120</v>
      </c>
      <c r="GV2" s="64"/>
      <c r="GW2" s="64"/>
      <c r="GX2" s="64"/>
      <c r="GY2" s="64" t="s">
        <v>121</v>
      </c>
      <c r="GZ2" s="64"/>
      <c r="HA2" s="64"/>
      <c r="HB2" s="64"/>
      <c r="HC2" s="74" t="s">
        <v>122</v>
      </c>
      <c r="HD2" s="74"/>
      <c r="HE2" s="74"/>
      <c r="HF2" s="74"/>
      <c r="HG2" s="13" t="s">
        <v>123</v>
      </c>
      <c r="HH2" s="13" t="s">
        <v>124</v>
      </c>
      <c r="HI2" s="13" t="s">
        <v>120</v>
      </c>
      <c r="HJ2" s="13" t="s">
        <v>129</v>
      </c>
      <c r="HK2" s="13" t="s">
        <v>24</v>
      </c>
      <c r="HL2" s="13" t="s">
        <v>71</v>
      </c>
      <c r="HM2" s="13" t="s">
        <v>125</v>
      </c>
      <c r="HN2" s="13" t="s">
        <v>18</v>
      </c>
      <c r="HO2" s="63" t="s">
        <v>118</v>
      </c>
      <c r="HP2" s="63"/>
      <c r="HQ2" s="63"/>
      <c r="HR2" s="63"/>
      <c r="HS2" s="63" t="s">
        <v>119</v>
      </c>
      <c r="HT2" s="63"/>
      <c r="HU2" s="63"/>
      <c r="HV2" s="63"/>
      <c r="HW2" s="63" t="s">
        <v>120</v>
      </c>
      <c r="HX2" s="63"/>
      <c r="HY2" s="63"/>
      <c r="HZ2" s="63"/>
      <c r="IA2" s="63" t="s">
        <v>121</v>
      </c>
      <c r="IB2" s="63"/>
      <c r="IC2" s="63"/>
      <c r="ID2" s="63"/>
      <c r="IE2" s="75" t="s">
        <v>122</v>
      </c>
      <c r="IF2" s="75"/>
      <c r="IG2" s="75"/>
      <c r="IH2" s="75"/>
      <c r="II2" s="14" t="s">
        <v>123</v>
      </c>
      <c r="IJ2" s="14" t="s">
        <v>124</v>
      </c>
      <c r="IK2" s="14" t="s">
        <v>120</v>
      </c>
      <c r="IL2" s="14" t="s">
        <v>129</v>
      </c>
      <c r="IM2" s="14" t="s">
        <v>24</v>
      </c>
      <c r="IN2" s="14" t="s">
        <v>71</v>
      </c>
      <c r="IO2" s="14" t="s">
        <v>125</v>
      </c>
      <c r="IP2" s="14" t="s">
        <v>18</v>
      </c>
      <c r="IQ2" s="64" t="s">
        <v>118</v>
      </c>
      <c r="IR2" s="64"/>
      <c r="IS2" s="64"/>
      <c r="IT2" s="64"/>
      <c r="IU2" s="64" t="s">
        <v>119</v>
      </c>
      <c r="IV2" s="64"/>
      <c r="IW2" s="64"/>
      <c r="IX2" s="64"/>
      <c r="IY2" s="64" t="s">
        <v>120</v>
      </c>
      <c r="IZ2" s="64"/>
      <c r="JA2" s="64"/>
      <c r="JB2" s="64"/>
      <c r="JC2" s="64" t="s">
        <v>121</v>
      </c>
      <c r="JD2" s="64"/>
      <c r="JE2" s="64"/>
      <c r="JF2" s="64"/>
      <c r="JG2" s="74" t="s">
        <v>122</v>
      </c>
      <c r="JH2" s="74"/>
      <c r="JI2" s="74"/>
      <c r="JJ2" s="74"/>
      <c r="JK2" s="13" t="s">
        <v>123</v>
      </c>
      <c r="JL2" s="13" t="s">
        <v>124</v>
      </c>
      <c r="JM2" s="13" t="s">
        <v>120</v>
      </c>
      <c r="JN2" s="13" t="s">
        <v>129</v>
      </c>
      <c r="JO2" s="13" t="s">
        <v>24</v>
      </c>
      <c r="JP2" s="13" t="s">
        <v>71</v>
      </c>
      <c r="JQ2" s="13" t="s">
        <v>125</v>
      </c>
      <c r="JR2" s="13" t="s">
        <v>18</v>
      </c>
      <c r="JS2" s="63" t="s">
        <v>118</v>
      </c>
      <c r="JT2" s="63"/>
      <c r="JU2" s="63"/>
      <c r="JV2" s="63"/>
      <c r="JW2" s="63" t="s">
        <v>119</v>
      </c>
      <c r="JX2" s="63"/>
      <c r="JY2" s="63"/>
      <c r="JZ2" s="63"/>
      <c r="KA2" s="63" t="s">
        <v>120</v>
      </c>
      <c r="KB2" s="63"/>
      <c r="KC2" s="63"/>
      <c r="KD2" s="63"/>
      <c r="KE2" s="63" t="s">
        <v>121</v>
      </c>
      <c r="KF2" s="63"/>
      <c r="KG2" s="63"/>
      <c r="KH2" s="63"/>
      <c r="KI2" s="75" t="s">
        <v>122</v>
      </c>
      <c r="KJ2" s="75"/>
      <c r="KK2" s="75"/>
      <c r="KL2" s="75"/>
      <c r="KM2" s="14" t="s">
        <v>123</v>
      </c>
      <c r="KN2" s="14" t="s">
        <v>124</v>
      </c>
      <c r="KO2" s="14" t="s">
        <v>120</v>
      </c>
      <c r="KP2" s="14" t="s">
        <v>129</v>
      </c>
      <c r="KQ2" s="14" t="s">
        <v>24</v>
      </c>
      <c r="KR2" s="14" t="s">
        <v>71</v>
      </c>
      <c r="KS2" s="14" t="s">
        <v>125</v>
      </c>
      <c r="KT2" s="14" t="s">
        <v>18</v>
      </c>
      <c r="KU2" s="64" t="s">
        <v>118</v>
      </c>
      <c r="KV2" s="64"/>
      <c r="KW2" s="64"/>
      <c r="KX2" s="64"/>
      <c r="KY2" s="64" t="s">
        <v>119</v>
      </c>
      <c r="KZ2" s="64"/>
      <c r="LA2" s="64"/>
      <c r="LB2" s="64"/>
      <c r="LC2" s="64" t="s">
        <v>120</v>
      </c>
      <c r="LD2" s="64"/>
      <c r="LE2" s="64"/>
      <c r="LF2" s="64"/>
      <c r="LG2" s="64" t="s">
        <v>121</v>
      </c>
      <c r="LH2" s="64"/>
      <c r="LI2" s="64"/>
      <c r="LJ2" s="64"/>
      <c r="LK2" s="74" t="s">
        <v>122</v>
      </c>
      <c r="LL2" s="74"/>
      <c r="LM2" s="74"/>
      <c r="LN2" s="74"/>
      <c r="LO2" s="13" t="s">
        <v>123</v>
      </c>
      <c r="LP2" s="13" t="s">
        <v>124</v>
      </c>
      <c r="LQ2" s="13" t="s">
        <v>120</v>
      </c>
      <c r="LR2" s="13" t="s">
        <v>129</v>
      </c>
      <c r="LS2" s="13" t="s">
        <v>24</v>
      </c>
      <c r="LT2" s="13" t="s">
        <v>71</v>
      </c>
      <c r="LU2" s="13" t="s">
        <v>125</v>
      </c>
      <c r="LV2" s="13" t="s">
        <v>18</v>
      </c>
      <c r="LW2" s="63" t="s">
        <v>118</v>
      </c>
      <c r="LX2" s="63"/>
      <c r="LY2" s="63"/>
      <c r="LZ2" s="63"/>
      <c r="MA2" s="63" t="s">
        <v>119</v>
      </c>
      <c r="MB2" s="63"/>
      <c r="MC2" s="63"/>
      <c r="MD2" s="63"/>
      <c r="ME2" s="63" t="s">
        <v>120</v>
      </c>
      <c r="MF2" s="63"/>
      <c r="MG2" s="63"/>
      <c r="MH2" s="63"/>
      <c r="MI2" s="63" t="s">
        <v>121</v>
      </c>
      <c r="MJ2" s="63"/>
      <c r="MK2" s="63"/>
      <c r="ML2" s="63"/>
      <c r="MM2" s="75" t="s">
        <v>122</v>
      </c>
      <c r="MN2" s="75"/>
      <c r="MO2" s="75"/>
      <c r="MP2" s="75"/>
      <c r="MQ2" s="14" t="s">
        <v>123</v>
      </c>
      <c r="MR2" s="14" t="s">
        <v>124</v>
      </c>
      <c r="MS2" s="14" t="s">
        <v>120</v>
      </c>
      <c r="MT2" s="14" t="s">
        <v>129</v>
      </c>
      <c r="MU2" s="14" t="s">
        <v>24</v>
      </c>
      <c r="MV2" s="14" t="s">
        <v>71</v>
      </c>
      <c r="MW2" s="14" t="s">
        <v>125</v>
      </c>
      <c r="MX2" s="14" t="s">
        <v>18</v>
      </c>
      <c r="MY2" s="64" t="s">
        <v>118</v>
      </c>
      <c r="MZ2" s="64"/>
      <c r="NA2" s="64"/>
      <c r="NB2" s="64"/>
      <c r="NC2" s="64" t="s">
        <v>119</v>
      </c>
      <c r="ND2" s="64"/>
      <c r="NE2" s="64"/>
      <c r="NF2" s="64"/>
      <c r="NG2" s="64" t="s">
        <v>120</v>
      </c>
      <c r="NH2" s="64"/>
      <c r="NI2" s="64"/>
      <c r="NJ2" s="64"/>
      <c r="NK2" s="64" t="s">
        <v>121</v>
      </c>
      <c r="NL2" s="64"/>
      <c r="NM2" s="64"/>
      <c r="NN2" s="64"/>
      <c r="NO2" s="74" t="s">
        <v>122</v>
      </c>
      <c r="NP2" s="74"/>
      <c r="NQ2" s="74"/>
      <c r="NR2" s="74"/>
      <c r="NS2" s="13" t="s">
        <v>123</v>
      </c>
      <c r="NT2" s="13" t="s">
        <v>124</v>
      </c>
      <c r="NU2" s="13" t="s">
        <v>120</v>
      </c>
      <c r="NV2" s="13" t="s">
        <v>129</v>
      </c>
      <c r="NW2" s="13" t="s">
        <v>24</v>
      </c>
      <c r="NX2" s="13" t="s">
        <v>71</v>
      </c>
      <c r="NY2" s="13" t="s">
        <v>125</v>
      </c>
      <c r="NZ2" s="13" t="s">
        <v>18</v>
      </c>
      <c r="OA2" s="63" t="s">
        <v>118</v>
      </c>
      <c r="OB2" s="63"/>
      <c r="OC2" s="63"/>
      <c r="OD2" s="63"/>
      <c r="OE2" s="63" t="s">
        <v>119</v>
      </c>
      <c r="OF2" s="63"/>
      <c r="OG2" s="63"/>
      <c r="OH2" s="63"/>
      <c r="OI2" s="63" t="s">
        <v>120</v>
      </c>
      <c r="OJ2" s="63"/>
      <c r="OK2" s="63"/>
      <c r="OL2" s="63"/>
      <c r="OM2" s="63" t="s">
        <v>121</v>
      </c>
      <c r="ON2" s="63"/>
      <c r="OO2" s="63"/>
      <c r="OP2" s="63"/>
      <c r="OQ2" s="75" t="s">
        <v>122</v>
      </c>
      <c r="OR2" s="75"/>
      <c r="OS2" s="75"/>
      <c r="OT2" s="75"/>
      <c r="OU2" s="14" t="s">
        <v>123</v>
      </c>
      <c r="OV2" s="14" t="s">
        <v>124</v>
      </c>
      <c r="OW2" s="14" t="s">
        <v>120</v>
      </c>
      <c r="OX2" s="14" t="s">
        <v>129</v>
      </c>
      <c r="OY2" s="14" t="s">
        <v>24</v>
      </c>
      <c r="OZ2" s="14" t="s">
        <v>71</v>
      </c>
      <c r="PA2" s="14" t="s">
        <v>125</v>
      </c>
      <c r="PB2" s="14" t="s">
        <v>18</v>
      </c>
      <c r="PC2" s="64" t="s">
        <v>118</v>
      </c>
      <c r="PD2" s="64"/>
      <c r="PE2" s="64"/>
      <c r="PF2" s="64"/>
      <c r="PG2" s="64" t="s">
        <v>119</v>
      </c>
      <c r="PH2" s="64"/>
      <c r="PI2" s="64"/>
      <c r="PJ2" s="64"/>
      <c r="PK2" s="64" t="s">
        <v>120</v>
      </c>
      <c r="PL2" s="64"/>
      <c r="PM2" s="64"/>
      <c r="PN2" s="64"/>
      <c r="PO2" s="64" t="s">
        <v>121</v>
      </c>
      <c r="PP2" s="64"/>
      <c r="PQ2" s="64"/>
      <c r="PR2" s="64"/>
      <c r="PS2" s="74" t="s">
        <v>122</v>
      </c>
      <c r="PT2" s="74"/>
      <c r="PU2" s="74"/>
      <c r="PV2" s="74"/>
      <c r="PW2" s="13" t="s">
        <v>123</v>
      </c>
      <c r="PX2" s="13" t="s">
        <v>124</v>
      </c>
      <c r="PY2" s="13" t="s">
        <v>120</v>
      </c>
      <c r="PZ2" s="13" t="s">
        <v>129</v>
      </c>
      <c r="QA2" s="13" t="s">
        <v>24</v>
      </c>
      <c r="QB2" s="13" t="s">
        <v>71</v>
      </c>
      <c r="QC2" s="13" t="s">
        <v>125</v>
      </c>
      <c r="QD2" s="13" t="s">
        <v>18</v>
      </c>
      <c r="QE2" s="63" t="s">
        <v>118</v>
      </c>
      <c r="QF2" s="63"/>
      <c r="QG2" s="63"/>
      <c r="QH2" s="63"/>
      <c r="QI2" s="63" t="s">
        <v>119</v>
      </c>
      <c r="QJ2" s="63"/>
      <c r="QK2" s="63"/>
      <c r="QL2" s="63"/>
      <c r="QM2" s="63" t="s">
        <v>120</v>
      </c>
      <c r="QN2" s="63"/>
      <c r="QO2" s="63"/>
      <c r="QP2" s="63"/>
      <c r="QQ2" s="63" t="s">
        <v>121</v>
      </c>
      <c r="QR2" s="63"/>
      <c r="QS2" s="63"/>
      <c r="QT2" s="63"/>
      <c r="QU2" s="73" t="s">
        <v>122</v>
      </c>
      <c r="QV2" s="73"/>
      <c r="QW2" s="73"/>
      <c r="QX2" s="73"/>
      <c r="QY2" s="14"/>
      <c r="QZ2" s="14" t="s">
        <v>123</v>
      </c>
      <c r="RA2" s="14" t="s">
        <v>124</v>
      </c>
      <c r="RB2" s="14" t="s">
        <v>120</v>
      </c>
      <c r="RC2" s="14" t="s">
        <v>129</v>
      </c>
      <c r="RD2" s="14" t="s">
        <v>24</v>
      </c>
      <c r="RE2" s="14" t="s">
        <v>71</v>
      </c>
      <c r="RF2" s="14" t="s">
        <v>125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31</v>
      </c>
      <c r="X3" s="14" t="s">
        <v>32</v>
      </c>
      <c r="Y3" s="14" t="s">
        <v>15</v>
      </c>
      <c r="Z3" s="14" t="s">
        <v>10</v>
      </c>
      <c r="AA3" s="14" t="s">
        <v>31</v>
      </c>
      <c r="AB3" s="14" t="s">
        <v>32</v>
      </c>
      <c r="AC3" s="14" t="s">
        <v>15</v>
      </c>
      <c r="AD3" s="14" t="s">
        <v>10</v>
      </c>
      <c r="AE3" s="14" t="s">
        <v>31</v>
      </c>
      <c r="AF3" s="14" t="s">
        <v>32</v>
      </c>
      <c r="AG3" s="14" t="s">
        <v>15</v>
      </c>
      <c r="AH3" s="14" t="s">
        <v>10</v>
      </c>
      <c r="AI3" s="14" t="s">
        <v>31</v>
      </c>
      <c r="AJ3" s="14" t="s">
        <v>32</v>
      </c>
      <c r="AK3" s="21" t="s">
        <v>15</v>
      </c>
      <c r="AL3" s="21" t="s">
        <v>10</v>
      </c>
      <c r="AM3" s="21" t="s">
        <v>31</v>
      </c>
      <c r="AN3" s="21" t="s">
        <v>32</v>
      </c>
      <c r="AO3" s="14" t="s">
        <v>57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31</v>
      </c>
      <c r="BA3" s="13" t="s">
        <v>32</v>
      </c>
      <c r="BB3" s="13" t="s">
        <v>15</v>
      </c>
      <c r="BC3" s="13" t="s">
        <v>10</v>
      </c>
      <c r="BD3" s="13" t="s">
        <v>31</v>
      </c>
      <c r="BE3" s="13" t="s">
        <v>32</v>
      </c>
      <c r="BF3" s="13" t="s">
        <v>15</v>
      </c>
      <c r="BG3" s="13" t="s">
        <v>10</v>
      </c>
      <c r="BH3" s="13" t="s">
        <v>31</v>
      </c>
      <c r="BI3" s="13" t="s">
        <v>32</v>
      </c>
      <c r="BJ3" s="13" t="s">
        <v>15</v>
      </c>
      <c r="BK3" s="13" t="s">
        <v>10</v>
      </c>
      <c r="BL3" s="13" t="s">
        <v>31</v>
      </c>
      <c r="BM3" s="13" t="s">
        <v>32</v>
      </c>
      <c r="BN3" s="16" t="s">
        <v>15</v>
      </c>
      <c r="BO3" s="16" t="s">
        <v>10</v>
      </c>
      <c r="BP3" s="16" t="s">
        <v>31</v>
      </c>
      <c r="BQ3" s="16" t="s">
        <v>32</v>
      </c>
      <c r="BR3" s="13" t="s">
        <v>57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31</v>
      </c>
      <c r="CD3" s="14" t="s">
        <v>32</v>
      </c>
      <c r="CE3" s="14" t="s">
        <v>15</v>
      </c>
      <c r="CF3" s="14" t="s">
        <v>10</v>
      </c>
      <c r="CG3" s="14" t="s">
        <v>31</v>
      </c>
      <c r="CH3" s="14" t="s">
        <v>32</v>
      </c>
      <c r="CI3" s="14" t="s">
        <v>15</v>
      </c>
      <c r="CJ3" s="14" t="s">
        <v>10</v>
      </c>
      <c r="CK3" s="14" t="s">
        <v>31</v>
      </c>
      <c r="CL3" s="14" t="s">
        <v>32</v>
      </c>
      <c r="CM3" s="14" t="s">
        <v>15</v>
      </c>
      <c r="CN3" s="14" t="s">
        <v>10</v>
      </c>
      <c r="CO3" s="14" t="s">
        <v>31</v>
      </c>
      <c r="CP3" s="14" t="s">
        <v>32</v>
      </c>
      <c r="CQ3" s="21" t="s">
        <v>15</v>
      </c>
      <c r="CR3" s="21" t="s">
        <v>10</v>
      </c>
      <c r="CS3" s="21" t="s">
        <v>31</v>
      </c>
      <c r="CT3" s="21" t="s">
        <v>32</v>
      </c>
      <c r="CU3" s="14" t="s">
        <v>57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31</v>
      </c>
      <c r="DJ3" s="14" t="s">
        <v>32</v>
      </c>
      <c r="DK3" s="14" t="s">
        <v>15</v>
      </c>
      <c r="DL3" s="14" t="s">
        <v>10</v>
      </c>
      <c r="DM3" s="14" t="s">
        <v>31</v>
      </c>
      <c r="DN3" s="14" t="s">
        <v>32</v>
      </c>
      <c r="DO3" s="14" t="s">
        <v>15</v>
      </c>
      <c r="DP3" s="14" t="s">
        <v>10</v>
      </c>
      <c r="DQ3" s="14" t="s">
        <v>31</v>
      </c>
      <c r="DR3" s="14" t="s">
        <v>32</v>
      </c>
      <c r="DS3" s="14" t="s">
        <v>15</v>
      </c>
      <c r="DT3" s="14" t="s">
        <v>10</v>
      </c>
      <c r="DU3" s="14" t="s">
        <v>31</v>
      </c>
      <c r="DV3" s="14" t="s">
        <v>32</v>
      </c>
      <c r="DW3" s="15" t="s">
        <v>15</v>
      </c>
      <c r="DX3" s="15" t="s">
        <v>10</v>
      </c>
      <c r="DY3" s="15" t="s">
        <v>31</v>
      </c>
      <c r="DZ3" s="15" t="s">
        <v>32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31</v>
      </c>
      <c r="EL3" s="13" t="s">
        <v>32</v>
      </c>
      <c r="EM3" s="13" t="s">
        <v>15</v>
      </c>
      <c r="EN3" s="13" t="s">
        <v>10</v>
      </c>
      <c r="EO3" s="13" t="s">
        <v>31</v>
      </c>
      <c r="EP3" s="13" t="s">
        <v>32</v>
      </c>
      <c r="EQ3" s="13" t="s">
        <v>15</v>
      </c>
      <c r="ER3" s="13" t="s">
        <v>10</v>
      </c>
      <c r="ES3" s="13" t="s">
        <v>31</v>
      </c>
      <c r="ET3" s="13" t="s">
        <v>32</v>
      </c>
      <c r="EU3" s="13" t="s">
        <v>15</v>
      </c>
      <c r="EV3" s="13" t="s">
        <v>10</v>
      </c>
      <c r="EW3" s="13" t="s">
        <v>31</v>
      </c>
      <c r="EX3" s="13" t="s">
        <v>32</v>
      </c>
      <c r="EY3" s="16" t="s">
        <v>15</v>
      </c>
      <c r="EZ3" s="16" t="s">
        <v>10</v>
      </c>
      <c r="FA3" s="16" t="s">
        <v>31</v>
      </c>
      <c r="FB3" s="16" t="s">
        <v>32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31</v>
      </c>
      <c r="FN3" s="14" t="s">
        <v>32</v>
      </c>
      <c r="FO3" s="14" t="s">
        <v>15</v>
      </c>
      <c r="FP3" s="14" t="s">
        <v>10</v>
      </c>
      <c r="FQ3" s="14" t="s">
        <v>31</v>
      </c>
      <c r="FR3" s="14" t="s">
        <v>32</v>
      </c>
      <c r="FS3" s="14" t="s">
        <v>15</v>
      </c>
      <c r="FT3" s="14" t="s">
        <v>10</v>
      </c>
      <c r="FU3" s="14" t="s">
        <v>31</v>
      </c>
      <c r="FV3" s="14" t="s">
        <v>32</v>
      </c>
      <c r="FW3" s="14" t="s">
        <v>15</v>
      </c>
      <c r="FX3" s="14" t="s">
        <v>10</v>
      </c>
      <c r="FY3" s="14" t="s">
        <v>31</v>
      </c>
      <c r="FZ3" s="14" t="s">
        <v>32</v>
      </c>
      <c r="GA3" s="15" t="s">
        <v>15</v>
      </c>
      <c r="GB3" s="15" t="s">
        <v>10</v>
      </c>
      <c r="GC3" s="15" t="s">
        <v>31</v>
      </c>
      <c r="GD3" s="15" t="s">
        <v>32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31</v>
      </c>
      <c r="GP3" s="13" t="s">
        <v>32</v>
      </c>
      <c r="GQ3" s="13" t="s">
        <v>15</v>
      </c>
      <c r="GR3" s="13" t="s">
        <v>10</v>
      </c>
      <c r="GS3" s="13" t="s">
        <v>31</v>
      </c>
      <c r="GT3" s="13" t="s">
        <v>32</v>
      </c>
      <c r="GU3" s="13" t="s">
        <v>15</v>
      </c>
      <c r="GV3" s="13" t="s">
        <v>10</v>
      </c>
      <c r="GW3" s="13" t="s">
        <v>31</v>
      </c>
      <c r="GX3" s="13" t="s">
        <v>32</v>
      </c>
      <c r="GY3" s="13" t="s">
        <v>15</v>
      </c>
      <c r="GZ3" s="13" t="s">
        <v>10</v>
      </c>
      <c r="HA3" s="13" t="s">
        <v>31</v>
      </c>
      <c r="HB3" s="13" t="s">
        <v>32</v>
      </c>
      <c r="HC3" s="16" t="s">
        <v>15</v>
      </c>
      <c r="HD3" s="16" t="s">
        <v>10</v>
      </c>
      <c r="HE3" s="16" t="s">
        <v>31</v>
      </c>
      <c r="HF3" s="16" t="s">
        <v>32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31</v>
      </c>
      <c r="HR3" s="14" t="s">
        <v>32</v>
      </c>
      <c r="HS3" s="14" t="s">
        <v>15</v>
      </c>
      <c r="HT3" s="14" t="s">
        <v>10</v>
      </c>
      <c r="HU3" s="14" t="s">
        <v>31</v>
      </c>
      <c r="HV3" s="14" t="s">
        <v>32</v>
      </c>
      <c r="HW3" s="14" t="s">
        <v>15</v>
      </c>
      <c r="HX3" s="14" t="s">
        <v>10</v>
      </c>
      <c r="HY3" s="14" t="s">
        <v>31</v>
      </c>
      <c r="HZ3" s="14" t="s">
        <v>32</v>
      </c>
      <c r="IA3" s="14" t="s">
        <v>15</v>
      </c>
      <c r="IB3" s="14" t="s">
        <v>10</v>
      </c>
      <c r="IC3" s="14" t="s">
        <v>31</v>
      </c>
      <c r="ID3" s="14" t="s">
        <v>32</v>
      </c>
      <c r="IE3" s="15" t="s">
        <v>15</v>
      </c>
      <c r="IF3" s="15" t="s">
        <v>10</v>
      </c>
      <c r="IG3" s="15" t="s">
        <v>31</v>
      </c>
      <c r="IH3" s="15" t="s">
        <v>32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31</v>
      </c>
      <c r="IT3" s="13" t="s">
        <v>32</v>
      </c>
      <c r="IU3" s="13" t="s">
        <v>15</v>
      </c>
      <c r="IV3" s="13" t="s">
        <v>10</v>
      </c>
      <c r="IW3" s="13" t="s">
        <v>31</v>
      </c>
      <c r="IX3" s="13" t="s">
        <v>32</v>
      </c>
      <c r="IY3" s="13" t="s">
        <v>15</v>
      </c>
      <c r="IZ3" s="13" t="s">
        <v>10</v>
      </c>
      <c r="JA3" s="13" t="s">
        <v>31</v>
      </c>
      <c r="JB3" s="13" t="s">
        <v>32</v>
      </c>
      <c r="JC3" s="13" t="s">
        <v>15</v>
      </c>
      <c r="JD3" s="13" t="s">
        <v>10</v>
      </c>
      <c r="JE3" s="13" t="s">
        <v>31</v>
      </c>
      <c r="JF3" s="13" t="s">
        <v>32</v>
      </c>
      <c r="JG3" s="16" t="s">
        <v>15</v>
      </c>
      <c r="JH3" s="16" t="s">
        <v>10</v>
      </c>
      <c r="JI3" s="16" t="s">
        <v>31</v>
      </c>
      <c r="JJ3" s="16" t="s">
        <v>32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31</v>
      </c>
      <c r="JV3" s="14" t="s">
        <v>32</v>
      </c>
      <c r="JW3" s="14" t="s">
        <v>15</v>
      </c>
      <c r="JX3" s="14" t="s">
        <v>10</v>
      </c>
      <c r="JY3" s="14" t="s">
        <v>31</v>
      </c>
      <c r="JZ3" s="14" t="s">
        <v>32</v>
      </c>
      <c r="KA3" s="14" t="s">
        <v>15</v>
      </c>
      <c r="KB3" s="14" t="s">
        <v>10</v>
      </c>
      <c r="KC3" s="14" t="s">
        <v>31</v>
      </c>
      <c r="KD3" s="14" t="s">
        <v>32</v>
      </c>
      <c r="KE3" s="14" t="s">
        <v>15</v>
      </c>
      <c r="KF3" s="14" t="s">
        <v>10</v>
      </c>
      <c r="KG3" s="14" t="s">
        <v>31</v>
      </c>
      <c r="KH3" s="14" t="s">
        <v>32</v>
      </c>
      <c r="KI3" s="15" t="s">
        <v>15</v>
      </c>
      <c r="KJ3" s="15" t="s">
        <v>10</v>
      </c>
      <c r="KK3" s="15" t="s">
        <v>31</v>
      </c>
      <c r="KL3" s="15" t="s">
        <v>32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31</v>
      </c>
      <c r="KX3" s="13" t="s">
        <v>32</v>
      </c>
      <c r="KY3" s="13" t="s">
        <v>15</v>
      </c>
      <c r="KZ3" s="13" t="s">
        <v>10</v>
      </c>
      <c r="LA3" s="13" t="s">
        <v>31</v>
      </c>
      <c r="LB3" s="13" t="s">
        <v>32</v>
      </c>
      <c r="LC3" s="13" t="s">
        <v>15</v>
      </c>
      <c r="LD3" s="13" t="s">
        <v>10</v>
      </c>
      <c r="LE3" s="13" t="s">
        <v>31</v>
      </c>
      <c r="LF3" s="13" t="s">
        <v>32</v>
      </c>
      <c r="LG3" s="13" t="s">
        <v>15</v>
      </c>
      <c r="LH3" s="13" t="s">
        <v>10</v>
      </c>
      <c r="LI3" s="13" t="s">
        <v>31</v>
      </c>
      <c r="LJ3" s="13" t="s">
        <v>32</v>
      </c>
      <c r="LK3" s="16" t="s">
        <v>15</v>
      </c>
      <c r="LL3" s="16" t="s">
        <v>10</v>
      </c>
      <c r="LM3" s="16" t="s">
        <v>31</v>
      </c>
      <c r="LN3" s="16" t="s">
        <v>32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31</v>
      </c>
      <c r="LZ3" s="14" t="s">
        <v>32</v>
      </c>
      <c r="MA3" s="14" t="s">
        <v>15</v>
      </c>
      <c r="MB3" s="14" t="s">
        <v>10</v>
      </c>
      <c r="MC3" s="14" t="s">
        <v>31</v>
      </c>
      <c r="MD3" s="14" t="s">
        <v>32</v>
      </c>
      <c r="ME3" s="14" t="s">
        <v>15</v>
      </c>
      <c r="MF3" s="14" t="s">
        <v>10</v>
      </c>
      <c r="MG3" s="14" t="s">
        <v>31</v>
      </c>
      <c r="MH3" s="14" t="s">
        <v>32</v>
      </c>
      <c r="MI3" s="14" t="s">
        <v>15</v>
      </c>
      <c r="MJ3" s="14" t="s">
        <v>10</v>
      </c>
      <c r="MK3" s="14" t="s">
        <v>31</v>
      </c>
      <c r="ML3" s="14" t="s">
        <v>32</v>
      </c>
      <c r="MM3" s="15" t="s">
        <v>15</v>
      </c>
      <c r="MN3" s="15" t="s">
        <v>10</v>
      </c>
      <c r="MO3" s="15" t="s">
        <v>31</v>
      </c>
      <c r="MP3" s="15" t="s">
        <v>32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31</v>
      </c>
      <c r="NB3" s="13" t="s">
        <v>32</v>
      </c>
      <c r="NC3" s="13" t="s">
        <v>15</v>
      </c>
      <c r="ND3" s="13" t="s">
        <v>10</v>
      </c>
      <c r="NE3" s="13" t="s">
        <v>31</v>
      </c>
      <c r="NF3" s="13" t="s">
        <v>32</v>
      </c>
      <c r="NG3" s="13" t="s">
        <v>15</v>
      </c>
      <c r="NH3" s="13" t="s">
        <v>10</v>
      </c>
      <c r="NI3" s="13" t="s">
        <v>31</v>
      </c>
      <c r="NJ3" s="13" t="s">
        <v>32</v>
      </c>
      <c r="NK3" s="13" t="s">
        <v>15</v>
      </c>
      <c r="NL3" s="13" t="s">
        <v>10</v>
      </c>
      <c r="NM3" s="13" t="s">
        <v>31</v>
      </c>
      <c r="NN3" s="13" t="s">
        <v>32</v>
      </c>
      <c r="NO3" s="16" t="s">
        <v>15</v>
      </c>
      <c r="NP3" s="16" t="s">
        <v>10</v>
      </c>
      <c r="NQ3" s="16" t="s">
        <v>31</v>
      </c>
      <c r="NR3" s="16" t="s">
        <v>32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31</v>
      </c>
      <c r="OD3" s="14" t="s">
        <v>32</v>
      </c>
      <c r="OE3" s="14" t="s">
        <v>15</v>
      </c>
      <c r="OF3" s="14" t="s">
        <v>10</v>
      </c>
      <c r="OG3" s="14" t="s">
        <v>31</v>
      </c>
      <c r="OH3" s="14" t="s">
        <v>32</v>
      </c>
      <c r="OI3" s="14" t="s">
        <v>15</v>
      </c>
      <c r="OJ3" s="14" t="s">
        <v>10</v>
      </c>
      <c r="OK3" s="14" t="s">
        <v>31</v>
      </c>
      <c r="OL3" s="14" t="s">
        <v>32</v>
      </c>
      <c r="OM3" s="14" t="s">
        <v>15</v>
      </c>
      <c r="ON3" s="14" t="s">
        <v>10</v>
      </c>
      <c r="OO3" s="14" t="s">
        <v>31</v>
      </c>
      <c r="OP3" s="14" t="s">
        <v>32</v>
      </c>
      <c r="OQ3" s="15" t="s">
        <v>15</v>
      </c>
      <c r="OR3" s="15" t="s">
        <v>10</v>
      </c>
      <c r="OS3" s="15" t="s">
        <v>31</v>
      </c>
      <c r="OT3" s="15" t="s">
        <v>32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31</v>
      </c>
      <c r="PF3" s="13" t="s">
        <v>32</v>
      </c>
      <c r="PG3" s="13" t="s">
        <v>15</v>
      </c>
      <c r="PH3" s="13" t="s">
        <v>10</v>
      </c>
      <c r="PI3" s="13" t="s">
        <v>31</v>
      </c>
      <c r="PJ3" s="13" t="s">
        <v>32</v>
      </c>
      <c r="PK3" s="13" t="s">
        <v>15</v>
      </c>
      <c r="PL3" s="13" t="s">
        <v>10</v>
      </c>
      <c r="PM3" s="13" t="s">
        <v>31</v>
      </c>
      <c r="PN3" s="13" t="s">
        <v>32</v>
      </c>
      <c r="PO3" s="13" t="s">
        <v>15</v>
      </c>
      <c r="PP3" s="13" t="s">
        <v>10</v>
      </c>
      <c r="PQ3" s="13" t="s">
        <v>31</v>
      </c>
      <c r="PR3" s="13" t="s">
        <v>32</v>
      </c>
      <c r="PS3" s="16" t="s">
        <v>15</v>
      </c>
      <c r="PT3" s="16" t="s">
        <v>10</v>
      </c>
      <c r="PU3" s="16" t="s">
        <v>31</v>
      </c>
      <c r="PV3" s="16" t="s">
        <v>32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31</v>
      </c>
      <c r="QH3" s="14" t="s">
        <v>32</v>
      </c>
      <c r="QI3" s="14" t="s">
        <v>15</v>
      </c>
      <c r="QJ3" s="14" t="s">
        <v>10</v>
      </c>
      <c r="QK3" s="14" t="s">
        <v>31</v>
      </c>
      <c r="QL3" s="14" t="s">
        <v>32</v>
      </c>
      <c r="QM3" s="14" t="s">
        <v>15</v>
      </c>
      <c r="QN3" s="14" t="s">
        <v>10</v>
      </c>
      <c r="QO3" s="14" t="s">
        <v>31</v>
      </c>
      <c r="QP3" s="14" t="s">
        <v>32</v>
      </c>
      <c r="QQ3" s="14" t="s">
        <v>15</v>
      </c>
      <c r="QR3" s="14" t="s">
        <v>10</v>
      </c>
      <c r="QS3" s="14" t="s">
        <v>31</v>
      </c>
      <c r="QT3" s="14" t="s">
        <v>32</v>
      </c>
      <c r="QU3" s="21" t="s">
        <v>15</v>
      </c>
      <c r="QV3" s="21" t="s">
        <v>10</v>
      </c>
      <c r="QW3" s="21" t="s">
        <v>31</v>
      </c>
      <c r="QX3" s="21" t="s">
        <v>32</v>
      </c>
      <c r="QY3" s="14" t="s">
        <v>57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IF(AND(F4="P",G4="P"),SUMPRODUCT((F$4:F$18="P")*(G$4:G$18="P")*(E$4:E$18&gt;E4))+1,IF(G4="P",SUMPRODUCT((F$4:F$18="")*(G$4:G$18="P")*(E$4:E$18&gt;E4))+1+SUMPRODUCT((F$4:F$18="P")*(G$4:G$18="P")),""))</f>
        <v>1</v>
      </c>
      <c r="B4" s="5" t="s">
        <v>75</v>
      </c>
      <c r="C4" s="4" t="s">
        <v>6</v>
      </c>
      <c r="D4" s="4">
        <v>2001</v>
      </c>
      <c r="E4" s="9">
        <f t="shared" ref="E4:E17" si="0">SUM(J4:R4)+SUM(J4:N4)*0.0000001+SUM(J4)*0.0000000000001</f>
        <v>180.10001270000512</v>
      </c>
      <c r="F4" s="3" t="str">
        <f t="shared" ref="F4:F17" si="1">IF(OR(AND(AP4&gt;=AW$20,AQ4&gt;=AW$24,AP4&lt;&gt;"",AO4=""),AND(AU4&gt;=AW$20,AV4&gt;=AW$24,AU4&lt;&gt;"",AO4=""),AND(BS4&gt;=BZ$20,BT4&gt;=BZ$24,BS4&lt;&gt;"",BR4=""),AND(BX4&gt;=BZ$20,BY4&gt;=BZ$24,BX4&lt;&gt;"",BR4=""),AND(CV4&gt;=DC$20,CW4&gt;=DC$24,CV4&lt;&gt;"",CU4=""),AND(DA4&gt;=DC$20,DB4&gt;=DC$24,DA4&lt;&gt;""),AND(EA4&gt;=EH$20,EB4&gt;=EH$24,EA4&lt;&gt;""),AND(EF4&gt;=EH$20,EG4&gt;=EH$24,EF4&lt;&gt;""),AND(FC4&gt;=FJ$20,FD4&gt;=FJ$24,FC4&lt;&gt;""),AND(FH4&gt;=FJ$20,FI4&gt;=FJ$24,FH4&lt;&gt;""),AND(GE4&gt;=GL$20,GF4&gt;=GL$24,GE4&lt;&gt;""),AND(GJ4&gt;=GL$20,GK4&gt;=GL$24,GJ4&lt;&gt;""),AND(HG4&gt;=HN$20,HH4&gt;=HN$24,HG4&lt;&gt;""),AND(HL4&gt;=HN$20,HM4&gt;=HN$24,HL4&lt;&gt;""),AND(II4&gt;=IP$20,IJ4&gt;=IP$24,II4&lt;&gt;""),AND(IN4&gt;=IP$20,IO4&gt;=IP$24,IN4&lt;&gt;""),AND(JK4&gt;=JR$20,JL4&gt;=JR$24,JK4&lt;&gt;""),AND(JP4&gt;=JR$20,JQ4&gt;=JR$24,JP4&lt;&gt;""),AND(KM4&gt;=KT$20,KN4&gt;=KT$24,KM4&lt;&gt;""),AND(KR4&gt;=KT$20,KS4&gt;=KT$24,KR4&lt;&gt;""),AND(LO4&gt;=LV$20,LP4&gt;=LV$24,LO4&lt;&gt;""),AND(LT4&gt;=LV$20,LU4&gt;=LV$24,LT4&lt;&gt;""),AND(MQ4&gt;=MX$20,MR4&gt;=MX$24,MQ4&lt;&gt;""),AND(MV4&gt;=MX$20,MW4&gt;=MX$24,MV4&lt;&gt;""),AND(NS4&gt;=NZ$20,NT4&gt;=NZ$24,NS4&lt;&gt;""),AND(NX4&gt;=NZ$20,NY4&gt;=NZ$24,NX4&lt;&gt;""),AND(OU4&gt;=PB$20,OV4&gt;=PB$24,OU4&lt;&gt;""),AND(OZ4&gt;=PB$20,PA4&gt;=PB$24,OZ4&lt;&gt;""),AND(PW4&gt;=QD$20,PX4&gt;=QD$24,PW4&lt;&gt;""),AND(QB4&gt;=QD$20,QC4&gt;=QD$24,QB4&lt;&gt;"")),"P","")</f>
        <v>P</v>
      </c>
      <c r="G4" s="3" t="str">
        <f t="shared" ref="G4:G17" si="2">IF(OR(AND(AQ4&gt;=AW$24,AQ4&lt;&gt;"",AO4=""),AND(AV4&gt;=AW$24,AV4&lt;&gt;"",AO4=""),AND(BT4&gt;=BZ$24,BT4&lt;&gt;"",BR4=""),AND(BY4&gt;=BZ$24,BY4&lt;&gt;"",BR4=""),AND(CW4&gt;=DC$24,CW4&lt;&gt;"",CU4=""),AND(DB4&gt;=DC$24,DB4&lt;&gt;"",CU4=""),AND(EB4&gt;=EH$24,EB4&lt;&gt;""),AND(EG4&gt;=EH$24,EG4&lt;&gt;""),AND(FD4&gt;=FJ$24,FD4&lt;&gt;""),AND(FI4&gt;=FJ$24,FI4&lt;&gt;""),AND(GF4&gt;=GL$24,GF4&lt;&gt;""),AND(GK4&gt;=GL$24,GK4&lt;&gt;""),AND(HH4&gt;=HN$24,HH4&lt;&gt;""),AND(HM4&gt;=HN$24,HM4&lt;&gt;""),AND(IJ4&gt;=IP$24,IJ4&lt;&gt;""),AND(IO4&gt;=IP$24,IO4&lt;&gt;""),AND(JL4&gt;=JR$24,JL4&lt;&gt;""),AND(JQ4&gt;=JR$24,JQ4&lt;&gt;""),AND(KN4&gt;=KT$24,KN4&lt;&gt;""),AND(KS4&gt;=KT$24,KS4&lt;&gt;""),AND(LP4&gt;=LV$24,LP4&lt;&gt;""),AND(LU4&gt;=LV$24,LU4&lt;&gt;""),AND(MR4&gt;=MX$24,MR4&lt;&gt;""),AND(MW4&gt;=MX$24,MW4&lt;&gt;""),AND(NT4&gt;=NZ$24,NT4&lt;&gt;""),AND(NY4&gt;=NZ$24,NY4&lt;&gt;""),AND(OV4&gt;=PB$24,OV4&lt;&gt;""),AND(PA4&gt;=PB$24,PA4&lt;&gt;""),AND(PX4&gt;=QD$24,PX4&lt;&gt;""),AND(QC4&gt;=QD$24,QC4&lt;&gt;"")),"P","")</f>
        <v>P</v>
      </c>
      <c r="H4" s="37" t="str">
        <f t="shared" ref="H4:H17" si="3">IF(AND(G4="P",F4=""),"No DD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Merit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Excellence",IF(I4="P","Worlds Team",IF(F4="P","National Team","")))))</f>
        <v>Merit</v>
      </c>
      <c r="I4" s="3" t="str">
        <f t="shared" ref="I4:I17" si="4">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P","")</f>
        <v>P</v>
      </c>
      <c r="J4" s="8">
        <f>IF(COUNT(AQ4,BT4,CW4)&gt;0,LARGE((AQ4,BT4,CW4),1),0)</f>
        <v>51.099999999999994</v>
      </c>
      <c r="K4" s="8" t="str">
        <f t="shared" ref="K4:K17" si="5">IF(J4=0,"",IF(J4=CW4,$CA$1,IF(J4=BT4,$AX$1,IF(J4=AQ4,$U$1,""))))</f>
        <v>2022 Nationals</v>
      </c>
      <c r="L4" s="8">
        <f>IF(COUNT(AQ4,BT4,CW4)&gt;1,LARGE((AQ4,BT4,CW4),2),0)</f>
        <v>50.8</v>
      </c>
      <c r="M4" s="8" t="str">
        <f t="shared" ref="M4:M17" si="6">IF(L4=0,"",IF(L4=CW4,$CA$1,IF(L4=BT4,$AX$1,IF(L4=AQ4,$U$1,""))))</f>
        <v>2023 Elite Canada</v>
      </c>
      <c r="N4" s="8">
        <f>IF(COUNT(AR4,BU4,CX4)&gt;0,LARGE((AR4,BU4,CX4),1),0)</f>
        <v>25.099999999999998</v>
      </c>
      <c r="O4" s="8" t="str">
        <f t="shared" ref="O4:O17" si="7">IF(N4=0,"",IF(N4=CX4,$CA$1,IF(N4=BU4,$AX$1,IF(N4=AR4,$U$1,""))))</f>
        <v>2022 Nationals</v>
      </c>
      <c r="P4" s="8">
        <f t="shared" ref="P4:P17" si="8">IF(MAX(AV4,BY4,DB4)&gt;0,MAX(AV4,BY4,DB4),0)</f>
        <v>53.1</v>
      </c>
      <c r="Q4" s="8" t="str">
        <f t="shared" ref="Q4:Q17" si="9">IF(P4=0,"",IF(P4=DB4,$CA$1,IF(P4=BY4,$AX$1,IF(P4=AV4,$U$1,""))))</f>
        <v>2023 Elite Canada</v>
      </c>
      <c r="R4" s="8" t="str">
        <f t="shared" ref="R4:R17" si="10">IF(MAX(DD4:DF4)&gt;0,MAX(DD4:DF4),"")</f>
        <v/>
      </c>
      <c r="S4" s="11" t="str">
        <f t="shared" ref="S4:S17" si="11">IF(R4="","",IF(R4=DD4,"("&amp;DD$2&amp;")",IF(R4=DE4,"("&amp;DE$2&amp;")",IF(R4=DF4,"("&amp;DF$2&amp;")"))))</f>
        <v/>
      </c>
      <c r="T4" s="8" t="str">
        <f t="shared" ref="T4:T17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6.8</v>
      </c>
      <c r="W4" s="19">
        <v>0.2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6.4</v>
      </c>
      <c r="AE4" s="19">
        <v>0</v>
      </c>
      <c r="AF4" s="19">
        <v>0.3</v>
      </c>
      <c r="AG4" s="19">
        <v>0</v>
      </c>
      <c r="AH4" s="19">
        <v>0</v>
      </c>
      <c r="AI4" s="19">
        <v>0</v>
      </c>
      <c r="AJ4" s="19">
        <v>0</v>
      </c>
      <c r="AK4" s="19">
        <v>18.5</v>
      </c>
      <c r="AL4" s="19">
        <v>8.4</v>
      </c>
      <c r="AM4" s="19">
        <v>0</v>
      </c>
      <c r="AN4" s="19">
        <v>0.6</v>
      </c>
      <c r="AO4" s="28"/>
      <c r="AP4" s="41">
        <f t="shared" ref="AP4:AP17" si="13">IF(SUM(V4,Z4)&gt;0,SUM(V4,Z4),"")</f>
        <v>13.6</v>
      </c>
      <c r="AQ4" s="41">
        <f t="shared" ref="AQ4:AQ17" si="14">IF(SUM(U4:V4,X4:Z4,AB4)-W4-AA4&gt;0,SUM(U4:V4,X4:Z4,AB4)-W4-AA4,"")</f>
        <v>51.099999999999994</v>
      </c>
      <c r="AR4" s="41">
        <f t="shared" ref="AR4:AR17" si="15">IF(SUM(AC4:AD4,AF4)-AE4&gt;0,SUM(AC4:AD4,AF4)-AE4,"")</f>
        <v>25.099999999999998</v>
      </c>
      <c r="AS4" s="41">
        <f t="shared" ref="AS4:AS17" si="16">IF(SUM(V4,Z4,AD4)&gt;0,SUM(V4,Z4,AD4),"")</f>
        <v>20</v>
      </c>
      <c r="AT4" s="41">
        <f t="shared" ref="AT4:AT17" si="17">IF(SUM(AQ4,AR4)&gt;0,SUM(AQ4,AR4),"")</f>
        <v>76.199999999999989</v>
      </c>
      <c r="AU4" s="41">
        <f t="shared" ref="AU4:AU17" si="18">IF(SUM(AH4,AL4)&gt;0,SUM(AH4,AL4),"")</f>
        <v>8.4</v>
      </c>
      <c r="AV4" s="41">
        <f t="shared" ref="AV4:AV17" si="19">IF(SUM(AG4:AH4,AJ4:AL4,AN4)-SUM(AI4,AM4)&gt;0,SUM(AG4:AH4,AJ4:AL4,AN4)-SUM(AI4,AM4),"")</f>
        <v>27.5</v>
      </c>
      <c r="AW4" s="41">
        <f t="shared" ref="AW4:AW17" si="20">IF(SUM(AQ4,AV4)&gt;0,SUM(AQ4,AV4),"")</f>
        <v>78.599999999999994</v>
      </c>
      <c r="AX4" s="18">
        <v>18.899999999999999</v>
      </c>
      <c r="AY4" s="18">
        <v>6</v>
      </c>
      <c r="AZ4" s="18">
        <v>0.2</v>
      </c>
      <c r="BA4" s="18">
        <v>0.3</v>
      </c>
      <c r="BB4" s="18">
        <v>19</v>
      </c>
      <c r="BC4" s="18">
        <v>6.4</v>
      </c>
      <c r="BD4" s="18">
        <v>0</v>
      </c>
      <c r="BE4" s="18">
        <v>0</v>
      </c>
      <c r="BF4" s="18">
        <v>18.399999999999999</v>
      </c>
      <c r="BG4" s="18">
        <v>6.8</v>
      </c>
      <c r="BH4" s="18">
        <v>0.6</v>
      </c>
      <c r="BI4" s="18">
        <v>0.3</v>
      </c>
      <c r="BJ4" s="18">
        <v>18.600000000000001</v>
      </c>
      <c r="BK4" s="18">
        <v>6.8</v>
      </c>
      <c r="BL4" s="18">
        <v>0.2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 t="shared" ref="BS4:BS17" si="21">IF(SUM(AY4,BC4)&gt;0,SUM(AY4,BC4),"")</f>
        <v>12.4</v>
      </c>
      <c r="BT4" s="11">
        <f t="shared" ref="BT4:BT17" si="22">IF(SUM(AX4:AY4,BA4:BC4,BE4)-AZ4-BD4&gt;0,SUM(AX4:AY4,BA4:BC4,BE4)-AZ4-BD4,"")</f>
        <v>50.4</v>
      </c>
      <c r="BU4" s="11">
        <f t="shared" ref="BU4:BU17" si="23">IF(SUM(BF4:BG4,BI4)-BH4&gt;0,SUM(BF4:BG4,BI4)-BH4,"")</f>
        <v>24.9</v>
      </c>
      <c r="BV4" s="11">
        <f t="shared" ref="BV4:BV17" si="24">IF(SUM(AY4,BC4,BG4)&gt;0,SUM(AY4,BC4,BG4),"")</f>
        <v>19.2</v>
      </c>
      <c r="BW4" s="11">
        <f t="shared" ref="BW4:BW17" si="25">IF(SUM(BT4,BU4)&gt;0,SUM(BT4,BU4),"")</f>
        <v>75.3</v>
      </c>
      <c r="BX4" s="11">
        <f t="shared" ref="BX4:BX17" si="26">IF(SUM(BK4,BO4)&gt;0,SUM(BK4,BO4),"")</f>
        <v>14</v>
      </c>
      <c r="BY4" s="11">
        <f t="shared" ref="BY4:BY17" si="27">IF(SUM(BJ4:BK4,BM4:BO4,BQ4)-SUM(BL4,BP4)&gt;0,SUM(BJ4:BK4,BM4:BO4,BQ4)-SUM(BL4,BP4),"")</f>
        <v>51.8</v>
      </c>
      <c r="BZ4" s="11">
        <f t="shared" ref="BZ4:BZ17" si="28">IF(SUM(BT4,BY4)&gt;0,SUM(BT4,BY4),"")</f>
        <v>102.19999999999999</v>
      </c>
      <c r="CA4" s="19">
        <v>18.600000000000001</v>
      </c>
      <c r="CB4" s="19">
        <v>6.8</v>
      </c>
      <c r="CC4" s="19">
        <v>0.2</v>
      </c>
      <c r="CD4" s="19">
        <v>0.3</v>
      </c>
      <c r="CE4" s="19">
        <v>18.899999999999999</v>
      </c>
      <c r="CF4" s="19">
        <v>6.4</v>
      </c>
      <c r="CG4" s="19">
        <v>0</v>
      </c>
      <c r="CH4" s="19">
        <v>0</v>
      </c>
      <c r="CI4" s="19">
        <v>18.600000000000001</v>
      </c>
      <c r="CJ4" s="19">
        <v>6</v>
      </c>
      <c r="CK4" s="19">
        <v>0</v>
      </c>
      <c r="CL4" s="19">
        <v>0.3</v>
      </c>
      <c r="CM4" s="19">
        <v>19</v>
      </c>
      <c r="CN4" s="19">
        <v>7.6</v>
      </c>
      <c r="CO4" s="19">
        <v>0</v>
      </c>
      <c r="CP4" s="19">
        <v>0.3</v>
      </c>
      <c r="CQ4" s="19">
        <v>18.600000000000001</v>
      </c>
      <c r="CR4" s="19">
        <v>7.6</v>
      </c>
      <c r="CS4" s="19">
        <v>0.6</v>
      </c>
      <c r="CT4" s="19">
        <v>0.6</v>
      </c>
      <c r="CU4" s="28"/>
      <c r="CV4" s="41">
        <f t="shared" ref="CV4:CV17" si="29">IF(SUM(CB4,CF4)&gt;0,SUM(CB4,CF4),"")</f>
        <v>13.2</v>
      </c>
      <c r="CW4" s="41">
        <f t="shared" ref="CW4:CW17" si="30">IF(SUM(CA4:CB4,CD4:CF4,CH4)-CC4-CG4&gt;0,SUM(CA4:CB4,CD4:CF4,CH4)-CC4-CG4,"")</f>
        <v>50.8</v>
      </c>
      <c r="CX4" s="41">
        <f t="shared" ref="CX4:CX17" si="31">IF(SUM(CI4:CJ4,CL4)-CK4&gt;0,SUM(CI4:CJ4,CL4)-CK4,"")</f>
        <v>24.900000000000002</v>
      </c>
      <c r="CY4" s="41">
        <f t="shared" ref="CY4:CY17" si="32">IF(SUM(CB4,CF4,CJ4)&gt;0,SUM(CB4,CF4,CJ4),"")</f>
        <v>19.2</v>
      </c>
      <c r="CZ4" s="41">
        <f t="shared" ref="CZ4:CZ17" si="33">IF(SUM(CW4,CX4)&gt;0,SUM(CW4,CX4),"")</f>
        <v>75.7</v>
      </c>
      <c r="DA4" s="41">
        <f t="shared" ref="DA4:DA17" si="34">IF(SUM(CN4,CR4)&gt;0,SUM(CN4,CR4),"")</f>
        <v>15.2</v>
      </c>
      <c r="DB4" s="41">
        <f t="shared" ref="DB4:DB17" si="35">IF(SUM(CM4:CN4,CP4:CR4,CT4)-SUM(CO4,CS4)&gt;0,SUM(CM4:CN4,CP4:CR4,CT4)-SUM(CO4,CS4),"")</f>
        <v>53.1</v>
      </c>
      <c r="DC4" s="41">
        <f t="shared" ref="DC4:DC17" si="36">IF(SUM(CW4,DB4)&gt;0,SUM(CW4,DB4),"")</f>
        <v>103.9</v>
      </c>
      <c r="DD4" s="52" t="str">
        <f t="shared" ref="DD4:DD17" si="37">IF(MAX(EB4,FD4,GF4,HH4,IJ4,JL4,KN4,LP4,MR4,NT4,OV4,PX4)-IF(L4="",0,L4)&gt;0.001,MAX(EB4,FD4,GF4,HH4,IJ4,JL4,KN4,LP4,MR4,NT4,OV4,PX4)-IF(L4="",0,L4),"")</f>
        <v/>
      </c>
      <c r="DE4" s="52" t="str">
        <f t="shared" ref="DE4:DE17" si="38">IF(MAX(EC4,FE4,GG4,HI4,IK4,JM4,KO4,LQ4,MS4,NU4,OW4,PY4)-IF(N4="",0,N4)&gt;0.001,MAX(EC4,FE4,GG4,HI4,IK4,JM4,KO4,LQ4,MS4,NU4,OW4,PY4)-IF(N4="",0,N4),"")</f>
        <v/>
      </c>
      <c r="DF4" s="52" t="str">
        <f t="shared" ref="DF4:DF17" si="39"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6</v>
      </c>
      <c r="DI4" s="17">
        <v>0</v>
      </c>
      <c r="DJ4" s="17">
        <v>0.3</v>
      </c>
      <c r="DK4" s="17">
        <v>18.8</v>
      </c>
      <c r="DL4" s="17">
        <v>6.8</v>
      </c>
      <c r="DM4" s="17">
        <v>0</v>
      </c>
      <c r="DN4" s="17">
        <v>0.3</v>
      </c>
      <c r="DO4" s="17"/>
      <c r="DP4" s="17"/>
      <c r="DQ4" s="17"/>
      <c r="DR4" s="17"/>
      <c r="DS4" s="17">
        <v>18.7</v>
      </c>
      <c r="DT4" s="17">
        <v>6.8</v>
      </c>
      <c r="DU4" s="17">
        <v>0.2</v>
      </c>
      <c r="DV4" s="17">
        <v>0.3</v>
      </c>
      <c r="DW4" s="17">
        <v>18</v>
      </c>
      <c r="DX4" s="17">
        <v>6.4</v>
      </c>
      <c r="DY4" s="17">
        <v>0.2</v>
      </c>
      <c r="DZ4" s="17">
        <v>0.3</v>
      </c>
      <c r="EA4" s="41">
        <f t="shared" ref="EA4:EA17" si="40">IF(SUM(DH4,DL4)&gt;0,SUM(DH4,DL4),"")</f>
        <v>12.8</v>
      </c>
      <c r="EB4" s="41">
        <f t="shared" ref="EB4:EB17" si="41">IF(SUM(DG4:DH4,DJ4:DL4,DN4)-DI4-DM4&gt;0,SUM(DG4:DH4,DJ4:DL4,DN4)-DI4-DM4,"")</f>
        <v>50.599999999999994</v>
      </c>
      <c r="EC4" s="41" t="str">
        <f t="shared" ref="EC4:EC17" si="42">IF(SUM(DO4:DP4,DR4)-DQ4&gt;0,SUM(DO4:DP4,DR4)-DQ4,"")</f>
        <v/>
      </c>
      <c r="ED4" s="41">
        <f t="shared" ref="ED4:ED17" si="43">IF(SUM(DH4,DL4,DP4)&gt;0,SUM(DH4,DL4,DP4),"")</f>
        <v>12.8</v>
      </c>
      <c r="EE4" s="41">
        <f t="shared" ref="EE4:EE17" si="44">IF(SUM(EB4,EC4)&gt;0,SUM(EB4,EC4),"")</f>
        <v>50.599999999999994</v>
      </c>
      <c r="EF4" s="41">
        <f t="shared" ref="EF4:EF17" si="45">IF(SUM(DT4,DX4)&gt;0,SUM(DT4,DX4),"")</f>
        <v>13.2</v>
      </c>
      <c r="EG4" s="41">
        <f t="shared" ref="EG4:EG17" si="46">IF(SUM(DS4:DT4,DV4:DX4,DZ4)-SUM(DU4,DY4)&gt;0,SUM(DS4:DT4,DV4:DX4,DZ4)-SUM(DU4,DY4),"")</f>
        <v>50.099999999999994</v>
      </c>
      <c r="EH4" s="41">
        <f t="shared" ref="EH4:EH17" si="47">IF(SUM(EB4,EG4)&gt;0,SUM(EB4,EG4),"")</f>
        <v>100.69999999999999</v>
      </c>
      <c r="EI4" s="18">
        <v>18.600000000000001</v>
      </c>
      <c r="EJ4" s="18">
        <v>6.8</v>
      </c>
      <c r="EK4" s="18">
        <v>0</v>
      </c>
      <c r="EL4" s="18">
        <v>0</v>
      </c>
      <c r="EM4" s="18">
        <v>18.399999999999999</v>
      </c>
      <c r="EN4" s="18">
        <v>6.8</v>
      </c>
      <c r="EO4" s="18">
        <v>0</v>
      </c>
      <c r="EP4" s="18">
        <v>0</v>
      </c>
      <c r="EQ4" s="18"/>
      <c r="ER4" s="18"/>
      <c r="ES4" s="18"/>
      <c r="ET4" s="18"/>
      <c r="EU4" s="18">
        <v>18.600000000000001</v>
      </c>
      <c r="EV4" s="18">
        <v>7.2</v>
      </c>
      <c r="EW4" s="18">
        <v>0.6</v>
      </c>
      <c r="EX4" s="18">
        <v>0</v>
      </c>
      <c r="EY4" s="18">
        <v>18.7</v>
      </c>
      <c r="EZ4" s="18">
        <v>7.6</v>
      </c>
      <c r="FA4" s="18">
        <v>0.2</v>
      </c>
      <c r="FB4" s="18">
        <v>0</v>
      </c>
      <c r="FC4" s="11">
        <f t="shared" ref="FC4:FC17" si="48">IF(SUM(EJ4,EN4)&gt;0,SUM(EJ4,EN4),"")</f>
        <v>13.6</v>
      </c>
      <c r="FD4" s="11">
        <f t="shared" ref="FD4:FD17" si="49">IF(SUM(EI4:EJ4,EL4:EN4,EP4)-EK4-EO4&gt;0,SUM(EI4:EJ4,EL4:EN4,EP4)-EK4-EO4,"")</f>
        <v>50.599999999999994</v>
      </c>
      <c r="FE4" s="11" t="str">
        <f t="shared" ref="FE4:FE17" si="50">IF(SUM(EQ4:ER4,ET4)-ES4&gt;0,SUM(EQ4:ER4,ET4)-ES4,"")</f>
        <v/>
      </c>
      <c r="FF4" s="11">
        <f t="shared" ref="FF4:FF17" si="51">IF(SUM(EJ4,EN4,ER4)&gt;0,SUM(EJ4,EN4,ER4),"")</f>
        <v>13.6</v>
      </c>
      <c r="FG4" s="11">
        <f t="shared" ref="FG4:FG17" si="52">IF(SUM(FD4,FE4)&gt;0,SUM(FD4,FE4),"")</f>
        <v>50.599999999999994</v>
      </c>
      <c r="FH4" s="11">
        <f t="shared" ref="FH4:FH17" si="53">IF(SUM(EV4,EZ4)&gt;0,SUM(EV4,EZ4),"")</f>
        <v>14.8</v>
      </c>
      <c r="FI4" s="11">
        <f t="shared" ref="FI4:FI17" si="54">IF(SUM(EU4:EV4,EX4:EZ4,FB4)-SUM(EW4,FA4)&gt;0,SUM(EU4:EV4,EX4:EZ4,FB4)-SUM(EW4,FA4),"")</f>
        <v>51.300000000000004</v>
      </c>
      <c r="FJ4" s="11">
        <f t="shared" ref="FJ4:FJ17" si="55">IF(SUM(FD4,FI4)&gt;0,SUM(FD4,FI4),"")</f>
        <v>101.9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17" si="56">IF(SUM(FL4,FP4)&gt;0,SUM(FL4,FP4),"")</f>
        <v/>
      </c>
      <c r="GF4" s="41" t="str">
        <f t="shared" ref="GF4:GF17" si="57">IF(SUM(FK4:FL4,FN4:FP4,FR4)-FM4-FQ4&gt;0,SUM(FK4:FL4,FN4:FP4,FR4)-FM4-FQ4,"")</f>
        <v/>
      </c>
      <c r="GG4" s="41" t="str">
        <f t="shared" ref="GG4:GG17" si="58">IF(SUM(FS4:FT4,FV4)-FU4&gt;0,SUM(FS4:FT4,FV4)-FU4,"")</f>
        <v/>
      </c>
      <c r="GH4" s="41" t="str">
        <f t="shared" ref="GH4:GH17" si="59">IF(SUM(FL4,FP4,FT4)&gt;0,SUM(FL4,FP4,FT4),"")</f>
        <v/>
      </c>
      <c r="GI4" s="41" t="str">
        <f t="shared" ref="GI4:GI17" si="60">IF(SUM(GF4,GG4)&gt;0,SUM(GF4,GG4),"")</f>
        <v/>
      </c>
      <c r="GJ4" s="41" t="str">
        <f t="shared" ref="GJ4:GJ17" si="61">IF(SUM(FX4,GB4)&gt;0,SUM(FX4,GB4),"")</f>
        <v/>
      </c>
      <c r="GK4" s="41" t="str">
        <f t="shared" ref="GK4:GK17" si="62">IF(SUM(FW4:FX4,FZ4:GB4,GD4)-SUM(FY4,GC4)&gt;0,SUM(FW4:FX4,FZ4:GB4,GD4)-SUM(FY4,GC4),"")</f>
        <v/>
      </c>
      <c r="GL4" s="41" t="str">
        <f t="shared" ref="GL4:GL17" si="63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7" si="64">IF(SUM(GN4,GR4)&gt;0,SUM(GN4,GR4),"")</f>
        <v/>
      </c>
      <c r="HH4" s="11" t="str">
        <f t="shared" ref="HH4:HH17" si="65">IF(SUM(GM4:GN4,GP4:GR4,GT4)-GO4-GS4&gt;0,SUM(GM4:GN4,GP4:GR4,GT4)-GO4-GS4,"")</f>
        <v/>
      </c>
      <c r="HI4" s="11" t="str">
        <f t="shared" ref="HI4:HI17" si="66">IF(SUM(GU4:GV4,GX4)-GW4&gt;0,SUM(GU4:GV4,GX4)-GW4,"")</f>
        <v/>
      </c>
      <c r="HJ4" s="11" t="str">
        <f t="shared" ref="HJ4:HJ17" si="67">IF(SUM(GN4,GR4,GV4)&gt;0,SUM(GN4,GR4,GV4),"")</f>
        <v/>
      </c>
      <c r="HK4" s="11" t="str">
        <f t="shared" ref="HK4:HK17" si="68">IF(SUM(HH4,HI4)&gt;0,SUM(HH4,HI4),"")</f>
        <v/>
      </c>
      <c r="HL4" s="11" t="str">
        <f t="shared" ref="HL4:HL17" si="69">IF(SUM(GZ4,HD4)&gt;0,SUM(GZ4,HD4),"")</f>
        <v/>
      </c>
      <c r="HM4" s="11" t="str">
        <f t="shared" ref="HM4:HM17" si="70">IF(SUM(GY4:GZ4,HB4:HD4,HF4)-SUM(HA4,HE4)&gt;0,SUM(GY4:GZ4,HB4:HD4,HF4)-SUM(HA4,HE4),"")</f>
        <v/>
      </c>
      <c r="HN4" s="11" t="str">
        <f t="shared" ref="HN4:HN17" si="71">IF(SUM(HH4,HM4)&gt;0,SUM(HH4,HM4),"")</f>
        <v/>
      </c>
      <c r="HO4" s="17">
        <v>18.5</v>
      </c>
      <c r="HP4" s="17">
        <v>7.2</v>
      </c>
      <c r="HQ4" s="17">
        <v>0</v>
      </c>
      <c r="HR4" s="17">
        <v>0</v>
      </c>
      <c r="HS4" s="17">
        <v>17.399999999999999</v>
      </c>
      <c r="HT4" s="17">
        <v>6.8</v>
      </c>
      <c r="HU4" s="17">
        <v>0.6</v>
      </c>
      <c r="HV4" s="17">
        <v>0</v>
      </c>
      <c r="HW4" s="17"/>
      <c r="HX4" s="17"/>
      <c r="HY4" s="17"/>
      <c r="HZ4" s="17"/>
      <c r="IA4" s="17">
        <v>18.100000000000001</v>
      </c>
      <c r="IB4" s="17">
        <v>6.8</v>
      </c>
      <c r="IC4" s="17">
        <v>0.6</v>
      </c>
      <c r="ID4" s="17">
        <v>0</v>
      </c>
      <c r="IE4" s="17"/>
      <c r="IF4" s="17"/>
      <c r="IG4" s="17"/>
      <c r="IH4" s="17"/>
      <c r="II4" s="41">
        <f t="shared" ref="II4:II17" si="72">IF(SUM(HP4,HT4)&gt;0,SUM(HP4,HT4),"")</f>
        <v>14</v>
      </c>
      <c r="IJ4" s="41">
        <f t="shared" ref="IJ4:IJ17" si="73">IF(SUM(HO4:HP4,HR4:HT4,HV4)-HQ4-HU4&gt;0,SUM(HO4:HP4,HR4:HT4,HV4)-HQ4-HU4,"")</f>
        <v>49.29999999999999</v>
      </c>
      <c r="IK4" s="41" t="str">
        <f t="shared" ref="IK4:IK17" si="74">IF(SUM(HW4:HX4,HZ4)-HY4&gt;0,SUM(HW4:HX4,HZ4)-HY4,"")</f>
        <v/>
      </c>
      <c r="IL4" s="41">
        <f t="shared" ref="IL4:IL17" si="75">IF(SUM(HP4,HT4,HX4)&gt;0,SUM(HP4,HT4,HX4),"")</f>
        <v>14</v>
      </c>
      <c r="IM4" s="41">
        <f t="shared" ref="IM4:IM17" si="76">IF(SUM(IJ4,IK4)&gt;0,SUM(IJ4,IK4),"")</f>
        <v>49.29999999999999</v>
      </c>
      <c r="IN4" s="41">
        <f t="shared" ref="IN4:IN17" si="77">IF(SUM(IB4,IF4)&gt;0,SUM(IB4,IF4),"")</f>
        <v>6.8</v>
      </c>
      <c r="IO4" s="41">
        <f t="shared" ref="IO4:IO17" si="78">IF(SUM(IA4:IB4,ID4:IF4,IH4)-SUM(IC4,IG4)&gt;0,SUM(IA4:IB4,ID4:IF4,IH4)-SUM(IC4,IG4),"")</f>
        <v>24.3</v>
      </c>
      <c r="IP4" s="41">
        <f t="shared" ref="IP4:IP17" si="79">IF(SUM(IJ4,IO4)&gt;0,SUM(IJ4,IO4),"")</f>
        <v>73.599999999999994</v>
      </c>
      <c r="IQ4" s="18">
        <v>18.399999999999999</v>
      </c>
      <c r="IR4" s="18">
        <v>7.2</v>
      </c>
      <c r="IS4" s="18">
        <v>0.6</v>
      </c>
      <c r="IT4" s="18">
        <v>0</v>
      </c>
      <c r="IU4" s="18">
        <v>17.399999999999999</v>
      </c>
      <c r="IV4" s="18">
        <v>4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 t="shared" ref="JK4:JK17" si="80">IF(SUM(IR4,IV4)&gt;0,SUM(IR4,IV4),"")</f>
        <v>11.2</v>
      </c>
      <c r="JL4" s="11">
        <f t="shared" ref="JL4:JL17" si="81">IF(SUM(IQ4:IR4,IT4:IV4,IX4)-IS4-IW4&gt;0,SUM(IQ4:IR4,IT4:IV4,IX4)-IS4-IW4,"")</f>
        <v>46.4</v>
      </c>
      <c r="JM4" s="11" t="str">
        <f t="shared" ref="JM4:JM17" si="82">IF(SUM(IY4:IZ4,JB4)-JA4&gt;0,SUM(IY4:IZ4,JB4)-JA4,"")</f>
        <v/>
      </c>
      <c r="JN4" s="11">
        <f t="shared" ref="JN4:JN17" si="83">IF(SUM(IR4,IV4,IZ4)&gt;0,SUM(IR4,IV4,IZ4),"")</f>
        <v>11.2</v>
      </c>
      <c r="JO4" s="11">
        <f t="shared" ref="JO4:JO17" si="84">IF(SUM(JL4,JM4)&gt;0,SUM(JL4,JM4),"")</f>
        <v>46.4</v>
      </c>
      <c r="JP4" s="11" t="str">
        <f t="shared" ref="JP4:JP17" si="85">IF(SUM(JD4,JH4)&gt;0,SUM(JD4,JH4),"")</f>
        <v/>
      </c>
      <c r="JQ4" s="11" t="str">
        <f t="shared" ref="JQ4:JQ17" si="86">IF(SUM(JC4:JD4,JF4:JH4,JJ4)-SUM(JE4,JI4)&gt;0,SUM(JC4:JD4,JF4:JH4,JJ4)-SUM(JE4,JI4),"")</f>
        <v/>
      </c>
      <c r="JR4" s="11">
        <f t="shared" ref="JR4:JR17" si="87">IF(SUM(JL4,JQ4)&gt;0,SUM(JL4,JQ4),"")</f>
        <v>46.4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16.3</v>
      </c>
      <c r="KJ4" s="17">
        <v>7.6</v>
      </c>
      <c r="KK4" s="17">
        <v>1</v>
      </c>
      <c r="KL4" s="17">
        <v>0</v>
      </c>
      <c r="KM4" s="41" t="str">
        <f t="shared" ref="KM4:KM17" si="88">IF(SUM(JT4,JX4)&gt;0,SUM(JT4,JX4),"")</f>
        <v/>
      </c>
      <c r="KN4" s="41" t="str">
        <f t="shared" ref="KN4:KN17" si="89">IF(SUM(JS4:JT4,JV4:JX4,JZ4)-JU4-JY4&gt;0,SUM(JS4:JT4,JV4:JX4,JZ4)-JU4-JY4,"")</f>
        <v/>
      </c>
      <c r="KO4" s="41" t="str">
        <f t="shared" ref="KO4:KO17" si="90">IF(SUM(KA4:KB4,KD4)-KC4&gt;0,SUM(KA4:KB4,KD4)-KC4,"")</f>
        <v/>
      </c>
      <c r="KP4" s="41" t="str">
        <f t="shared" ref="KP4:KP17" si="91">IF(SUM(JT4,JX4,KB4)&gt;0,SUM(JT4,JX4,KB4),"")</f>
        <v/>
      </c>
      <c r="KQ4" s="41" t="str">
        <f t="shared" ref="KQ4:KQ17" si="92">IF(SUM(KN4,KO4)&gt;0,SUM(KN4,KO4),"")</f>
        <v/>
      </c>
      <c r="KR4" s="41">
        <f t="shared" ref="KR4:KR17" si="93">IF(SUM(KF4,KJ4)&gt;0,SUM(KF4,KJ4),"")</f>
        <v>7.6</v>
      </c>
      <c r="KS4" s="41">
        <f t="shared" ref="KS4:KS17" si="94">IF(SUM(KE4:KF4,KH4:KJ4,KL4)-SUM(KG4,KK4)&gt;0,SUM(KE4:KF4,KH4:KJ4,KL4)-SUM(KG4,KK4),"")</f>
        <v>22.9</v>
      </c>
      <c r="KT4" s="41">
        <f t="shared" ref="KT4:KT17" si="95">IF(SUM(KN4,KS4)&gt;0,SUM(KN4,KS4),"")</f>
        <v>22.9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18.7</v>
      </c>
      <c r="LL4" s="18">
        <v>8.4</v>
      </c>
      <c r="LM4" s="18">
        <v>0</v>
      </c>
      <c r="LN4" s="18">
        <v>0</v>
      </c>
      <c r="LO4" s="11" t="str">
        <f t="shared" ref="LO4:LO17" si="96">IF(SUM(KV4,KZ4)&gt;0,SUM(KV4,KZ4),"")</f>
        <v/>
      </c>
      <c r="LP4" s="11" t="str">
        <f t="shared" ref="LP4:LP17" si="97">IF(SUM(KU4:KV4,KX4:KZ4,LB4)-KW4-LA4&gt;0,SUM(KU4:KV4,KX4:KZ4,LB4)-KW4-LA4,"")</f>
        <v/>
      </c>
      <c r="LQ4" s="11" t="str">
        <f t="shared" ref="LQ4:LQ17" si="98">IF(SUM(LC4:LD4,LF4)-LE4&gt;0,SUM(LC4:LD4,LF4)-LE4,"")</f>
        <v/>
      </c>
      <c r="LR4" s="11" t="str">
        <f t="shared" ref="LR4:LR17" si="99">IF(SUM(KV4,KZ4,LD4)&gt;0,SUM(KV4,KZ4,LD4),"")</f>
        <v/>
      </c>
      <c r="LS4" s="11" t="str">
        <f t="shared" ref="LS4:LS17" si="100">IF(SUM(LP4,LQ4)&gt;0,SUM(LP4,LQ4),"")</f>
        <v/>
      </c>
      <c r="LT4" s="11">
        <f t="shared" ref="LT4:LT17" si="101">IF(SUM(LH4,LL4)&gt;0,SUM(LH4,LL4),"")</f>
        <v>8.4</v>
      </c>
      <c r="LU4" s="11">
        <f t="shared" ref="LU4:LU17" si="102">IF(SUM(LG4:LH4,LJ4:LL4,LN4)-SUM(LI4,LM4)&gt;0,SUM(LG4:LH4,LJ4:LL4,LN4)-SUM(LI4,LM4),"")</f>
        <v>27.1</v>
      </c>
      <c r="LV4" s="11">
        <f t="shared" ref="LV4:LV17" si="103">IF(SUM(LP4,LU4)&gt;0,SUM(LP4,LU4),"")</f>
        <v>27.1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7" si="104">IF(SUM(LX4,MB4)&gt;0,SUM(LX4,MB4),"")</f>
        <v/>
      </c>
      <c r="MR4" s="41" t="str">
        <f t="shared" ref="MR4:MR17" si="105">IF(SUM(LW4:LX4,LZ4:MB4,MD4)-LY4-MC4&gt;0,SUM(LW4:LX4,LZ4:MB4,MD4)-LY4-MC4,"")</f>
        <v/>
      </c>
      <c r="MS4" s="41" t="str">
        <f t="shared" ref="MS4:MS17" si="106">IF(SUM(ME4:MF4,MH4)-MG4&gt;0,SUM(ME4:MF4,MH4)-MG4,"")</f>
        <v/>
      </c>
      <c r="MT4" s="41" t="str">
        <f t="shared" ref="MT4:MT17" si="107">IF(SUM(LX4,MB4,MF4)&gt;0,SUM(LX4,MB4,MF4),"")</f>
        <v/>
      </c>
      <c r="MU4" s="41" t="str">
        <f t="shared" ref="MU4:MU17" si="108">IF(SUM(MR4,MS4)&gt;0,SUM(MR4,MS4),"")</f>
        <v/>
      </c>
      <c r="MV4" s="41" t="str">
        <f t="shared" ref="MV4:MV17" si="109">IF(SUM(MJ4,MN4)&gt;0,SUM(MJ4,MN4),"")</f>
        <v/>
      </c>
      <c r="MW4" s="41" t="str">
        <f t="shared" ref="MW4:MW17" si="110">IF(SUM(MI4:MJ4,ML4:MN4,MP4)-SUM(MK4,MO4)&gt;0,SUM(MI4:MJ4,ML4:MN4,MP4)-SUM(MK4,MO4),"")</f>
        <v/>
      </c>
      <c r="MX4" s="41" t="str">
        <f t="shared" ref="MX4:MX17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7" si="112">IF(SUM(MZ4,ND4)&gt;0,SUM(MZ4,ND4),"")</f>
        <v/>
      </c>
      <c r="NT4" s="11" t="str">
        <f t="shared" ref="NT4:NT17" si="113">IF(SUM(MY4:MZ4,NB4:ND4,NF4)-NA4-NE4&gt;0,SUM(MY4:MZ4,NB4:ND4,NF4)-NA4-NE4,"")</f>
        <v/>
      </c>
      <c r="NU4" s="11" t="str">
        <f t="shared" ref="NU4:NU17" si="114">IF(SUM(NG4:NH4,NJ4)-NI4&gt;0,SUM(NG4:NH4,NJ4)-NI4,"")</f>
        <v/>
      </c>
      <c r="NV4" s="11" t="str">
        <f t="shared" ref="NV4:NV17" si="115">IF(SUM(MZ4,ND4,NH4)&gt;0,SUM(MZ4,ND4,NH4),"")</f>
        <v/>
      </c>
      <c r="NW4" s="11" t="str">
        <f t="shared" ref="NW4:NW17" si="116">IF(SUM(NT4,NU4)&gt;0,SUM(NT4,NU4),"")</f>
        <v/>
      </c>
      <c r="NX4" s="11" t="str">
        <f t="shared" ref="NX4:NX17" si="117">IF(SUM(NL4,NP4)&gt;0,SUM(NL4,NP4),"")</f>
        <v/>
      </c>
      <c r="NY4" s="11" t="str">
        <f t="shared" ref="NY4:NY17" si="118">IF(SUM(NK4:NL4,NN4:NP4,NR4)-SUM(NM4,NQ4)&gt;0,SUM(NK4:NL4,NN4:NP4,NR4)-SUM(NM4,NQ4),"")</f>
        <v/>
      </c>
      <c r="NZ4" s="11" t="str">
        <f t="shared" ref="NZ4:NZ17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7" si="120">IF(SUM(OB4,OF4)&gt;0,SUM(OB4,OF4),"")</f>
        <v/>
      </c>
      <c r="OV4" s="41" t="str">
        <f t="shared" ref="OV4:OV17" si="121">IF(SUM(OA4:OB4,OD4:OF4,OH4)-OC4-OG4&gt;0,SUM(OA4:OB4,OD4:OF4,OH4)-OC4-OG4,"")</f>
        <v/>
      </c>
      <c r="OW4" s="41" t="str">
        <f t="shared" ref="OW4:OW17" si="122">IF(SUM(OI4:OJ4,OL4)-OK4&gt;0,SUM(OI4:OJ4,OL4)-OK4,"")</f>
        <v/>
      </c>
      <c r="OX4" s="41" t="str">
        <f t="shared" ref="OX4:OX17" si="123">IF(SUM(OB4,OF4,OJ4)&gt;0,SUM(OB4,OF4,OJ4),"")</f>
        <v/>
      </c>
      <c r="OY4" s="41" t="str">
        <f t="shared" ref="OY4:OY17" si="124">IF(SUM(OV4,OW4)&gt;0,SUM(OV4,OW4),"")</f>
        <v/>
      </c>
      <c r="OZ4" s="41" t="str">
        <f t="shared" ref="OZ4:OZ17" si="125">IF(SUM(ON4,OR4)&gt;0,SUM(ON4,OR4),"")</f>
        <v/>
      </c>
      <c r="PA4" s="41" t="str">
        <f t="shared" ref="PA4:PA17" si="126">IF(SUM(OM4:ON4,OP4:OR4,OT4)-SUM(OO4,OS4)&gt;0,SUM(OM4:ON4,OP4:OR4,OT4)-SUM(OO4,OS4),"")</f>
        <v/>
      </c>
      <c r="PB4" s="41" t="str">
        <f t="shared" ref="PB4:PB17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7" si="128">IF(SUM(PD4,PH4)&gt;0,SUM(PD4,PH4),"")</f>
        <v/>
      </c>
      <c r="PX4" s="11" t="str">
        <f t="shared" ref="PX4:PX17" si="129">IF(SUM(PC4:PD4,PF4:PH4,PJ4)-PE4-PI4&gt;0,SUM(PC4:PD4,PF4:PH4,PJ4)-PE4-PI4,"")</f>
        <v/>
      </c>
      <c r="PY4" s="11" t="str">
        <f t="shared" ref="PY4:PY17" si="130">IF(SUM(PK4:PL4,PN4)-PM4&gt;0,SUM(PK4:PL4,PN4)-PM4,"")</f>
        <v/>
      </c>
      <c r="PZ4" s="11" t="str">
        <f t="shared" ref="PZ4:PZ17" si="131">IF(SUM(PD4,PH4,PL4)&gt;0,SUM(PD4,PH4,PL4),"")</f>
        <v/>
      </c>
      <c r="QA4" s="11" t="str">
        <f t="shared" ref="QA4:QA17" si="132">IF(SUM(PX4,PY4)&gt;0,SUM(PX4,PY4),"")</f>
        <v/>
      </c>
      <c r="QB4" s="11" t="str">
        <f t="shared" ref="QB4:QB17" si="133">IF(SUM(PP4,PT4)&gt;0,SUM(PP4,PT4),"")</f>
        <v/>
      </c>
      <c r="QC4" s="11" t="str">
        <f t="shared" ref="QC4:QC17" si="134">IF(SUM(PO4:PP4,PR4:PT4,PV4)-SUM(PQ4,PU4)&gt;0,SUM(PO4:PP4,PR4:PT4,PV4)-SUM(PQ4,PU4),"")</f>
        <v/>
      </c>
      <c r="QD4" s="11" t="str">
        <f t="shared" ref="QD4:QD17" si="135">IF(SUM(PX4,QC4)&gt;0,SUM(PX4,QC4),"")</f>
        <v/>
      </c>
      <c r="QE4" s="23">
        <f t="shared" ref="QE4:QE17" si="136">IF($CU4="P",CA4,(CA4+AX4)/2)</f>
        <v>18.75</v>
      </c>
      <c r="QF4" s="23">
        <f t="shared" ref="QF4:QF17" si="137">IF($CU4="P",CB4,(CB4+AY4)/2)</f>
        <v>6.4</v>
      </c>
      <c r="QG4" s="23">
        <f t="shared" ref="QG4:QG17" si="138">IF($CU4="P",CC4,(CC4+AZ4)/2)</f>
        <v>0.2</v>
      </c>
      <c r="QH4" s="23">
        <f t="shared" ref="QH4:QH17" si="139">IF($CU4="P",CD4,(CD4+BA4)/2)</f>
        <v>0.3</v>
      </c>
      <c r="QI4" s="23">
        <f t="shared" ref="QI4:QI17" si="140">IF($CU4="P",CE4,(CE4+BB4)/2)</f>
        <v>18.95</v>
      </c>
      <c r="QJ4" s="23">
        <f t="shared" ref="QJ4:QJ17" si="141">IF($CU4="P",CF4,(CF4+BC4)/2)</f>
        <v>6.4</v>
      </c>
      <c r="QK4" s="23">
        <f t="shared" ref="QK4:QK17" si="142">IF($CU4="P",CG4,(CG4+BD4)/2)</f>
        <v>0</v>
      </c>
      <c r="QL4" s="23">
        <f t="shared" ref="QL4:QL17" si="143">IF($CU4="P",CH4,(CH4+BE4)/2)</f>
        <v>0</v>
      </c>
      <c r="QM4" s="23">
        <f t="shared" ref="QM4:QM17" si="144">IF($CU4="P",CI4,(CI4+BF4)/2)</f>
        <v>18.5</v>
      </c>
      <c r="QN4" s="23">
        <f t="shared" ref="QN4:QN17" si="145">IF($CU4="P",CJ4,(CJ4+BG4)/2)</f>
        <v>6.4</v>
      </c>
      <c r="QO4" s="23">
        <f t="shared" ref="QO4:QO17" si="146">IF($CU4="P",CK4,(CK4+BH4)/2)</f>
        <v>0.3</v>
      </c>
      <c r="QP4" s="23">
        <f t="shared" ref="QP4:QP17" si="147">IF($CU4="P",CL4,(CL4+BI4)/2)</f>
        <v>0.3</v>
      </c>
      <c r="QQ4" s="23">
        <f t="shared" ref="QQ4:QQ17" si="148">IF($CU4="P",CM4,(CM4+BJ4)/2)</f>
        <v>18.8</v>
      </c>
      <c r="QR4" s="23">
        <f t="shared" ref="QR4:QR17" si="149">IF($CU4="P",CN4,(CN4+BK4)/2)</f>
        <v>7.1999999999999993</v>
      </c>
      <c r="QS4" s="23">
        <f t="shared" ref="QS4:QS17" si="150">IF($CU4="P",CO4,(CO4+BL4)/2)</f>
        <v>0.1</v>
      </c>
      <c r="QT4" s="23">
        <f t="shared" ref="QT4:QT17" si="151">IF($CU4="P",CP4,(CP4+BM4)/2)</f>
        <v>0.3</v>
      </c>
      <c r="QU4" s="23">
        <f t="shared" ref="QU4:QU17" si="152">IF($CU4="P",CQ4,(CQ4+BN4)/2)</f>
        <v>18.700000000000003</v>
      </c>
      <c r="QV4" s="23">
        <f t="shared" ref="QV4:QV17" si="153">IF($CU4="P",CR4,(CR4+BO4)/2)</f>
        <v>7.4</v>
      </c>
      <c r="QW4" s="23">
        <f t="shared" ref="QW4:QW17" si="154">IF($CU4="P",CS4,(CS4+BP4)/2)</f>
        <v>0.3</v>
      </c>
      <c r="QX4" s="23">
        <f t="shared" ref="QX4:QX17" si="155">IF($CU4="P",CT4,(CT4+BQ4)/2)</f>
        <v>0.44999999999999996</v>
      </c>
      <c r="QY4" s="28" t="s">
        <v>58</v>
      </c>
      <c r="QZ4" s="41">
        <f t="shared" ref="QZ4:QZ17" si="156">IF(SUM(QF4,QJ4)&gt;0,SUM(QF4,QJ4),"")</f>
        <v>12.8</v>
      </c>
      <c r="RA4" s="41">
        <f t="shared" ref="RA4:RA17" si="157">IF(SUM(QE4:QF4,QH4:QJ4,QL4)-QG4-QK4&gt;0,SUM(QE4:QF4,QH4:QJ4,QL4)-QG4-QK4,"")</f>
        <v>50.599999999999994</v>
      </c>
      <c r="RB4" s="41">
        <f t="shared" ref="RB4:RB17" si="158">IF(SUM(QM4:QN4,QP4)-QO4&gt;0,SUM(QM4:QN4,QP4)-QO4,"")</f>
        <v>24.9</v>
      </c>
      <c r="RC4" s="41">
        <f t="shared" ref="RC4:RC17" si="159">IF(SUM(QF4,QJ4,QN4)&gt;0,SUM(QF4,QJ4,QN4),"")</f>
        <v>19.200000000000003</v>
      </c>
      <c r="RD4" s="41">
        <f t="shared" ref="RD4:RD17" si="160">IF(SUM(RA4,RB4)&gt;0,SUM(RA4,RB4),"")</f>
        <v>75.5</v>
      </c>
      <c r="RE4" s="41">
        <f t="shared" ref="RE4:RE17" si="161">IF(SUM(QR4,QV4)&gt;0,SUM(QR4,QV4),"")</f>
        <v>14.6</v>
      </c>
      <c r="RF4" s="41">
        <f t="shared" ref="RF4:RF17" si="162">IF(SUM(QQ4:QR4,QT4:QV4,QX4)-SUM(QS4,QW4)&gt;0,SUM(QQ4:QR4,QT4:QV4,QX4)-SUM(QS4,QW4),"")</f>
        <v>52.45</v>
      </c>
      <c r="RG4" s="41">
        <f t="shared" ref="RG4:RG17" si="163">IF(SUM(RA4,RF4)&gt;0,SUM(RA4,RF4),"")</f>
        <v>103.05</v>
      </c>
    </row>
    <row r="5" spans="1:475" x14ac:dyDescent="0.2">
      <c r="A5" s="4">
        <f>IF(AND(F5="P",G5="P"),SUMPRODUCT((F$4:F$18="P")*(G$4:G$18="P")*(E$4:E$18&gt;E5))+1,IF(G5="P",SUMPRODUCT((F$4:F$18="")*(G$4:G$18="P")*(E$4:E$18&gt;E5))+1+SUMPRODUCT((F$4:F$18="P")*(G$4:G$18="P")),""))</f>
        <v>2</v>
      </c>
      <c r="B5" s="5" t="s">
        <v>99</v>
      </c>
      <c r="C5" s="4" t="s">
        <v>40</v>
      </c>
      <c r="D5" s="4">
        <v>2002</v>
      </c>
      <c r="E5" s="9">
        <f t="shared" si="0"/>
        <v>177.90001260000503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50.699999999999996</v>
      </c>
      <c r="K5" s="8" t="str">
        <f t="shared" si="5"/>
        <v>2022 Nationals</v>
      </c>
      <c r="L5" s="8">
        <f>IF(COUNT(AQ5,BT5,CW5)&gt;1,LARGE((AQ5,BT5,CW5),2),0)</f>
        <v>50.199999999999996</v>
      </c>
      <c r="M5" s="8" t="str">
        <f t="shared" si="6"/>
        <v>2023 Elite Canada</v>
      </c>
      <c r="N5" s="8">
        <f>IF(COUNT(AR5,BU5,CX5)&gt;0,LARGE((AR5,BU5,CX5),1),0)</f>
        <v>25.1</v>
      </c>
      <c r="O5" s="8" t="str">
        <f t="shared" si="7"/>
        <v>2022 3rd Domestic Trial</v>
      </c>
      <c r="P5" s="8">
        <f t="shared" si="8"/>
        <v>50.699999999999996</v>
      </c>
      <c r="Q5" s="8" t="str">
        <f t="shared" si="9"/>
        <v>2022 Nationals</v>
      </c>
      <c r="R5" s="8">
        <f t="shared" si="10"/>
        <v>1.1999999999999957</v>
      </c>
      <c r="S5" s="11" t="str">
        <f t="shared" si="11"/>
        <v>(Q1)</v>
      </c>
      <c r="T5" s="8" t="str">
        <f t="shared" si="12"/>
        <v>2022 World Games Technical Trial #2 (May 15)</v>
      </c>
      <c r="U5" s="19">
        <v>18.600000000000001</v>
      </c>
      <c r="V5" s="19">
        <v>6.4</v>
      </c>
      <c r="W5" s="19">
        <v>0</v>
      </c>
      <c r="X5" s="19">
        <v>0</v>
      </c>
      <c r="Y5" s="19">
        <v>18.600000000000001</v>
      </c>
      <c r="Z5" s="19">
        <v>6.8</v>
      </c>
      <c r="AA5" s="19">
        <v>0</v>
      </c>
      <c r="AB5" s="19">
        <v>0.3</v>
      </c>
      <c r="AC5" s="19">
        <v>18.399999999999999</v>
      </c>
      <c r="AD5" s="19">
        <v>6</v>
      </c>
      <c r="AE5" s="19">
        <v>0.2</v>
      </c>
      <c r="AF5" s="19">
        <v>0.3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18.600000000000001</v>
      </c>
      <c r="AL5" s="19">
        <v>6.8</v>
      </c>
      <c r="AM5" s="19">
        <v>0</v>
      </c>
      <c r="AN5" s="19">
        <v>0.3</v>
      </c>
      <c r="AO5" s="28"/>
      <c r="AP5" s="41">
        <f t="shared" si="13"/>
        <v>13.2</v>
      </c>
      <c r="AQ5" s="41">
        <f t="shared" si="14"/>
        <v>50.699999999999996</v>
      </c>
      <c r="AR5" s="41">
        <f t="shared" si="15"/>
        <v>24.5</v>
      </c>
      <c r="AS5" s="41">
        <f t="shared" si="16"/>
        <v>19.2</v>
      </c>
      <c r="AT5" s="41">
        <f t="shared" si="17"/>
        <v>75.199999999999989</v>
      </c>
      <c r="AU5" s="41">
        <f t="shared" si="18"/>
        <v>13.2</v>
      </c>
      <c r="AV5" s="41">
        <f t="shared" si="19"/>
        <v>50.699999999999996</v>
      </c>
      <c r="AW5" s="41">
        <f t="shared" si="20"/>
        <v>101.39999999999999</v>
      </c>
      <c r="AX5" s="18">
        <v>18.7</v>
      </c>
      <c r="AY5" s="18">
        <v>5.6</v>
      </c>
      <c r="AZ5" s="18">
        <v>0.2</v>
      </c>
      <c r="BA5" s="18">
        <v>0</v>
      </c>
      <c r="BB5" s="18">
        <v>18.2</v>
      </c>
      <c r="BC5" s="18">
        <v>6</v>
      </c>
      <c r="BD5" s="18">
        <v>0.8</v>
      </c>
      <c r="BE5" s="18">
        <v>0.3</v>
      </c>
      <c r="BF5" s="18">
        <v>18.7</v>
      </c>
      <c r="BG5" s="18">
        <v>6.4</v>
      </c>
      <c r="BH5" s="18">
        <v>0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18.7</v>
      </c>
      <c r="BO5" s="18">
        <v>5.2</v>
      </c>
      <c r="BP5" s="18">
        <v>0.2</v>
      </c>
      <c r="BQ5" s="18">
        <v>0</v>
      </c>
      <c r="BR5" s="29"/>
      <c r="BS5" s="11">
        <f t="shared" si="21"/>
        <v>11.6</v>
      </c>
      <c r="BT5" s="11">
        <f t="shared" si="22"/>
        <v>47.8</v>
      </c>
      <c r="BU5" s="11">
        <f t="shared" si="23"/>
        <v>25.1</v>
      </c>
      <c r="BV5" s="11">
        <f t="shared" si="24"/>
        <v>18</v>
      </c>
      <c r="BW5" s="11">
        <f t="shared" si="25"/>
        <v>72.900000000000006</v>
      </c>
      <c r="BX5" s="11">
        <f t="shared" si="26"/>
        <v>11.600000000000001</v>
      </c>
      <c r="BY5" s="11">
        <f t="shared" si="27"/>
        <v>48.7</v>
      </c>
      <c r="BZ5" s="11">
        <f t="shared" si="28"/>
        <v>96.5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18.399999999999999</v>
      </c>
      <c r="CF5" s="19">
        <v>6.8</v>
      </c>
      <c r="CG5" s="19">
        <v>0</v>
      </c>
      <c r="CH5" s="19">
        <v>0</v>
      </c>
      <c r="CI5" s="19">
        <v>16.2</v>
      </c>
      <c r="CJ5" s="19">
        <v>5.2</v>
      </c>
      <c r="CK5" s="19">
        <v>0.2</v>
      </c>
      <c r="CL5" s="19">
        <v>0.3</v>
      </c>
      <c r="CM5" s="19">
        <v>18.399999999999999</v>
      </c>
      <c r="CN5" s="19">
        <v>6.4</v>
      </c>
      <c r="CO5" s="19">
        <v>0.2</v>
      </c>
      <c r="CP5" s="19">
        <v>0</v>
      </c>
      <c r="CQ5" s="19">
        <v>18.5</v>
      </c>
      <c r="CR5" s="19">
        <v>6.8</v>
      </c>
      <c r="CS5" s="19">
        <v>0.2</v>
      </c>
      <c r="CT5" s="19">
        <v>0.3</v>
      </c>
      <c r="CU5" s="28"/>
      <c r="CV5" s="41">
        <f t="shared" si="29"/>
        <v>13.2</v>
      </c>
      <c r="CW5" s="41">
        <f t="shared" si="30"/>
        <v>50.199999999999996</v>
      </c>
      <c r="CX5" s="41">
        <f t="shared" si="31"/>
        <v>21.5</v>
      </c>
      <c r="CY5" s="41">
        <f t="shared" si="32"/>
        <v>18.399999999999999</v>
      </c>
      <c r="CZ5" s="41">
        <f t="shared" si="33"/>
        <v>71.699999999999989</v>
      </c>
      <c r="DA5" s="41">
        <f t="shared" si="34"/>
        <v>13.2</v>
      </c>
      <c r="DB5" s="41">
        <f t="shared" si="35"/>
        <v>49.999999999999993</v>
      </c>
      <c r="DC5" s="41">
        <f t="shared" si="36"/>
        <v>100.19999999999999</v>
      </c>
      <c r="DD5" s="52">
        <f t="shared" si="37"/>
        <v>1.1999999999999957</v>
      </c>
      <c r="DE5" s="52" t="str">
        <f t="shared" si="38"/>
        <v/>
      </c>
      <c r="DF5" s="52" t="str">
        <f t="shared" si="39"/>
        <v/>
      </c>
      <c r="DG5" s="17">
        <v>18.600000000000001</v>
      </c>
      <c r="DH5" s="17">
        <v>7.2</v>
      </c>
      <c r="DI5" s="17">
        <v>0</v>
      </c>
      <c r="DJ5" s="17">
        <v>0.3</v>
      </c>
      <c r="DK5" s="17">
        <v>18.399999999999999</v>
      </c>
      <c r="DL5" s="17">
        <v>6.8</v>
      </c>
      <c r="DM5" s="17">
        <v>0.2</v>
      </c>
      <c r="DN5" s="17">
        <v>0.3</v>
      </c>
      <c r="DO5" s="17"/>
      <c r="DP5" s="17"/>
      <c r="DQ5" s="17"/>
      <c r="DR5" s="17"/>
      <c r="DS5" s="17">
        <v>17.399999999999999</v>
      </c>
      <c r="DT5" s="17">
        <v>2.8</v>
      </c>
      <c r="DU5" s="17">
        <v>0</v>
      </c>
      <c r="DV5" s="17">
        <v>0</v>
      </c>
      <c r="DW5" s="17">
        <v>17.2</v>
      </c>
      <c r="DX5" s="17">
        <v>3.2</v>
      </c>
      <c r="DY5" s="17">
        <v>0</v>
      </c>
      <c r="DZ5" s="17">
        <v>0.3</v>
      </c>
      <c r="EA5" s="41">
        <f t="shared" si="40"/>
        <v>14</v>
      </c>
      <c r="EB5" s="41">
        <f t="shared" si="41"/>
        <v>51.399999999999991</v>
      </c>
      <c r="EC5" s="41" t="str">
        <f t="shared" si="42"/>
        <v/>
      </c>
      <c r="ED5" s="41">
        <f t="shared" si="43"/>
        <v>14</v>
      </c>
      <c r="EE5" s="41">
        <f t="shared" si="44"/>
        <v>51.399999999999991</v>
      </c>
      <c r="EF5" s="41">
        <f t="shared" si="45"/>
        <v>6</v>
      </c>
      <c r="EG5" s="41">
        <f t="shared" si="46"/>
        <v>40.9</v>
      </c>
      <c r="EH5" s="41">
        <f t="shared" si="47"/>
        <v>92.299999999999983</v>
      </c>
      <c r="EI5" s="18">
        <v>18.5</v>
      </c>
      <c r="EJ5" s="18">
        <v>6.4</v>
      </c>
      <c r="EK5" s="18">
        <v>0.2</v>
      </c>
      <c r="EL5" s="18">
        <v>0</v>
      </c>
      <c r="EM5" s="18">
        <v>17.8</v>
      </c>
      <c r="EN5" s="18">
        <v>5.2</v>
      </c>
      <c r="EO5" s="18">
        <v>0.2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8"/>
        <v>11.600000000000001</v>
      </c>
      <c r="FD5" s="11">
        <f t="shared" si="49"/>
        <v>47.5</v>
      </c>
      <c r="FE5" s="11" t="str">
        <f t="shared" si="50"/>
        <v/>
      </c>
      <c r="FF5" s="11">
        <f t="shared" si="51"/>
        <v>11.600000000000001</v>
      </c>
      <c r="FG5" s="11">
        <f t="shared" si="52"/>
        <v>47.5</v>
      </c>
      <c r="FH5" s="11" t="str">
        <f t="shared" si="53"/>
        <v/>
      </c>
      <c r="FI5" s="11" t="str">
        <f t="shared" si="54"/>
        <v/>
      </c>
      <c r="FJ5" s="11">
        <f t="shared" si="55"/>
        <v>47.5</v>
      </c>
      <c r="FK5" s="17">
        <v>18.600000000000001</v>
      </c>
      <c r="FL5" s="17">
        <v>6.4</v>
      </c>
      <c r="FM5" s="17">
        <v>0.2</v>
      </c>
      <c r="FN5" s="17">
        <v>0</v>
      </c>
      <c r="FO5" s="17">
        <v>17.399999999999999</v>
      </c>
      <c r="FP5" s="17">
        <v>2.4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 t="shared" si="56"/>
        <v>8.8000000000000007</v>
      </c>
      <c r="GF5" s="41">
        <f t="shared" si="57"/>
        <v>44.599999999999994</v>
      </c>
      <c r="GG5" s="41" t="str">
        <f t="shared" si="58"/>
        <v/>
      </c>
      <c r="GH5" s="41">
        <f t="shared" si="59"/>
        <v>8.8000000000000007</v>
      </c>
      <c r="GI5" s="41">
        <f t="shared" si="60"/>
        <v>44.599999999999994</v>
      </c>
      <c r="GJ5" s="41" t="str">
        <f t="shared" si="61"/>
        <v/>
      </c>
      <c r="GK5" s="41" t="str">
        <f t="shared" si="62"/>
        <v/>
      </c>
      <c r="GL5" s="41">
        <f t="shared" si="63"/>
        <v>44.599999999999994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>
        <v>18.2</v>
      </c>
      <c r="IR5" s="18">
        <v>7.2</v>
      </c>
      <c r="IS5" s="18">
        <v>0.2</v>
      </c>
      <c r="IT5" s="18">
        <v>0</v>
      </c>
      <c r="IU5" s="18">
        <v>17.600000000000001</v>
      </c>
      <c r="IV5" s="18">
        <v>6</v>
      </c>
      <c r="IW5" s="18">
        <v>0.8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 t="shared" si="80"/>
        <v>13.2</v>
      </c>
      <c r="JL5" s="11">
        <f t="shared" si="81"/>
        <v>48</v>
      </c>
      <c r="JM5" s="11" t="str">
        <f t="shared" si="82"/>
        <v/>
      </c>
      <c r="JN5" s="11">
        <f t="shared" si="83"/>
        <v>13.2</v>
      </c>
      <c r="JO5" s="11">
        <f t="shared" si="84"/>
        <v>48</v>
      </c>
      <c r="JP5" s="11" t="str">
        <f t="shared" si="85"/>
        <v/>
      </c>
      <c r="JQ5" s="11" t="str">
        <f t="shared" si="86"/>
        <v/>
      </c>
      <c r="JR5" s="11">
        <f t="shared" si="87"/>
        <v>48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>
        <v>17.8</v>
      </c>
      <c r="KJ5" s="17">
        <v>7.2</v>
      </c>
      <c r="KK5" s="17">
        <v>0.2</v>
      </c>
      <c r="KL5" s="17">
        <v>0</v>
      </c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>
        <f t="shared" si="93"/>
        <v>7.2</v>
      </c>
      <c r="KS5" s="41">
        <f t="shared" si="94"/>
        <v>24.8</v>
      </c>
      <c r="KT5" s="41">
        <f t="shared" si="95"/>
        <v>24.8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18.649999999999999</v>
      </c>
      <c r="QF5" s="23">
        <f t="shared" si="137"/>
        <v>6</v>
      </c>
      <c r="QG5" s="23">
        <f t="shared" si="138"/>
        <v>0.1</v>
      </c>
      <c r="QH5" s="23">
        <f t="shared" si="139"/>
        <v>0</v>
      </c>
      <c r="QI5" s="23">
        <f t="shared" si="140"/>
        <v>18.299999999999997</v>
      </c>
      <c r="QJ5" s="23">
        <f t="shared" si="141"/>
        <v>6.4</v>
      </c>
      <c r="QK5" s="23">
        <f t="shared" si="142"/>
        <v>0.4</v>
      </c>
      <c r="QL5" s="23">
        <f t="shared" si="143"/>
        <v>0.15</v>
      </c>
      <c r="QM5" s="23">
        <f t="shared" si="144"/>
        <v>17.45</v>
      </c>
      <c r="QN5" s="23">
        <f t="shared" si="145"/>
        <v>5.8000000000000007</v>
      </c>
      <c r="QO5" s="23">
        <f t="shared" si="146"/>
        <v>0.1</v>
      </c>
      <c r="QP5" s="23">
        <f t="shared" si="147"/>
        <v>0.15</v>
      </c>
      <c r="QQ5" s="23">
        <f t="shared" si="148"/>
        <v>18.5</v>
      </c>
      <c r="QR5" s="23">
        <f t="shared" si="149"/>
        <v>6.4</v>
      </c>
      <c r="QS5" s="23">
        <f t="shared" si="150"/>
        <v>0.1</v>
      </c>
      <c r="QT5" s="23">
        <f t="shared" si="151"/>
        <v>0</v>
      </c>
      <c r="QU5" s="23">
        <f t="shared" si="152"/>
        <v>18.600000000000001</v>
      </c>
      <c r="QV5" s="23">
        <f t="shared" si="153"/>
        <v>6</v>
      </c>
      <c r="QW5" s="23">
        <f t="shared" si="154"/>
        <v>0.2</v>
      </c>
      <c r="QX5" s="23">
        <f t="shared" si="155"/>
        <v>0.15</v>
      </c>
      <c r="QY5" s="28" t="s">
        <v>58</v>
      </c>
      <c r="QZ5" s="41">
        <f t="shared" si="156"/>
        <v>12.4</v>
      </c>
      <c r="RA5" s="41">
        <f t="shared" si="157"/>
        <v>48.999999999999993</v>
      </c>
      <c r="RB5" s="41">
        <f t="shared" si="158"/>
        <v>23.299999999999997</v>
      </c>
      <c r="RC5" s="41">
        <f t="shared" si="159"/>
        <v>18.200000000000003</v>
      </c>
      <c r="RD5" s="41">
        <f t="shared" si="160"/>
        <v>72.299999999999983</v>
      </c>
      <c r="RE5" s="41">
        <f t="shared" si="161"/>
        <v>12.4</v>
      </c>
      <c r="RF5" s="41">
        <f t="shared" si="162"/>
        <v>49.35</v>
      </c>
      <c r="RG5" s="41">
        <f t="shared" si="163"/>
        <v>98.35</v>
      </c>
    </row>
    <row r="6" spans="1:475" x14ac:dyDescent="0.2">
      <c r="A6" s="4">
        <f>IF(AND(F6="P",G6="P"),SUMPRODUCT((F$4:F$18="P")*(G$4:G$18="P")*(E$4:E$18&gt;E6))+1,IF(G6="P",SUMPRODUCT((F$4:F$18="")*(G$4:G$18="P")*(E$4:E$18&gt;E6))+1+SUMPRODUCT((F$4:F$18="P")*(G$4:G$18="P")),""))</f>
        <v>3</v>
      </c>
      <c r="B6" s="5" t="s">
        <v>87</v>
      </c>
      <c r="C6" s="4" t="s">
        <v>5</v>
      </c>
      <c r="D6" s="4">
        <v>2003</v>
      </c>
      <c r="E6" s="9">
        <f t="shared" si="0"/>
        <v>172.90001215000498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49.9</v>
      </c>
      <c r="K6" s="8" t="str">
        <f t="shared" si="5"/>
        <v>2023 Elite Canada</v>
      </c>
      <c r="L6" s="8">
        <f>IF(COUNT(AQ6,BT6,CW6)&gt;1,LARGE((AQ6,BT6,CW6),2),0)</f>
        <v>47.599999999999994</v>
      </c>
      <c r="M6" s="8" t="str">
        <f t="shared" si="6"/>
        <v>2022 3rd Domestic Trial</v>
      </c>
      <c r="N6" s="8">
        <f>IF(COUNT(AR6,BU6,CX6)&gt;0,LARGE((AR6,BU6,CX6),1),0)</f>
        <v>24</v>
      </c>
      <c r="O6" s="8" t="str">
        <f t="shared" si="7"/>
        <v>2022 Nationals</v>
      </c>
      <c r="P6" s="8">
        <f t="shared" si="8"/>
        <v>49.199999999999996</v>
      </c>
      <c r="Q6" s="8" t="str">
        <f t="shared" si="9"/>
        <v>2023 Elite Canada</v>
      </c>
      <c r="R6" s="8">
        <f t="shared" si="10"/>
        <v>2.2000000000000028</v>
      </c>
      <c r="S6" s="11" t="str">
        <f t="shared" si="11"/>
        <v>(Q1)</v>
      </c>
      <c r="T6" s="8" t="str">
        <f t="shared" si="12"/>
        <v>2022 World Games Technical Trial #2 (May 15)</v>
      </c>
      <c r="U6" s="19">
        <v>18.100000000000001</v>
      </c>
      <c r="V6" s="19">
        <v>2.9</v>
      </c>
      <c r="W6" s="19">
        <v>2.1</v>
      </c>
      <c r="X6" s="19">
        <v>0</v>
      </c>
      <c r="Y6" s="19">
        <v>18</v>
      </c>
      <c r="Z6" s="19">
        <v>6</v>
      </c>
      <c r="AA6" s="19">
        <v>0</v>
      </c>
      <c r="AB6" s="19">
        <v>0.3</v>
      </c>
      <c r="AC6" s="19">
        <v>18.399999999999999</v>
      </c>
      <c r="AD6" s="19">
        <v>5.6</v>
      </c>
      <c r="AE6" s="19">
        <v>0</v>
      </c>
      <c r="AF6" s="19">
        <v>0</v>
      </c>
      <c r="AG6" s="19">
        <v>18.5</v>
      </c>
      <c r="AH6" s="19">
        <v>6.4</v>
      </c>
      <c r="AI6" s="19">
        <v>0.2</v>
      </c>
      <c r="AJ6" s="19">
        <v>0</v>
      </c>
      <c r="AK6" s="19">
        <v>17.2</v>
      </c>
      <c r="AL6" s="19">
        <v>2.4</v>
      </c>
      <c r="AM6" s="19">
        <v>0</v>
      </c>
      <c r="AN6" s="19">
        <v>0</v>
      </c>
      <c r="AO6" s="28"/>
      <c r="AP6" s="41">
        <f t="shared" si="13"/>
        <v>8.9</v>
      </c>
      <c r="AQ6" s="41">
        <f t="shared" si="14"/>
        <v>43.199999999999996</v>
      </c>
      <c r="AR6" s="41">
        <f t="shared" si="15"/>
        <v>24</v>
      </c>
      <c r="AS6" s="41">
        <f t="shared" si="16"/>
        <v>14.5</v>
      </c>
      <c r="AT6" s="41">
        <f t="shared" si="17"/>
        <v>67.199999999999989</v>
      </c>
      <c r="AU6" s="41">
        <f t="shared" si="18"/>
        <v>8.8000000000000007</v>
      </c>
      <c r="AV6" s="41">
        <f t="shared" si="19"/>
        <v>44.29999999999999</v>
      </c>
      <c r="AW6" s="41">
        <f t="shared" si="20"/>
        <v>87.499999999999986</v>
      </c>
      <c r="AX6" s="18">
        <v>18.899999999999999</v>
      </c>
      <c r="AY6" s="18">
        <v>5.2</v>
      </c>
      <c r="AZ6" s="18">
        <v>0.2</v>
      </c>
      <c r="BA6" s="18">
        <v>0</v>
      </c>
      <c r="BB6" s="18">
        <v>18.399999999999999</v>
      </c>
      <c r="BC6" s="18">
        <v>5.2</v>
      </c>
      <c r="BD6" s="18">
        <v>0.2</v>
      </c>
      <c r="BE6" s="18">
        <v>0.3</v>
      </c>
      <c r="BF6" s="18">
        <v>18.5</v>
      </c>
      <c r="BG6" s="18">
        <v>5.6</v>
      </c>
      <c r="BH6" s="18">
        <v>0.6</v>
      </c>
      <c r="BI6" s="18">
        <v>0</v>
      </c>
      <c r="BJ6" s="18">
        <v>18.600000000000001</v>
      </c>
      <c r="BK6" s="18">
        <v>6.4</v>
      </c>
      <c r="BL6" s="18">
        <v>0</v>
      </c>
      <c r="BM6" s="18">
        <v>0</v>
      </c>
      <c r="BN6" s="18">
        <v>18.579999999999998</v>
      </c>
      <c r="BO6" s="18">
        <v>5.2</v>
      </c>
      <c r="BP6" s="18">
        <v>0</v>
      </c>
      <c r="BQ6" s="18">
        <v>0</v>
      </c>
      <c r="BR6" s="29"/>
      <c r="BS6" s="11">
        <f t="shared" si="21"/>
        <v>10.4</v>
      </c>
      <c r="BT6" s="11">
        <f t="shared" si="22"/>
        <v>47.599999999999994</v>
      </c>
      <c r="BU6" s="11">
        <f t="shared" si="23"/>
        <v>23.5</v>
      </c>
      <c r="BV6" s="11">
        <f t="shared" si="24"/>
        <v>16</v>
      </c>
      <c r="BW6" s="11">
        <f t="shared" si="25"/>
        <v>71.099999999999994</v>
      </c>
      <c r="BX6" s="11">
        <f t="shared" si="26"/>
        <v>11.600000000000001</v>
      </c>
      <c r="BY6" s="11">
        <f t="shared" si="27"/>
        <v>48.78</v>
      </c>
      <c r="BZ6" s="11">
        <f t="shared" si="28"/>
        <v>96.38</v>
      </c>
      <c r="CA6" s="19">
        <v>18.600000000000001</v>
      </c>
      <c r="CB6" s="19">
        <v>6.4</v>
      </c>
      <c r="CC6" s="19">
        <v>0</v>
      </c>
      <c r="CD6" s="19">
        <v>0</v>
      </c>
      <c r="CE6" s="19">
        <v>18.600000000000001</v>
      </c>
      <c r="CF6" s="19">
        <v>6</v>
      </c>
      <c r="CG6" s="19">
        <v>0</v>
      </c>
      <c r="CH6" s="19">
        <v>0.3</v>
      </c>
      <c r="CI6" s="19">
        <v>18.100000000000001</v>
      </c>
      <c r="CJ6" s="19">
        <v>5.2</v>
      </c>
      <c r="CK6" s="19">
        <v>0.6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18.399999999999999</v>
      </c>
      <c r="CR6" s="19">
        <v>6</v>
      </c>
      <c r="CS6" s="19">
        <v>0.6</v>
      </c>
      <c r="CT6" s="19">
        <v>0.3</v>
      </c>
      <c r="CU6" s="28"/>
      <c r="CV6" s="41">
        <f t="shared" si="29"/>
        <v>12.4</v>
      </c>
      <c r="CW6" s="41">
        <f t="shared" si="30"/>
        <v>49.9</v>
      </c>
      <c r="CX6" s="41">
        <f t="shared" si="31"/>
        <v>22.7</v>
      </c>
      <c r="CY6" s="41">
        <f t="shared" si="32"/>
        <v>17.600000000000001</v>
      </c>
      <c r="CZ6" s="41">
        <f t="shared" si="33"/>
        <v>72.599999999999994</v>
      </c>
      <c r="DA6" s="41">
        <f t="shared" si="34"/>
        <v>12.4</v>
      </c>
      <c r="DB6" s="41">
        <f t="shared" si="35"/>
        <v>49.199999999999996</v>
      </c>
      <c r="DC6" s="41">
        <f t="shared" si="36"/>
        <v>99.1</v>
      </c>
      <c r="DD6" s="52">
        <f t="shared" si="37"/>
        <v>2.2000000000000028</v>
      </c>
      <c r="DE6" s="52" t="str">
        <f t="shared" si="38"/>
        <v/>
      </c>
      <c r="DF6" s="52" t="str">
        <f t="shared" si="39"/>
        <v/>
      </c>
      <c r="DG6" s="17">
        <v>18.600000000000001</v>
      </c>
      <c r="DH6" s="17">
        <v>6.4</v>
      </c>
      <c r="DI6" s="17">
        <v>0</v>
      </c>
      <c r="DJ6" s="17">
        <v>0</v>
      </c>
      <c r="DK6" s="17">
        <v>18.5</v>
      </c>
      <c r="DL6" s="17">
        <v>6</v>
      </c>
      <c r="DM6" s="17">
        <v>0</v>
      </c>
      <c r="DN6" s="17">
        <v>0.3</v>
      </c>
      <c r="DO6" s="17"/>
      <c r="DP6" s="17"/>
      <c r="DQ6" s="17"/>
      <c r="DR6" s="17"/>
      <c r="DS6" s="17">
        <v>17.399999999999999</v>
      </c>
      <c r="DT6" s="17">
        <v>2.8</v>
      </c>
      <c r="DU6" s="17">
        <v>0</v>
      </c>
      <c r="DV6" s="17">
        <v>0</v>
      </c>
      <c r="DW6" s="17">
        <v>17.399999999999999</v>
      </c>
      <c r="DX6" s="17">
        <v>2.4</v>
      </c>
      <c r="DY6" s="17">
        <v>0</v>
      </c>
      <c r="DZ6" s="17">
        <v>0</v>
      </c>
      <c r="EA6" s="41">
        <f t="shared" si="40"/>
        <v>12.4</v>
      </c>
      <c r="EB6" s="41">
        <f t="shared" si="41"/>
        <v>49.8</v>
      </c>
      <c r="EC6" s="41" t="str">
        <f t="shared" si="42"/>
        <v/>
      </c>
      <c r="ED6" s="41">
        <f t="shared" si="43"/>
        <v>12.4</v>
      </c>
      <c r="EE6" s="41">
        <f t="shared" si="44"/>
        <v>49.8</v>
      </c>
      <c r="EF6" s="41">
        <f t="shared" si="45"/>
        <v>5.1999999999999993</v>
      </c>
      <c r="EG6" s="41">
        <f t="shared" si="46"/>
        <v>39.999999999999993</v>
      </c>
      <c r="EH6" s="41">
        <f t="shared" si="47"/>
        <v>89.799999999999983</v>
      </c>
      <c r="EI6" s="18">
        <v>18.399999999999999</v>
      </c>
      <c r="EJ6" s="18">
        <v>5.6</v>
      </c>
      <c r="EK6" s="18">
        <v>0</v>
      </c>
      <c r="EL6" s="18">
        <v>0</v>
      </c>
      <c r="EM6" s="18">
        <v>18.399999999999999</v>
      </c>
      <c r="EN6" s="18">
        <v>6.8</v>
      </c>
      <c r="EO6" s="18">
        <v>0</v>
      </c>
      <c r="EP6" s="18">
        <v>0</v>
      </c>
      <c r="EQ6" s="18"/>
      <c r="ER6" s="18"/>
      <c r="ES6" s="18"/>
      <c r="ET6" s="18"/>
      <c r="EU6" s="18">
        <v>18.2</v>
      </c>
      <c r="EV6" s="18">
        <v>6.4</v>
      </c>
      <c r="EW6" s="18">
        <v>0.8</v>
      </c>
      <c r="EX6" s="18">
        <v>0</v>
      </c>
      <c r="EY6" s="18"/>
      <c r="EZ6" s="18"/>
      <c r="FA6" s="18"/>
      <c r="FB6" s="18"/>
      <c r="FC6" s="11">
        <f t="shared" si="48"/>
        <v>12.399999999999999</v>
      </c>
      <c r="FD6" s="11">
        <f t="shared" si="49"/>
        <v>49.199999999999996</v>
      </c>
      <c r="FE6" s="11" t="str">
        <f t="shared" si="50"/>
        <v/>
      </c>
      <c r="FF6" s="11">
        <f t="shared" si="51"/>
        <v>12.399999999999999</v>
      </c>
      <c r="FG6" s="11">
        <f t="shared" si="52"/>
        <v>49.199999999999996</v>
      </c>
      <c r="FH6" s="11">
        <f t="shared" si="53"/>
        <v>6.4</v>
      </c>
      <c r="FI6" s="11">
        <f t="shared" si="54"/>
        <v>23.8</v>
      </c>
      <c r="FJ6" s="11">
        <f t="shared" si="55"/>
        <v>73</v>
      </c>
      <c r="FK6" s="17">
        <v>18.7</v>
      </c>
      <c r="FL6" s="17">
        <v>6.4</v>
      </c>
      <c r="FM6" s="17">
        <v>0</v>
      </c>
      <c r="FN6" s="17">
        <v>0</v>
      </c>
      <c r="FO6" s="17">
        <v>18.399999999999999</v>
      </c>
      <c r="FP6" s="17">
        <v>6</v>
      </c>
      <c r="FQ6" s="17">
        <v>0</v>
      </c>
      <c r="FR6" s="17">
        <v>0</v>
      </c>
      <c r="FS6" s="17"/>
      <c r="FT6" s="17"/>
      <c r="FU6" s="17"/>
      <c r="FV6" s="17"/>
      <c r="FW6" s="17">
        <v>0</v>
      </c>
      <c r="FX6" s="17">
        <v>0</v>
      </c>
      <c r="FY6" s="17">
        <v>0</v>
      </c>
      <c r="FZ6" s="17">
        <v>0</v>
      </c>
      <c r="GA6" s="17"/>
      <c r="GB6" s="17"/>
      <c r="GC6" s="17"/>
      <c r="GD6" s="17"/>
      <c r="GE6" s="41">
        <f t="shared" si="56"/>
        <v>12.4</v>
      </c>
      <c r="GF6" s="41">
        <f t="shared" si="57"/>
        <v>49.5</v>
      </c>
      <c r="GG6" s="41" t="str">
        <f t="shared" si="58"/>
        <v/>
      </c>
      <c r="GH6" s="41">
        <f t="shared" si="59"/>
        <v>12.4</v>
      </c>
      <c r="GI6" s="41">
        <f t="shared" si="60"/>
        <v>49.5</v>
      </c>
      <c r="GJ6" s="41" t="str">
        <f t="shared" si="61"/>
        <v/>
      </c>
      <c r="GK6" s="41" t="str">
        <f t="shared" si="62"/>
        <v/>
      </c>
      <c r="GL6" s="41">
        <f t="shared" si="63"/>
        <v>49.5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>
        <v>18.100000000000001</v>
      </c>
      <c r="IR6" s="18">
        <v>5.6</v>
      </c>
      <c r="IS6" s="18">
        <v>0</v>
      </c>
      <c r="IT6" s="18">
        <v>0</v>
      </c>
      <c r="IU6" s="18">
        <v>17.5</v>
      </c>
      <c r="IV6" s="18">
        <v>6.8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0"/>
        <v>12.399999999999999</v>
      </c>
      <c r="JL6" s="11">
        <f t="shared" si="81"/>
        <v>48</v>
      </c>
      <c r="JM6" s="11" t="str">
        <f t="shared" si="82"/>
        <v/>
      </c>
      <c r="JN6" s="11">
        <f t="shared" si="83"/>
        <v>12.399999999999999</v>
      </c>
      <c r="JO6" s="11">
        <f t="shared" si="84"/>
        <v>48</v>
      </c>
      <c r="JP6" s="11" t="str">
        <f t="shared" si="85"/>
        <v/>
      </c>
      <c r="JQ6" s="11" t="str">
        <f t="shared" si="86"/>
        <v/>
      </c>
      <c r="JR6" s="11">
        <f t="shared" si="87"/>
        <v>48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18.75</v>
      </c>
      <c r="QF6" s="23">
        <f t="shared" si="137"/>
        <v>5.8000000000000007</v>
      </c>
      <c r="QG6" s="23">
        <f t="shared" si="138"/>
        <v>0.1</v>
      </c>
      <c r="QH6" s="23">
        <f t="shared" si="139"/>
        <v>0</v>
      </c>
      <c r="QI6" s="23">
        <f t="shared" si="140"/>
        <v>18.5</v>
      </c>
      <c r="QJ6" s="23">
        <f t="shared" si="141"/>
        <v>5.6</v>
      </c>
      <c r="QK6" s="23">
        <f t="shared" si="142"/>
        <v>0.1</v>
      </c>
      <c r="QL6" s="23">
        <f t="shared" si="143"/>
        <v>0.3</v>
      </c>
      <c r="QM6" s="23">
        <f t="shared" si="144"/>
        <v>18.3</v>
      </c>
      <c r="QN6" s="23">
        <f t="shared" si="145"/>
        <v>5.4</v>
      </c>
      <c r="QO6" s="23">
        <f t="shared" si="146"/>
        <v>0.6</v>
      </c>
      <c r="QP6" s="23">
        <f t="shared" si="147"/>
        <v>0</v>
      </c>
      <c r="QQ6" s="23">
        <f t="shared" si="148"/>
        <v>18.649999999999999</v>
      </c>
      <c r="QR6" s="23">
        <f t="shared" si="149"/>
        <v>6.4</v>
      </c>
      <c r="QS6" s="23">
        <f t="shared" si="150"/>
        <v>0</v>
      </c>
      <c r="QT6" s="23">
        <f t="shared" si="151"/>
        <v>0</v>
      </c>
      <c r="QU6" s="23">
        <f t="shared" si="152"/>
        <v>18.489999999999998</v>
      </c>
      <c r="QV6" s="23">
        <f t="shared" si="153"/>
        <v>5.6</v>
      </c>
      <c r="QW6" s="23">
        <f t="shared" si="154"/>
        <v>0.3</v>
      </c>
      <c r="QX6" s="23">
        <f t="shared" si="155"/>
        <v>0.15</v>
      </c>
      <c r="QY6" s="28" t="s">
        <v>58</v>
      </c>
      <c r="QZ6" s="41">
        <f t="shared" si="156"/>
        <v>11.4</v>
      </c>
      <c r="RA6" s="41">
        <f t="shared" si="157"/>
        <v>48.749999999999993</v>
      </c>
      <c r="RB6" s="41">
        <f t="shared" si="158"/>
        <v>23.1</v>
      </c>
      <c r="RC6" s="41">
        <f t="shared" si="159"/>
        <v>16.8</v>
      </c>
      <c r="RD6" s="41">
        <f t="shared" si="160"/>
        <v>71.849999999999994</v>
      </c>
      <c r="RE6" s="41">
        <f t="shared" si="161"/>
        <v>12</v>
      </c>
      <c r="RF6" s="41">
        <f t="shared" si="162"/>
        <v>48.989999999999995</v>
      </c>
      <c r="RG6" s="41">
        <f t="shared" si="163"/>
        <v>97.739999999999981</v>
      </c>
    </row>
    <row r="7" spans="1:475" x14ac:dyDescent="0.2">
      <c r="A7" s="4" cm="1">
        <f t="array" ref="A7">IF(AND(F7="P",G7="P"),SUMPRODUCT((F$4:F$18="P")*(G$4:G$18="P")*(E$4:E$18&gt;E7))+1,IF(G7="P",SUMPRODUCT((F$4:F$18="")*(G$4:G$18="P")*(E$4:E$18&gt;E7))+1+SUMPRODUCT((F$4:F$18="P")*(G$4:G$18="P")),""))</f>
        <v>4</v>
      </c>
      <c r="B7" s="5" t="s">
        <v>88</v>
      </c>
      <c r="C7" s="4" t="s">
        <v>6</v>
      </c>
      <c r="D7" s="4">
        <v>1996</v>
      </c>
      <c r="E7" s="9">
        <f t="shared" si="0"/>
        <v>170.90001219200488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48.7</v>
      </c>
      <c r="K7" s="8" t="str">
        <f t="shared" si="5"/>
        <v>2022 Nationals</v>
      </c>
      <c r="L7" s="8">
        <f>IF(COUNT(AQ7,BT7,CW7)&gt;1,LARGE((AQ7,BT7,CW7),2),0)</f>
        <v>47.92</v>
      </c>
      <c r="M7" s="8" t="str">
        <f t="shared" si="6"/>
        <v>2022 3rd Domestic Trial</v>
      </c>
      <c r="N7" s="8">
        <f>IF(COUNT(AR7,BU7,CX7)&gt;0,LARGE((AR7,BU7,CX7),1),0)</f>
        <v>25.299999999999997</v>
      </c>
      <c r="O7" s="8" t="str">
        <f t="shared" si="7"/>
        <v>2022 3rd Domestic Trial</v>
      </c>
      <c r="P7" s="8">
        <f t="shared" si="8"/>
        <v>48.300000000000004</v>
      </c>
      <c r="Q7" s="8" t="str">
        <f t="shared" si="9"/>
        <v>2023 Elite Canada</v>
      </c>
      <c r="R7" s="8">
        <f t="shared" si="10"/>
        <v>0.67999999999999972</v>
      </c>
      <c r="S7" s="11" t="str">
        <f t="shared" si="11"/>
        <v>(Q1)</v>
      </c>
      <c r="T7" s="8" t="str">
        <f t="shared" si="12"/>
        <v>2022 World Cup ITA (May 28)</v>
      </c>
      <c r="U7" s="19">
        <v>18.2</v>
      </c>
      <c r="V7" s="19">
        <v>6.4</v>
      </c>
      <c r="W7" s="19">
        <v>0</v>
      </c>
      <c r="X7" s="19">
        <v>0</v>
      </c>
      <c r="Y7" s="19">
        <v>18.899999999999999</v>
      </c>
      <c r="Z7" s="19">
        <v>5.2</v>
      </c>
      <c r="AA7" s="19">
        <v>0</v>
      </c>
      <c r="AB7" s="19">
        <v>0</v>
      </c>
      <c r="AC7" s="19">
        <v>17.899999999999999</v>
      </c>
      <c r="AD7" s="19">
        <v>5.2</v>
      </c>
      <c r="AE7" s="19">
        <v>0.8</v>
      </c>
      <c r="AF7" s="19">
        <v>0.3</v>
      </c>
      <c r="AG7" s="19">
        <v>18.3</v>
      </c>
      <c r="AH7" s="19">
        <v>5.6</v>
      </c>
      <c r="AI7" s="19">
        <v>0</v>
      </c>
      <c r="AJ7" s="19">
        <v>0</v>
      </c>
      <c r="AK7" s="19">
        <v>18.600000000000001</v>
      </c>
      <c r="AL7" s="19">
        <v>6</v>
      </c>
      <c r="AM7" s="19">
        <v>0.8</v>
      </c>
      <c r="AN7" s="19">
        <v>0</v>
      </c>
      <c r="AO7" s="28"/>
      <c r="AP7" s="41">
        <f t="shared" si="13"/>
        <v>11.600000000000001</v>
      </c>
      <c r="AQ7" s="41">
        <f t="shared" si="14"/>
        <v>48.7</v>
      </c>
      <c r="AR7" s="41">
        <f t="shared" si="15"/>
        <v>22.599999999999998</v>
      </c>
      <c r="AS7" s="41">
        <f t="shared" si="16"/>
        <v>16.8</v>
      </c>
      <c r="AT7" s="41">
        <f t="shared" si="17"/>
        <v>71.3</v>
      </c>
      <c r="AU7" s="41">
        <f t="shared" si="18"/>
        <v>11.6</v>
      </c>
      <c r="AV7" s="41">
        <f t="shared" si="19"/>
        <v>47.7</v>
      </c>
      <c r="AW7" s="41">
        <f t="shared" si="20"/>
        <v>96.4</v>
      </c>
      <c r="AX7" s="18">
        <v>19.02</v>
      </c>
      <c r="AY7" s="18">
        <v>5.2</v>
      </c>
      <c r="AZ7" s="18">
        <v>0</v>
      </c>
      <c r="BA7" s="18">
        <v>0</v>
      </c>
      <c r="BB7" s="18">
        <v>18.2</v>
      </c>
      <c r="BC7" s="18">
        <v>5.2</v>
      </c>
      <c r="BD7" s="18">
        <v>0</v>
      </c>
      <c r="BE7" s="18">
        <v>0.3</v>
      </c>
      <c r="BF7" s="18">
        <v>18.899999999999999</v>
      </c>
      <c r="BG7" s="18">
        <v>6.4</v>
      </c>
      <c r="BH7" s="18">
        <v>0</v>
      </c>
      <c r="BI7" s="18">
        <v>0</v>
      </c>
      <c r="BJ7" s="18">
        <v>19.2</v>
      </c>
      <c r="BK7" s="18">
        <v>5.2</v>
      </c>
      <c r="BL7" s="18">
        <v>0</v>
      </c>
      <c r="BM7" s="18">
        <v>0</v>
      </c>
      <c r="BN7" s="18">
        <v>17.600000000000001</v>
      </c>
      <c r="BO7" s="18">
        <v>2.8</v>
      </c>
      <c r="BP7" s="18">
        <v>0</v>
      </c>
      <c r="BQ7" s="18">
        <v>0</v>
      </c>
      <c r="BR7" s="29"/>
      <c r="BS7" s="11">
        <f t="shared" si="21"/>
        <v>10.4</v>
      </c>
      <c r="BT7" s="11">
        <f t="shared" si="22"/>
        <v>47.92</v>
      </c>
      <c r="BU7" s="11">
        <f t="shared" si="23"/>
        <v>25.299999999999997</v>
      </c>
      <c r="BV7" s="11">
        <f t="shared" si="24"/>
        <v>16.8</v>
      </c>
      <c r="BW7" s="11">
        <f t="shared" si="25"/>
        <v>73.22</v>
      </c>
      <c r="BX7" s="11">
        <f t="shared" si="26"/>
        <v>8</v>
      </c>
      <c r="BY7" s="11">
        <f t="shared" si="27"/>
        <v>44.8</v>
      </c>
      <c r="BZ7" s="11">
        <f t="shared" si="28"/>
        <v>92.72</v>
      </c>
      <c r="CA7" s="19">
        <v>18.2</v>
      </c>
      <c r="CB7" s="19">
        <v>5.6</v>
      </c>
      <c r="CC7" s="19">
        <v>0.2</v>
      </c>
      <c r="CD7" s="19">
        <v>0</v>
      </c>
      <c r="CE7" s="19">
        <v>18.7</v>
      </c>
      <c r="CF7" s="19">
        <v>5.2</v>
      </c>
      <c r="CG7" s="19">
        <v>0.2</v>
      </c>
      <c r="CH7" s="19">
        <v>0</v>
      </c>
      <c r="CI7" s="19">
        <v>18.100000000000001</v>
      </c>
      <c r="CJ7" s="19">
        <v>5.2</v>
      </c>
      <c r="CK7" s="19">
        <v>0</v>
      </c>
      <c r="CL7" s="19">
        <v>0.3</v>
      </c>
      <c r="CM7" s="19">
        <v>18.5</v>
      </c>
      <c r="CN7" s="19">
        <v>6.4</v>
      </c>
      <c r="CO7" s="19">
        <v>0.6</v>
      </c>
      <c r="CP7" s="19">
        <v>0</v>
      </c>
      <c r="CQ7" s="19">
        <v>18.8</v>
      </c>
      <c r="CR7" s="19">
        <v>5.2</v>
      </c>
      <c r="CS7" s="19">
        <v>0</v>
      </c>
      <c r="CT7" s="19">
        <v>0</v>
      </c>
      <c r="CU7" s="28"/>
      <c r="CV7" s="41">
        <f t="shared" si="29"/>
        <v>10.8</v>
      </c>
      <c r="CW7" s="41">
        <f t="shared" si="30"/>
        <v>47.3</v>
      </c>
      <c r="CX7" s="41">
        <f t="shared" si="31"/>
        <v>23.6</v>
      </c>
      <c r="CY7" s="41">
        <f t="shared" si="32"/>
        <v>16</v>
      </c>
      <c r="CZ7" s="41">
        <f t="shared" si="33"/>
        <v>70.900000000000006</v>
      </c>
      <c r="DA7" s="41">
        <f t="shared" si="34"/>
        <v>11.600000000000001</v>
      </c>
      <c r="DB7" s="41">
        <f t="shared" si="35"/>
        <v>48.300000000000004</v>
      </c>
      <c r="DC7" s="41">
        <f t="shared" si="36"/>
        <v>95.6</v>
      </c>
      <c r="DD7" s="52">
        <f t="shared" si="37"/>
        <v>0.67999999999999972</v>
      </c>
      <c r="DE7" s="52" t="str">
        <f t="shared" si="38"/>
        <v/>
      </c>
      <c r="DF7" s="52">
        <f t="shared" si="39"/>
        <v>0.5</v>
      </c>
      <c r="DG7" s="17">
        <v>16.3</v>
      </c>
      <c r="DH7" s="17">
        <v>5.2</v>
      </c>
      <c r="DI7" s="17">
        <v>0.6</v>
      </c>
      <c r="DJ7" s="17">
        <v>0.3</v>
      </c>
      <c r="DK7" s="17">
        <v>18.5</v>
      </c>
      <c r="DL7" s="17">
        <v>5.6</v>
      </c>
      <c r="DM7" s="17">
        <v>0.2</v>
      </c>
      <c r="DN7" s="17">
        <v>0</v>
      </c>
      <c r="DO7" s="17"/>
      <c r="DP7" s="17"/>
      <c r="DQ7" s="17"/>
      <c r="DR7" s="17"/>
      <c r="DS7" s="17">
        <v>19</v>
      </c>
      <c r="DT7" s="17">
        <v>6.4</v>
      </c>
      <c r="DU7" s="17">
        <v>0</v>
      </c>
      <c r="DV7" s="17">
        <v>0</v>
      </c>
      <c r="DW7" s="17">
        <v>18.8</v>
      </c>
      <c r="DX7" s="17">
        <v>5.2</v>
      </c>
      <c r="DY7" s="17">
        <v>0.6</v>
      </c>
      <c r="DZ7" s="17">
        <v>0</v>
      </c>
      <c r="EA7" s="41">
        <f t="shared" si="40"/>
        <v>10.8</v>
      </c>
      <c r="EB7" s="41">
        <f t="shared" si="41"/>
        <v>45.099999999999994</v>
      </c>
      <c r="EC7" s="41" t="str">
        <f t="shared" si="42"/>
        <v/>
      </c>
      <c r="ED7" s="41">
        <f t="shared" si="43"/>
        <v>10.8</v>
      </c>
      <c r="EE7" s="41">
        <f t="shared" si="44"/>
        <v>45.099999999999994</v>
      </c>
      <c r="EF7" s="41">
        <f t="shared" si="45"/>
        <v>11.600000000000001</v>
      </c>
      <c r="EG7" s="41">
        <f t="shared" si="46"/>
        <v>48.800000000000004</v>
      </c>
      <c r="EH7" s="41">
        <f t="shared" si="47"/>
        <v>93.9</v>
      </c>
      <c r="EI7" s="18">
        <v>18.2</v>
      </c>
      <c r="EJ7" s="18">
        <v>6.4</v>
      </c>
      <c r="EK7" s="18">
        <v>0.2</v>
      </c>
      <c r="EL7" s="18">
        <v>0</v>
      </c>
      <c r="EM7" s="18">
        <v>19</v>
      </c>
      <c r="EN7" s="18">
        <v>5.2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 t="shared" si="48"/>
        <v>11.600000000000001</v>
      </c>
      <c r="FD7" s="11">
        <f t="shared" si="49"/>
        <v>48.6</v>
      </c>
      <c r="FE7" s="11" t="str">
        <f t="shared" si="50"/>
        <v/>
      </c>
      <c r="FF7" s="11">
        <f t="shared" si="51"/>
        <v>11.600000000000001</v>
      </c>
      <c r="FG7" s="11">
        <f t="shared" si="52"/>
        <v>48.6</v>
      </c>
      <c r="FH7" s="11" t="str">
        <f t="shared" si="53"/>
        <v/>
      </c>
      <c r="FI7" s="11" t="str">
        <f t="shared" si="54"/>
        <v/>
      </c>
      <c r="FJ7" s="11">
        <f t="shared" si="55"/>
        <v>48.6</v>
      </c>
      <c r="FK7" s="17">
        <v>17</v>
      </c>
      <c r="FL7" s="17">
        <v>3.2</v>
      </c>
      <c r="FM7" s="17">
        <v>0</v>
      </c>
      <c r="FN7" s="17">
        <v>0</v>
      </c>
      <c r="FO7" s="17">
        <v>18</v>
      </c>
      <c r="FP7" s="17">
        <v>5.6</v>
      </c>
      <c r="FQ7" s="17">
        <v>0.2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 t="shared" si="56"/>
        <v>8.8000000000000007</v>
      </c>
      <c r="GF7" s="41">
        <f t="shared" si="57"/>
        <v>43.6</v>
      </c>
      <c r="GG7" s="41" t="str">
        <f t="shared" si="58"/>
        <v/>
      </c>
      <c r="GH7" s="41">
        <f t="shared" si="59"/>
        <v>8.8000000000000007</v>
      </c>
      <c r="GI7" s="41">
        <f t="shared" si="60"/>
        <v>43.6</v>
      </c>
      <c r="GJ7" s="41" t="str">
        <f t="shared" si="61"/>
        <v/>
      </c>
      <c r="GK7" s="41" t="str">
        <f t="shared" si="62"/>
        <v/>
      </c>
      <c r="GL7" s="41">
        <f t="shared" si="63"/>
        <v>43.6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>
        <v>18.399999999999999</v>
      </c>
      <c r="IR7" s="18">
        <v>6.4</v>
      </c>
      <c r="IS7" s="18">
        <v>0</v>
      </c>
      <c r="IT7" s="18">
        <v>0</v>
      </c>
      <c r="IU7" s="18">
        <v>18.399999999999999</v>
      </c>
      <c r="IV7" s="18">
        <v>5.2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 t="shared" si="80"/>
        <v>11.600000000000001</v>
      </c>
      <c r="JL7" s="11">
        <f t="shared" si="81"/>
        <v>48.4</v>
      </c>
      <c r="JM7" s="11" t="str">
        <f t="shared" si="82"/>
        <v/>
      </c>
      <c r="JN7" s="11">
        <f t="shared" si="83"/>
        <v>11.600000000000001</v>
      </c>
      <c r="JO7" s="11">
        <f t="shared" si="84"/>
        <v>48.4</v>
      </c>
      <c r="JP7" s="11" t="str">
        <f t="shared" si="85"/>
        <v/>
      </c>
      <c r="JQ7" s="11" t="str">
        <f t="shared" si="86"/>
        <v/>
      </c>
      <c r="JR7" s="11">
        <f t="shared" si="87"/>
        <v>48.4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>
        <v>17.2</v>
      </c>
      <c r="KJ7" s="17">
        <v>2.8</v>
      </c>
      <c r="KK7" s="17">
        <v>0</v>
      </c>
      <c r="KL7" s="17">
        <v>0</v>
      </c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>
        <f t="shared" si="93"/>
        <v>2.8</v>
      </c>
      <c r="KS7" s="41">
        <f t="shared" si="94"/>
        <v>20</v>
      </c>
      <c r="KT7" s="41">
        <f t="shared" si="95"/>
        <v>20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18.61</v>
      </c>
      <c r="QF7" s="23">
        <f t="shared" si="137"/>
        <v>5.4</v>
      </c>
      <c r="QG7" s="23">
        <f t="shared" si="138"/>
        <v>0.1</v>
      </c>
      <c r="QH7" s="23">
        <f t="shared" si="139"/>
        <v>0</v>
      </c>
      <c r="QI7" s="23">
        <f t="shared" si="140"/>
        <v>18.45</v>
      </c>
      <c r="QJ7" s="23">
        <f t="shared" si="141"/>
        <v>5.2</v>
      </c>
      <c r="QK7" s="23">
        <f t="shared" si="142"/>
        <v>0.1</v>
      </c>
      <c r="QL7" s="23">
        <f t="shared" si="143"/>
        <v>0.15</v>
      </c>
      <c r="QM7" s="23">
        <f t="shared" si="144"/>
        <v>18.5</v>
      </c>
      <c r="QN7" s="23">
        <f t="shared" si="145"/>
        <v>5.8000000000000007</v>
      </c>
      <c r="QO7" s="23">
        <f t="shared" si="146"/>
        <v>0</v>
      </c>
      <c r="QP7" s="23">
        <f t="shared" si="147"/>
        <v>0.15</v>
      </c>
      <c r="QQ7" s="23">
        <f t="shared" si="148"/>
        <v>18.850000000000001</v>
      </c>
      <c r="QR7" s="23">
        <f t="shared" si="149"/>
        <v>5.8000000000000007</v>
      </c>
      <c r="QS7" s="23">
        <f t="shared" si="150"/>
        <v>0.3</v>
      </c>
      <c r="QT7" s="23">
        <f t="shared" si="151"/>
        <v>0</v>
      </c>
      <c r="QU7" s="23">
        <f t="shared" si="152"/>
        <v>18.200000000000003</v>
      </c>
      <c r="QV7" s="23">
        <f t="shared" si="153"/>
        <v>4</v>
      </c>
      <c r="QW7" s="23">
        <f t="shared" si="154"/>
        <v>0</v>
      </c>
      <c r="QX7" s="23">
        <f t="shared" si="155"/>
        <v>0</v>
      </c>
      <c r="QY7" s="28" t="s">
        <v>58</v>
      </c>
      <c r="QZ7" s="41">
        <f t="shared" si="156"/>
        <v>10.600000000000001</v>
      </c>
      <c r="RA7" s="41">
        <f t="shared" si="157"/>
        <v>47.609999999999992</v>
      </c>
      <c r="RB7" s="41">
        <f t="shared" si="158"/>
        <v>24.45</v>
      </c>
      <c r="RC7" s="41">
        <f t="shared" si="159"/>
        <v>16.400000000000002</v>
      </c>
      <c r="RD7" s="41">
        <f t="shared" si="160"/>
        <v>72.059999999999988</v>
      </c>
      <c r="RE7" s="41">
        <f t="shared" si="161"/>
        <v>9.8000000000000007</v>
      </c>
      <c r="RF7" s="41">
        <f t="shared" si="162"/>
        <v>46.550000000000011</v>
      </c>
      <c r="RG7" s="41">
        <f t="shared" si="163"/>
        <v>94.16</v>
      </c>
    </row>
    <row r="8" spans="1:475" x14ac:dyDescent="0.2">
      <c r="A8" s="4">
        <f t="shared" ref="A8:A17" si="164">IF(AND(F8="P",G8="P"),SUMPRODUCT((F$4:F$18="P")*(G$4:G$18="P")*(E$4:E$18&gt;E8))+1,IF(G8="P",SUMPRODUCT((F$4:F$18="")*(G$4:G$18="P")*(E$4:E$18&gt;E8))+1+SUMPRODUCT((F$4:F$18="P")*(G$4:G$18="P")),""))</f>
        <v>5</v>
      </c>
      <c r="B8" s="5" t="s">
        <v>100</v>
      </c>
      <c r="C8" s="4" t="s">
        <v>6</v>
      </c>
      <c r="D8" s="4">
        <v>2004</v>
      </c>
      <c r="E8" s="9">
        <f t="shared" si="0"/>
        <v>170.80001202000489</v>
      </c>
      <c r="F8" s="3" t="str">
        <f t="shared" si="1"/>
        <v>P</v>
      </c>
      <c r="G8" s="3" t="str">
        <f t="shared" si="2"/>
        <v>P</v>
      </c>
      <c r="H8" s="37" t="str">
        <f t="shared" si="3"/>
        <v>Worlds Team</v>
      </c>
      <c r="I8" s="3" t="str">
        <f t="shared" si="4"/>
        <v>P</v>
      </c>
      <c r="J8" s="8">
        <f>IF(COUNT(AQ8,BT8,CW8)&gt;0,LARGE((AQ8,BT8,CW8),1),0)</f>
        <v>48.6</v>
      </c>
      <c r="K8" s="8" t="str">
        <f t="shared" si="5"/>
        <v>2023 Elite Canada</v>
      </c>
      <c r="L8" s="8">
        <f>IF(COUNT(AQ8,BT8,CW8)&gt;1,LARGE((AQ8,BT8,CW8),2),0)</f>
        <v>47.3</v>
      </c>
      <c r="M8" s="8" t="str">
        <f t="shared" si="6"/>
        <v>2022 Nationals</v>
      </c>
      <c r="N8" s="8">
        <f>IF(COUNT(AR8,BU8,CX8)&gt;0,LARGE((AR8,BU8,CX8),1),0)</f>
        <v>24.299999999999997</v>
      </c>
      <c r="O8" s="8" t="str">
        <f t="shared" si="7"/>
        <v>2022 3rd Domestic Trial</v>
      </c>
      <c r="P8" s="8">
        <f t="shared" si="8"/>
        <v>49.4</v>
      </c>
      <c r="Q8" s="8" t="str">
        <f t="shared" si="9"/>
        <v>2022 Nationals</v>
      </c>
      <c r="R8" s="8">
        <f t="shared" si="10"/>
        <v>1.2000000000000028</v>
      </c>
      <c r="S8" s="11" t="str">
        <f t="shared" si="11"/>
        <v>(Q1)</v>
      </c>
      <c r="T8" s="8" t="str">
        <f t="shared" si="12"/>
        <v>2022 Coimbra Gym Fest (June 26)</v>
      </c>
      <c r="U8" s="19">
        <v>18.3</v>
      </c>
      <c r="V8" s="19">
        <v>5.2</v>
      </c>
      <c r="W8" s="19">
        <v>0</v>
      </c>
      <c r="X8" s="19">
        <v>0</v>
      </c>
      <c r="Y8" s="19">
        <v>18.8</v>
      </c>
      <c r="Z8" s="19">
        <v>5.6</v>
      </c>
      <c r="AA8" s="19">
        <v>0.6</v>
      </c>
      <c r="AB8" s="19">
        <v>0</v>
      </c>
      <c r="AC8" s="19">
        <v>18.399999999999999</v>
      </c>
      <c r="AD8" s="19">
        <v>5.2</v>
      </c>
      <c r="AE8" s="19">
        <v>0</v>
      </c>
      <c r="AF8" s="19">
        <v>0</v>
      </c>
      <c r="AG8" s="19">
        <v>19</v>
      </c>
      <c r="AH8" s="19">
        <v>6</v>
      </c>
      <c r="AI8" s="19">
        <v>0</v>
      </c>
      <c r="AJ8" s="19">
        <v>0</v>
      </c>
      <c r="AK8" s="19">
        <v>19.399999999999999</v>
      </c>
      <c r="AL8" s="19">
        <v>5.6</v>
      </c>
      <c r="AM8" s="19">
        <v>0.6</v>
      </c>
      <c r="AN8" s="19">
        <v>0</v>
      </c>
      <c r="AO8" s="28"/>
      <c r="AP8" s="41">
        <f t="shared" si="13"/>
        <v>10.8</v>
      </c>
      <c r="AQ8" s="41">
        <f t="shared" si="14"/>
        <v>47.3</v>
      </c>
      <c r="AR8" s="41">
        <f t="shared" si="15"/>
        <v>23.599999999999998</v>
      </c>
      <c r="AS8" s="41">
        <f t="shared" si="16"/>
        <v>16</v>
      </c>
      <c r="AT8" s="41">
        <f t="shared" si="17"/>
        <v>70.899999999999991</v>
      </c>
      <c r="AU8" s="41">
        <f t="shared" si="18"/>
        <v>11.6</v>
      </c>
      <c r="AV8" s="41">
        <f t="shared" si="19"/>
        <v>49.4</v>
      </c>
      <c r="AW8" s="41">
        <f t="shared" si="20"/>
        <v>96.699999999999989</v>
      </c>
      <c r="AX8" s="18">
        <v>19</v>
      </c>
      <c r="AY8" s="18">
        <v>5.2</v>
      </c>
      <c r="AZ8" s="18">
        <v>0.2</v>
      </c>
      <c r="BA8" s="18">
        <v>0</v>
      </c>
      <c r="BB8" s="18">
        <v>17.399999999999999</v>
      </c>
      <c r="BC8" s="18">
        <v>2.8</v>
      </c>
      <c r="BD8" s="18">
        <v>0</v>
      </c>
      <c r="BE8" s="18">
        <v>0</v>
      </c>
      <c r="BF8" s="18">
        <v>18.5</v>
      </c>
      <c r="BG8" s="18">
        <v>6.4</v>
      </c>
      <c r="BH8" s="18">
        <v>0.6</v>
      </c>
      <c r="BI8" s="18">
        <v>0</v>
      </c>
      <c r="BJ8" s="18">
        <v>17</v>
      </c>
      <c r="BK8" s="18">
        <v>6</v>
      </c>
      <c r="BL8" s="18">
        <v>0.8</v>
      </c>
      <c r="BM8" s="18">
        <v>0</v>
      </c>
      <c r="BN8" s="18">
        <v>18.2</v>
      </c>
      <c r="BO8" s="18">
        <v>6</v>
      </c>
      <c r="BP8" s="18">
        <v>0.8</v>
      </c>
      <c r="BQ8" s="18">
        <v>0</v>
      </c>
      <c r="BR8" s="29"/>
      <c r="BS8" s="11">
        <f t="shared" si="21"/>
        <v>8</v>
      </c>
      <c r="BT8" s="11">
        <f t="shared" si="22"/>
        <v>44.199999999999989</v>
      </c>
      <c r="BU8" s="11">
        <f t="shared" si="23"/>
        <v>24.299999999999997</v>
      </c>
      <c r="BV8" s="11">
        <f t="shared" si="24"/>
        <v>14.4</v>
      </c>
      <c r="BW8" s="11">
        <f t="shared" si="25"/>
        <v>68.499999999999986</v>
      </c>
      <c r="BX8" s="11">
        <f t="shared" si="26"/>
        <v>12</v>
      </c>
      <c r="BY8" s="11">
        <f t="shared" si="27"/>
        <v>45.6</v>
      </c>
      <c r="BZ8" s="11">
        <f t="shared" si="28"/>
        <v>89.799999999999983</v>
      </c>
      <c r="CA8" s="19">
        <v>18.5</v>
      </c>
      <c r="CB8" s="19">
        <v>6</v>
      </c>
      <c r="CC8" s="19">
        <v>0.2</v>
      </c>
      <c r="CD8" s="19">
        <v>0</v>
      </c>
      <c r="CE8" s="19">
        <v>18.7</v>
      </c>
      <c r="CF8" s="19">
        <v>5.6</v>
      </c>
      <c r="CG8" s="19">
        <v>0</v>
      </c>
      <c r="CH8" s="19">
        <v>0</v>
      </c>
      <c r="CI8" s="19">
        <v>18.8</v>
      </c>
      <c r="CJ8" s="19">
        <v>5.2</v>
      </c>
      <c r="CK8" s="19">
        <v>0</v>
      </c>
      <c r="CL8" s="19">
        <v>0</v>
      </c>
      <c r="CM8" s="19">
        <v>18.2</v>
      </c>
      <c r="CN8" s="19">
        <v>5.6</v>
      </c>
      <c r="CO8" s="19">
        <v>0.2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8"/>
      <c r="CV8" s="41">
        <f t="shared" si="29"/>
        <v>11.6</v>
      </c>
      <c r="CW8" s="41">
        <f t="shared" si="30"/>
        <v>48.6</v>
      </c>
      <c r="CX8" s="41">
        <f t="shared" si="31"/>
        <v>24</v>
      </c>
      <c r="CY8" s="41">
        <f t="shared" si="32"/>
        <v>16.8</v>
      </c>
      <c r="CZ8" s="41">
        <f t="shared" si="33"/>
        <v>72.599999999999994</v>
      </c>
      <c r="DA8" s="41">
        <f t="shared" si="34"/>
        <v>11.2</v>
      </c>
      <c r="DB8" s="41">
        <f t="shared" si="35"/>
        <v>47.1</v>
      </c>
      <c r="DC8" s="41">
        <f t="shared" si="36"/>
        <v>95.7</v>
      </c>
      <c r="DD8" s="52">
        <f t="shared" si="37"/>
        <v>1.2000000000000028</v>
      </c>
      <c r="DE8" s="52" t="str">
        <f t="shared" si="38"/>
        <v/>
      </c>
      <c r="DF8" s="52" t="str">
        <f t="shared" si="39"/>
        <v/>
      </c>
      <c r="DG8" s="17">
        <v>17.399999999999999</v>
      </c>
      <c r="DH8" s="17">
        <v>2.4</v>
      </c>
      <c r="DI8" s="17">
        <v>0</v>
      </c>
      <c r="DJ8" s="17">
        <v>0</v>
      </c>
      <c r="DK8" s="17">
        <v>18.2</v>
      </c>
      <c r="DL8" s="17">
        <v>5.6</v>
      </c>
      <c r="DM8" s="17">
        <v>0.2</v>
      </c>
      <c r="DN8" s="17">
        <v>0</v>
      </c>
      <c r="DO8" s="17"/>
      <c r="DP8" s="17"/>
      <c r="DQ8" s="17"/>
      <c r="DR8" s="17"/>
      <c r="DS8" s="17">
        <v>18.399999999999999</v>
      </c>
      <c r="DT8" s="17">
        <v>5.6</v>
      </c>
      <c r="DU8" s="17">
        <v>0.2</v>
      </c>
      <c r="DV8" s="17">
        <v>0</v>
      </c>
      <c r="DW8" s="17">
        <v>18.8</v>
      </c>
      <c r="DX8" s="17">
        <v>5.6</v>
      </c>
      <c r="DY8" s="17">
        <v>0</v>
      </c>
      <c r="DZ8" s="17">
        <v>0</v>
      </c>
      <c r="EA8" s="41">
        <f t="shared" si="40"/>
        <v>8</v>
      </c>
      <c r="EB8" s="41">
        <f t="shared" si="41"/>
        <v>43.4</v>
      </c>
      <c r="EC8" s="41" t="str">
        <f t="shared" si="42"/>
        <v/>
      </c>
      <c r="ED8" s="41">
        <f t="shared" si="43"/>
        <v>8</v>
      </c>
      <c r="EE8" s="41">
        <f t="shared" si="44"/>
        <v>43.4</v>
      </c>
      <c r="EF8" s="41">
        <f t="shared" si="45"/>
        <v>11.2</v>
      </c>
      <c r="EG8" s="41">
        <f t="shared" si="46"/>
        <v>48.199999999999996</v>
      </c>
      <c r="EH8" s="41">
        <f t="shared" si="47"/>
        <v>91.6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18.600000000000001</v>
      </c>
      <c r="GN8" s="18">
        <v>6</v>
      </c>
      <c r="GO8" s="18">
        <v>0.6</v>
      </c>
      <c r="GP8" s="18">
        <v>0</v>
      </c>
      <c r="GQ8" s="18">
        <v>18.899999999999999</v>
      </c>
      <c r="GR8" s="18">
        <v>5.6</v>
      </c>
      <c r="GS8" s="18">
        <v>0</v>
      </c>
      <c r="GT8" s="18">
        <v>0</v>
      </c>
      <c r="GU8" s="18"/>
      <c r="GV8" s="18"/>
      <c r="GW8" s="18"/>
      <c r="GX8" s="18"/>
      <c r="GY8" s="18">
        <v>18.600000000000001</v>
      </c>
      <c r="GZ8" s="18">
        <v>5.6</v>
      </c>
      <c r="HA8" s="18">
        <v>0</v>
      </c>
      <c r="HB8" s="18">
        <v>0</v>
      </c>
      <c r="HC8" s="18">
        <v>18</v>
      </c>
      <c r="HD8" s="18">
        <v>5.6</v>
      </c>
      <c r="HE8" s="18">
        <v>0.2</v>
      </c>
      <c r="HF8" s="18">
        <v>0</v>
      </c>
      <c r="HG8" s="11">
        <f t="shared" si="64"/>
        <v>11.6</v>
      </c>
      <c r="HH8" s="11">
        <f t="shared" si="65"/>
        <v>48.5</v>
      </c>
      <c r="HI8" s="11" t="str">
        <f t="shared" si="66"/>
        <v/>
      </c>
      <c r="HJ8" s="11">
        <f t="shared" si="67"/>
        <v>11.6</v>
      </c>
      <c r="HK8" s="11">
        <f t="shared" si="68"/>
        <v>48.5</v>
      </c>
      <c r="HL8" s="11">
        <f t="shared" si="69"/>
        <v>11.2</v>
      </c>
      <c r="HM8" s="11">
        <f t="shared" si="70"/>
        <v>47.6</v>
      </c>
      <c r="HN8" s="11">
        <f t="shared" si="71"/>
        <v>96.1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>
        <v>16.899999999999999</v>
      </c>
      <c r="LX8" s="17">
        <v>6</v>
      </c>
      <c r="LY8" s="17">
        <v>0.8</v>
      </c>
      <c r="LZ8" s="17">
        <v>0</v>
      </c>
      <c r="MA8" s="17">
        <v>18.8</v>
      </c>
      <c r="MB8" s="17">
        <v>5.6</v>
      </c>
      <c r="MC8" s="17">
        <v>0</v>
      </c>
      <c r="MD8" s="17">
        <v>0</v>
      </c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>
        <f t="shared" si="104"/>
        <v>11.6</v>
      </c>
      <c r="MR8" s="41">
        <f t="shared" si="105"/>
        <v>46.500000000000007</v>
      </c>
      <c r="MS8" s="41" t="str">
        <f t="shared" si="106"/>
        <v/>
      </c>
      <c r="MT8" s="41">
        <f t="shared" si="107"/>
        <v>11.6</v>
      </c>
      <c r="MU8" s="41">
        <f t="shared" si="108"/>
        <v>46.500000000000007</v>
      </c>
      <c r="MV8" s="41" t="str">
        <f t="shared" si="109"/>
        <v/>
      </c>
      <c r="MW8" s="41" t="str">
        <f t="shared" si="110"/>
        <v/>
      </c>
      <c r="MX8" s="41">
        <f t="shared" si="111"/>
        <v>46.500000000000007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18.75</v>
      </c>
      <c r="QF8" s="23">
        <f t="shared" si="137"/>
        <v>5.6</v>
      </c>
      <c r="QG8" s="23">
        <f t="shared" si="138"/>
        <v>0.2</v>
      </c>
      <c r="QH8" s="23">
        <f t="shared" si="139"/>
        <v>0</v>
      </c>
      <c r="QI8" s="23">
        <f t="shared" si="140"/>
        <v>18.049999999999997</v>
      </c>
      <c r="QJ8" s="23">
        <f t="shared" si="141"/>
        <v>4.1999999999999993</v>
      </c>
      <c r="QK8" s="23">
        <f t="shared" si="142"/>
        <v>0</v>
      </c>
      <c r="QL8" s="23">
        <f t="shared" si="143"/>
        <v>0</v>
      </c>
      <c r="QM8" s="23">
        <f t="shared" si="144"/>
        <v>18.649999999999999</v>
      </c>
      <c r="QN8" s="23">
        <f t="shared" si="145"/>
        <v>5.8000000000000007</v>
      </c>
      <c r="QO8" s="23">
        <f t="shared" si="146"/>
        <v>0.3</v>
      </c>
      <c r="QP8" s="23">
        <f t="shared" si="147"/>
        <v>0</v>
      </c>
      <c r="QQ8" s="23">
        <f t="shared" si="148"/>
        <v>17.600000000000001</v>
      </c>
      <c r="QR8" s="23">
        <f t="shared" si="149"/>
        <v>5.8</v>
      </c>
      <c r="QS8" s="23">
        <f t="shared" si="150"/>
        <v>0.5</v>
      </c>
      <c r="QT8" s="23">
        <f t="shared" si="151"/>
        <v>0</v>
      </c>
      <c r="QU8" s="23">
        <f t="shared" si="152"/>
        <v>18.45</v>
      </c>
      <c r="QV8" s="23">
        <f t="shared" si="153"/>
        <v>5.8</v>
      </c>
      <c r="QW8" s="23">
        <f t="shared" si="154"/>
        <v>0.8</v>
      </c>
      <c r="QX8" s="23">
        <f t="shared" si="155"/>
        <v>0</v>
      </c>
      <c r="QY8" s="28" t="s">
        <v>58</v>
      </c>
      <c r="QZ8" s="41">
        <f t="shared" si="156"/>
        <v>9.7999999999999989</v>
      </c>
      <c r="RA8" s="41">
        <f t="shared" si="157"/>
        <v>46.399999999999991</v>
      </c>
      <c r="RB8" s="41">
        <f t="shared" si="158"/>
        <v>24.15</v>
      </c>
      <c r="RC8" s="41">
        <f t="shared" si="159"/>
        <v>15.6</v>
      </c>
      <c r="RD8" s="41">
        <f t="shared" si="160"/>
        <v>70.549999999999983</v>
      </c>
      <c r="RE8" s="41">
        <f t="shared" si="161"/>
        <v>11.6</v>
      </c>
      <c r="RF8" s="41">
        <f t="shared" si="162"/>
        <v>46.35</v>
      </c>
      <c r="RG8" s="41">
        <f t="shared" si="163"/>
        <v>92.75</v>
      </c>
    </row>
    <row r="9" spans="1:475" x14ac:dyDescent="0.2">
      <c r="A9" s="4">
        <f t="shared" si="164"/>
        <v>6</v>
      </c>
      <c r="B9" s="5" t="s">
        <v>140</v>
      </c>
      <c r="C9" s="4" t="s">
        <v>40</v>
      </c>
      <c r="D9" s="4">
        <v>2000</v>
      </c>
      <c r="E9" s="9">
        <f t="shared" si="0"/>
        <v>168.50001190000475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IF(COUNT(AQ9,BT9,CW9)&gt;0,LARGE((AQ9,BT9,CW9),1),0)</f>
        <v>47.6</v>
      </c>
      <c r="K9" s="8" t="str">
        <f t="shared" si="5"/>
        <v>2022 3rd Domestic Trial</v>
      </c>
      <c r="L9" s="8">
        <f>IF(COUNT(AQ9,BT9,CW9)&gt;1,LARGE((AQ9,BT9,CW9),2),0)</f>
        <v>47.5</v>
      </c>
      <c r="M9" s="8" t="str">
        <f t="shared" si="6"/>
        <v>2022 Nationals</v>
      </c>
      <c r="N9" s="8">
        <f>IF(COUNT(AR9,BU9,CX9)&gt;0,LARGE((AR9,BU9,CX9),1),0)</f>
        <v>23.9</v>
      </c>
      <c r="O9" s="8" t="str">
        <f t="shared" si="7"/>
        <v>2023 Elite Canada</v>
      </c>
      <c r="P9" s="8">
        <f t="shared" si="8"/>
        <v>49.5</v>
      </c>
      <c r="Q9" s="8" t="str">
        <f t="shared" si="9"/>
        <v>2022 3rd Domestic Trial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18.600000000000001</v>
      </c>
      <c r="V9" s="19">
        <v>5.2</v>
      </c>
      <c r="W9" s="19">
        <v>0</v>
      </c>
      <c r="X9" s="19">
        <v>0</v>
      </c>
      <c r="Y9" s="19">
        <v>18.7</v>
      </c>
      <c r="Z9" s="19">
        <v>5.6</v>
      </c>
      <c r="AA9" s="19">
        <v>0.6</v>
      </c>
      <c r="AB9" s="19">
        <v>0</v>
      </c>
      <c r="AC9" s="19">
        <v>17.7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</v>
      </c>
      <c r="AI9" s="19">
        <v>0.2</v>
      </c>
      <c r="AJ9" s="19">
        <v>0</v>
      </c>
      <c r="AK9" s="19">
        <v>18.3</v>
      </c>
      <c r="AL9" s="19">
        <v>5.6</v>
      </c>
      <c r="AM9" s="19">
        <v>0.6</v>
      </c>
      <c r="AN9" s="19">
        <v>0</v>
      </c>
      <c r="AO9" s="28"/>
      <c r="AP9" s="41">
        <f t="shared" si="13"/>
        <v>10.8</v>
      </c>
      <c r="AQ9" s="41">
        <f t="shared" si="14"/>
        <v>47.5</v>
      </c>
      <c r="AR9" s="41">
        <f t="shared" si="15"/>
        <v>22.4</v>
      </c>
      <c r="AS9" s="41">
        <f t="shared" si="16"/>
        <v>16</v>
      </c>
      <c r="AT9" s="41">
        <f t="shared" si="17"/>
        <v>69.900000000000006</v>
      </c>
      <c r="AU9" s="41">
        <f t="shared" si="18"/>
        <v>11.6</v>
      </c>
      <c r="AV9" s="41">
        <f t="shared" si="19"/>
        <v>47.500000000000007</v>
      </c>
      <c r="AW9" s="41">
        <f t="shared" si="20"/>
        <v>95</v>
      </c>
      <c r="AX9" s="18">
        <v>18.600000000000001</v>
      </c>
      <c r="AY9" s="18">
        <v>6</v>
      </c>
      <c r="AZ9" s="18">
        <v>0.2</v>
      </c>
      <c r="BA9" s="18">
        <v>0</v>
      </c>
      <c r="BB9" s="18">
        <v>18.399999999999999</v>
      </c>
      <c r="BC9" s="18">
        <v>5.6</v>
      </c>
      <c r="BD9" s="18">
        <v>0.8</v>
      </c>
      <c r="BE9" s="18">
        <v>0</v>
      </c>
      <c r="BF9" s="18">
        <v>17</v>
      </c>
      <c r="BG9" s="18">
        <v>3.2</v>
      </c>
      <c r="BH9" s="18">
        <v>0</v>
      </c>
      <c r="BI9" s="18">
        <v>0.3</v>
      </c>
      <c r="BJ9" s="18">
        <v>18.899999999999999</v>
      </c>
      <c r="BK9" s="18">
        <v>6</v>
      </c>
      <c r="BL9" s="18">
        <v>0</v>
      </c>
      <c r="BM9" s="18">
        <v>0</v>
      </c>
      <c r="BN9" s="18">
        <v>19</v>
      </c>
      <c r="BO9" s="18">
        <v>5.6</v>
      </c>
      <c r="BP9" s="18">
        <v>0</v>
      </c>
      <c r="BQ9" s="18">
        <v>0</v>
      </c>
      <c r="BR9" s="29"/>
      <c r="BS9" s="11">
        <f t="shared" si="21"/>
        <v>11.6</v>
      </c>
      <c r="BT9" s="11">
        <f t="shared" si="22"/>
        <v>47.6</v>
      </c>
      <c r="BU9" s="11">
        <f t="shared" si="23"/>
        <v>20.5</v>
      </c>
      <c r="BV9" s="11">
        <f t="shared" si="24"/>
        <v>14.8</v>
      </c>
      <c r="BW9" s="11">
        <f t="shared" si="25"/>
        <v>68.099999999999994</v>
      </c>
      <c r="BX9" s="11">
        <f t="shared" si="26"/>
        <v>11.6</v>
      </c>
      <c r="BY9" s="11">
        <f t="shared" si="27"/>
        <v>49.5</v>
      </c>
      <c r="BZ9" s="11">
        <f t="shared" si="28"/>
        <v>97.1</v>
      </c>
      <c r="CA9" s="19">
        <v>18.2</v>
      </c>
      <c r="CB9" s="19">
        <v>5.2</v>
      </c>
      <c r="CC9" s="19">
        <v>0.2</v>
      </c>
      <c r="CD9" s="19">
        <v>0</v>
      </c>
      <c r="CE9" s="19">
        <v>17.7</v>
      </c>
      <c r="CF9" s="19">
        <v>4.8</v>
      </c>
      <c r="CG9" s="19">
        <v>0.8</v>
      </c>
      <c r="CH9" s="19">
        <v>0</v>
      </c>
      <c r="CI9" s="19">
        <v>18.399999999999999</v>
      </c>
      <c r="CJ9" s="19">
        <v>6</v>
      </c>
      <c r="CK9" s="19">
        <v>0.8</v>
      </c>
      <c r="CL9" s="19">
        <v>0.3</v>
      </c>
      <c r="CM9" s="19">
        <v>18.600000000000001</v>
      </c>
      <c r="CN9" s="19">
        <v>6</v>
      </c>
      <c r="CO9" s="19">
        <v>0</v>
      </c>
      <c r="CP9" s="19">
        <v>0</v>
      </c>
      <c r="CQ9" s="19">
        <v>18.8</v>
      </c>
      <c r="CR9" s="19">
        <v>5.6</v>
      </c>
      <c r="CS9" s="19">
        <v>0.6</v>
      </c>
      <c r="CT9" s="19">
        <v>0</v>
      </c>
      <c r="CU9" s="28"/>
      <c r="CV9" s="41">
        <f t="shared" si="29"/>
        <v>10</v>
      </c>
      <c r="CW9" s="41">
        <f t="shared" si="30"/>
        <v>44.899999999999991</v>
      </c>
      <c r="CX9" s="41">
        <f t="shared" si="31"/>
        <v>23.9</v>
      </c>
      <c r="CY9" s="41">
        <f t="shared" si="32"/>
        <v>16</v>
      </c>
      <c r="CZ9" s="41">
        <f t="shared" si="33"/>
        <v>68.799999999999983</v>
      </c>
      <c r="DA9" s="41">
        <f t="shared" si="34"/>
        <v>11.6</v>
      </c>
      <c r="DB9" s="41">
        <f t="shared" si="35"/>
        <v>48.400000000000006</v>
      </c>
      <c r="DC9" s="41">
        <f t="shared" si="36"/>
        <v>93.3</v>
      </c>
      <c r="DD9" s="52" t="str">
        <f t="shared" si="37"/>
        <v/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18.399999999999999</v>
      </c>
      <c r="QF9" s="23">
        <f t="shared" si="137"/>
        <v>5.6</v>
      </c>
      <c r="QG9" s="23">
        <f t="shared" si="138"/>
        <v>0.2</v>
      </c>
      <c r="QH9" s="23">
        <f t="shared" si="139"/>
        <v>0</v>
      </c>
      <c r="QI9" s="23">
        <f t="shared" si="140"/>
        <v>18.049999999999997</v>
      </c>
      <c r="QJ9" s="23">
        <f t="shared" si="141"/>
        <v>5.1999999999999993</v>
      </c>
      <c r="QK9" s="23">
        <f t="shared" si="142"/>
        <v>0.8</v>
      </c>
      <c r="QL9" s="23">
        <f t="shared" si="143"/>
        <v>0</v>
      </c>
      <c r="QM9" s="23">
        <f t="shared" si="144"/>
        <v>17.7</v>
      </c>
      <c r="QN9" s="23">
        <f t="shared" si="145"/>
        <v>4.5999999999999996</v>
      </c>
      <c r="QO9" s="23">
        <f t="shared" si="146"/>
        <v>0.4</v>
      </c>
      <c r="QP9" s="23">
        <f t="shared" si="147"/>
        <v>0.3</v>
      </c>
      <c r="QQ9" s="23">
        <f t="shared" si="148"/>
        <v>18.75</v>
      </c>
      <c r="QR9" s="23">
        <f t="shared" si="149"/>
        <v>6</v>
      </c>
      <c r="QS9" s="23">
        <f t="shared" si="150"/>
        <v>0</v>
      </c>
      <c r="QT9" s="23">
        <f t="shared" si="151"/>
        <v>0</v>
      </c>
      <c r="QU9" s="23">
        <f t="shared" si="152"/>
        <v>18.899999999999999</v>
      </c>
      <c r="QV9" s="23">
        <f t="shared" si="153"/>
        <v>5.6</v>
      </c>
      <c r="QW9" s="23">
        <f t="shared" si="154"/>
        <v>0.3</v>
      </c>
      <c r="QX9" s="23">
        <f t="shared" si="155"/>
        <v>0</v>
      </c>
      <c r="QY9" s="28" t="s">
        <v>58</v>
      </c>
      <c r="QZ9" s="41">
        <f t="shared" si="156"/>
        <v>10.799999999999999</v>
      </c>
      <c r="RA9" s="41">
        <f t="shared" si="157"/>
        <v>46.25</v>
      </c>
      <c r="RB9" s="41">
        <f t="shared" si="158"/>
        <v>22.2</v>
      </c>
      <c r="RC9" s="41">
        <f t="shared" si="159"/>
        <v>15.399999999999999</v>
      </c>
      <c r="RD9" s="41">
        <f t="shared" si="160"/>
        <v>68.45</v>
      </c>
      <c r="RE9" s="41">
        <f t="shared" si="161"/>
        <v>11.6</v>
      </c>
      <c r="RF9" s="41">
        <f t="shared" si="162"/>
        <v>48.95</v>
      </c>
      <c r="RG9" s="41">
        <f t="shared" si="163"/>
        <v>95.2</v>
      </c>
    </row>
    <row r="10" spans="1:475" x14ac:dyDescent="0.2">
      <c r="A10" s="4">
        <f t="shared" si="164"/>
        <v>7</v>
      </c>
      <c r="B10" s="5" t="s">
        <v>102</v>
      </c>
      <c r="C10" s="4" t="s">
        <v>5</v>
      </c>
      <c r="D10" s="4">
        <v>1999</v>
      </c>
      <c r="E10" s="9">
        <f t="shared" si="0"/>
        <v>167.74001189000475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IF(COUNT(AQ10,BT10,CW10)&gt;0,LARGE((AQ10,BT10,CW10),1),0)</f>
        <v>47.4</v>
      </c>
      <c r="K10" s="8" t="str">
        <f t="shared" si="5"/>
        <v>2022 Nationals</v>
      </c>
      <c r="L10" s="8">
        <f>IF(COUNT(AQ10,BT10,CW10)&gt;1,LARGE((AQ10,BT10,CW10),2),0)</f>
        <v>47.099999999999994</v>
      </c>
      <c r="M10" s="8" t="str">
        <f t="shared" si="6"/>
        <v>2022 3rd Domestic Trial</v>
      </c>
      <c r="N10" s="8">
        <f>IF(COUNT(AR10,BU10,CX10)&gt;0,LARGE((AR10,BU10,CX10),1),0)</f>
        <v>24.4</v>
      </c>
      <c r="O10" s="8" t="str">
        <f t="shared" si="7"/>
        <v>2022 Nationals</v>
      </c>
      <c r="P10" s="8">
        <f t="shared" si="8"/>
        <v>48.84</v>
      </c>
      <c r="Q10" s="8" t="str">
        <f t="shared" si="9"/>
        <v>2022 3rd Domestic Trial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18.600000000000001</v>
      </c>
      <c r="V10" s="19">
        <v>5.6</v>
      </c>
      <c r="W10" s="19">
        <v>0.6</v>
      </c>
      <c r="X10" s="19">
        <v>0</v>
      </c>
      <c r="Y10" s="19">
        <v>18.8</v>
      </c>
      <c r="Z10" s="19">
        <v>5.6</v>
      </c>
      <c r="AA10" s="19">
        <v>0.6</v>
      </c>
      <c r="AB10" s="19">
        <v>0</v>
      </c>
      <c r="AC10" s="19">
        <v>18.8</v>
      </c>
      <c r="AD10" s="19">
        <v>5.6</v>
      </c>
      <c r="AE10" s="19">
        <v>0</v>
      </c>
      <c r="AF10" s="19">
        <v>0</v>
      </c>
      <c r="AG10" s="19">
        <v>17.2</v>
      </c>
      <c r="AH10" s="19">
        <v>3.2</v>
      </c>
      <c r="AI10" s="19">
        <v>0</v>
      </c>
      <c r="AJ10" s="19">
        <v>0.3</v>
      </c>
      <c r="AK10" s="19">
        <v>18.5</v>
      </c>
      <c r="AL10" s="19">
        <v>6</v>
      </c>
      <c r="AM10" s="19">
        <v>0.2</v>
      </c>
      <c r="AN10" s="19">
        <v>0</v>
      </c>
      <c r="AO10" s="28"/>
      <c r="AP10" s="41">
        <f t="shared" si="13"/>
        <v>11.2</v>
      </c>
      <c r="AQ10" s="41">
        <f t="shared" si="14"/>
        <v>47.4</v>
      </c>
      <c r="AR10" s="41">
        <f t="shared" si="15"/>
        <v>24.4</v>
      </c>
      <c r="AS10" s="41">
        <f t="shared" si="16"/>
        <v>16.799999999999997</v>
      </c>
      <c r="AT10" s="41">
        <f t="shared" si="17"/>
        <v>71.8</v>
      </c>
      <c r="AU10" s="41">
        <f t="shared" si="18"/>
        <v>9.1999999999999993</v>
      </c>
      <c r="AV10" s="41">
        <f t="shared" si="19"/>
        <v>45</v>
      </c>
      <c r="AW10" s="41">
        <f t="shared" si="20"/>
        <v>92.4</v>
      </c>
      <c r="AX10" s="18">
        <v>18.5</v>
      </c>
      <c r="AY10" s="18">
        <v>4.4000000000000004</v>
      </c>
      <c r="AZ10" s="18">
        <v>0.2</v>
      </c>
      <c r="BA10" s="18">
        <v>0</v>
      </c>
      <c r="BB10" s="18">
        <v>19</v>
      </c>
      <c r="BC10" s="18">
        <v>6</v>
      </c>
      <c r="BD10" s="18">
        <v>0.6</v>
      </c>
      <c r="BE10" s="18">
        <v>0</v>
      </c>
      <c r="BF10" s="18">
        <v>18.8</v>
      </c>
      <c r="BG10" s="18">
        <v>5.6</v>
      </c>
      <c r="BH10" s="18">
        <v>0.6</v>
      </c>
      <c r="BI10" s="18">
        <v>0.3</v>
      </c>
      <c r="BJ10" s="18">
        <v>18.739999999999998</v>
      </c>
      <c r="BK10" s="18">
        <v>6</v>
      </c>
      <c r="BL10" s="18">
        <v>0.2</v>
      </c>
      <c r="BM10" s="18">
        <v>0</v>
      </c>
      <c r="BN10" s="18">
        <v>18.600000000000001</v>
      </c>
      <c r="BO10" s="18">
        <v>6</v>
      </c>
      <c r="BP10" s="18">
        <v>0.6</v>
      </c>
      <c r="BQ10" s="18">
        <v>0.3</v>
      </c>
      <c r="BR10" s="29"/>
      <c r="BS10" s="11">
        <f t="shared" si="21"/>
        <v>10.4</v>
      </c>
      <c r="BT10" s="11">
        <f t="shared" si="22"/>
        <v>47.099999999999994</v>
      </c>
      <c r="BU10" s="11">
        <f t="shared" si="23"/>
        <v>24.099999999999998</v>
      </c>
      <c r="BV10" s="11">
        <f t="shared" si="24"/>
        <v>16</v>
      </c>
      <c r="BW10" s="11">
        <f t="shared" si="25"/>
        <v>71.199999999999989</v>
      </c>
      <c r="BX10" s="11">
        <f t="shared" si="26"/>
        <v>12</v>
      </c>
      <c r="BY10" s="11">
        <f t="shared" si="27"/>
        <v>48.84</v>
      </c>
      <c r="BZ10" s="11">
        <f t="shared" si="28"/>
        <v>95.94</v>
      </c>
      <c r="CA10" s="19">
        <v>16.8</v>
      </c>
      <c r="CB10" s="19">
        <v>5.6</v>
      </c>
      <c r="CC10" s="19">
        <v>0.8</v>
      </c>
      <c r="CD10" s="19">
        <v>0</v>
      </c>
      <c r="CE10" s="19">
        <v>17.399999999999999</v>
      </c>
      <c r="CF10" s="19">
        <v>2.8</v>
      </c>
      <c r="CG10" s="19">
        <v>0</v>
      </c>
      <c r="CH10" s="19">
        <v>0</v>
      </c>
      <c r="CI10" s="19">
        <v>18.3</v>
      </c>
      <c r="CJ10" s="19">
        <v>4.8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 t="shared" si="29"/>
        <v>8.3999999999999986</v>
      </c>
      <c r="CW10" s="41">
        <f t="shared" si="30"/>
        <v>41.8</v>
      </c>
      <c r="CX10" s="41">
        <f t="shared" si="31"/>
        <v>23.1</v>
      </c>
      <c r="CY10" s="41">
        <f t="shared" si="32"/>
        <v>13.2</v>
      </c>
      <c r="CZ10" s="41">
        <f t="shared" si="33"/>
        <v>64.900000000000006</v>
      </c>
      <c r="DA10" s="41" t="str">
        <f t="shared" si="34"/>
        <v/>
      </c>
      <c r="DB10" s="41" t="str">
        <f t="shared" si="35"/>
        <v/>
      </c>
      <c r="DC10" s="41">
        <f t="shared" si="36"/>
        <v>41.8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17.649999999999999</v>
      </c>
      <c r="QF10" s="23">
        <f t="shared" si="137"/>
        <v>5</v>
      </c>
      <c r="QG10" s="23">
        <f t="shared" si="138"/>
        <v>0.5</v>
      </c>
      <c r="QH10" s="23">
        <f t="shared" si="139"/>
        <v>0</v>
      </c>
      <c r="QI10" s="23">
        <f t="shared" si="140"/>
        <v>18.2</v>
      </c>
      <c r="QJ10" s="23">
        <f t="shared" si="141"/>
        <v>4.4000000000000004</v>
      </c>
      <c r="QK10" s="23">
        <f t="shared" si="142"/>
        <v>0.3</v>
      </c>
      <c r="QL10" s="23">
        <f t="shared" si="143"/>
        <v>0</v>
      </c>
      <c r="QM10" s="23">
        <f t="shared" si="144"/>
        <v>18.55</v>
      </c>
      <c r="QN10" s="23">
        <f t="shared" si="145"/>
        <v>5.1999999999999993</v>
      </c>
      <c r="QO10" s="23">
        <f t="shared" si="146"/>
        <v>0.3</v>
      </c>
      <c r="QP10" s="23">
        <f t="shared" si="147"/>
        <v>0.15</v>
      </c>
      <c r="QQ10" s="23">
        <f t="shared" si="148"/>
        <v>9.3699999999999992</v>
      </c>
      <c r="QR10" s="23">
        <f t="shared" si="149"/>
        <v>3</v>
      </c>
      <c r="QS10" s="23">
        <f t="shared" si="150"/>
        <v>0.1</v>
      </c>
      <c r="QT10" s="23">
        <f t="shared" si="151"/>
        <v>0</v>
      </c>
      <c r="QU10" s="23">
        <f t="shared" si="152"/>
        <v>9.3000000000000007</v>
      </c>
      <c r="QV10" s="23">
        <f t="shared" si="153"/>
        <v>3</v>
      </c>
      <c r="QW10" s="23">
        <f t="shared" si="154"/>
        <v>0.3</v>
      </c>
      <c r="QX10" s="23">
        <f t="shared" si="155"/>
        <v>0.15</v>
      </c>
      <c r="QY10" s="28" t="s">
        <v>58</v>
      </c>
      <c r="QZ10" s="41">
        <f t="shared" si="156"/>
        <v>9.4</v>
      </c>
      <c r="RA10" s="41">
        <f t="shared" si="157"/>
        <v>44.449999999999996</v>
      </c>
      <c r="RB10" s="41">
        <f t="shared" si="158"/>
        <v>23.599999999999998</v>
      </c>
      <c r="RC10" s="41">
        <f t="shared" si="159"/>
        <v>14.6</v>
      </c>
      <c r="RD10" s="41">
        <f t="shared" si="160"/>
        <v>68.05</v>
      </c>
      <c r="RE10" s="41">
        <f t="shared" si="161"/>
        <v>6</v>
      </c>
      <c r="RF10" s="41">
        <f t="shared" si="162"/>
        <v>24.42</v>
      </c>
      <c r="RG10" s="41">
        <f t="shared" si="163"/>
        <v>68.87</v>
      </c>
    </row>
    <row r="11" spans="1:475" x14ac:dyDescent="0.2">
      <c r="A11" s="4">
        <f t="shared" si="164"/>
        <v>8</v>
      </c>
      <c r="B11" s="5" t="s">
        <v>158</v>
      </c>
      <c r="C11" s="4" t="s">
        <v>5</v>
      </c>
      <c r="D11" s="4">
        <v>2001</v>
      </c>
      <c r="E11" s="9">
        <f t="shared" si="0"/>
        <v>167.60001189000482</v>
      </c>
      <c r="F11" s="3" t="str">
        <f t="shared" si="1"/>
        <v>P</v>
      </c>
      <c r="G11" s="3" t="str">
        <f t="shared" si="2"/>
        <v>P</v>
      </c>
      <c r="H11" s="37" t="str">
        <f t="shared" si="3"/>
        <v>National Team</v>
      </c>
      <c r="I11" s="3" t="str">
        <f t="shared" si="4"/>
        <v/>
      </c>
      <c r="J11" s="8">
        <f>IF(COUNT(AQ11,BT11,CW11)&gt;0,LARGE((AQ11,BT11,CW11),1),0)</f>
        <v>48.3</v>
      </c>
      <c r="K11" s="8" t="str">
        <f t="shared" si="5"/>
        <v>2023 Elite Canada</v>
      </c>
      <c r="L11" s="8">
        <f>IF(COUNT(AQ11,BT11,CW11)&gt;1,LARGE((AQ11,BT11,CW11),2),0)</f>
        <v>47</v>
      </c>
      <c r="M11" s="8" t="str">
        <f t="shared" si="6"/>
        <v>2022 Nationals</v>
      </c>
      <c r="N11" s="8">
        <f>IF(COUNT(AR11,BU11,CX11)&gt;0,LARGE((AR11,BU11,CX11),1),0)</f>
        <v>23.599999999999998</v>
      </c>
      <c r="O11" s="8" t="str">
        <f t="shared" si="7"/>
        <v>2022 3rd Domestic Trial</v>
      </c>
      <c r="P11" s="8">
        <f t="shared" si="8"/>
        <v>48.2</v>
      </c>
      <c r="Q11" s="8" t="str">
        <f t="shared" si="9"/>
        <v>2022 Nationals</v>
      </c>
      <c r="R11" s="8">
        <f t="shared" si="10"/>
        <v>0.49999999999999289</v>
      </c>
      <c r="S11" s="11" t="str">
        <f t="shared" si="11"/>
        <v>(Final)</v>
      </c>
      <c r="T11" s="8" t="str">
        <f t="shared" si="12"/>
        <v>2022 World Games Technical Trial #2 (May 15)</v>
      </c>
      <c r="U11" s="19">
        <v>18.2</v>
      </c>
      <c r="V11" s="19">
        <v>5.6</v>
      </c>
      <c r="W11" s="19">
        <v>0.8</v>
      </c>
      <c r="X11" s="19">
        <v>0</v>
      </c>
      <c r="Y11" s="19">
        <v>18.2</v>
      </c>
      <c r="Z11" s="19">
        <v>6</v>
      </c>
      <c r="AA11" s="19">
        <v>0.2</v>
      </c>
      <c r="AB11" s="19">
        <v>0</v>
      </c>
      <c r="AC11" s="19">
        <v>17.899999999999999</v>
      </c>
      <c r="AD11" s="19">
        <v>4.4000000000000004</v>
      </c>
      <c r="AE11" s="19">
        <v>1</v>
      </c>
      <c r="AF11" s="19">
        <v>0</v>
      </c>
      <c r="AG11" s="19">
        <v>18.399999999999999</v>
      </c>
      <c r="AH11" s="19">
        <v>5.6</v>
      </c>
      <c r="AI11" s="19">
        <v>0</v>
      </c>
      <c r="AJ11" s="19">
        <v>0</v>
      </c>
      <c r="AK11" s="19">
        <v>18.2</v>
      </c>
      <c r="AL11" s="19">
        <v>6</v>
      </c>
      <c r="AM11" s="19">
        <v>0</v>
      </c>
      <c r="AN11" s="19">
        <v>0</v>
      </c>
      <c r="AO11" s="28"/>
      <c r="AP11" s="41">
        <f t="shared" si="13"/>
        <v>11.6</v>
      </c>
      <c r="AQ11" s="41">
        <f t="shared" si="14"/>
        <v>47</v>
      </c>
      <c r="AR11" s="41">
        <f t="shared" si="15"/>
        <v>21.299999999999997</v>
      </c>
      <c r="AS11" s="41">
        <f t="shared" si="16"/>
        <v>16</v>
      </c>
      <c r="AT11" s="41">
        <f t="shared" si="17"/>
        <v>68.3</v>
      </c>
      <c r="AU11" s="41">
        <f t="shared" si="18"/>
        <v>11.6</v>
      </c>
      <c r="AV11" s="41">
        <f t="shared" si="19"/>
        <v>48.2</v>
      </c>
      <c r="AW11" s="41">
        <f t="shared" si="20"/>
        <v>95.2</v>
      </c>
      <c r="AX11" s="18">
        <v>18.5</v>
      </c>
      <c r="AY11" s="18">
        <v>4.8</v>
      </c>
      <c r="AZ11" s="18">
        <v>0.6</v>
      </c>
      <c r="BA11" s="18">
        <v>0</v>
      </c>
      <c r="BB11" s="18">
        <v>19.2</v>
      </c>
      <c r="BC11" s="18">
        <v>4.3</v>
      </c>
      <c r="BD11" s="18">
        <v>0.1</v>
      </c>
      <c r="BE11" s="18">
        <v>0</v>
      </c>
      <c r="BF11" s="18">
        <v>18.2</v>
      </c>
      <c r="BG11" s="18">
        <v>5.6</v>
      </c>
      <c r="BH11" s="18">
        <v>0.2</v>
      </c>
      <c r="BI11" s="18">
        <v>0</v>
      </c>
      <c r="BJ11" s="18">
        <v>18.5</v>
      </c>
      <c r="BK11" s="18">
        <v>4.8</v>
      </c>
      <c r="BL11" s="18">
        <v>0</v>
      </c>
      <c r="BM11" s="18">
        <v>0</v>
      </c>
      <c r="BN11" s="18">
        <v>18.100000000000001</v>
      </c>
      <c r="BO11" s="18">
        <v>4.8</v>
      </c>
      <c r="BP11" s="18">
        <v>0.8</v>
      </c>
      <c r="BQ11" s="18">
        <v>0</v>
      </c>
      <c r="BR11" s="29"/>
      <c r="BS11" s="11">
        <f t="shared" si="21"/>
        <v>9.1</v>
      </c>
      <c r="BT11" s="11">
        <f t="shared" si="22"/>
        <v>46.099999999999994</v>
      </c>
      <c r="BU11" s="11">
        <f t="shared" si="23"/>
        <v>23.599999999999998</v>
      </c>
      <c r="BV11" s="11">
        <f t="shared" si="24"/>
        <v>14.7</v>
      </c>
      <c r="BW11" s="11">
        <f t="shared" si="25"/>
        <v>69.699999999999989</v>
      </c>
      <c r="BX11" s="11">
        <f t="shared" si="26"/>
        <v>9.6</v>
      </c>
      <c r="BY11" s="11">
        <f t="shared" si="27"/>
        <v>45.400000000000006</v>
      </c>
      <c r="BZ11" s="11">
        <f t="shared" si="28"/>
        <v>91.5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18.5</v>
      </c>
      <c r="CF11" s="19">
        <v>6</v>
      </c>
      <c r="CG11" s="19">
        <v>0.2</v>
      </c>
      <c r="CH11" s="19">
        <v>0</v>
      </c>
      <c r="CI11" s="19">
        <v>16.2</v>
      </c>
      <c r="CJ11" s="19">
        <v>4.8</v>
      </c>
      <c r="CK11" s="19">
        <v>1</v>
      </c>
      <c r="CL11" s="19">
        <v>0</v>
      </c>
      <c r="CM11" s="19">
        <v>18.399999999999999</v>
      </c>
      <c r="CN11" s="19">
        <v>5.2</v>
      </c>
      <c r="CO11" s="19">
        <v>1</v>
      </c>
      <c r="CP11" s="19">
        <v>0</v>
      </c>
      <c r="CQ11" s="19">
        <v>18.3</v>
      </c>
      <c r="CR11" s="19">
        <v>2</v>
      </c>
      <c r="CS11" s="19">
        <v>1</v>
      </c>
      <c r="CT11" s="19">
        <v>0</v>
      </c>
      <c r="CU11" s="28"/>
      <c r="CV11" s="41">
        <f t="shared" si="29"/>
        <v>11.6</v>
      </c>
      <c r="CW11" s="41">
        <f t="shared" si="30"/>
        <v>48.3</v>
      </c>
      <c r="CX11" s="41">
        <f t="shared" si="31"/>
        <v>20</v>
      </c>
      <c r="CY11" s="41">
        <f t="shared" si="32"/>
        <v>16.399999999999999</v>
      </c>
      <c r="CZ11" s="41">
        <f t="shared" si="33"/>
        <v>68.3</v>
      </c>
      <c r="DA11" s="41">
        <f t="shared" si="34"/>
        <v>7.2</v>
      </c>
      <c r="DB11" s="41">
        <f t="shared" si="35"/>
        <v>41.9</v>
      </c>
      <c r="DC11" s="41">
        <f t="shared" si="36"/>
        <v>90.199999999999989</v>
      </c>
      <c r="DD11" s="52">
        <f t="shared" si="37"/>
        <v>0.29999999999999716</v>
      </c>
      <c r="DE11" s="52" t="str">
        <f t="shared" si="38"/>
        <v/>
      </c>
      <c r="DF11" s="52">
        <f t="shared" si="39"/>
        <v>0.49999999999999289</v>
      </c>
      <c r="DG11" s="17">
        <v>17.899999999999999</v>
      </c>
      <c r="DH11" s="17">
        <v>6</v>
      </c>
      <c r="DI11" s="17">
        <v>0</v>
      </c>
      <c r="DJ11" s="17">
        <v>0</v>
      </c>
      <c r="DK11" s="17">
        <v>18.399999999999999</v>
      </c>
      <c r="DL11" s="17">
        <v>5.6</v>
      </c>
      <c r="DM11" s="17">
        <v>0.6</v>
      </c>
      <c r="DN11" s="17">
        <v>0</v>
      </c>
      <c r="DO11" s="17"/>
      <c r="DP11" s="17"/>
      <c r="DQ11" s="17"/>
      <c r="DR11" s="17"/>
      <c r="DS11" s="17">
        <v>18.7</v>
      </c>
      <c r="DT11" s="17">
        <v>5.6</v>
      </c>
      <c r="DU11" s="17">
        <v>0</v>
      </c>
      <c r="DV11" s="17">
        <v>0</v>
      </c>
      <c r="DW11" s="17">
        <v>18.600000000000001</v>
      </c>
      <c r="DX11" s="17">
        <v>6</v>
      </c>
      <c r="DY11" s="17">
        <v>0.2</v>
      </c>
      <c r="DZ11" s="17">
        <v>0</v>
      </c>
      <c r="EA11" s="41">
        <f t="shared" si="40"/>
        <v>11.6</v>
      </c>
      <c r="EB11" s="41">
        <f t="shared" si="41"/>
        <v>47.3</v>
      </c>
      <c r="EC11" s="41" t="str">
        <f t="shared" si="42"/>
        <v/>
      </c>
      <c r="ED11" s="41">
        <f t="shared" si="43"/>
        <v>11.6</v>
      </c>
      <c r="EE11" s="41">
        <f t="shared" si="44"/>
        <v>47.3</v>
      </c>
      <c r="EF11" s="41">
        <f t="shared" si="45"/>
        <v>11.6</v>
      </c>
      <c r="EG11" s="41">
        <f t="shared" si="46"/>
        <v>48.699999999999996</v>
      </c>
      <c r="EH11" s="41">
        <f t="shared" si="47"/>
        <v>96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0</v>
      </c>
      <c r="GN11" s="18">
        <v>0</v>
      </c>
      <c r="GO11" s="18">
        <v>0</v>
      </c>
      <c r="GP11" s="18">
        <v>0</v>
      </c>
      <c r="GQ11" s="18">
        <v>18.100000000000001</v>
      </c>
      <c r="GR11" s="18">
        <v>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6</v>
      </c>
      <c r="HH11" s="11">
        <f t="shared" si="65"/>
        <v>24.1</v>
      </c>
      <c r="HI11" s="11" t="str">
        <f t="shared" si="66"/>
        <v/>
      </c>
      <c r="HJ11" s="11">
        <f t="shared" si="67"/>
        <v>6</v>
      </c>
      <c r="HK11" s="11">
        <f t="shared" si="68"/>
        <v>24.1</v>
      </c>
      <c r="HL11" s="11" t="str">
        <f t="shared" si="69"/>
        <v/>
      </c>
      <c r="HM11" s="11" t="str">
        <f t="shared" si="70"/>
        <v/>
      </c>
      <c r="HN11" s="11">
        <f t="shared" si="71"/>
        <v>24.1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>
        <v>17.899999999999999</v>
      </c>
      <c r="LX11" s="17">
        <v>4.8</v>
      </c>
      <c r="LY11" s="17">
        <v>0.6</v>
      </c>
      <c r="LZ11" s="17">
        <v>0</v>
      </c>
      <c r="MA11" s="17">
        <v>16.5</v>
      </c>
      <c r="MB11" s="17">
        <v>6</v>
      </c>
      <c r="MC11" s="17">
        <v>0.2</v>
      </c>
      <c r="MD11" s="17">
        <v>0</v>
      </c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>
        <f t="shared" si="104"/>
        <v>10.8</v>
      </c>
      <c r="MR11" s="41">
        <f t="shared" si="105"/>
        <v>44.4</v>
      </c>
      <c r="MS11" s="41" t="str">
        <f t="shared" si="106"/>
        <v/>
      </c>
      <c r="MT11" s="41">
        <f t="shared" si="107"/>
        <v>10.8</v>
      </c>
      <c r="MU11" s="41">
        <f t="shared" si="108"/>
        <v>44.4</v>
      </c>
      <c r="MV11" s="41" t="str">
        <f t="shared" si="109"/>
        <v/>
      </c>
      <c r="MW11" s="41" t="str">
        <f t="shared" si="110"/>
        <v/>
      </c>
      <c r="MX11" s="41">
        <f t="shared" si="111"/>
        <v>44.4</v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18.45</v>
      </c>
      <c r="QF11" s="23">
        <f t="shared" si="137"/>
        <v>5.1999999999999993</v>
      </c>
      <c r="QG11" s="23">
        <f t="shared" si="138"/>
        <v>0.3</v>
      </c>
      <c r="QH11" s="23">
        <f t="shared" si="139"/>
        <v>0</v>
      </c>
      <c r="QI11" s="23">
        <f t="shared" si="140"/>
        <v>18.850000000000001</v>
      </c>
      <c r="QJ11" s="23">
        <f t="shared" si="141"/>
        <v>5.15</v>
      </c>
      <c r="QK11" s="23">
        <f t="shared" si="142"/>
        <v>0.15000000000000002</v>
      </c>
      <c r="QL11" s="23">
        <f t="shared" si="143"/>
        <v>0</v>
      </c>
      <c r="QM11" s="23">
        <f t="shared" si="144"/>
        <v>17.2</v>
      </c>
      <c r="QN11" s="23">
        <f t="shared" si="145"/>
        <v>5.1999999999999993</v>
      </c>
      <c r="QO11" s="23">
        <f t="shared" si="146"/>
        <v>0.6</v>
      </c>
      <c r="QP11" s="23">
        <f t="shared" si="147"/>
        <v>0</v>
      </c>
      <c r="QQ11" s="23">
        <f t="shared" si="148"/>
        <v>18.45</v>
      </c>
      <c r="QR11" s="23">
        <f t="shared" si="149"/>
        <v>5</v>
      </c>
      <c r="QS11" s="23">
        <f t="shared" si="150"/>
        <v>0.5</v>
      </c>
      <c r="QT11" s="23">
        <f t="shared" si="151"/>
        <v>0</v>
      </c>
      <c r="QU11" s="23">
        <f t="shared" si="152"/>
        <v>18.200000000000003</v>
      </c>
      <c r="QV11" s="23">
        <f t="shared" si="153"/>
        <v>3.4</v>
      </c>
      <c r="QW11" s="23">
        <f t="shared" si="154"/>
        <v>0.9</v>
      </c>
      <c r="QX11" s="23">
        <f t="shared" si="155"/>
        <v>0</v>
      </c>
      <c r="QY11" s="28" t="s">
        <v>58</v>
      </c>
      <c r="QZ11" s="41">
        <f t="shared" si="156"/>
        <v>10.35</v>
      </c>
      <c r="RA11" s="41">
        <f t="shared" si="157"/>
        <v>47.2</v>
      </c>
      <c r="RB11" s="41">
        <f t="shared" si="158"/>
        <v>21.799999999999997</v>
      </c>
      <c r="RC11" s="41">
        <f t="shared" si="159"/>
        <v>15.549999999999999</v>
      </c>
      <c r="RD11" s="41">
        <f t="shared" si="160"/>
        <v>69</v>
      </c>
      <c r="RE11" s="41">
        <f t="shared" si="161"/>
        <v>8.4</v>
      </c>
      <c r="RF11" s="41">
        <f t="shared" si="162"/>
        <v>43.650000000000006</v>
      </c>
      <c r="RG11" s="41">
        <f t="shared" si="163"/>
        <v>90.850000000000009</v>
      </c>
    </row>
    <row r="12" spans="1:475" x14ac:dyDescent="0.2">
      <c r="A12" s="4">
        <f t="shared" si="164"/>
        <v>9</v>
      </c>
      <c r="B12" s="5" t="s">
        <v>94</v>
      </c>
      <c r="C12" s="4" t="s">
        <v>6</v>
      </c>
      <c r="D12" s="4">
        <v>2003</v>
      </c>
      <c r="E12" s="9">
        <f t="shared" si="0"/>
        <v>166.80000700000477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IF(COUNT(AQ12,BT12,CW12)&gt;0,LARGE((AQ12,BT12,CW12),1),0)</f>
        <v>47.8</v>
      </c>
      <c r="K12" s="8" t="str">
        <f t="shared" si="5"/>
        <v>2022 Nationals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22.2</v>
      </c>
      <c r="O12" s="8" t="str">
        <f t="shared" si="7"/>
        <v>2022 Nationals</v>
      </c>
      <c r="P12" s="8">
        <f t="shared" si="8"/>
        <v>48.199999999999996</v>
      </c>
      <c r="Q12" s="8" t="str">
        <f t="shared" si="9"/>
        <v>2022 Nationals</v>
      </c>
      <c r="R12" s="8">
        <f t="shared" si="10"/>
        <v>48.6</v>
      </c>
      <c r="S12" s="11" t="str">
        <f t="shared" si="11"/>
        <v>(Q1)</v>
      </c>
      <c r="T12" s="8" t="str">
        <f t="shared" si="12"/>
        <v>2022 World Games Technical Trial #2 (May 15)</v>
      </c>
      <c r="U12" s="19">
        <v>18.399999999999999</v>
      </c>
      <c r="V12" s="19">
        <v>6</v>
      </c>
      <c r="W12" s="19">
        <v>0</v>
      </c>
      <c r="X12" s="19">
        <v>0</v>
      </c>
      <c r="Y12" s="19">
        <v>18.399999999999999</v>
      </c>
      <c r="Z12" s="19">
        <v>5.6</v>
      </c>
      <c r="AA12" s="19">
        <v>0.6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18.2</v>
      </c>
      <c r="AH12" s="19">
        <v>6</v>
      </c>
      <c r="AI12" s="19">
        <v>0</v>
      </c>
      <c r="AJ12" s="19">
        <v>0</v>
      </c>
      <c r="AK12" s="19">
        <v>18.399999999999999</v>
      </c>
      <c r="AL12" s="19">
        <v>5.6</v>
      </c>
      <c r="AM12" s="19">
        <v>0</v>
      </c>
      <c r="AN12" s="19">
        <v>0</v>
      </c>
      <c r="AO12" s="28"/>
      <c r="AP12" s="41">
        <f t="shared" si="13"/>
        <v>11.6</v>
      </c>
      <c r="AQ12" s="41">
        <f t="shared" si="14"/>
        <v>47.8</v>
      </c>
      <c r="AR12" s="41">
        <f t="shared" si="15"/>
        <v>22.2</v>
      </c>
      <c r="AS12" s="41">
        <f t="shared" si="16"/>
        <v>16.399999999999999</v>
      </c>
      <c r="AT12" s="41">
        <f t="shared" si="17"/>
        <v>70</v>
      </c>
      <c r="AU12" s="41">
        <f t="shared" si="18"/>
        <v>11.6</v>
      </c>
      <c r="AV12" s="41">
        <f t="shared" si="19"/>
        <v>48.199999999999996</v>
      </c>
      <c r="AW12" s="41">
        <f t="shared" si="20"/>
        <v>96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9"/>
        <v/>
      </c>
      <c r="CW12" s="41" t="str">
        <f t="shared" si="30"/>
        <v/>
      </c>
      <c r="CX12" s="41" t="str">
        <f t="shared" si="31"/>
        <v/>
      </c>
      <c r="CY12" s="41" t="str">
        <f t="shared" si="32"/>
        <v/>
      </c>
      <c r="CZ12" s="41" t="str">
        <f t="shared" si="33"/>
        <v/>
      </c>
      <c r="DA12" s="41" t="str">
        <f t="shared" si="34"/>
        <v/>
      </c>
      <c r="DB12" s="41" t="str">
        <f t="shared" si="35"/>
        <v/>
      </c>
      <c r="DC12" s="41" t="str">
        <f t="shared" si="36"/>
        <v/>
      </c>
      <c r="DD12" s="52">
        <f t="shared" si="37"/>
        <v>48.6</v>
      </c>
      <c r="DE12" s="52" t="str">
        <f t="shared" si="38"/>
        <v/>
      </c>
      <c r="DF12" s="52" t="str">
        <f t="shared" si="39"/>
        <v/>
      </c>
      <c r="DG12" s="17">
        <v>18.600000000000001</v>
      </c>
      <c r="DH12" s="17">
        <v>6</v>
      </c>
      <c r="DI12" s="17">
        <v>0.2</v>
      </c>
      <c r="DJ12" s="17">
        <v>0</v>
      </c>
      <c r="DK12" s="17">
        <v>18.8</v>
      </c>
      <c r="DL12" s="17">
        <v>5.6</v>
      </c>
      <c r="DM12" s="17">
        <v>0.2</v>
      </c>
      <c r="DN12" s="17">
        <v>0</v>
      </c>
      <c r="DO12" s="17"/>
      <c r="DP12" s="17"/>
      <c r="DQ12" s="17"/>
      <c r="DR12" s="17"/>
      <c r="DS12" s="17">
        <v>18.2</v>
      </c>
      <c r="DT12" s="17">
        <v>4.4000000000000004</v>
      </c>
      <c r="DU12" s="17">
        <v>0.2</v>
      </c>
      <c r="DV12" s="17">
        <v>0</v>
      </c>
      <c r="DW12" s="17">
        <v>18.5</v>
      </c>
      <c r="DX12" s="17">
        <v>6.4</v>
      </c>
      <c r="DY12" s="17">
        <v>0</v>
      </c>
      <c r="DZ12" s="17">
        <v>0</v>
      </c>
      <c r="EA12" s="41">
        <f t="shared" si="40"/>
        <v>11.6</v>
      </c>
      <c r="EB12" s="41">
        <f t="shared" si="41"/>
        <v>48.6</v>
      </c>
      <c r="EC12" s="41" t="str">
        <f t="shared" si="42"/>
        <v/>
      </c>
      <c r="ED12" s="41">
        <f t="shared" si="43"/>
        <v>11.6</v>
      </c>
      <c r="EE12" s="41">
        <f t="shared" si="44"/>
        <v>48.6</v>
      </c>
      <c r="EF12" s="41">
        <f t="shared" si="45"/>
        <v>10.8</v>
      </c>
      <c r="EG12" s="41">
        <f t="shared" si="46"/>
        <v>47.3</v>
      </c>
      <c r="EH12" s="41">
        <f t="shared" si="47"/>
        <v>95.9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>
        <v>18.100000000000001</v>
      </c>
      <c r="GN12" s="18">
        <v>6</v>
      </c>
      <c r="GO12" s="18">
        <v>0</v>
      </c>
      <c r="GP12" s="18">
        <v>0</v>
      </c>
      <c r="GQ12" s="18">
        <v>18.2</v>
      </c>
      <c r="GR12" s="18">
        <v>5.6</v>
      </c>
      <c r="GS12" s="18">
        <v>0</v>
      </c>
      <c r="GT12" s="18">
        <v>0</v>
      </c>
      <c r="GU12" s="18"/>
      <c r="GV12" s="18"/>
      <c r="GW12" s="18"/>
      <c r="GX12" s="18"/>
      <c r="GY12" s="18">
        <v>17.899999999999999</v>
      </c>
      <c r="GZ12" s="18">
        <v>6.4</v>
      </c>
      <c r="HA12" s="18">
        <v>0.8</v>
      </c>
      <c r="HB12" s="18">
        <v>0</v>
      </c>
      <c r="HC12" s="18"/>
      <c r="HD12" s="18"/>
      <c r="HE12" s="18"/>
      <c r="HF12" s="18"/>
      <c r="HG12" s="11">
        <f t="shared" si="64"/>
        <v>11.6</v>
      </c>
      <c r="HH12" s="11">
        <f t="shared" si="65"/>
        <v>47.9</v>
      </c>
      <c r="HI12" s="11" t="str">
        <f t="shared" si="66"/>
        <v/>
      </c>
      <c r="HJ12" s="11">
        <f t="shared" si="67"/>
        <v>11.6</v>
      </c>
      <c r="HK12" s="11">
        <f t="shared" si="68"/>
        <v>47.9</v>
      </c>
      <c r="HL12" s="11">
        <f t="shared" si="69"/>
        <v>6.4</v>
      </c>
      <c r="HM12" s="11">
        <f t="shared" si="70"/>
        <v>23.499999999999996</v>
      </c>
      <c r="HN12" s="11">
        <f t="shared" si="71"/>
        <v>71.399999999999991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>
        <v>18.100000000000001</v>
      </c>
      <c r="LX12" s="17">
        <v>6</v>
      </c>
      <c r="LY12" s="17">
        <v>0</v>
      </c>
      <c r="LZ12" s="17">
        <v>0</v>
      </c>
      <c r="MA12" s="17">
        <v>18.3</v>
      </c>
      <c r="MB12" s="17">
        <v>5.6</v>
      </c>
      <c r="MC12" s="17">
        <v>0.6</v>
      </c>
      <c r="MD12" s="17">
        <v>0</v>
      </c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>
        <f t="shared" si="104"/>
        <v>11.6</v>
      </c>
      <c r="MR12" s="41">
        <f t="shared" si="105"/>
        <v>47.400000000000006</v>
      </c>
      <c r="MS12" s="41" t="str">
        <f t="shared" si="106"/>
        <v/>
      </c>
      <c r="MT12" s="41">
        <f t="shared" si="107"/>
        <v>11.6</v>
      </c>
      <c r="MU12" s="41">
        <f t="shared" si="108"/>
        <v>47.400000000000006</v>
      </c>
      <c r="MV12" s="41" t="str">
        <f t="shared" si="109"/>
        <v/>
      </c>
      <c r="MW12" s="41" t="str">
        <f t="shared" si="110"/>
        <v/>
      </c>
      <c r="MX12" s="41">
        <f t="shared" si="111"/>
        <v>47.400000000000006</v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0</v>
      </c>
      <c r="QF12" s="23">
        <f t="shared" si="137"/>
        <v>0</v>
      </c>
      <c r="QG12" s="23">
        <f t="shared" si="138"/>
        <v>0</v>
      </c>
      <c r="QH12" s="23">
        <f t="shared" si="139"/>
        <v>0</v>
      </c>
      <c r="QI12" s="23">
        <f t="shared" si="140"/>
        <v>0</v>
      </c>
      <c r="QJ12" s="23">
        <f t="shared" si="141"/>
        <v>0</v>
      </c>
      <c r="QK12" s="23">
        <f t="shared" si="142"/>
        <v>0</v>
      </c>
      <c r="QL12" s="23">
        <f t="shared" si="143"/>
        <v>0</v>
      </c>
      <c r="QM12" s="23">
        <f t="shared" si="144"/>
        <v>0</v>
      </c>
      <c r="QN12" s="23">
        <f t="shared" si="145"/>
        <v>0</v>
      </c>
      <c r="QO12" s="23">
        <f t="shared" si="146"/>
        <v>0</v>
      </c>
      <c r="QP12" s="23">
        <f t="shared" si="147"/>
        <v>0</v>
      </c>
      <c r="QQ12" s="23">
        <f t="shared" si="148"/>
        <v>0</v>
      </c>
      <c r="QR12" s="23">
        <f t="shared" si="149"/>
        <v>0</v>
      </c>
      <c r="QS12" s="23">
        <f t="shared" si="150"/>
        <v>0</v>
      </c>
      <c r="QT12" s="23">
        <f t="shared" si="151"/>
        <v>0</v>
      </c>
      <c r="QU12" s="23">
        <f t="shared" si="152"/>
        <v>0</v>
      </c>
      <c r="QV12" s="23">
        <f t="shared" si="153"/>
        <v>0</v>
      </c>
      <c r="QW12" s="23">
        <f t="shared" si="154"/>
        <v>0</v>
      </c>
      <c r="QX12" s="23">
        <f t="shared" si="155"/>
        <v>0</v>
      </c>
      <c r="QY12" s="28" t="s">
        <v>58</v>
      </c>
      <c r="QZ12" s="41" t="str">
        <f t="shared" si="156"/>
        <v/>
      </c>
      <c r="RA12" s="41" t="str">
        <f t="shared" si="157"/>
        <v/>
      </c>
      <c r="RB12" s="41" t="str">
        <f t="shared" si="158"/>
        <v/>
      </c>
      <c r="RC12" s="41" t="str">
        <f t="shared" si="159"/>
        <v/>
      </c>
      <c r="RD12" s="41" t="str">
        <f t="shared" si="160"/>
        <v/>
      </c>
      <c r="RE12" s="41" t="str">
        <f t="shared" si="161"/>
        <v/>
      </c>
      <c r="RF12" s="41" t="str">
        <f t="shared" si="162"/>
        <v/>
      </c>
      <c r="RG12" s="41" t="str">
        <f t="shared" si="163"/>
        <v/>
      </c>
    </row>
    <row r="13" spans="1:475" x14ac:dyDescent="0.2">
      <c r="A13" s="4">
        <f t="shared" si="164"/>
        <v>10</v>
      </c>
      <c r="B13" s="5" t="s">
        <v>156</v>
      </c>
      <c r="C13" s="4" t="s">
        <v>5</v>
      </c>
      <c r="D13" s="4">
        <v>2003</v>
      </c>
      <c r="E13" s="9">
        <f t="shared" si="0"/>
        <v>89.600004120002239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22.400000000000002</v>
      </c>
      <c r="K13" s="8" t="str">
        <f t="shared" si="5"/>
        <v>2022 Nationals</v>
      </c>
      <c r="L13" s="8">
        <f>IF(COUNT(AQ13,BT13,CW13)&gt;1,LARGE((AQ13,BT13,CW13),2),0)</f>
        <v>0</v>
      </c>
      <c r="M13" s="8" t="str">
        <f t="shared" si="6"/>
        <v/>
      </c>
      <c r="N13" s="8">
        <f>IF(COUNT(AR13,BU13,CX13)&gt;0,LARGE((AR13,BU13,CX13),1),0)</f>
        <v>18.799999999999997</v>
      </c>
      <c r="O13" s="8" t="str">
        <f t="shared" si="7"/>
        <v>2022 Nationals</v>
      </c>
      <c r="P13" s="8">
        <f t="shared" si="8"/>
        <v>0</v>
      </c>
      <c r="Q13" s="8" t="str">
        <f t="shared" si="9"/>
        <v/>
      </c>
      <c r="R13" s="8">
        <f t="shared" si="10"/>
        <v>48.4</v>
      </c>
      <c r="S13" s="11" t="str">
        <f t="shared" si="11"/>
        <v>(Q1)</v>
      </c>
      <c r="T13" s="8" t="str">
        <f t="shared" si="12"/>
        <v>2022 Coimbra Gym Fest (June 26)</v>
      </c>
      <c r="U13" s="19">
        <v>17.600000000000001</v>
      </c>
      <c r="V13" s="19">
        <v>4.8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18.399999999999999</v>
      </c>
      <c r="AD13" s="19">
        <v>2.4</v>
      </c>
      <c r="AE13" s="19">
        <v>2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28"/>
      <c r="AP13" s="41">
        <f t="shared" si="13"/>
        <v>4.8</v>
      </c>
      <c r="AQ13" s="41">
        <f t="shared" si="14"/>
        <v>22.400000000000002</v>
      </c>
      <c r="AR13" s="41">
        <f t="shared" si="15"/>
        <v>18.799999999999997</v>
      </c>
      <c r="AS13" s="41">
        <f t="shared" si="16"/>
        <v>7.1999999999999993</v>
      </c>
      <c r="AT13" s="41">
        <f t="shared" si="17"/>
        <v>41.2</v>
      </c>
      <c r="AU13" s="41" t="str">
        <f t="shared" si="18"/>
        <v/>
      </c>
      <c r="AV13" s="41" t="str">
        <f t="shared" si="19"/>
        <v/>
      </c>
      <c r="AW13" s="41">
        <f t="shared" si="20"/>
        <v>22.400000000000002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 t="shared" si="29"/>
        <v/>
      </c>
      <c r="CW13" s="41" t="str">
        <f t="shared" si="30"/>
        <v/>
      </c>
      <c r="CX13" s="41" t="str">
        <f t="shared" si="31"/>
        <v/>
      </c>
      <c r="CY13" s="41" t="str">
        <f t="shared" si="32"/>
        <v/>
      </c>
      <c r="CZ13" s="41" t="str">
        <f t="shared" si="33"/>
        <v/>
      </c>
      <c r="DA13" s="41" t="str">
        <f t="shared" si="34"/>
        <v/>
      </c>
      <c r="DB13" s="41" t="str">
        <f t="shared" si="35"/>
        <v/>
      </c>
      <c r="DC13" s="41" t="str">
        <f t="shared" si="36"/>
        <v/>
      </c>
      <c r="DD13" s="52">
        <f t="shared" si="37"/>
        <v>48.4</v>
      </c>
      <c r="DE13" s="52" t="str">
        <f t="shared" si="38"/>
        <v/>
      </c>
      <c r="DF13" s="52">
        <f t="shared" si="39"/>
        <v>48.3</v>
      </c>
      <c r="DG13" s="17">
        <v>18.600000000000001</v>
      </c>
      <c r="DH13" s="17">
        <v>5.6</v>
      </c>
      <c r="DI13" s="17">
        <v>0.2</v>
      </c>
      <c r="DJ13" s="17">
        <v>0</v>
      </c>
      <c r="DK13" s="17">
        <v>17.7</v>
      </c>
      <c r="DL13" s="17">
        <v>6</v>
      </c>
      <c r="DM13" s="17">
        <v>1</v>
      </c>
      <c r="DN13" s="17">
        <v>0</v>
      </c>
      <c r="DO13" s="17"/>
      <c r="DP13" s="17"/>
      <c r="DQ13" s="17"/>
      <c r="DR13" s="17"/>
      <c r="DS13" s="17">
        <v>18.7</v>
      </c>
      <c r="DT13" s="17">
        <v>5.6</v>
      </c>
      <c r="DU13" s="17">
        <v>0.2</v>
      </c>
      <c r="DV13" s="17">
        <v>0</v>
      </c>
      <c r="DW13" s="17">
        <v>18.399999999999999</v>
      </c>
      <c r="DX13" s="17">
        <v>6</v>
      </c>
      <c r="DY13" s="17">
        <v>0.2</v>
      </c>
      <c r="DZ13" s="17">
        <v>0</v>
      </c>
      <c r="EA13" s="41">
        <f t="shared" si="40"/>
        <v>11.6</v>
      </c>
      <c r="EB13" s="41">
        <f t="shared" si="41"/>
        <v>46.7</v>
      </c>
      <c r="EC13" s="41" t="str">
        <f t="shared" si="42"/>
        <v/>
      </c>
      <c r="ED13" s="41">
        <f t="shared" si="43"/>
        <v>11.6</v>
      </c>
      <c r="EE13" s="41">
        <f t="shared" si="44"/>
        <v>46.7</v>
      </c>
      <c r="EF13" s="41">
        <f t="shared" si="45"/>
        <v>11.6</v>
      </c>
      <c r="EG13" s="41">
        <f t="shared" si="46"/>
        <v>48.3</v>
      </c>
      <c r="EH13" s="41">
        <f t="shared" si="47"/>
        <v>95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>
        <v>18.600000000000001</v>
      </c>
      <c r="GN13" s="18">
        <v>5.6</v>
      </c>
      <c r="GO13" s="18">
        <v>0</v>
      </c>
      <c r="GP13" s="18">
        <v>0</v>
      </c>
      <c r="GQ13" s="18">
        <v>18.399999999999999</v>
      </c>
      <c r="GR13" s="18">
        <v>6</v>
      </c>
      <c r="GS13" s="18">
        <v>0.2</v>
      </c>
      <c r="GT13" s="18">
        <v>0</v>
      </c>
      <c r="GU13" s="18"/>
      <c r="GV13" s="18"/>
      <c r="GW13" s="18"/>
      <c r="GX13" s="18"/>
      <c r="GY13" s="18">
        <v>18.600000000000001</v>
      </c>
      <c r="GZ13" s="18">
        <v>5.6</v>
      </c>
      <c r="HA13" s="18">
        <v>0.6</v>
      </c>
      <c r="HB13" s="18">
        <v>0</v>
      </c>
      <c r="HC13" s="18">
        <v>18.2</v>
      </c>
      <c r="HD13" s="18">
        <v>6</v>
      </c>
      <c r="HE13" s="18">
        <v>0</v>
      </c>
      <c r="HF13" s="18">
        <v>0</v>
      </c>
      <c r="HG13" s="11">
        <f t="shared" si="64"/>
        <v>11.6</v>
      </c>
      <c r="HH13" s="11">
        <f t="shared" si="65"/>
        <v>48.4</v>
      </c>
      <c r="HI13" s="11" t="str">
        <f t="shared" si="66"/>
        <v/>
      </c>
      <c r="HJ13" s="11">
        <f t="shared" si="67"/>
        <v>11.6</v>
      </c>
      <c r="HK13" s="11">
        <f t="shared" si="68"/>
        <v>48.4</v>
      </c>
      <c r="HL13" s="11">
        <f t="shared" si="69"/>
        <v>11.6</v>
      </c>
      <c r="HM13" s="11">
        <f t="shared" si="70"/>
        <v>47.800000000000004</v>
      </c>
      <c r="HN13" s="11">
        <f t="shared" si="71"/>
        <v>96.2</v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0</v>
      </c>
      <c r="QF13" s="23">
        <f t="shared" si="137"/>
        <v>0</v>
      </c>
      <c r="QG13" s="23">
        <f t="shared" si="138"/>
        <v>0</v>
      </c>
      <c r="QH13" s="23">
        <f t="shared" si="139"/>
        <v>0</v>
      </c>
      <c r="QI13" s="23">
        <f t="shared" si="140"/>
        <v>0</v>
      </c>
      <c r="QJ13" s="23">
        <f t="shared" si="141"/>
        <v>0</v>
      </c>
      <c r="QK13" s="23">
        <f t="shared" si="142"/>
        <v>0</v>
      </c>
      <c r="QL13" s="23">
        <f t="shared" si="143"/>
        <v>0</v>
      </c>
      <c r="QM13" s="23">
        <f t="shared" si="144"/>
        <v>0</v>
      </c>
      <c r="QN13" s="23">
        <f t="shared" si="145"/>
        <v>0</v>
      </c>
      <c r="QO13" s="23">
        <f t="shared" si="146"/>
        <v>0</v>
      </c>
      <c r="QP13" s="23">
        <f t="shared" si="147"/>
        <v>0</v>
      </c>
      <c r="QQ13" s="23">
        <f t="shared" si="148"/>
        <v>0</v>
      </c>
      <c r="QR13" s="23">
        <f t="shared" si="149"/>
        <v>0</v>
      </c>
      <c r="QS13" s="23">
        <f t="shared" si="150"/>
        <v>0</v>
      </c>
      <c r="QT13" s="23">
        <f t="shared" si="151"/>
        <v>0</v>
      </c>
      <c r="QU13" s="23">
        <f t="shared" si="152"/>
        <v>0</v>
      </c>
      <c r="QV13" s="23">
        <f t="shared" si="153"/>
        <v>0</v>
      </c>
      <c r="QW13" s="23">
        <f t="shared" si="154"/>
        <v>0</v>
      </c>
      <c r="QX13" s="23">
        <f t="shared" si="155"/>
        <v>0</v>
      </c>
      <c r="QY13" s="28" t="s">
        <v>58</v>
      </c>
      <c r="QZ13" s="41" t="str">
        <f t="shared" si="156"/>
        <v/>
      </c>
      <c r="RA13" s="41" t="str">
        <f t="shared" si="157"/>
        <v/>
      </c>
      <c r="RB13" s="41" t="str">
        <f t="shared" si="158"/>
        <v/>
      </c>
      <c r="RC13" s="41" t="str">
        <f t="shared" si="159"/>
        <v/>
      </c>
      <c r="RD13" s="41" t="str">
        <f t="shared" si="160"/>
        <v/>
      </c>
      <c r="RE13" s="41" t="str">
        <f t="shared" si="161"/>
        <v/>
      </c>
      <c r="RF13" s="41" t="str">
        <f t="shared" si="162"/>
        <v/>
      </c>
      <c r="RG13" s="41" t="str">
        <f t="shared" si="163"/>
        <v/>
      </c>
    </row>
    <row r="14" spans="1:475" x14ac:dyDescent="0.2">
      <c r="A14" s="4" t="str">
        <f t="shared" si="164"/>
        <v/>
      </c>
      <c r="B14" s="5" t="s">
        <v>76</v>
      </c>
      <c r="C14" s="4" t="s">
        <v>6</v>
      </c>
      <c r="D14" s="4">
        <v>2001</v>
      </c>
      <c r="E14" s="9">
        <f t="shared" si="0"/>
        <v>166.40001169500476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IF(COUNT(AQ14,BT14,CW14)&gt;0,LARGE((AQ14,BT14,CW14),1),0)</f>
        <v>47.300000000000004</v>
      </c>
      <c r="K14" s="8" t="str">
        <f t="shared" si="5"/>
        <v>2023 Elite Canada</v>
      </c>
      <c r="L14" s="8">
        <f>IF(COUNT(AQ14,BT14,CW14)&gt;1,LARGE((AQ14,BT14,CW14),2),0)</f>
        <v>46.050000000000004</v>
      </c>
      <c r="M14" s="8" t="str">
        <f t="shared" si="6"/>
        <v>2022 3rd Domestic Trial</v>
      </c>
      <c r="N14" s="8">
        <f>IF(COUNT(AR14,BU14,CX14)&gt;0,LARGE((AR14,BU14,CX14),1),0)</f>
        <v>23.6</v>
      </c>
      <c r="O14" s="8" t="str">
        <f t="shared" si="7"/>
        <v>2022 3rd Domestic Trial</v>
      </c>
      <c r="P14" s="8">
        <f t="shared" si="8"/>
        <v>47.7</v>
      </c>
      <c r="Q14" s="8" t="str">
        <f t="shared" si="9"/>
        <v>2023 Elite Canada</v>
      </c>
      <c r="R14" s="8">
        <f t="shared" si="10"/>
        <v>1.7499999999999929</v>
      </c>
      <c r="S14" s="11" t="str">
        <f t="shared" si="11"/>
        <v>(Q1)</v>
      </c>
      <c r="T14" s="8" t="str">
        <f t="shared" si="12"/>
        <v>2022 World Cup POR (June 26)</v>
      </c>
      <c r="U14" s="19">
        <v>18.399999999999999</v>
      </c>
      <c r="V14" s="19">
        <v>5.6</v>
      </c>
      <c r="W14" s="19">
        <v>0</v>
      </c>
      <c r="X14" s="19">
        <v>0</v>
      </c>
      <c r="Y14" s="19">
        <v>17.2</v>
      </c>
      <c r="Z14" s="19">
        <v>2.4</v>
      </c>
      <c r="AA14" s="19">
        <v>0</v>
      </c>
      <c r="AB14" s="19">
        <v>0</v>
      </c>
      <c r="AC14" s="19">
        <v>18.600000000000001</v>
      </c>
      <c r="AD14" s="19">
        <v>4.8</v>
      </c>
      <c r="AE14" s="19">
        <v>0</v>
      </c>
      <c r="AF14" s="19">
        <v>0</v>
      </c>
      <c r="AG14" s="19">
        <v>18.399999999999999</v>
      </c>
      <c r="AH14" s="19">
        <v>5.6</v>
      </c>
      <c r="AI14" s="19">
        <v>0</v>
      </c>
      <c r="AJ14" s="19">
        <v>0</v>
      </c>
      <c r="AK14" s="19">
        <v>18.3</v>
      </c>
      <c r="AL14" s="19">
        <v>3</v>
      </c>
      <c r="AM14" s="19">
        <v>1.4</v>
      </c>
      <c r="AN14" s="19">
        <v>0</v>
      </c>
      <c r="AO14" s="28"/>
      <c r="AP14" s="41">
        <f t="shared" si="13"/>
        <v>8</v>
      </c>
      <c r="AQ14" s="41">
        <f t="shared" si="14"/>
        <v>43.6</v>
      </c>
      <c r="AR14" s="41">
        <f t="shared" si="15"/>
        <v>23.400000000000002</v>
      </c>
      <c r="AS14" s="41">
        <f t="shared" si="16"/>
        <v>12.8</v>
      </c>
      <c r="AT14" s="41">
        <f t="shared" si="17"/>
        <v>67</v>
      </c>
      <c r="AU14" s="41">
        <f t="shared" si="18"/>
        <v>8.6</v>
      </c>
      <c r="AV14" s="41">
        <f t="shared" si="19"/>
        <v>43.9</v>
      </c>
      <c r="AW14" s="41">
        <f t="shared" si="20"/>
        <v>87.5</v>
      </c>
      <c r="AX14" s="18">
        <v>18.5</v>
      </c>
      <c r="AY14" s="18">
        <v>5.6</v>
      </c>
      <c r="AZ14" s="18">
        <v>0.1</v>
      </c>
      <c r="BA14" s="18">
        <v>0</v>
      </c>
      <c r="BB14" s="18">
        <v>17.850000000000001</v>
      </c>
      <c r="BC14" s="18">
        <v>4.2</v>
      </c>
      <c r="BD14" s="18">
        <v>0</v>
      </c>
      <c r="BE14" s="18">
        <v>0</v>
      </c>
      <c r="BF14" s="18">
        <v>18.8</v>
      </c>
      <c r="BG14" s="18">
        <v>4.8</v>
      </c>
      <c r="BH14" s="18">
        <v>0</v>
      </c>
      <c r="BI14" s="18">
        <v>0</v>
      </c>
      <c r="BJ14" s="18">
        <v>18.350000000000001</v>
      </c>
      <c r="BK14" s="18">
        <v>5.6</v>
      </c>
      <c r="BL14" s="18">
        <v>0.1</v>
      </c>
      <c r="BM14" s="18">
        <v>0</v>
      </c>
      <c r="BN14" s="18">
        <v>18.149999999999999</v>
      </c>
      <c r="BO14" s="18">
        <v>4.5</v>
      </c>
      <c r="BP14" s="18">
        <v>0.79999999999999993</v>
      </c>
      <c r="BQ14" s="18">
        <v>0</v>
      </c>
      <c r="BR14" s="29" t="s">
        <v>58</v>
      </c>
      <c r="BS14" s="11">
        <f t="shared" si="21"/>
        <v>9.8000000000000007</v>
      </c>
      <c r="BT14" s="11">
        <f t="shared" si="22"/>
        <v>46.050000000000004</v>
      </c>
      <c r="BU14" s="11">
        <f t="shared" si="23"/>
        <v>23.6</v>
      </c>
      <c r="BV14" s="11">
        <f t="shared" si="24"/>
        <v>14.600000000000001</v>
      </c>
      <c r="BW14" s="11">
        <f t="shared" si="25"/>
        <v>69.650000000000006</v>
      </c>
      <c r="BX14" s="11">
        <f t="shared" si="26"/>
        <v>10.1</v>
      </c>
      <c r="BY14" s="11">
        <f t="shared" si="27"/>
        <v>45.7</v>
      </c>
      <c r="BZ14" s="11">
        <f t="shared" si="28"/>
        <v>91.75</v>
      </c>
      <c r="CA14" s="19">
        <v>18.5</v>
      </c>
      <c r="CB14" s="19">
        <v>5.6</v>
      </c>
      <c r="CC14" s="19">
        <v>0</v>
      </c>
      <c r="CD14" s="19">
        <v>0</v>
      </c>
      <c r="CE14" s="19">
        <v>18</v>
      </c>
      <c r="CF14" s="19">
        <v>6</v>
      </c>
      <c r="CG14" s="19">
        <v>0.8</v>
      </c>
      <c r="CH14" s="19">
        <v>0</v>
      </c>
      <c r="CI14" s="19">
        <v>18.3</v>
      </c>
      <c r="CJ14" s="19">
        <v>5.2</v>
      </c>
      <c r="CK14" s="19">
        <v>0.6</v>
      </c>
      <c r="CL14" s="19">
        <v>0</v>
      </c>
      <c r="CM14" s="19">
        <v>18.399999999999999</v>
      </c>
      <c r="CN14" s="19">
        <v>5.6</v>
      </c>
      <c r="CO14" s="19">
        <v>0.2</v>
      </c>
      <c r="CP14" s="19">
        <v>0</v>
      </c>
      <c r="CQ14" s="19">
        <v>18.5</v>
      </c>
      <c r="CR14" s="19">
        <v>5.6</v>
      </c>
      <c r="CS14" s="19">
        <v>0.2</v>
      </c>
      <c r="CT14" s="19">
        <v>0</v>
      </c>
      <c r="CU14" s="28"/>
      <c r="CV14" s="41">
        <f t="shared" si="29"/>
        <v>11.6</v>
      </c>
      <c r="CW14" s="41">
        <f t="shared" si="30"/>
        <v>47.300000000000004</v>
      </c>
      <c r="CX14" s="41">
        <f t="shared" si="31"/>
        <v>22.9</v>
      </c>
      <c r="CY14" s="41">
        <f t="shared" si="32"/>
        <v>16.8</v>
      </c>
      <c r="CZ14" s="41">
        <f t="shared" si="33"/>
        <v>70.2</v>
      </c>
      <c r="DA14" s="41">
        <f t="shared" si="34"/>
        <v>11.2</v>
      </c>
      <c r="DB14" s="41">
        <f t="shared" si="35"/>
        <v>47.7</v>
      </c>
      <c r="DC14" s="41">
        <f t="shared" si="36"/>
        <v>95</v>
      </c>
      <c r="DD14" s="52">
        <f t="shared" si="37"/>
        <v>1.7499999999999929</v>
      </c>
      <c r="DE14" s="52" t="str">
        <f t="shared" si="38"/>
        <v/>
      </c>
      <c r="DF14" s="52" t="str">
        <f t="shared" si="39"/>
        <v/>
      </c>
      <c r="DG14" s="17">
        <v>18.600000000000001</v>
      </c>
      <c r="DH14" s="17">
        <v>5.6</v>
      </c>
      <c r="DI14" s="17">
        <v>0</v>
      </c>
      <c r="DJ14" s="17">
        <v>0</v>
      </c>
      <c r="DK14" s="17">
        <v>18.2</v>
      </c>
      <c r="DL14" s="17">
        <v>5.6</v>
      </c>
      <c r="DM14" s="17">
        <v>0.6</v>
      </c>
      <c r="DN14" s="17">
        <v>0</v>
      </c>
      <c r="DO14" s="17"/>
      <c r="DP14" s="17"/>
      <c r="DQ14" s="17"/>
      <c r="DR14" s="17"/>
      <c r="DS14" s="17">
        <v>18.100000000000001</v>
      </c>
      <c r="DT14" s="17">
        <v>4.8</v>
      </c>
      <c r="DU14" s="17">
        <v>0.6</v>
      </c>
      <c r="DV14" s="17">
        <v>0</v>
      </c>
      <c r="DW14" s="17">
        <v>16.600000000000001</v>
      </c>
      <c r="DX14" s="17">
        <v>6</v>
      </c>
      <c r="DY14" s="17">
        <v>0.2</v>
      </c>
      <c r="DZ14" s="17">
        <v>0</v>
      </c>
      <c r="EA14" s="41">
        <f t="shared" si="40"/>
        <v>11.2</v>
      </c>
      <c r="EB14" s="41">
        <f t="shared" si="41"/>
        <v>47.400000000000006</v>
      </c>
      <c r="EC14" s="41" t="str">
        <f t="shared" si="42"/>
        <v/>
      </c>
      <c r="ED14" s="41">
        <f t="shared" si="43"/>
        <v>11.2</v>
      </c>
      <c r="EE14" s="41">
        <f t="shared" si="44"/>
        <v>47.400000000000006</v>
      </c>
      <c r="EF14" s="41">
        <f t="shared" si="45"/>
        <v>10.8</v>
      </c>
      <c r="EG14" s="41">
        <f t="shared" si="46"/>
        <v>44.7</v>
      </c>
      <c r="EH14" s="41">
        <f t="shared" si="47"/>
        <v>92.100000000000009</v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>
        <v>18.8</v>
      </c>
      <c r="FL14" s="17">
        <v>5.6</v>
      </c>
      <c r="FM14" s="17">
        <v>0</v>
      </c>
      <c r="FN14" s="17">
        <v>0</v>
      </c>
      <c r="FO14" s="17">
        <v>17.600000000000001</v>
      </c>
      <c r="FP14" s="17">
        <v>6</v>
      </c>
      <c r="FQ14" s="17">
        <v>0.2</v>
      </c>
      <c r="FR14" s="17">
        <v>0</v>
      </c>
      <c r="FS14" s="17"/>
      <c r="FT14" s="17"/>
      <c r="FU14" s="17"/>
      <c r="FV14" s="17"/>
      <c r="FW14" s="17">
        <v>18.399999999999999</v>
      </c>
      <c r="FX14" s="17">
        <v>5.6</v>
      </c>
      <c r="FY14" s="17">
        <v>0</v>
      </c>
      <c r="FZ14" s="17">
        <v>0</v>
      </c>
      <c r="GA14" s="17"/>
      <c r="GB14" s="17"/>
      <c r="GC14" s="17"/>
      <c r="GD14" s="17"/>
      <c r="GE14" s="41">
        <f t="shared" si="56"/>
        <v>11.6</v>
      </c>
      <c r="GF14" s="41">
        <f t="shared" si="57"/>
        <v>47.8</v>
      </c>
      <c r="GG14" s="41" t="str">
        <f t="shared" si="58"/>
        <v/>
      </c>
      <c r="GH14" s="41">
        <f t="shared" si="59"/>
        <v>11.6</v>
      </c>
      <c r="GI14" s="41">
        <f t="shared" si="60"/>
        <v>47.8</v>
      </c>
      <c r="GJ14" s="41">
        <f t="shared" si="61"/>
        <v>5.6</v>
      </c>
      <c r="GK14" s="41">
        <f t="shared" si="62"/>
        <v>24</v>
      </c>
      <c r="GL14" s="41">
        <f t="shared" si="63"/>
        <v>71.8</v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>
        <v>18.3</v>
      </c>
      <c r="LX14" s="17">
        <v>5.6</v>
      </c>
      <c r="LY14" s="17">
        <v>0</v>
      </c>
      <c r="LZ14" s="17">
        <v>0</v>
      </c>
      <c r="MA14" s="17">
        <v>18.399999999999999</v>
      </c>
      <c r="MB14" s="17">
        <v>6</v>
      </c>
      <c r="MC14" s="17">
        <v>0.6</v>
      </c>
      <c r="MD14" s="17">
        <v>0</v>
      </c>
      <c r="ME14" s="17"/>
      <c r="MF14" s="17"/>
      <c r="MG14" s="17"/>
      <c r="MH14" s="17"/>
      <c r="MI14" s="17">
        <v>18.2</v>
      </c>
      <c r="MJ14" s="17">
        <v>5.6</v>
      </c>
      <c r="MK14" s="17">
        <v>0</v>
      </c>
      <c r="ML14" s="17">
        <v>0</v>
      </c>
      <c r="MM14" s="17"/>
      <c r="MN14" s="17"/>
      <c r="MO14" s="17"/>
      <c r="MP14" s="17"/>
      <c r="MQ14" s="41">
        <f t="shared" si="104"/>
        <v>11.6</v>
      </c>
      <c r="MR14" s="41">
        <f t="shared" si="105"/>
        <v>47.699999999999996</v>
      </c>
      <c r="MS14" s="41" t="str">
        <f t="shared" si="106"/>
        <v/>
      </c>
      <c r="MT14" s="41">
        <f t="shared" si="107"/>
        <v>11.6</v>
      </c>
      <c r="MU14" s="41">
        <f t="shared" si="108"/>
        <v>47.699999999999996</v>
      </c>
      <c r="MV14" s="41">
        <f t="shared" si="109"/>
        <v>5.6</v>
      </c>
      <c r="MW14" s="41">
        <f t="shared" si="110"/>
        <v>23.799999999999997</v>
      </c>
      <c r="MX14" s="41">
        <f t="shared" si="111"/>
        <v>71.5</v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18.5</v>
      </c>
      <c r="QF14" s="23">
        <f t="shared" si="137"/>
        <v>5.6</v>
      </c>
      <c r="QG14" s="23">
        <f t="shared" si="138"/>
        <v>0.05</v>
      </c>
      <c r="QH14" s="23">
        <f t="shared" si="139"/>
        <v>0</v>
      </c>
      <c r="QI14" s="23">
        <f t="shared" si="140"/>
        <v>17.925000000000001</v>
      </c>
      <c r="QJ14" s="23">
        <f t="shared" si="141"/>
        <v>5.0999999999999996</v>
      </c>
      <c r="QK14" s="23">
        <f t="shared" si="142"/>
        <v>0.4</v>
      </c>
      <c r="QL14" s="23">
        <f t="shared" si="143"/>
        <v>0</v>
      </c>
      <c r="QM14" s="23">
        <f t="shared" si="144"/>
        <v>18.55</v>
      </c>
      <c r="QN14" s="23">
        <f t="shared" si="145"/>
        <v>5</v>
      </c>
      <c r="QO14" s="23">
        <f t="shared" si="146"/>
        <v>0.3</v>
      </c>
      <c r="QP14" s="23">
        <f t="shared" si="147"/>
        <v>0</v>
      </c>
      <c r="QQ14" s="23">
        <f t="shared" si="148"/>
        <v>18.375</v>
      </c>
      <c r="QR14" s="23">
        <f t="shared" si="149"/>
        <v>5.6</v>
      </c>
      <c r="QS14" s="23">
        <f t="shared" si="150"/>
        <v>0.15000000000000002</v>
      </c>
      <c r="QT14" s="23">
        <f t="shared" si="151"/>
        <v>0</v>
      </c>
      <c r="QU14" s="23">
        <f t="shared" si="152"/>
        <v>18.324999999999999</v>
      </c>
      <c r="QV14" s="23">
        <f t="shared" si="153"/>
        <v>5.05</v>
      </c>
      <c r="QW14" s="23">
        <f t="shared" si="154"/>
        <v>0.5</v>
      </c>
      <c r="QX14" s="23">
        <f t="shared" si="155"/>
        <v>0</v>
      </c>
      <c r="QY14" s="28" t="s">
        <v>58</v>
      </c>
      <c r="QZ14" s="41">
        <f t="shared" si="156"/>
        <v>10.7</v>
      </c>
      <c r="RA14" s="41">
        <f t="shared" si="157"/>
        <v>46.675000000000011</v>
      </c>
      <c r="RB14" s="41">
        <f t="shared" si="158"/>
        <v>23.25</v>
      </c>
      <c r="RC14" s="41">
        <f t="shared" si="159"/>
        <v>15.7</v>
      </c>
      <c r="RD14" s="41">
        <f t="shared" si="160"/>
        <v>69.925000000000011</v>
      </c>
      <c r="RE14" s="41">
        <f t="shared" si="161"/>
        <v>10.649999999999999</v>
      </c>
      <c r="RF14" s="41">
        <f t="shared" si="162"/>
        <v>46.699999999999996</v>
      </c>
      <c r="RG14" s="41">
        <f t="shared" si="163"/>
        <v>93.375</v>
      </c>
    </row>
    <row r="15" spans="1:475" x14ac:dyDescent="0.2">
      <c r="A15" s="4" t="str">
        <f t="shared" si="164"/>
        <v/>
      </c>
      <c r="B15" s="5" t="s">
        <v>225</v>
      </c>
      <c r="C15" s="4" t="s">
        <v>6</v>
      </c>
      <c r="D15" s="4">
        <v>2001</v>
      </c>
      <c r="E15" s="9">
        <f t="shared" si="0"/>
        <v>160.90001101000476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47.7</v>
      </c>
      <c r="K15" s="8" t="str">
        <f t="shared" si="5"/>
        <v>2022 Nationals</v>
      </c>
      <c r="L15" s="8">
        <f>IF(COUNT(AQ15,BT15,CW15)&gt;1,LARGE((AQ15,BT15,CW15),2),0)</f>
        <v>40.299999999999997</v>
      </c>
      <c r="M15" s="8" t="str">
        <f t="shared" si="6"/>
        <v>2023 Elite Canada</v>
      </c>
      <c r="N15" s="8">
        <f>IF(COUNT(AR15,BU15,CX15)&gt;0,LARGE((AR15,BU15,CX15),1),0)</f>
        <v>22.099999999999998</v>
      </c>
      <c r="O15" s="8" t="str">
        <f t="shared" si="7"/>
        <v>2023 Elite Canada</v>
      </c>
      <c r="P15" s="8">
        <f t="shared" si="8"/>
        <v>45.699999999999996</v>
      </c>
      <c r="Q15" s="8" t="str">
        <f t="shared" si="9"/>
        <v>2022 Nationals</v>
      </c>
      <c r="R15" s="8">
        <f t="shared" si="10"/>
        <v>5.1000000000000014</v>
      </c>
      <c r="S15" s="11" t="str">
        <f t="shared" si="11"/>
        <v>(Q1)</v>
      </c>
      <c r="T15" s="8" t="str">
        <f t="shared" si="12"/>
        <v>2022 Coimbra Gym Fest (June 26)</v>
      </c>
      <c r="U15" s="19">
        <v>18.600000000000001</v>
      </c>
      <c r="V15" s="19">
        <v>5.2</v>
      </c>
      <c r="W15" s="19">
        <v>0</v>
      </c>
      <c r="X15" s="19">
        <v>0</v>
      </c>
      <c r="Y15" s="19">
        <v>18.399999999999999</v>
      </c>
      <c r="Z15" s="19">
        <v>5.2</v>
      </c>
      <c r="AA15" s="19">
        <v>0</v>
      </c>
      <c r="AB15" s="19">
        <v>0.3</v>
      </c>
      <c r="AC15" s="19">
        <v>18.7</v>
      </c>
      <c r="AD15" s="19">
        <v>3.3</v>
      </c>
      <c r="AE15" s="19">
        <v>0</v>
      </c>
      <c r="AF15" s="19">
        <v>0</v>
      </c>
      <c r="AG15" s="19">
        <v>18.399999999999999</v>
      </c>
      <c r="AH15" s="19">
        <v>5.2</v>
      </c>
      <c r="AI15" s="19">
        <v>0.6</v>
      </c>
      <c r="AJ15" s="19">
        <v>0</v>
      </c>
      <c r="AK15" s="19">
        <v>17.8</v>
      </c>
      <c r="AL15" s="19">
        <v>5.2</v>
      </c>
      <c r="AM15" s="19">
        <v>0.6</v>
      </c>
      <c r="AN15" s="19">
        <v>0.3</v>
      </c>
      <c r="AO15" s="28"/>
      <c r="AP15" s="41">
        <f t="shared" si="13"/>
        <v>10.4</v>
      </c>
      <c r="AQ15" s="41">
        <f t="shared" si="14"/>
        <v>47.7</v>
      </c>
      <c r="AR15" s="41">
        <f t="shared" si="15"/>
        <v>22</v>
      </c>
      <c r="AS15" s="41">
        <f t="shared" si="16"/>
        <v>13.7</v>
      </c>
      <c r="AT15" s="41">
        <f t="shared" si="17"/>
        <v>69.7</v>
      </c>
      <c r="AU15" s="41">
        <f t="shared" si="18"/>
        <v>10.4</v>
      </c>
      <c r="AV15" s="41">
        <f t="shared" si="19"/>
        <v>45.699999999999996</v>
      </c>
      <c r="AW15" s="41">
        <f t="shared" si="20"/>
        <v>93.4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21"/>
        <v/>
      </c>
      <c r="BT15" s="11" t="str">
        <f t="shared" si="22"/>
        <v/>
      </c>
      <c r="BU15" s="11" t="str">
        <f t="shared" si="23"/>
        <v/>
      </c>
      <c r="BV15" s="11" t="str">
        <f t="shared" si="24"/>
        <v/>
      </c>
      <c r="BW15" s="11" t="str">
        <f t="shared" si="25"/>
        <v/>
      </c>
      <c r="BX15" s="11" t="str">
        <f t="shared" si="26"/>
        <v/>
      </c>
      <c r="BY15" s="11" t="str">
        <f t="shared" si="27"/>
        <v/>
      </c>
      <c r="BZ15" s="11" t="str">
        <f t="shared" si="28"/>
        <v/>
      </c>
      <c r="CA15" s="19">
        <v>18.3</v>
      </c>
      <c r="CB15" s="19">
        <v>3.1</v>
      </c>
      <c r="CC15" s="19">
        <v>1</v>
      </c>
      <c r="CD15" s="19">
        <v>0</v>
      </c>
      <c r="CE15" s="19">
        <v>17.100000000000001</v>
      </c>
      <c r="CF15" s="19">
        <v>2.8</v>
      </c>
      <c r="CG15" s="19">
        <v>0</v>
      </c>
      <c r="CH15" s="19">
        <v>0</v>
      </c>
      <c r="CI15" s="19">
        <v>17.899999999999999</v>
      </c>
      <c r="CJ15" s="19">
        <v>4.8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9"/>
        <v>5.9</v>
      </c>
      <c r="CW15" s="41">
        <f t="shared" si="30"/>
        <v>40.299999999999997</v>
      </c>
      <c r="CX15" s="41">
        <f t="shared" si="31"/>
        <v>22.099999999999998</v>
      </c>
      <c r="CY15" s="41">
        <f t="shared" si="32"/>
        <v>10.7</v>
      </c>
      <c r="CZ15" s="41">
        <f t="shared" si="33"/>
        <v>62.399999999999991</v>
      </c>
      <c r="DA15" s="41" t="str">
        <f t="shared" si="34"/>
        <v/>
      </c>
      <c r="DB15" s="41" t="str">
        <f t="shared" si="35"/>
        <v/>
      </c>
      <c r="DC15" s="41">
        <f t="shared" si="36"/>
        <v>40.299999999999997</v>
      </c>
      <c r="DD15" s="52">
        <f t="shared" si="37"/>
        <v>5.1000000000000014</v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>
        <v>16.7</v>
      </c>
      <c r="GN15" s="18">
        <v>5.2</v>
      </c>
      <c r="GO15" s="18">
        <v>0.2</v>
      </c>
      <c r="GP15" s="18">
        <v>0</v>
      </c>
      <c r="GQ15" s="18">
        <v>18.5</v>
      </c>
      <c r="GR15" s="18">
        <v>5.2</v>
      </c>
      <c r="GS15" s="18">
        <v>0</v>
      </c>
      <c r="GT15" s="18">
        <v>0</v>
      </c>
      <c r="GU15" s="18"/>
      <c r="GV15" s="18"/>
      <c r="GW15" s="18"/>
      <c r="GX15" s="18"/>
      <c r="GY15" s="18">
        <v>19</v>
      </c>
      <c r="GZ15" s="18">
        <v>5.6</v>
      </c>
      <c r="HA15" s="18">
        <v>0</v>
      </c>
      <c r="HB15" s="18">
        <v>0</v>
      </c>
      <c r="HC15" s="18">
        <v>16.399999999999999</v>
      </c>
      <c r="HD15" s="18">
        <v>5.6</v>
      </c>
      <c r="HE15" s="18">
        <v>1</v>
      </c>
      <c r="HF15" s="18">
        <v>0</v>
      </c>
      <c r="HG15" s="11">
        <f t="shared" si="64"/>
        <v>10.4</v>
      </c>
      <c r="HH15" s="11">
        <f t="shared" si="65"/>
        <v>45.4</v>
      </c>
      <c r="HI15" s="11" t="str">
        <f t="shared" si="66"/>
        <v/>
      </c>
      <c r="HJ15" s="11">
        <f t="shared" si="67"/>
        <v>10.4</v>
      </c>
      <c r="HK15" s="11">
        <f t="shared" si="68"/>
        <v>45.4</v>
      </c>
      <c r="HL15" s="11">
        <f t="shared" si="69"/>
        <v>11.2</v>
      </c>
      <c r="HM15" s="11">
        <f t="shared" si="70"/>
        <v>45.6</v>
      </c>
      <c r="HN15" s="11">
        <f t="shared" si="71"/>
        <v>91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9.15</v>
      </c>
      <c r="QF15" s="23">
        <f t="shared" si="137"/>
        <v>1.55</v>
      </c>
      <c r="QG15" s="23">
        <f t="shared" si="138"/>
        <v>0.5</v>
      </c>
      <c r="QH15" s="23">
        <f t="shared" si="139"/>
        <v>0</v>
      </c>
      <c r="QI15" s="23">
        <f t="shared" si="140"/>
        <v>8.5500000000000007</v>
      </c>
      <c r="QJ15" s="23">
        <f t="shared" si="141"/>
        <v>1.4</v>
      </c>
      <c r="QK15" s="23">
        <f t="shared" si="142"/>
        <v>0</v>
      </c>
      <c r="QL15" s="23">
        <f t="shared" si="143"/>
        <v>0</v>
      </c>
      <c r="QM15" s="23">
        <f t="shared" si="144"/>
        <v>8.9499999999999993</v>
      </c>
      <c r="QN15" s="23">
        <f t="shared" si="145"/>
        <v>2.4</v>
      </c>
      <c r="QO15" s="23">
        <f t="shared" si="146"/>
        <v>0.3</v>
      </c>
      <c r="QP15" s="23">
        <f t="shared" si="147"/>
        <v>0</v>
      </c>
      <c r="QQ15" s="23">
        <f t="shared" si="148"/>
        <v>0</v>
      </c>
      <c r="QR15" s="23">
        <f t="shared" si="149"/>
        <v>0</v>
      </c>
      <c r="QS15" s="23">
        <f t="shared" si="150"/>
        <v>0</v>
      </c>
      <c r="QT15" s="23">
        <f t="shared" si="151"/>
        <v>0</v>
      </c>
      <c r="QU15" s="23">
        <f t="shared" si="152"/>
        <v>0</v>
      </c>
      <c r="QV15" s="23">
        <f t="shared" si="153"/>
        <v>0</v>
      </c>
      <c r="QW15" s="23">
        <f t="shared" si="154"/>
        <v>0</v>
      </c>
      <c r="QX15" s="23">
        <f t="shared" si="155"/>
        <v>0</v>
      </c>
      <c r="QY15" s="28" t="s">
        <v>58</v>
      </c>
      <c r="QZ15" s="41">
        <f t="shared" si="156"/>
        <v>2.95</v>
      </c>
      <c r="RA15" s="41">
        <f t="shared" si="157"/>
        <v>20.149999999999999</v>
      </c>
      <c r="RB15" s="41">
        <f t="shared" si="158"/>
        <v>11.049999999999999</v>
      </c>
      <c r="RC15" s="41">
        <f t="shared" si="159"/>
        <v>5.35</v>
      </c>
      <c r="RD15" s="41">
        <f t="shared" si="160"/>
        <v>31.199999999999996</v>
      </c>
      <c r="RE15" s="41" t="str">
        <f t="shared" si="161"/>
        <v/>
      </c>
      <c r="RF15" s="41" t="str">
        <f t="shared" si="162"/>
        <v/>
      </c>
      <c r="RG15" s="41">
        <f t="shared" si="163"/>
        <v>20.149999999999999</v>
      </c>
    </row>
    <row r="16" spans="1:475" x14ac:dyDescent="0.2">
      <c r="A16" s="4" t="str">
        <f t="shared" si="164"/>
        <v/>
      </c>
      <c r="B16" s="5" t="s">
        <v>224</v>
      </c>
      <c r="C16" s="4" t="s">
        <v>8</v>
      </c>
      <c r="D16" s="4">
        <v>2002</v>
      </c>
      <c r="E16" s="9">
        <f t="shared" si="0"/>
        <v>155.80001108000468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47</v>
      </c>
      <c r="K16" s="8" t="str">
        <f t="shared" si="5"/>
        <v>2023 Elite Canada</v>
      </c>
      <c r="L16" s="8">
        <f>IF(COUNT(AQ16,BT16,CW16)&gt;1,LARGE((AQ16,BT16,CW16),2),0)</f>
        <v>41.5</v>
      </c>
      <c r="M16" s="8" t="str">
        <f t="shared" si="6"/>
        <v>2022 Nationals</v>
      </c>
      <c r="N16" s="8">
        <f>IF(COUNT(AR16,BU16,CX16)&gt;0,LARGE((AR16,BU16,CX16),1),0)</f>
        <v>22.3</v>
      </c>
      <c r="O16" s="8" t="str">
        <f t="shared" si="7"/>
        <v>2022 Nationals</v>
      </c>
      <c r="P16" s="8">
        <f t="shared" si="8"/>
        <v>44.999999999999993</v>
      </c>
      <c r="Q16" s="8" t="str">
        <f t="shared" si="9"/>
        <v>2022 Nationals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18.899999999999999</v>
      </c>
      <c r="V16" s="19">
        <v>4.4000000000000004</v>
      </c>
      <c r="W16" s="19">
        <v>0.2</v>
      </c>
      <c r="X16" s="19">
        <v>0</v>
      </c>
      <c r="Y16" s="19">
        <v>17.7</v>
      </c>
      <c r="Z16" s="19">
        <v>0.7</v>
      </c>
      <c r="AA16" s="19">
        <v>0</v>
      </c>
      <c r="AB16" s="19">
        <v>0</v>
      </c>
      <c r="AC16" s="19">
        <v>18.8</v>
      </c>
      <c r="AD16" s="19">
        <v>3.5</v>
      </c>
      <c r="AE16" s="19">
        <v>0</v>
      </c>
      <c r="AF16" s="19">
        <v>0</v>
      </c>
      <c r="AG16" s="19">
        <v>18.899999999999999</v>
      </c>
      <c r="AH16" s="19">
        <v>3.5</v>
      </c>
      <c r="AI16" s="19">
        <v>0</v>
      </c>
      <c r="AJ16" s="19">
        <v>0</v>
      </c>
      <c r="AK16" s="19">
        <v>18.399999999999999</v>
      </c>
      <c r="AL16" s="19">
        <v>4.4000000000000004</v>
      </c>
      <c r="AM16" s="19">
        <v>0.2</v>
      </c>
      <c r="AN16" s="19">
        <v>0</v>
      </c>
      <c r="AO16" s="28"/>
      <c r="AP16" s="41">
        <f t="shared" si="13"/>
        <v>5.1000000000000005</v>
      </c>
      <c r="AQ16" s="41">
        <f t="shared" si="14"/>
        <v>41.5</v>
      </c>
      <c r="AR16" s="41">
        <f t="shared" si="15"/>
        <v>22.3</v>
      </c>
      <c r="AS16" s="41">
        <f t="shared" si="16"/>
        <v>8.6000000000000014</v>
      </c>
      <c r="AT16" s="41">
        <f t="shared" si="17"/>
        <v>63.8</v>
      </c>
      <c r="AU16" s="41">
        <f t="shared" si="18"/>
        <v>7.9</v>
      </c>
      <c r="AV16" s="41">
        <f t="shared" si="19"/>
        <v>44.999999999999993</v>
      </c>
      <c r="AW16" s="41">
        <f t="shared" si="20"/>
        <v>86.5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18.2</v>
      </c>
      <c r="CB16" s="19">
        <v>5.6</v>
      </c>
      <c r="CC16" s="19">
        <v>0.6</v>
      </c>
      <c r="CD16" s="19">
        <v>0</v>
      </c>
      <c r="CE16" s="19">
        <v>18.600000000000001</v>
      </c>
      <c r="CF16" s="19">
        <v>5.2</v>
      </c>
      <c r="CG16" s="19">
        <v>0</v>
      </c>
      <c r="CH16" s="19">
        <v>0</v>
      </c>
      <c r="CI16" s="19">
        <v>19</v>
      </c>
      <c r="CJ16" s="19">
        <v>3.1</v>
      </c>
      <c r="CK16" s="19">
        <v>1</v>
      </c>
      <c r="CL16" s="19">
        <v>0</v>
      </c>
      <c r="CM16" s="19">
        <v>0</v>
      </c>
      <c r="CN16" s="19">
        <v>0</v>
      </c>
      <c r="CO16" s="19">
        <v>0</v>
      </c>
      <c r="CP16" s="19">
        <v>0</v>
      </c>
      <c r="CQ16" s="19">
        <v>18.8</v>
      </c>
      <c r="CR16" s="19">
        <v>5.2</v>
      </c>
      <c r="CS16" s="19">
        <v>0.8</v>
      </c>
      <c r="CT16" s="19">
        <v>0</v>
      </c>
      <c r="CU16" s="28"/>
      <c r="CV16" s="41">
        <f t="shared" si="29"/>
        <v>10.8</v>
      </c>
      <c r="CW16" s="41">
        <f t="shared" si="30"/>
        <v>47</v>
      </c>
      <c r="CX16" s="41">
        <f t="shared" si="31"/>
        <v>21.1</v>
      </c>
      <c r="CY16" s="41">
        <f t="shared" si="32"/>
        <v>13.9</v>
      </c>
      <c r="CZ16" s="41">
        <f t="shared" si="33"/>
        <v>68.099999999999994</v>
      </c>
      <c r="DA16" s="41">
        <f t="shared" si="34"/>
        <v>5.2</v>
      </c>
      <c r="DB16" s="41">
        <f t="shared" si="35"/>
        <v>23.2</v>
      </c>
      <c r="DC16" s="41">
        <f t="shared" si="36"/>
        <v>70.2</v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9.1</v>
      </c>
      <c r="QF16" s="23">
        <f t="shared" si="137"/>
        <v>2.8</v>
      </c>
      <c r="QG16" s="23">
        <f t="shared" si="138"/>
        <v>0.3</v>
      </c>
      <c r="QH16" s="23">
        <f t="shared" si="139"/>
        <v>0</v>
      </c>
      <c r="QI16" s="23">
        <f t="shared" si="140"/>
        <v>9.3000000000000007</v>
      </c>
      <c r="QJ16" s="23">
        <f t="shared" si="141"/>
        <v>2.6</v>
      </c>
      <c r="QK16" s="23">
        <f t="shared" si="142"/>
        <v>0</v>
      </c>
      <c r="QL16" s="23">
        <f t="shared" si="143"/>
        <v>0</v>
      </c>
      <c r="QM16" s="23">
        <f t="shared" si="144"/>
        <v>9.5</v>
      </c>
      <c r="QN16" s="23">
        <f t="shared" si="145"/>
        <v>1.55</v>
      </c>
      <c r="QO16" s="23">
        <f t="shared" si="146"/>
        <v>0.5</v>
      </c>
      <c r="QP16" s="23">
        <f t="shared" si="147"/>
        <v>0</v>
      </c>
      <c r="QQ16" s="23">
        <f t="shared" si="148"/>
        <v>0</v>
      </c>
      <c r="QR16" s="23">
        <f t="shared" si="149"/>
        <v>0</v>
      </c>
      <c r="QS16" s="23">
        <f t="shared" si="150"/>
        <v>0</v>
      </c>
      <c r="QT16" s="23">
        <f t="shared" si="151"/>
        <v>0</v>
      </c>
      <c r="QU16" s="23">
        <f t="shared" si="152"/>
        <v>9.4</v>
      </c>
      <c r="QV16" s="23">
        <f t="shared" si="153"/>
        <v>2.6</v>
      </c>
      <c r="QW16" s="23">
        <f t="shared" si="154"/>
        <v>0.4</v>
      </c>
      <c r="QX16" s="23">
        <f t="shared" si="155"/>
        <v>0</v>
      </c>
      <c r="QY16" s="28" t="s">
        <v>58</v>
      </c>
      <c r="QZ16" s="41">
        <f t="shared" si="156"/>
        <v>5.4</v>
      </c>
      <c r="RA16" s="41">
        <f t="shared" si="157"/>
        <v>23.5</v>
      </c>
      <c r="RB16" s="41">
        <f t="shared" si="158"/>
        <v>10.55</v>
      </c>
      <c r="RC16" s="41">
        <f t="shared" si="159"/>
        <v>6.95</v>
      </c>
      <c r="RD16" s="41">
        <f t="shared" si="160"/>
        <v>34.049999999999997</v>
      </c>
      <c r="RE16" s="41">
        <f t="shared" si="161"/>
        <v>2.6</v>
      </c>
      <c r="RF16" s="41">
        <f t="shared" si="162"/>
        <v>11.6</v>
      </c>
      <c r="RG16" s="41">
        <f t="shared" si="163"/>
        <v>35.1</v>
      </c>
    </row>
    <row r="17" spans="1:475" x14ac:dyDescent="0.2">
      <c r="A17" s="4" t="str">
        <f t="shared" si="164"/>
        <v/>
      </c>
      <c r="B17" s="5" t="s">
        <v>95</v>
      </c>
      <c r="C17" s="4" t="s">
        <v>6</v>
      </c>
      <c r="D17" s="4">
        <v>2003</v>
      </c>
      <c r="E17" s="9">
        <f t="shared" si="0"/>
        <v>107.30001073000429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42.9</v>
      </c>
      <c r="K17" s="8" t="str">
        <f t="shared" si="5"/>
        <v>2023 Elite Canada</v>
      </c>
      <c r="L17" s="8">
        <f>IF(COUNT(AQ17,BT17,CW17)&gt;1,LARGE((AQ17,BT17,CW17),2),0)</f>
        <v>42.2</v>
      </c>
      <c r="M17" s="8" t="str">
        <f t="shared" si="6"/>
        <v>2022 Nationals</v>
      </c>
      <c r="N17" s="8">
        <f>IF(COUNT(AR17,BU17,CX17)&gt;0,LARGE((AR17,BU17,CX17),1),0)</f>
        <v>22.2</v>
      </c>
      <c r="O17" s="8" t="str">
        <f t="shared" si="7"/>
        <v>2022 Nationals</v>
      </c>
      <c r="P17" s="8">
        <f t="shared" si="8"/>
        <v>0</v>
      </c>
      <c r="Q17" s="8" t="str">
        <f t="shared" si="9"/>
        <v/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16.600000000000001</v>
      </c>
      <c r="V17" s="19">
        <v>3</v>
      </c>
      <c r="W17" s="19">
        <v>1.5999999999999999</v>
      </c>
      <c r="X17" s="19">
        <v>0</v>
      </c>
      <c r="Y17" s="19">
        <v>18.600000000000001</v>
      </c>
      <c r="Z17" s="19">
        <v>5.6</v>
      </c>
      <c r="AA17" s="19">
        <v>0</v>
      </c>
      <c r="AB17" s="19">
        <v>0</v>
      </c>
      <c r="AC17" s="19">
        <v>18.2</v>
      </c>
      <c r="AD17" s="19">
        <v>4.8</v>
      </c>
      <c r="AE17" s="19">
        <v>0.8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28"/>
      <c r="AP17" s="41">
        <f t="shared" si="13"/>
        <v>8.6</v>
      </c>
      <c r="AQ17" s="41">
        <f t="shared" si="14"/>
        <v>42.2</v>
      </c>
      <c r="AR17" s="41">
        <f t="shared" si="15"/>
        <v>22.2</v>
      </c>
      <c r="AS17" s="41">
        <f t="shared" si="16"/>
        <v>13.399999999999999</v>
      </c>
      <c r="AT17" s="41">
        <f t="shared" si="17"/>
        <v>64.400000000000006</v>
      </c>
      <c r="AU17" s="41" t="str">
        <f t="shared" si="18"/>
        <v/>
      </c>
      <c r="AV17" s="41" t="str">
        <f t="shared" si="19"/>
        <v/>
      </c>
      <c r="AW17" s="41">
        <f t="shared" si="20"/>
        <v>42.2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9"/>
      <c r="BS17" s="11" t="str">
        <f t="shared" si="21"/>
        <v/>
      </c>
      <c r="BT17" s="11" t="str">
        <f t="shared" si="22"/>
        <v/>
      </c>
      <c r="BU17" s="11" t="str">
        <f t="shared" si="23"/>
        <v/>
      </c>
      <c r="BV17" s="11" t="str">
        <f t="shared" si="24"/>
        <v/>
      </c>
      <c r="BW17" s="11" t="str">
        <f t="shared" si="25"/>
        <v/>
      </c>
      <c r="BX17" s="11" t="str">
        <f t="shared" si="26"/>
        <v/>
      </c>
      <c r="BY17" s="11" t="str">
        <f t="shared" si="27"/>
        <v/>
      </c>
      <c r="BZ17" s="11" t="str">
        <f t="shared" si="28"/>
        <v/>
      </c>
      <c r="CA17" s="19">
        <v>17.399999999999999</v>
      </c>
      <c r="CB17" s="19">
        <v>2.9</v>
      </c>
      <c r="CC17" s="19">
        <v>1.2</v>
      </c>
      <c r="CD17" s="19">
        <v>0</v>
      </c>
      <c r="CE17" s="19">
        <v>18.2</v>
      </c>
      <c r="CF17" s="19">
        <v>5.6</v>
      </c>
      <c r="CG17" s="19">
        <v>0</v>
      </c>
      <c r="CH17" s="19">
        <v>0</v>
      </c>
      <c r="CI17" s="19">
        <v>17</v>
      </c>
      <c r="CJ17" s="19">
        <v>2.8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 t="shared" si="29"/>
        <v>8.5</v>
      </c>
      <c r="CW17" s="41">
        <f t="shared" si="30"/>
        <v>42.9</v>
      </c>
      <c r="CX17" s="41">
        <f t="shared" si="31"/>
        <v>19.8</v>
      </c>
      <c r="CY17" s="41">
        <f t="shared" si="32"/>
        <v>11.3</v>
      </c>
      <c r="CZ17" s="41">
        <f t="shared" si="33"/>
        <v>62.7</v>
      </c>
      <c r="DA17" s="41" t="str">
        <f t="shared" si="34"/>
        <v/>
      </c>
      <c r="DB17" s="41" t="str">
        <f t="shared" si="35"/>
        <v/>
      </c>
      <c r="DC17" s="41">
        <f t="shared" si="36"/>
        <v>42.9</v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8.6999999999999993</v>
      </c>
      <c r="QF17" s="23">
        <f t="shared" si="137"/>
        <v>1.45</v>
      </c>
      <c r="QG17" s="23">
        <f t="shared" si="138"/>
        <v>0.6</v>
      </c>
      <c r="QH17" s="23">
        <f t="shared" si="139"/>
        <v>0</v>
      </c>
      <c r="QI17" s="23">
        <f t="shared" si="140"/>
        <v>9.1</v>
      </c>
      <c r="QJ17" s="23">
        <f t="shared" si="141"/>
        <v>2.8</v>
      </c>
      <c r="QK17" s="23">
        <f t="shared" si="142"/>
        <v>0</v>
      </c>
      <c r="QL17" s="23">
        <f t="shared" si="143"/>
        <v>0</v>
      </c>
      <c r="QM17" s="23">
        <f t="shared" si="144"/>
        <v>8.5</v>
      </c>
      <c r="QN17" s="23">
        <f t="shared" si="145"/>
        <v>1.4</v>
      </c>
      <c r="QO17" s="23">
        <f t="shared" si="146"/>
        <v>0</v>
      </c>
      <c r="QP17" s="23">
        <f t="shared" si="147"/>
        <v>0</v>
      </c>
      <c r="QQ17" s="23">
        <f t="shared" si="148"/>
        <v>0</v>
      </c>
      <c r="QR17" s="23">
        <f t="shared" si="149"/>
        <v>0</v>
      </c>
      <c r="QS17" s="23">
        <f t="shared" si="150"/>
        <v>0</v>
      </c>
      <c r="QT17" s="23">
        <f t="shared" si="151"/>
        <v>0</v>
      </c>
      <c r="QU17" s="23">
        <f t="shared" si="152"/>
        <v>0</v>
      </c>
      <c r="QV17" s="23">
        <f t="shared" si="153"/>
        <v>0</v>
      </c>
      <c r="QW17" s="23">
        <f t="shared" si="154"/>
        <v>0</v>
      </c>
      <c r="QX17" s="23">
        <f t="shared" si="155"/>
        <v>0</v>
      </c>
      <c r="QY17" s="28" t="s">
        <v>58</v>
      </c>
      <c r="QZ17" s="41">
        <f t="shared" si="156"/>
        <v>4.25</v>
      </c>
      <c r="RA17" s="41">
        <f t="shared" si="157"/>
        <v>21.45</v>
      </c>
      <c r="RB17" s="41">
        <f t="shared" si="158"/>
        <v>9.9</v>
      </c>
      <c r="RC17" s="41">
        <f t="shared" si="159"/>
        <v>5.65</v>
      </c>
      <c r="RD17" s="41">
        <f t="shared" si="160"/>
        <v>31.35</v>
      </c>
      <c r="RE17" s="41" t="str">
        <f t="shared" si="161"/>
        <v/>
      </c>
      <c r="RF17" s="41" t="str">
        <f t="shared" si="162"/>
        <v/>
      </c>
      <c r="RG17" s="41">
        <f t="shared" si="163"/>
        <v>21.45</v>
      </c>
    </row>
    <row r="18" spans="1:475" ht="17" x14ac:dyDescent="0.2">
      <c r="R18" s="10"/>
      <c r="S18" s="10"/>
      <c r="T18" s="10"/>
    </row>
    <row r="19" spans="1:475" ht="17" x14ac:dyDescent="0.2">
      <c r="R19" s="10"/>
      <c r="S19" s="10"/>
      <c r="T19" s="10"/>
    </row>
    <row r="20" spans="1:475" ht="17" x14ac:dyDescent="0.2">
      <c r="B20" s="24" t="s">
        <v>55</v>
      </c>
      <c r="R20" s="10"/>
      <c r="S20" s="10"/>
      <c r="T20" s="10"/>
      <c r="AP20" s="4"/>
      <c r="AW20" s="43">
        <v>10.8</v>
      </c>
      <c r="BS20" s="4"/>
      <c r="BZ20" s="43">
        <v>10.8</v>
      </c>
      <c r="CV20" s="4"/>
      <c r="DC20" s="43">
        <v>10.8</v>
      </c>
      <c r="EA20" s="4"/>
      <c r="EH20" s="43">
        <v>10.8</v>
      </c>
      <c r="FC20" s="4"/>
      <c r="FJ20" s="43">
        <v>10.8</v>
      </c>
      <c r="GE20" s="4"/>
      <c r="GL20" s="43">
        <v>10.8</v>
      </c>
      <c r="HG20" s="4"/>
      <c r="HN20" s="43">
        <v>10.8</v>
      </c>
      <c r="II20" s="4"/>
      <c r="IP20" s="43">
        <v>10.8</v>
      </c>
      <c r="JK20" s="4"/>
      <c r="JR20" s="43">
        <v>10.8</v>
      </c>
      <c r="KM20" s="4"/>
      <c r="KT20" s="43">
        <v>10.8</v>
      </c>
      <c r="LO20" s="4"/>
      <c r="LV20" s="43">
        <v>10.8</v>
      </c>
      <c r="MQ20" s="4"/>
      <c r="MX20" s="43">
        <v>10.8</v>
      </c>
      <c r="NS20" s="4"/>
      <c r="NZ20" s="43">
        <v>10.8</v>
      </c>
      <c r="OU20" s="4"/>
      <c r="PB20" s="43">
        <v>10.8</v>
      </c>
      <c r="PW20" s="4"/>
      <c r="QD20" s="43">
        <v>10.8</v>
      </c>
    </row>
    <row r="21" spans="1:475" ht="17" x14ac:dyDescent="0.2">
      <c r="B21" s="31" t="s">
        <v>54</v>
      </c>
      <c r="R21" s="10"/>
      <c r="S21" s="10"/>
      <c r="T21" s="10"/>
      <c r="AP21" s="4"/>
      <c r="AW21" s="53">
        <v>16</v>
      </c>
      <c r="BS21" s="4"/>
      <c r="BZ21" s="53">
        <v>16</v>
      </c>
      <c r="CV21" s="4"/>
      <c r="DC21" s="53">
        <v>16</v>
      </c>
      <c r="EA21" s="4"/>
      <c r="EH21" s="53">
        <v>16</v>
      </c>
      <c r="FC21" s="4"/>
      <c r="FJ21" s="53">
        <v>16</v>
      </c>
      <c r="GE21" s="4"/>
      <c r="GL21" s="53">
        <v>16</v>
      </c>
      <c r="HG21" s="4"/>
      <c r="HN21" s="53">
        <v>16</v>
      </c>
      <c r="II21" s="4"/>
      <c r="IP21" s="53">
        <v>16</v>
      </c>
      <c r="JK21" s="4"/>
      <c r="JR21" s="53">
        <v>16</v>
      </c>
      <c r="KM21" s="4"/>
      <c r="KT21" s="53">
        <v>16</v>
      </c>
      <c r="LO21" s="4"/>
      <c r="LV21" s="53">
        <v>16</v>
      </c>
      <c r="MQ21" s="4"/>
      <c r="MX21" s="53">
        <v>16</v>
      </c>
      <c r="NS21" s="4"/>
      <c r="NZ21" s="53">
        <v>16</v>
      </c>
      <c r="OU21" s="4"/>
      <c r="PB21" s="53">
        <v>16</v>
      </c>
      <c r="PW21" s="4"/>
      <c r="QD21" s="53">
        <v>16</v>
      </c>
    </row>
    <row r="22" spans="1:475" ht="17" x14ac:dyDescent="0.2">
      <c r="A22" s="5"/>
      <c r="B22" s="32" t="s">
        <v>68</v>
      </c>
      <c r="C22" s="20"/>
      <c r="R22" s="10"/>
      <c r="S22" s="10"/>
      <c r="T22" s="10"/>
      <c r="AP22" s="4"/>
      <c r="AW22" s="45">
        <v>16.8</v>
      </c>
      <c r="BS22" s="4"/>
      <c r="BZ22" s="45">
        <v>16.8</v>
      </c>
      <c r="CV22" s="4"/>
      <c r="DC22" s="45">
        <v>16.8</v>
      </c>
      <c r="EA22" s="4"/>
      <c r="EH22" s="45">
        <v>16.8</v>
      </c>
      <c r="FC22" s="4"/>
      <c r="FJ22" s="45">
        <v>16.8</v>
      </c>
      <c r="GE22" s="4"/>
      <c r="GL22" s="45">
        <v>16.8</v>
      </c>
      <c r="HG22" s="4"/>
      <c r="HN22" s="45">
        <v>16.8</v>
      </c>
      <c r="II22" s="4"/>
      <c r="IP22" s="45">
        <v>16.8</v>
      </c>
      <c r="JK22" s="4"/>
      <c r="JR22" s="45">
        <v>16.8</v>
      </c>
      <c r="KM22" s="4"/>
      <c r="KT22" s="45">
        <v>16.8</v>
      </c>
      <c r="LO22" s="4"/>
      <c r="LV22" s="45">
        <v>16.8</v>
      </c>
      <c r="MQ22" s="4"/>
      <c r="MX22" s="45">
        <v>16.8</v>
      </c>
      <c r="NS22" s="4"/>
      <c r="NZ22" s="45">
        <v>16.8</v>
      </c>
      <c r="OU22" s="4"/>
      <c r="PB22" s="45">
        <v>16.8</v>
      </c>
      <c r="PW22" s="4"/>
      <c r="QD22" s="45">
        <v>16.8</v>
      </c>
    </row>
    <row r="23" spans="1:475" ht="17" x14ac:dyDescent="0.2">
      <c r="A23" s="5"/>
      <c r="B23" s="36" t="s">
        <v>81</v>
      </c>
      <c r="C23" s="20"/>
      <c r="R23" s="10"/>
      <c r="S23" s="10"/>
      <c r="T23" s="10"/>
      <c r="AP23" s="4"/>
      <c r="AW23" s="46">
        <v>17.600000000000001</v>
      </c>
      <c r="BS23" s="4"/>
      <c r="BZ23" s="46">
        <v>17.600000000000001</v>
      </c>
      <c r="CV23" s="4"/>
      <c r="DC23" s="46">
        <v>17.600000000000001</v>
      </c>
      <c r="EA23" s="4"/>
      <c r="EH23" s="46">
        <v>17.600000000000001</v>
      </c>
      <c r="FC23" s="4"/>
      <c r="FJ23" s="46">
        <v>17.600000000000001</v>
      </c>
      <c r="GE23" s="4"/>
      <c r="GL23" s="46">
        <v>17.600000000000001</v>
      </c>
      <c r="HG23" s="4"/>
      <c r="HN23" s="46">
        <v>17.600000000000001</v>
      </c>
      <c r="II23" s="4"/>
      <c r="IP23" s="46">
        <v>17.600000000000001</v>
      </c>
      <c r="JK23" s="4"/>
      <c r="JR23" s="46">
        <v>17.600000000000001</v>
      </c>
      <c r="KM23" s="4"/>
      <c r="KT23" s="46">
        <v>17.600000000000001</v>
      </c>
      <c r="LO23" s="4"/>
      <c r="LV23" s="46">
        <v>17.600000000000001</v>
      </c>
      <c r="MQ23" s="4"/>
      <c r="MX23" s="46">
        <v>17.600000000000001</v>
      </c>
      <c r="NS23" s="4"/>
      <c r="NZ23" s="46">
        <v>17.600000000000001</v>
      </c>
      <c r="OU23" s="4"/>
      <c r="PB23" s="46">
        <v>17.600000000000001</v>
      </c>
      <c r="PW23" s="4"/>
      <c r="QD23" s="46">
        <v>17.600000000000001</v>
      </c>
    </row>
    <row r="24" spans="1:475" ht="17" x14ac:dyDescent="0.2">
      <c r="A24" s="5"/>
      <c r="B24" s="35" t="s">
        <v>52</v>
      </c>
      <c r="C24" s="20"/>
      <c r="R24" s="10"/>
      <c r="S24" s="10"/>
      <c r="T24" s="10"/>
      <c r="AP24" s="4"/>
      <c r="AW24" s="47">
        <v>48</v>
      </c>
      <c r="BS24" s="4"/>
      <c r="BZ24" s="47">
        <v>48</v>
      </c>
      <c r="CV24" s="4"/>
      <c r="DC24" s="47">
        <v>48</v>
      </c>
      <c r="EA24" s="4"/>
      <c r="EH24" s="47">
        <v>48</v>
      </c>
      <c r="FC24" s="4"/>
      <c r="FJ24" s="47">
        <v>48</v>
      </c>
      <c r="GE24" s="4"/>
      <c r="GL24" s="47">
        <v>48</v>
      </c>
      <c r="HG24" s="4"/>
      <c r="HN24" s="47">
        <v>48</v>
      </c>
      <c r="II24" s="4"/>
      <c r="IP24" s="47">
        <v>48</v>
      </c>
      <c r="JK24" s="4"/>
      <c r="JR24" s="47">
        <v>48</v>
      </c>
      <c r="KM24" s="4"/>
      <c r="KT24" s="47">
        <v>48</v>
      </c>
      <c r="LO24" s="4"/>
      <c r="LV24" s="47">
        <v>48</v>
      </c>
      <c r="MQ24" s="4"/>
      <c r="MX24" s="47">
        <v>48</v>
      </c>
      <c r="NS24" s="4"/>
      <c r="NZ24" s="47">
        <v>48</v>
      </c>
      <c r="OU24" s="4"/>
      <c r="PB24" s="47">
        <v>48</v>
      </c>
      <c r="PW24" s="4"/>
      <c r="QD24" s="47">
        <v>48</v>
      </c>
    </row>
    <row r="25" spans="1:475" ht="17" x14ac:dyDescent="0.2">
      <c r="A25" s="5"/>
      <c r="B25" s="25" t="s">
        <v>53</v>
      </c>
      <c r="C25" s="20"/>
      <c r="R25" s="10"/>
      <c r="S25" s="10"/>
      <c r="T25" s="10"/>
      <c r="AP25" s="4"/>
      <c r="AW25" s="48">
        <v>72</v>
      </c>
      <c r="BS25" s="4"/>
      <c r="BZ25" s="48">
        <v>72</v>
      </c>
      <c r="CV25" s="4"/>
      <c r="DC25" s="48">
        <v>72</v>
      </c>
      <c r="EA25" s="4"/>
      <c r="EH25" s="48">
        <v>72</v>
      </c>
      <c r="FC25" s="4"/>
      <c r="FJ25" s="48">
        <v>72</v>
      </c>
      <c r="GE25" s="4"/>
      <c r="GL25" s="48">
        <v>72</v>
      </c>
      <c r="HG25" s="4"/>
      <c r="HN25" s="48">
        <v>72</v>
      </c>
      <c r="II25" s="4"/>
      <c r="IP25" s="48">
        <v>72</v>
      </c>
      <c r="JK25" s="4"/>
      <c r="JR25" s="48">
        <v>72</v>
      </c>
      <c r="KM25" s="4"/>
      <c r="KT25" s="48">
        <v>72</v>
      </c>
      <c r="LO25" s="4"/>
      <c r="LV25" s="48">
        <v>72</v>
      </c>
      <c r="MQ25" s="4"/>
      <c r="MX25" s="48">
        <v>72</v>
      </c>
      <c r="NS25" s="4"/>
      <c r="NZ25" s="48">
        <v>72</v>
      </c>
      <c r="OU25" s="4"/>
      <c r="PB25" s="48">
        <v>72</v>
      </c>
      <c r="PW25" s="4"/>
      <c r="QD25" s="48">
        <v>72</v>
      </c>
    </row>
    <row r="26" spans="1:475" ht="17" x14ac:dyDescent="0.2">
      <c r="A26" s="5"/>
      <c r="B26" s="34" t="s">
        <v>67</v>
      </c>
      <c r="C26" s="20"/>
      <c r="R26" s="10"/>
      <c r="S26" s="10"/>
      <c r="T26" s="10"/>
      <c r="AP26" s="4"/>
      <c r="AW26" s="49">
        <v>73.400000000000006</v>
      </c>
      <c r="BS26" s="4"/>
      <c r="BZ26" s="49">
        <v>73.400000000000006</v>
      </c>
      <c r="CV26" s="4"/>
      <c r="DC26" s="49">
        <v>73.400000000000006</v>
      </c>
      <c r="EA26" s="4"/>
      <c r="EH26" s="49">
        <v>73.400000000000006</v>
      </c>
      <c r="FC26" s="4"/>
      <c r="FJ26" s="49">
        <v>73.400000000000006</v>
      </c>
      <c r="GE26" s="4"/>
      <c r="GL26" s="49">
        <v>73.400000000000006</v>
      </c>
      <c r="HG26" s="4"/>
      <c r="HN26" s="49">
        <v>73.400000000000006</v>
      </c>
      <c r="II26" s="4"/>
      <c r="IP26" s="49">
        <v>73.400000000000006</v>
      </c>
      <c r="JK26" s="4"/>
      <c r="JR26" s="49">
        <v>73.400000000000006</v>
      </c>
      <c r="KM26" s="4"/>
      <c r="KT26" s="49">
        <v>73.400000000000006</v>
      </c>
      <c r="LO26" s="4"/>
      <c r="LV26" s="49">
        <v>73.400000000000006</v>
      </c>
      <c r="MQ26" s="4"/>
      <c r="MX26" s="49">
        <v>73.400000000000006</v>
      </c>
      <c r="NS26" s="4"/>
      <c r="NZ26" s="49">
        <v>73.400000000000006</v>
      </c>
      <c r="OU26" s="4"/>
      <c r="PB26" s="49">
        <v>73.400000000000006</v>
      </c>
      <c r="PW26" s="4"/>
      <c r="QD26" s="49">
        <v>73.400000000000006</v>
      </c>
    </row>
    <row r="27" spans="1:475" ht="17" x14ac:dyDescent="0.2">
      <c r="A27" s="5"/>
      <c r="B27" s="26" t="s">
        <v>36</v>
      </c>
      <c r="C27" s="20"/>
      <c r="R27" s="10"/>
      <c r="S27" s="10"/>
      <c r="T27" s="10"/>
      <c r="AP27" s="4"/>
      <c r="AW27" s="50">
        <v>74.8</v>
      </c>
      <c r="BS27" s="4"/>
      <c r="BZ27" s="50">
        <v>74.8</v>
      </c>
      <c r="CV27" s="4"/>
      <c r="DC27" s="50">
        <v>74.8</v>
      </c>
      <c r="EA27" s="4"/>
      <c r="EH27" s="50">
        <v>74.8</v>
      </c>
      <c r="FC27" s="4"/>
      <c r="FJ27" s="50">
        <v>74.8</v>
      </c>
      <c r="GE27" s="4"/>
      <c r="GL27" s="50">
        <v>74.8</v>
      </c>
      <c r="HG27" s="4"/>
      <c r="HN27" s="50">
        <v>74.8</v>
      </c>
      <c r="II27" s="4"/>
      <c r="IP27" s="50">
        <v>74.8</v>
      </c>
      <c r="JK27" s="4"/>
      <c r="JR27" s="50">
        <v>74.8</v>
      </c>
      <c r="KM27" s="4"/>
      <c r="KT27" s="50">
        <v>74.8</v>
      </c>
      <c r="LO27" s="4"/>
      <c r="LV27" s="50">
        <v>74.8</v>
      </c>
      <c r="MQ27" s="4"/>
      <c r="MX27" s="50">
        <v>74.8</v>
      </c>
      <c r="NS27" s="4"/>
      <c r="NZ27" s="50">
        <v>74.8</v>
      </c>
      <c r="OU27" s="4"/>
      <c r="PB27" s="50">
        <v>74.8</v>
      </c>
      <c r="PW27" s="4"/>
      <c r="QD27" s="50">
        <v>74.8</v>
      </c>
    </row>
    <row r="28" spans="1:475" x14ac:dyDescent="0.2">
      <c r="B28" s="30" t="s">
        <v>59</v>
      </c>
      <c r="C28" s="2"/>
    </row>
    <row r="29" spans="1:475" x14ac:dyDescent="0.2">
      <c r="A29" s="5"/>
      <c r="B29" s="5"/>
      <c r="C29" s="20"/>
      <c r="QF29" s="2"/>
      <c r="QG29" s="2"/>
      <c r="QH29" s="2"/>
      <c r="QI29" s="2"/>
      <c r="QJ29" s="2"/>
      <c r="QK29" s="2"/>
      <c r="QL29" s="2"/>
      <c r="QM29" s="2"/>
      <c r="QN29" s="2"/>
    </row>
    <row r="30" spans="1:475" x14ac:dyDescent="0.2">
      <c r="A30" s="5"/>
      <c r="B30" s="5"/>
      <c r="C30" s="20"/>
    </row>
    <row r="31" spans="1:475" x14ac:dyDescent="0.2">
      <c r="A31" s="5"/>
      <c r="B31" s="5"/>
      <c r="C31" s="20"/>
    </row>
    <row r="32" spans="1:475" x14ac:dyDescent="0.2">
      <c r="A32" s="5"/>
      <c r="B32" s="5"/>
      <c r="C3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7">
      <sortCondition descending="1" ref="F1:F18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7">
    <cfRule type="expression" dxfId="27" priority="5" stopIfTrue="1">
      <formula>IF($AO4&lt;&gt;"",1,0)</formula>
    </cfRule>
  </conditionalFormatting>
  <conditionalFormatting sqref="AX4:BZ17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7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8:AT1048576 BW28:BW1048576 EE28:EE1048576 BW1:BW26 CZ1:CZ1048576 EE1:EE26 FG1:FG1048576 GI1:GI1048576 HK1:HK1048576 IM1:IM1048576 JO1:JO1048576 KQ1:KQ1048576 LS1:LS1048576 MU1:MU1048576 NW1:NW1048576 OY1:OY1048576 QA1:QA1048576 AT1:AT26">
    <cfRule type="cellIs" dxfId="15" priority="60352" operator="between">
      <formula>AW$27</formula>
      <formula>1000</formula>
    </cfRule>
    <cfRule type="cellIs" dxfId="14" priority="60353" operator="between">
      <formula>AW$26</formula>
      <formula>AW$27</formula>
    </cfRule>
    <cfRule type="cellIs" dxfId="13" priority="60354" operator="between">
      <formula>AW$25</formula>
      <formula>AW$26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76454" operator="between">
      <formula>AW$20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76499" operator="between">
      <formula>AW$24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76544" operator="between">
      <formula>AW$20</formula>
      <formula>AW$21</formula>
    </cfRule>
    <cfRule type="cellIs" dxfId="9" priority="76545" operator="between">
      <formula>AW$21</formula>
      <formula>AW$22</formula>
    </cfRule>
    <cfRule type="cellIs" dxfId="8" priority="76546" operator="between">
      <formula>AW$22</formula>
      <formula>AW$23</formula>
    </cfRule>
    <cfRule type="cellIs" dxfId="7" priority="76547" operator="between">
      <formula>AW$23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76724" operator="between">
      <formula>AW$24</formula>
      <formula>AW$25</formula>
    </cfRule>
    <cfRule type="cellIs" dxfId="5" priority="76725" operator="between">
      <formula>AW$25</formula>
      <formula>AW$26</formula>
    </cfRule>
    <cfRule type="cellIs" dxfId="4" priority="76726" operator="between">
      <formula>AW$26</formula>
      <formula>AW$27</formula>
    </cfRule>
    <cfRule type="cellIs" dxfId="3" priority="76727" operator="between">
      <formula>AW$27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76904" operator="between">
      <formula>AW$23</formula>
      <formula>1000</formula>
    </cfRule>
    <cfRule type="cellIs" dxfId="1" priority="76905" operator="between">
      <formula>AW$22</formula>
      <formula>AW$23</formula>
    </cfRule>
    <cfRule type="cellIs" dxfId="0" priority="76906" operator="between">
      <formula>AW$21</formula>
      <formula>AW$22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2023-03-21T02:40:45Z</dcterms:modified>
</cp:coreProperties>
</file>